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vmail-my.sharepoint.com/personal/c3007827_fgv_edu_br/Documents/"/>
    </mc:Choice>
  </mc:AlternateContent>
  <xr:revisionPtr revIDLastSave="647" documentId="8_{C3515D9E-0817-40B4-A585-999D51E3743A}" xr6:coauthVersionLast="47" xr6:coauthVersionMax="47" xr10:uidLastSave="{B6F0F55B-370A-4D95-8476-A2D1D8FE89FC}"/>
  <bookViews>
    <workbookView xWindow="-103" yWindow="-103" windowWidth="22149" windowHeight="13200" tabRatio="984" firstSheet="3" activeTab="3" xr2:uid="{068D132D-A581-4565-A47D-C348410AB12F}"/>
  </bookViews>
  <sheets>
    <sheet name="receita_detalhada" sheetId="9" state="hidden" r:id="rId1"/>
    <sheet name="receita_agregada" sheetId="8" state="hidden" r:id="rId2"/>
    <sheet name="despesa" sheetId="5" state="hidden" r:id="rId3"/>
    <sheet name="Dashboard" sheetId="1" r:id="rId4"/>
    <sheet name="Apoio_FiltroExtra" sheetId="12" state="hidden" r:id="rId5"/>
    <sheet name="Apoio_Financeiro" sheetId="11" state="hidden" r:id="rId6"/>
    <sheet name="Apoio_Tempo" sheetId="2" state="hidden" r:id="rId7"/>
    <sheet name="Apoio_Cliente" sheetId="3" state="hidden" r:id="rId8"/>
    <sheet name="Apoio_Produto" sheetId="4" state="hidden" r:id="rId9"/>
    <sheet name="Apoio_Regiao" sheetId="10" state="hidden" r:id="rId10"/>
  </sheets>
  <definedNames>
    <definedName name="DadosExternos_1" localSheetId="2" hidden="1">despesa!$A$1:$M$1926</definedName>
    <definedName name="DadosExternos_2" localSheetId="1" hidden="1">'receita_agregada'!$A$1:$P$3001</definedName>
    <definedName name="DadosExternos_3" localSheetId="0" hidden="1">'receita_detalhada'!$A$1:$R$3001</definedName>
    <definedName name="EixoX_Tempo" localSheetId="4">_xlfn.ANCHORARRAY(Apoio_FiltroExtra!$C$2)</definedName>
    <definedName name="EixoY_Dinheiro">_xlfn.ANCHORARRAY(Apoio_FiltroExtra!$D$2)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9" i="12" l="1"/>
  <c r="K6" i="4"/>
  <c r="K8" i="10"/>
  <c r="D2" i="11" a="1"/>
  <c r="D2" i="11" s="1"/>
  <c r="C2" i="11" a="1"/>
  <c r="C2" i="11" s="1"/>
  <c r="B2" i="11" a="1"/>
  <c r="B2" i="11" s="1"/>
  <c r="A2" i="11" a="1"/>
  <c r="A2" i="11" s="1"/>
  <c r="B2" i="4" a="1"/>
  <c r="B2" i="4" s="1"/>
  <c r="A2" i="4" a="1"/>
  <c r="A2" i="4" s="1"/>
  <c r="O8" i="2"/>
  <c r="A2" i="10" a="1"/>
  <c r="A2" i="10" s="1"/>
  <c r="M3" i="3"/>
  <c r="C2" i="3" a="1"/>
  <c r="C2" i="3" s="1"/>
  <c r="B2" i="3" a="1"/>
  <c r="B2" i="3" s="1"/>
  <c r="A2" i="3" a="1"/>
  <c r="A2" i="3" s="1"/>
  <c r="C2" i="12" a="1"/>
  <c r="A2" i="12" a="1"/>
  <c r="A2" i="2" a="1"/>
  <c r="B2" i="10" a="1"/>
  <c r="C2" i="12" l="1"/>
  <c r="A2" i="12"/>
  <c r="D2" i="4" a="1"/>
  <c r="D2" i="4" s="1"/>
  <c r="A2" i="2"/>
  <c r="B2" i="10"/>
  <c r="D2" i="10" s="1" a="1"/>
  <c r="D2" i="10" s="1"/>
  <c r="D2" i="12" a="1"/>
  <c r="B2" i="2" a="1"/>
  <c r="D2" i="12" l="1"/>
  <c r="B2" i="2"/>
  <c r="D2" i="2" s="1" a="1"/>
  <c r="D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44D05B-5C01-4ADA-9843-B8AF89E177BF}" keepAlive="1" name="Consulta - despesa" description="Conexão com a consulta 'despesa' na pasta de trabalho." type="5" refreshedVersion="8" background="1" saveData="1">
    <dbPr connection="Provider=Microsoft.Mashup.OleDb.1;Data Source=$Workbook$;Location=despesa;Extended Properties=&quot;&quot;" command="SELECT * FROM [despesa]"/>
  </connection>
  <connection id="2" xr16:uid="{4BF0ED85-24AB-40F3-A957-5616B5C97F2E}" keepAlive="1" name="Consulta - receita_agregada" description="Conexão com a consulta 'receita_agregada' na pasta de trabalho." type="5" refreshedVersion="0" background="1" saveData="1">
    <dbPr connection="Provider=Microsoft.Mashup.OleDb.1;Data Source=$Workbook$;Location=receita_agregada;Extended Properties=&quot;&quot;" command="SELECT * FROM [receita_agregada]"/>
  </connection>
  <connection id="3" xr16:uid="{F49984F0-7D02-4924-9304-BF2A0AEA98B4}" keepAlive="1" name="Consulta - receita_agregada(1)" description="Conexão com a consulta 'receita_agregada(1)' na pasta de trabalho." type="5" refreshedVersion="8" background="1" saveData="1">
    <dbPr connection="Provider=Microsoft.Mashup.OleDb.1;Data Source=$Workbook$;Location=receita_agregada(1);Extended Properties=&quot;&quot;" command="SELECT * FROM [receita_agregada(1)]"/>
  </connection>
  <connection id="4" xr16:uid="{FB60A705-6011-4FD2-89D8-83BCDBC02AB5}" keepAlive="1" name="Consulta - receita_detalhada" description="Conexão com a consulta 'receita_detalhada' na pasta de trabalho." type="5" refreshedVersion="0" background="1" saveData="1">
    <dbPr connection="Provider=Microsoft.Mashup.OleDb.1;Data Source=$Workbook$;Location=receita_detalhada;Extended Properties=&quot;&quot;" command="SELECT * FROM [receita_detalhada]"/>
  </connection>
  <connection id="5" xr16:uid="{DB834D17-F133-490D-9697-8AAB5BCAB566}" keepAlive="1" name="Consulta - receita_detalhada(1)" description="Conexão com a consulta 'receita_detalhada(1)' na pasta de trabalho." type="5" refreshedVersion="8" background="1" saveData="1">
    <dbPr connection="Provider=Microsoft.Mashup.OleDb.1;Data Source=$Workbook$;Location=receita_detalhada(1);Extended Properties=&quot;&quot;" command="SELECT * FROM [receita_detalhada(1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<sst xmlns="http://schemas.openxmlformats.org/spreadsheetml/2006/main" count="55774" uniqueCount="3535">
  <si>
    <t>Dashboard Comercial e Financeiro - CFB Farmácia</t>
  </si>
  <si>
    <t>iddespesa</t>
  </si>
  <si>
    <t>data_transacao</t>
  </si>
  <si>
    <t>dia_da_semana</t>
  </si>
  <si>
    <t>dia</t>
  </si>
  <si>
    <t>mes</t>
  </si>
  <si>
    <t>trismeste</t>
  </si>
  <si>
    <t>ano</t>
  </si>
  <si>
    <t>nomefornecedor</t>
  </si>
  <si>
    <t>nomeproduto</t>
  </si>
  <si>
    <t>categproduto</t>
  </si>
  <si>
    <t>quantidade</t>
  </si>
  <si>
    <t>preco_unitario</t>
  </si>
  <si>
    <t>valor_total_despesa</t>
  </si>
  <si>
    <t xml:space="preserve">Saturday </t>
  </si>
  <si>
    <t>Viana</t>
  </si>
  <si>
    <t>Atenolol Gotas 20ml - Neo Química (Genérico)</t>
  </si>
  <si>
    <t>Nutrição Infantil</t>
  </si>
  <si>
    <t>Sildenafila 50mg - 30 Comprimidos - Aché</t>
  </si>
  <si>
    <t>Antidepressivos</t>
  </si>
  <si>
    <t>Losartana Potássica 500mg - 20 Comprimidos - Eurofarma</t>
  </si>
  <si>
    <t>Primeiros Socorros</t>
  </si>
  <si>
    <t>Shampoo Anticaspa Colgate Tamanho G (32 un)</t>
  </si>
  <si>
    <t>Produtos Ortopédicos</t>
  </si>
  <si>
    <t>Vacina contra Dermatite - Dose Única</t>
  </si>
  <si>
    <t>Genéricos</t>
  </si>
  <si>
    <t>Metformina 25mg - 30 Comprimidos - Medley (Genérico)</t>
  </si>
  <si>
    <t>Higiene Pessoal</t>
  </si>
  <si>
    <t xml:space="preserve">Sunday   </t>
  </si>
  <si>
    <t>Machado</t>
  </si>
  <si>
    <t>Enalapril 50mg - 30 Comprimidos - Eurofarma</t>
  </si>
  <si>
    <t>Analgésicos</t>
  </si>
  <si>
    <t>Amoxicilina 1g - 10 Comprimidos - EMS (Genérico)</t>
  </si>
  <si>
    <t>Metformina Suspensão Oral 50ml - Medley (Genérico)</t>
  </si>
  <si>
    <t>Wednesday</t>
  </si>
  <si>
    <t>Barbosa - EI</t>
  </si>
  <si>
    <t>Losartana Potássica Gotas 20ml - Medley (Genérico)</t>
  </si>
  <si>
    <t>Antitérmicos</t>
  </si>
  <si>
    <t>Metformina 1g - 10 Comprimidos - Aché</t>
  </si>
  <si>
    <t>Fraldas e Infantis</t>
  </si>
  <si>
    <t>Metformina 1g - 10 Comprimidos - Medley (Genérico)</t>
  </si>
  <si>
    <t>Fluoxetina 50mg - 30 Comprimidos - Medley (Genérico)</t>
  </si>
  <si>
    <t>Enalapril Suspensão Oral 50ml - Neo Química (Genérico)</t>
  </si>
  <si>
    <t>Cuidados com o Cabelo</t>
  </si>
  <si>
    <t>Vacina contra Hepatite A - Dose Única</t>
  </si>
  <si>
    <t>Sabonete em Barra G-Tech 90g</t>
  </si>
  <si>
    <t>Antibióticos</t>
  </si>
  <si>
    <t>Lenço Umedecido Rexona FPS 50</t>
  </si>
  <si>
    <t xml:space="preserve">Tuesday  </t>
  </si>
  <si>
    <t>Carvalho</t>
  </si>
  <si>
    <t>Metformina Pomada 30g - Medley (Genérico)</t>
  </si>
  <si>
    <t>Saúde Bucal</t>
  </si>
  <si>
    <t>Diclofenaco Xarope 120ml - Medley (Genérico)</t>
  </si>
  <si>
    <t>Hidroclorotiazida 25mg - 30 Comprimidos - EMS (Genérico)</t>
  </si>
  <si>
    <t>Vacina contra Depressão - Reforço</t>
  </si>
  <si>
    <t>Dermocosméticos</t>
  </si>
  <si>
    <t>Soro Fisiológico Panvel Tamanho M (40 un)</t>
  </si>
  <si>
    <t>Fitoterápicos</t>
  </si>
  <si>
    <t>Metformina Pomada 30g - Bayer</t>
  </si>
  <si>
    <t>Sildenafila 25mg - 30 Comprimidos - Medley (Genérico)</t>
  </si>
  <si>
    <t>Antialérgicos</t>
  </si>
  <si>
    <t>Sinvastatina Gotas 20ml - Medley (Genérico)</t>
  </si>
  <si>
    <t>Creme Hidratante Mió 90g</t>
  </si>
  <si>
    <t>Álcool em Gel 70% CeraVe 150ml</t>
  </si>
  <si>
    <t>das Neves</t>
  </si>
  <si>
    <t>Tadalafila 25mg - 30 Comprimidos - Eurofarma</t>
  </si>
  <si>
    <t>Vacina contra Embolia - Dose Única</t>
  </si>
  <si>
    <t>Soro Fisiológico Mió 90g</t>
  </si>
  <si>
    <t>Atenolol 50mg - 30 Comprimidos - Medley (Genérico)</t>
  </si>
  <si>
    <t>Anti-inflamatórios</t>
  </si>
  <si>
    <t>Nimesulida 25mg - 30 Comprimidos - Neo Química (Genérico)</t>
  </si>
  <si>
    <t>Nimesulida 1g - 10 Comprimidos - Eurofarma</t>
  </si>
  <si>
    <t>Sildenafila 1g - 10 Comprimidos - EMS (Genérico)</t>
  </si>
  <si>
    <t>Sertralina Xarope 120ml - Eurofarma</t>
  </si>
  <si>
    <t>Sampaio</t>
  </si>
  <si>
    <t>Diclofenaco Suspensão Oral 50ml - EMS (Genérico)</t>
  </si>
  <si>
    <t>Nimesulida 50mg - 30 Comprimidos - EMS (Genérico)</t>
  </si>
  <si>
    <t>Losartana Potássica 25mg - 30 Comprimidos - EMS (Genérico)</t>
  </si>
  <si>
    <t>Hidroclorotiazida 1g - 10 Comprimidos - Medley (Genérico)</t>
  </si>
  <si>
    <t xml:space="preserve">Friday   </t>
  </si>
  <si>
    <t>Abreu Machado S/A</t>
  </si>
  <si>
    <t>Cefalexina Suspensão Oral 50ml - Medley (Genérico)</t>
  </si>
  <si>
    <t>Vacinas</t>
  </si>
  <si>
    <t>Álcool em Gel 70% Vichy 150ml</t>
  </si>
  <si>
    <t>Atenolol Xarope 120ml - EMS (Genérico)</t>
  </si>
  <si>
    <t>Ibuprofeno 50mg - 30 Comprimidos - Eurofarma</t>
  </si>
  <si>
    <t>Azitromicina 50mg - 30 Comprimidos - EMS (Genérico)</t>
  </si>
  <si>
    <t>Metformina 25mg - 30 Comprimidos - Aché</t>
  </si>
  <si>
    <t>Cassiano Rezende e Filhos</t>
  </si>
  <si>
    <t>Azitromicina Gotas 20ml - Eurofarma</t>
  </si>
  <si>
    <t>Termômetro Digital Mió FPS 70</t>
  </si>
  <si>
    <t>Fralda Descartável Aptamil 50 Metros</t>
  </si>
  <si>
    <t>Nimesulida 500mg - 20 Comprimidos - EMS (Genérico)</t>
  </si>
  <si>
    <t xml:space="preserve">Monday   </t>
  </si>
  <si>
    <t>da Costa Leão - EI</t>
  </si>
  <si>
    <t>Dipirona Sódica 1g - 10 Comprimidos - EMS (Genérico)</t>
  </si>
  <si>
    <t>Cefalexina 50mg - 30 Comprimidos - Aché</t>
  </si>
  <si>
    <t>Aparelhos Médicos</t>
  </si>
  <si>
    <t>Andrade Ltda.</t>
  </si>
  <si>
    <t>Condicionador Hidratação Rexona 90g</t>
  </si>
  <si>
    <t>Vitaminas e Suplementos</t>
  </si>
  <si>
    <t>Abreu</t>
  </si>
  <si>
    <t>Fio Dental Sempre Livre FPS 70</t>
  </si>
  <si>
    <t>Vacina contra Gastrite - Reforço</t>
  </si>
  <si>
    <t>Amoxicilina 500mg - 20 Comprimidos - EMS (Genérico)</t>
  </si>
  <si>
    <t xml:space="preserve">Thursday </t>
  </si>
  <si>
    <t>Nunes</t>
  </si>
  <si>
    <t>Paracetamol Xarope 120ml - Medley (Genérico)</t>
  </si>
  <si>
    <t>Cefalexina Gotas 20ml - Eurofarma</t>
  </si>
  <si>
    <t>Nimesulida Pomada 30g - Bayer</t>
  </si>
  <si>
    <t>Hidroclorotiazida 500mg - 20 Comprimidos - Medley (Genérico)</t>
  </si>
  <si>
    <t>das Neves Ferreira e Filhos</t>
  </si>
  <si>
    <t>Sertralina 1g - 10 Comprimidos - Aché</t>
  </si>
  <si>
    <t>Pastor</t>
  </si>
  <si>
    <t>Escitalopram 500mg - 20 Comprimidos - Bayer</t>
  </si>
  <si>
    <t>Atenolol 50mg - 30 Comprimidos - EMS (Genérico)</t>
  </si>
  <si>
    <t>Absorvente com Abas Rexona FPS 70</t>
  </si>
  <si>
    <t>Ibuprofeno 25mg - 30 Comprimidos - Bayer</t>
  </si>
  <si>
    <t>Loratadina Suspensão Oral 50ml - Neo Química (Genérico)</t>
  </si>
  <si>
    <t>Tadalafila Suspensão Oral 50ml - Medley (Genérico)</t>
  </si>
  <si>
    <t>da Luz Pacheco Ltda.</t>
  </si>
  <si>
    <t>Vacina contra Desnutrição - Dose Única</t>
  </si>
  <si>
    <t>Homeopatia</t>
  </si>
  <si>
    <t>Enxaguante Bucal CeraVe 50g</t>
  </si>
  <si>
    <t>Vacina contra Hepatite B - Dose Única</t>
  </si>
  <si>
    <t>Melo e Filhos</t>
  </si>
  <si>
    <t>Sertralina Gotas 20ml - Eurofarma</t>
  </si>
  <si>
    <t>Azitromicina Gotas 20ml - Aché</t>
  </si>
  <si>
    <t>Loratadina 1g - 10 Comprimidos - Aché</t>
  </si>
  <si>
    <t>Enxaguante Bucal Sempre Livre 400ml</t>
  </si>
  <si>
    <t>Vacina contra Embolia - Reforço</t>
  </si>
  <si>
    <t>Vasconcelos</t>
  </si>
  <si>
    <t>Hidroclorotiazida 50mg - 30 Comprimidos - EMS (Genérico)</t>
  </si>
  <si>
    <t>Vacina contra Cirrose - Dose Única</t>
  </si>
  <si>
    <t>Amoxicilina 25mg - 30 Comprimidos - Bayer</t>
  </si>
  <si>
    <t>Pantoprazol 25mg - 30 Comprimidos - Aché</t>
  </si>
  <si>
    <t>Borges</t>
  </si>
  <si>
    <t>Tadalafila Suspensão Oral 50ml - EMS (Genérico)</t>
  </si>
  <si>
    <t>Metformina Xarope 120ml - Bayer</t>
  </si>
  <si>
    <t>Enalapril Gotas 20ml - EMS (Genérico)</t>
  </si>
  <si>
    <t>Pantoprazol Xarope 120ml - Aché</t>
  </si>
  <si>
    <t>Álcool em Gel 70% Aptamil FPS 50</t>
  </si>
  <si>
    <t>Pomada para Assaduras Needs FPS 50</t>
  </si>
  <si>
    <t>Tadalafila Pomada 30g - EMS (Genérico)</t>
  </si>
  <si>
    <t>Vacina contra Anemia - Reforço</t>
  </si>
  <si>
    <t>Nogueira - EI</t>
  </si>
  <si>
    <t>Sertralina 1g - 10 Comprimidos - Neo Química (Genérico)</t>
  </si>
  <si>
    <t>Hastes Flexíveis (Cotonetes) Johnson's 200ml</t>
  </si>
  <si>
    <t>Lenço Umedecido Mió FPS 50</t>
  </si>
  <si>
    <t>Paracetamol 500mg - 20 Comprimidos - EMS (Genérico)</t>
  </si>
  <si>
    <t>Protetor Solar Facial Pampers 90g</t>
  </si>
  <si>
    <t>Araújo</t>
  </si>
  <si>
    <t>Soro Fisiológico Dove 150ml</t>
  </si>
  <si>
    <t>Sabonete em Barra Huggies 200ml</t>
  </si>
  <si>
    <t>Tadalafila 25mg - 30 Comprimidos - Aché</t>
  </si>
  <si>
    <t>Vacina contra Hipertireoidismo - Reforço</t>
  </si>
  <si>
    <t>Fluoxetina 25mg - 30 Comprimidos - Eurofarma</t>
  </si>
  <si>
    <t>Dipirona Sódica Pomada 30g - Bayer</t>
  </si>
  <si>
    <t>Sildenafila 1g - 10 Comprimidos - Bayer</t>
  </si>
  <si>
    <t>Atenolol 500mg - 20 Comprimidos - Eurofarma</t>
  </si>
  <si>
    <t>Caldeira</t>
  </si>
  <si>
    <t>Clonazepam 1g - 10 Comprimidos - EMS (Genérico)</t>
  </si>
  <si>
    <t>Dipirona Sódica Pomada 30g - Medley (Genérico)</t>
  </si>
  <si>
    <t>Tadalafila Gotas 20ml - Medley (Genérico)</t>
  </si>
  <si>
    <t>Creme Hidratante Colgate 50g</t>
  </si>
  <si>
    <t>Curativos (Band-Aid) Needs 400ml</t>
  </si>
  <si>
    <t>Cefalexina 500mg - 20 Comprimidos - Neo Química (Genérico)</t>
  </si>
  <si>
    <t>Diclofenaco Gotas 20ml - Eurofarma</t>
  </si>
  <si>
    <t>Sertralina 50mg - 30 Comprimidos - Bayer</t>
  </si>
  <si>
    <t>Alves Costa S.A.</t>
  </si>
  <si>
    <t>Curativos (Band-Aid) Nivea 500ml</t>
  </si>
  <si>
    <t>Enxaguante Bucal Nivea 90g</t>
  </si>
  <si>
    <t>Vacina contra Hipertensão - Reforço</t>
  </si>
  <si>
    <t>Nimesulida Xarope 120ml - Eurofarma</t>
  </si>
  <si>
    <t>Ibuprofeno Suspensão Oral 50ml - Medley (Genérico)</t>
  </si>
  <si>
    <t>Protetor Solar Facial Panvel 200ml</t>
  </si>
  <si>
    <t>Água Micelar CeraVe 90g</t>
  </si>
  <si>
    <t>Curativos (Band-Aid) CeraVe 200ml</t>
  </si>
  <si>
    <t>Paracetamol 500mg - 20 Comprimidos - Neo Química (Genérico)</t>
  </si>
  <si>
    <t>Metformina 500mg - 20 Comprimidos - Bayer</t>
  </si>
  <si>
    <t>Nimesulida 25mg - 30 Comprimidos - Aché</t>
  </si>
  <si>
    <t>Clonazepam Xarope 120ml - EMS (Genérico)</t>
  </si>
  <si>
    <t>Metformina Pomada 30g - Aché</t>
  </si>
  <si>
    <t>Creme Dental Clear 50g</t>
  </si>
  <si>
    <t>Soro Fisiológico Bepantol Tamanho M (40 un)</t>
  </si>
  <si>
    <t>Escitalopram 500mg - 20 Comprimidos - Medley (Genérico)</t>
  </si>
  <si>
    <t>Creme Dental Panvel 90g</t>
  </si>
  <si>
    <t>Vacina contra Esquizofrenia - Dose Única</t>
  </si>
  <si>
    <t>Tadalafila 50mg - 30 Comprimidos - Neo Química (Genérico)</t>
  </si>
  <si>
    <t>Atenolol 25mg - 30 Comprimidos - Neo Química (Genérico)</t>
  </si>
  <si>
    <t>Vacina contra Parkinson - Dose Única</t>
  </si>
  <si>
    <t>Losartana Potássica 50mg - 30 Comprimidos - Medley (Genérico)</t>
  </si>
  <si>
    <t>Paracetamol 25mg - 30 Comprimidos - Aché</t>
  </si>
  <si>
    <t>Losartana Potássica Xarope 120ml - EMS (Genérico)</t>
  </si>
  <si>
    <t>Vacina contra Parkinson - Reforço</t>
  </si>
  <si>
    <t>Hidroclorotiazida 1g - 10 Comprimidos - Aché</t>
  </si>
  <si>
    <t>Rios</t>
  </si>
  <si>
    <t>Nimesulida Xarope 120ml - Medley (Genérico)</t>
  </si>
  <si>
    <t>Escitalopram 50mg - 30 Comprimidos - Eurofarma</t>
  </si>
  <si>
    <t>Cirino</t>
  </si>
  <si>
    <t>Vacina contra Alzheimer - Reforço</t>
  </si>
  <si>
    <t>Hidroclorotiazida Xarope 120ml - Neo Química (Genérico)</t>
  </si>
  <si>
    <t>Condicionador Hidratação Panvel Tamanho G (32 un)</t>
  </si>
  <si>
    <t>Escitalopram Suspensão Oral 50ml - Eurofarma</t>
  </si>
  <si>
    <t>Absorvente com Abas Clear 150ml</t>
  </si>
  <si>
    <t>Mendes Pires - EI</t>
  </si>
  <si>
    <t>Azitromicina 500mg - 20 Comprimidos - Bayer</t>
  </si>
  <si>
    <t>Creme Hidratante G-Tech 150ml</t>
  </si>
  <si>
    <t>Vacina contra Resfriado - Dose Única</t>
  </si>
  <si>
    <t>Desodorante Aerosol Rexona FPS 70</t>
  </si>
  <si>
    <t>Clonazepam 500mg - 20 Comprimidos - Medley (Genérico)</t>
  </si>
  <si>
    <t>Aparecida</t>
  </si>
  <si>
    <t>Azitromicina Gotas 20ml - Bayer</t>
  </si>
  <si>
    <t>Omeprazol 50mg - 30 Comprimidos - Neo Química (Genérico)</t>
  </si>
  <si>
    <t>Ibuprofeno Suspensão Oral 50ml - Eurofarma</t>
  </si>
  <si>
    <t>Sinvastatina Xarope 120ml - Eurofarma</t>
  </si>
  <si>
    <t>Amoxicilina Pomada 30g - Eurofarma</t>
  </si>
  <si>
    <t>Cefalexina 500mg - 20 Comprimidos - Bayer</t>
  </si>
  <si>
    <t>Protetor Solar Corporal Sempre Livre 50 Metros</t>
  </si>
  <si>
    <t>Fluoxetina 1g - 10 Comprimidos - Bayer</t>
  </si>
  <si>
    <t>Protetor Solar Corporal CeraVe Tamanho G (32 un)</t>
  </si>
  <si>
    <t>Clonazepam 25mg - 30 Comprimidos - Aché</t>
  </si>
  <si>
    <t>Mendonça - ME</t>
  </si>
  <si>
    <t>Lenço Umedecido G-Tech 500ml</t>
  </si>
  <si>
    <t>Atenolol Xarope 120ml - Aché</t>
  </si>
  <si>
    <t>Desodorante Aerosol Nivea 200ml</t>
  </si>
  <si>
    <t>Curativos (Band-Aid) G-Tech 90g</t>
  </si>
  <si>
    <t>Pinto Ltda.</t>
  </si>
  <si>
    <t>Fluoxetina 1g - 10 Comprimidos - Medley (Genérico)</t>
  </si>
  <si>
    <t>Atenolol 500mg - 20 Comprimidos - Medley (Genérico)</t>
  </si>
  <si>
    <t>Sérum Vitamina C Johnson's 150ml</t>
  </si>
  <si>
    <t>Hidroclorotiazida 25mg - 30 Comprimidos - Medley (Genérico)</t>
  </si>
  <si>
    <t>Escitalopram 25mg - 30 Comprimidos - Bayer</t>
  </si>
  <si>
    <t>Loratadina Suspensão Oral 50ml - Bayer</t>
  </si>
  <si>
    <t>Protetor Solar Facial Bepantol 150ml</t>
  </si>
  <si>
    <t>Dipirona Sódica Xarope 120ml - Neo Química (Genérico)</t>
  </si>
  <si>
    <t>Metformina 50mg - 30 Comprimidos - Bayer</t>
  </si>
  <si>
    <t>Azitromicina 25mg - 30 Comprimidos - Neo Química (Genérico)</t>
  </si>
  <si>
    <t>Vacina contra Rinite - Dose Única</t>
  </si>
  <si>
    <t>Vacina contra Artrite - Dose Única</t>
  </si>
  <si>
    <t>Vacina contra Depressão - Dose Única</t>
  </si>
  <si>
    <t>Atenolol 1g - 10 Comprimidos - Neo Química (Genérico)</t>
  </si>
  <si>
    <t>Vacina contra Gripe - Reforço</t>
  </si>
  <si>
    <t>Sérum Vitamina C Panvel 400ml</t>
  </si>
  <si>
    <t>da Mota</t>
  </si>
  <si>
    <t>Sinvastatina Pomada 30g - EMS (Genérico)</t>
  </si>
  <si>
    <t>Curativos (Band-Aid) Mió 200ml</t>
  </si>
  <si>
    <t>Ibuprofeno Suspensão Oral 50ml - Neo Química (Genérico)</t>
  </si>
  <si>
    <t>Diclofenaco 50mg - 30 Comprimidos - Medley (Genérico)</t>
  </si>
  <si>
    <t>Rocha Borges - ME</t>
  </si>
  <si>
    <t>Amoxicilina Gotas 20ml - Medley (Genérico)</t>
  </si>
  <si>
    <t>Azitromicina 50mg - 30 Comprimidos - Medley (Genérico)</t>
  </si>
  <si>
    <t>Rezende - ME</t>
  </si>
  <si>
    <t>Diclofenaco Pomada 30g - EMS (Genérico)</t>
  </si>
  <si>
    <t>Sérum Vitamina C Huggies 90g</t>
  </si>
  <si>
    <t>Atenolol Xarope 120ml - Eurofarma</t>
  </si>
  <si>
    <t>Pantoprazol 1g - 10 Comprimidos - Medley (Genérico)</t>
  </si>
  <si>
    <t>Vacina contra Tuberculose - Reforço</t>
  </si>
  <si>
    <t>Paracetamol 500mg - 20 Comprimidos - Eurofarma</t>
  </si>
  <si>
    <t>Nascimento S/A</t>
  </si>
  <si>
    <t>Vacina contra Lúpus - Dose Única</t>
  </si>
  <si>
    <t>Condicionador Hidratação G-Tech Tamanho G (32 un)</t>
  </si>
  <si>
    <t>Loratadina 1g - 10 Comprimidos - Neo Química (Genérico)</t>
  </si>
  <si>
    <t>Losartana Potássica Pomada 30g - Medley (Genérico)</t>
  </si>
  <si>
    <t>Souza da Cunha Ltda.</t>
  </si>
  <si>
    <t>Curativos (Band-Aid) Colgate FPS 50</t>
  </si>
  <si>
    <t>Nimesulida 500mg - 20 Comprimidos - Aché</t>
  </si>
  <si>
    <t>Metformina Suspensão Oral 50ml - Aché</t>
  </si>
  <si>
    <t>Curativos (Band-Aid) Pampers 400ml</t>
  </si>
  <si>
    <t>Fluoxetina Xarope 120ml - Bayer</t>
  </si>
  <si>
    <t>Amoxicilina 500mg - 20 Comprimidos - Eurofarma</t>
  </si>
  <si>
    <t>Pomada para Assaduras G-Tech Tamanho M (40 un)</t>
  </si>
  <si>
    <t>Pantoprazol Pomada 30g - Medley (Genérico)</t>
  </si>
  <si>
    <t>Amoxicilina Pomada 30g - Bayer</t>
  </si>
  <si>
    <t>Omeprazol Gotas 20ml - Bayer</t>
  </si>
  <si>
    <t>Araújo - ME</t>
  </si>
  <si>
    <t>Pantoprazol 500mg - 20 Comprimidos - Bayer</t>
  </si>
  <si>
    <t>Protetor Solar Corporal Huggies 50 Metros</t>
  </si>
  <si>
    <t>Fluoxetina Gotas 20ml - Aché</t>
  </si>
  <si>
    <t>Sérum Vitamina C Rexona 200ml</t>
  </si>
  <si>
    <t>Castro</t>
  </si>
  <si>
    <t>Creme Hidratante Rexona 50 Metros</t>
  </si>
  <si>
    <t>Cefalexina 25mg - 30 Comprimidos - Eurofarma</t>
  </si>
  <si>
    <t>Fluoxetina 50mg - 30 Comprimidos - EMS (Genérico)</t>
  </si>
  <si>
    <t>Termômetro Digital Vichy 50 Metros</t>
  </si>
  <si>
    <t>Pomada para Assaduras Rexona 400ml</t>
  </si>
  <si>
    <t>Atenolol Pomada 30g - Medley (Genérico)</t>
  </si>
  <si>
    <t>Tadalafila Xarope 120ml - Bayer</t>
  </si>
  <si>
    <t>Cavalcanti Santos - ME</t>
  </si>
  <si>
    <t>Condicionador Hidratação Huggies 400ml</t>
  </si>
  <si>
    <t>Dipirona Sódica Xarope 120ml - Medley (Genérico)</t>
  </si>
  <si>
    <t>Losartana Potássica Suspensão Oral 50ml - Bayer</t>
  </si>
  <si>
    <t>Protetor Solar Facial Nivea 50 Metros</t>
  </si>
  <si>
    <t>Paracetamol Suspensão Oral 50ml - Bayer</t>
  </si>
  <si>
    <t>Enalapril Suspensão Oral 50ml - Eurofarma</t>
  </si>
  <si>
    <t>Montenegro e Filhos</t>
  </si>
  <si>
    <t>Enalapril 1g - 10 Comprimidos - Aché</t>
  </si>
  <si>
    <t>Mendes Ribeiro e Filhos</t>
  </si>
  <si>
    <t>Clonazepam 1g - 10 Comprimidos - Neo Química (Genérico)</t>
  </si>
  <si>
    <t>Sinvastatina 500mg - 20 Comprimidos - Neo Química (Genérico)</t>
  </si>
  <si>
    <t>Enxaguante Bucal Rexona FPS 50</t>
  </si>
  <si>
    <t>Diclofenaco 25mg - 30 Comprimidos - Aché</t>
  </si>
  <si>
    <t>Marques - ME</t>
  </si>
  <si>
    <t>Vacina contra Diabetes Tipo 1 - Dose Única</t>
  </si>
  <si>
    <t>Desodorante Roll-on Sempre Livre 150ml</t>
  </si>
  <si>
    <t>Tadalafila 25mg - 30 Comprimidos - EMS (Genérico)</t>
  </si>
  <si>
    <t>Vacina contra Úlcera - Dose Única</t>
  </si>
  <si>
    <t>Mendonça Dias S/A</t>
  </si>
  <si>
    <t>Diclofenaco 50mg - 30 Comprimidos - Eurofarma</t>
  </si>
  <si>
    <t>Água Micelar La Roche-Posay Tamanho M (40 un)</t>
  </si>
  <si>
    <t>Leite em Pó Infantil Sempre Livre 400ml</t>
  </si>
  <si>
    <t>Creme Hidratante Johnson's Tamanho G (32 un)</t>
  </si>
  <si>
    <t>da Costa - EI</t>
  </si>
  <si>
    <t>Omeprazol 25mg - 30 Comprimidos - Bayer</t>
  </si>
  <si>
    <t>Escitalopram Suspensão Oral 50ml - EMS (Genérico)</t>
  </si>
  <si>
    <t>Sabonete em Barra Aptamil 50 Metros</t>
  </si>
  <si>
    <t>Condicionador Hidratação Johnson's FPS 50</t>
  </si>
  <si>
    <t>Desodorante Aerosol Panvel FPS 50</t>
  </si>
  <si>
    <t>Shampoo Anticaspa Sempre Livre 500ml</t>
  </si>
  <si>
    <t>da Cruz S/A</t>
  </si>
  <si>
    <t>Vacina contra Diabetes Tipo 2 - Reforço</t>
  </si>
  <si>
    <t>Vacina contra Bipolaridade - Dose Única</t>
  </si>
  <si>
    <t>da Cunha</t>
  </si>
  <si>
    <t>Escitalopram Xarope 120ml - Neo Química (Genérico)</t>
  </si>
  <si>
    <t>Losartana Potássica 500mg - 20 Comprimidos - Medley (Genérico)</t>
  </si>
  <si>
    <t>Shampoo Anticaspa Johnson's FPS 70</t>
  </si>
  <si>
    <t>Protetor Solar Corporal La Roche-Posay 90g</t>
  </si>
  <si>
    <t>Shampoo Anticaspa CeraVe 500ml</t>
  </si>
  <si>
    <t>da Rosa</t>
  </si>
  <si>
    <t>Paracetamol 1g - 10 Comprimidos - Bayer</t>
  </si>
  <si>
    <t>Tadalafila 50mg - 30 Comprimidos - EMS (Genérico)</t>
  </si>
  <si>
    <t>Fio Dental Listerine 200ml</t>
  </si>
  <si>
    <t>Vacina contra Refluxo - Reforço</t>
  </si>
  <si>
    <t>Enalapril Gotas 20ml - Bayer</t>
  </si>
  <si>
    <t>Ribeiro Pereira Ltda.</t>
  </si>
  <si>
    <t>Azitromicina 1g - 10 Comprimidos - Eurofarma</t>
  </si>
  <si>
    <t>Curativos (Band-Aid) Clear FPS 50</t>
  </si>
  <si>
    <t>Cefalexina 500mg - 20 Comprimidos - Medley (Genérico)</t>
  </si>
  <si>
    <t>Creme Dental Colgate 150ml</t>
  </si>
  <si>
    <t>Atenolol Suspensão Oral 50ml - EMS (Genérico)</t>
  </si>
  <si>
    <t>Sabonete em Barra Needs FPS 50</t>
  </si>
  <si>
    <t>Vacina contra Zika - Dose Única</t>
  </si>
  <si>
    <t>Fluoxetina Xarope 120ml - Medley (Genérico)</t>
  </si>
  <si>
    <t>Dipirona Sódica 50mg - 30 Comprimidos - Medley (Genérico)</t>
  </si>
  <si>
    <t>Diclofenaco 500mg - 20 Comprimidos - Neo Química (Genérico)</t>
  </si>
  <si>
    <t>Gonçalves</t>
  </si>
  <si>
    <t>Tadalafila Pomada 30g - Neo Química (Genérico)</t>
  </si>
  <si>
    <t>Cefalexina Pomada 30g - Aché</t>
  </si>
  <si>
    <t>Vacina contra Alzheimer - Dose Única</t>
  </si>
  <si>
    <t>Clonazepam Suspensão Oral 50ml - EMS (Genérico)</t>
  </si>
  <si>
    <t>Escitalopram Gotas 20ml - EMS (Genérico)</t>
  </si>
  <si>
    <t>Protetor Solar Corporal CeraVe Tamanho M (40 un)</t>
  </si>
  <si>
    <t>Atenolol 25mg - 30 Comprimidos - Medley (Genérico)</t>
  </si>
  <si>
    <t>Nunes S.A.</t>
  </si>
  <si>
    <t>Lenço Umedecido Colgate FPS 50</t>
  </si>
  <si>
    <t>Clonazepam Pomada 30g - Aché</t>
  </si>
  <si>
    <t>Escitalopram 25mg - 30 Comprimidos - Aché</t>
  </si>
  <si>
    <t>Metformina Suspensão Oral 50ml - EMS (Genérico)</t>
  </si>
  <si>
    <t>Condicionador Hidratação Dove 90g</t>
  </si>
  <si>
    <t>Condicionador Hidratação Bepantol 90g</t>
  </si>
  <si>
    <t>Dipirona Sódica 1g - 10 Comprimidos - Bayer</t>
  </si>
  <si>
    <t>Ibuprofeno Gotas 20ml - Medley (Genérico)</t>
  </si>
  <si>
    <t>Peixoto - EI</t>
  </si>
  <si>
    <t>Atenolol 50mg - 30 Comprimidos - Neo Química (Genérico)</t>
  </si>
  <si>
    <t>Vacina contra COVID-19 - Reforço</t>
  </si>
  <si>
    <t>Dipirona Sódica 50mg - 30 Comprimidos - EMS (Genérico)</t>
  </si>
  <si>
    <t>Desodorante Aerosol G-Tech 400ml</t>
  </si>
  <si>
    <t>Enalapril 500mg - 20 Comprimidos - Medley (Genérico)</t>
  </si>
  <si>
    <t>Vacina contra Diabetes Tipo 1 - Reforço</t>
  </si>
  <si>
    <t>Vacina contra Esquizofrenia - Reforço</t>
  </si>
  <si>
    <t>Protetor Solar Facial G-Tech Tamanho M (40 un)</t>
  </si>
  <si>
    <t>Diclofenaco Xarope 120ml - Neo Química (Genérico)</t>
  </si>
  <si>
    <t>Metformina Pomada 30g - EMS (Genérico)</t>
  </si>
  <si>
    <t>Cardoso - ME</t>
  </si>
  <si>
    <t>Metformina Gotas 20ml - Aché</t>
  </si>
  <si>
    <t>Vacina contra Arritmia - Reforço</t>
  </si>
  <si>
    <t>Losartana Potássica 500mg - 20 Comprimidos - Bayer</t>
  </si>
  <si>
    <t>Enalapril 50mg - 30 Comprimidos - Medley (Genérico)</t>
  </si>
  <si>
    <t>Vacina contra Trombose - Reforço</t>
  </si>
  <si>
    <t>Paracetamol Gotas 20ml - Neo Química (Genérico)</t>
  </si>
  <si>
    <t>Moura</t>
  </si>
  <si>
    <t>Sildenafila Pomada 30g - Aché</t>
  </si>
  <si>
    <t>Lenço Umedecido Colgate 50g</t>
  </si>
  <si>
    <t>Escitalopram 25mg - 30 Comprimidos - Neo Química (Genérico)</t>
  </si>
  <si>
    <t>Shampoo Anticaspa Clear 90g</t>
  </si>
  <si>
    <t>Condicionador Hidratação Nivea 50g</t>
  </si>
  <si>
    <t>Escitalopram 1g - 10 Comprimidos - Aché</t>
  </si>
  <si>
    <t>Sales</t>
  </si>
  <si>
    <t>Protetor Solar Corporal Needs Tamanho M (40 un)</t>
  </si>
  <si>
    <t>Fluoxetina Suspensão Oral 50ml - Aché</t>
  </si>
  <si>
    <t>Pantoprazol 50mg - 30 Comprimidos - Neo Química (Genérico)</t>
  </si>
  <si>
    <t>Sildenafila Xarope 120ml - Eurofarma</t>
  </si>
  <si>
    <t>Barros</t>
  </si>
  <si>
    <t>Fralda Descartável Vichy 400ml</t>
  </si>
  <si>
    <t>Fralda Descartável Vichy 150ml</t>
  </si>
  <si>
    <t>Vacina contra Gota - Dose Única</t>
  </si>
  <si>
    <t>Leite em Pó Infantil Huggies 90g</t>
  </si>
  <si>
    <t>Vacina contra Cirrose - Reforço</t>
  </si>
  <si>
    <t>Ibuprofeno Xarope 120ml - Bayer</t>
  </si>
  <si>
    <t>Lenço Umedecido Aptamil FPS 50</t>
  </si>
  <si>
    <t>Omeprazol 50mg - 30 Comprimidos - EMS (Genérico)</t>
  </si>
  <si>
    <t>Álcool em Gel 70% Mió 90g</t>
  </si>
  <si>
    <t>Hidroclorotiazida Suspensão Oral 50ml - Bayer</t>
  </si>
  <si>
    <t>Sertralina Xarope 120ml - Neo Química (Genérico)</t>
  </si>
  <si>
    <t>Vacina contra Epilepsia - Reforço</t>
  </si>
  <si>
    <t>Camargo</t>
  </si>
  <si>
    <t>Omeprazol 25mg - 30 Comprimidos - Medley (Genérico)</t>
  </si>
  <si>
    <t>Pantoprazol Gotas 20ml - Eurofarma</t>
  </si>
  <si>
    <t>Loratadina 25mg - 30 Comprimidos - Neo Química (Genérico)</t>
  </si>
  <si>
    <t>Curativos (Band-Aid) Vichy FPS 70</t>
  </si>
  <si>
    <t>Diclofenaco Xarope 120ml - Eurofarma</t>
  </si>
  <si>
    <t>Creme Hidratante La Roche-Posay FPS 50</t>
  </si>
  <si>
    <t>Atenolol 50mg - 30 Comprimidos - Eurofarma</t>
  </si>
  <si>
    <t>Pantoprazol Gotas 20ml - Medley (Genérico)</t>
  </si>
  <si>
    <t>Ferreira</t>
  </si>
  <si>
    <t>Metformina Suspensão Oral 50ml - Eurofarma</t>
  </si>
  <si>
    <t>Vacina contra Insuficiência Renal - Reforço</t>
  </si>
  <si>
    <t>Enxaguante Bucal Clear FPS 70</t>
  </si>
  <si>
    <t>Loratadina Xarope 120ml - Bayer</t>
  </si>
  <si>
    <t>Sabonete em Barra Colgate Tamanho G (32 un)</t>
  </si>
  <si>
    <t>Nimesulida Gotas 20ml - Bayer</t>
  </si>
  <si>
    <t>Câmara</t>
  </si>
  <si>
    <t>Soro Fisiológico Nivea 50 Metros</t>
  </si>
  <si>
    <t>Sabonete Líquido Vichy 500ml</t>
  </si>
  <si>
    <t>Omeprazol Suspensão Oral 50ml - Eurofarma</t>
  </si>
  <si>
    <t>Condicionador Hidratação Vichy FPS 50</t>
  </si>
  <si>
    <t>Nimesulida 25mg - 30 Comprimidos - Medley (Genérico)</t>
  </si>
  <si>
    <t>Metformina 500mg - 20 Comprimidos - Eurofarma</t>
  </si>
  <si>
    <t>Loratadina 25mg - 30 Comprimidos - Aché</t>
  </si>
  <si>
    <t>Vacina contra Conjuntivite - Dose Única</t>
  </si>
  <si>
    <t>Atenolol 25mg - 30 Comprimidos - Aché</t>
  </si>
  <si>
    <t>Nimesulida 1g - 10 Comprimidos - Neo Química (Genérico)</t>
  </si>
  <si>
    <t>Sabonete em Barra Dove FPS 70</t>
  </si>
  <si>
    <t>Escitalopram Gotas 20ml - Neo Química (Genérico)</t>
  </si>
  <si>
    <t>Hastes Flexíveis (Cotonetes) Nivea 50 Metros</t>
  </si>
  <si>
    <t>Ibuprofeno 500mg - 20 Comprimidos - Bayer</t>
  </si>
  <si>
    <t>Cunha</t>
  </si>
  <si>
    <t>Clonazepam Pomada 30g - Medley (Genérico)</t>
  </si>
  <si>
    <t>Nimesulida Suspensão Oral 50ml - Medley (Genérico)</t>
  </si>
  <si>
    <t>Creme Hidratante G-Tech 400ml</t>
  </si>
  <si>
    <t>Novais - ME</t>
  </si>
  <si>
    <t>Sinvastatina Xarope 120ml - EMS (Genérico)</t>
  </si>
  <si>
    <t>Sérum Vitamina C Needs FPS 50</t>
  </si>
  <si>
    <t>Diclofenaco 25mg - 30 Comprimidos - Medley (Genérico)</t>
  </si>
  <si>
    <t>Fluoxetina 500mg - 20 Comprimidos - Neo Química (Genérico)</t>
  </si>
  <si>
    <t>Clonazepam Gotas 20ml - Eurofarma</t>
  </si>
  <si>
    <t>Atenolol Xarope 120ml - Medley (Genérico)</t>
  </si>
  <si>
    <t>Enalapril Xarope 120ml - Medley (Genérico)</t>
  </si>
  <si>
    <t>Lenço Umedecido Huggies Tamanho G (32 un)</t>
  </si>
  <si>
    <t>Ibuprofeno Gotas 20ml - Aché</t>
  </si>
  <si>
    <t>Lima</t>
  </si>
  <si>
    <t>Sousa - ME</t>
  </si>
  <si>
    <t>Ibuprofeno 1g - 10 Comprimidos - Bayer</t>
  </si>
  <si>
    <t>Metformina Xarope 120ml - EMS (Genérico)</t>
  </si>
  <si>
    <t>Amoxicilina 1g - 10 Comprimidos - Aché</t>
  </si>
  <si>
    <t>Pantoprazol Pomada 30g - Eurofarma</t>
  </si>
  <si>
    <t>Termômetro Digital Nivea 50 Metros</t>
  </si>
  <si>
    <t>Dipirona Sódica 25mg - 30 Comprimidos - EMS (Genérico)</t>
  </si>
  <si>
    <t>Sabonete Líquido Huggies FPS 70</t>
  </si>
  <si>
    <t>Hidroclorotiazida 50mg - 30 Comprimidos - Neo Química (Genérico)</t>
  </si>
  <si>
    <t>Soro Fisiológico Rexona Tamanho G (32 un)</t>
  </si>
  <si>
    <t>Sérum Vitamina C Listerine FPS 70</t>
  </si>
  <si>
    <t>Vacina contra Infecção Urinária - Dose Única</t>
  </si>
  <si>
    <t>Vacina contra Hepatite C - Dose Única</t>
  </si>
  <si>
    <t>Pereira</t>
  </si>
  <si>
    <t>Losartana Potássica Gotas 20ml - Neo Química (Genérico)</t>
  </si>
  <si>
    <t>Diclofenaco 500mg - 20 Comprimidos - Eurofarma</t>
  </si>
  <si>
    <t>Sildenafila 1g - 10 Comprimidos - Eurofarma</t>
  </si>
  <si>
    <t>Azitromicina Xarope 120ml - EMS (Genérico)</t>
  </si>
  <si>
    <t>Sertralina Suspensão Oral 50ml - Bayer</t>
  </si>
  <si>
    <t>Álcool em Gel 70% Pampers 50 Metros</t>
  </si>
  <si>
    <t>Vacina contra Hipotensão - Reforço</t>
  </si>
  <si>
    <t>Fralda Descartável Nivea FPS 70</t>
  </si>
  <si>
    <t>Sinvastatina 1g - 10 Comprimidos - Aché</t>
  </si>
  <si>
    <t>Nascimento</t>
  </si>
  <si>
    <t>Vacina contra Asma - Dose Única</t>
  </si>
  <si>
    <t>Sabonete em Barra Clear 50g</t>
  </si>
  <si>
    <t>Absorvente com Abas Bepantol 50g</t>
  </si>
  <si>
    <t>da Paz</t>
  </si>
  <si>
    <t>Losartana Potássica Pomada 30g - Bayer</t>
  </si>
  <si>
    <t>Pomada para Assaduras Listerine 400ml</t>
  </si>
  <si>
    <t>Paracetamol Pomada 30g - Bayer</t>
  </si>
  <si>
    <t>Amoxicilina Suspensão Oral 50ml - Eurofarma</t>
  </si>
  <si>
    <t>Losartana Potássica Suspensão Oral 50ml - Aché</t>
  </si>
  <si>
    <t>Água Micelar Needs FPS 50</t>
  </si>
  <si>
    <t>Marques</t>
  </si>
  <si>
    <t>Clonazepam Suspensão Oral 50ml - Medley (Genérico)</t>
  </si>
  <si>
    <t>Losartana Potássica Gotas 20ml - Aché</t>
  </si>
  <si>
    <t>Cefalexina 50mg - 30 Comprimidos - Eurofarma</t>
  </si>
  <si>
    <t>Fluoxetina 50mg - 30 Comprimidos - Bayer</t>
  </si>
  <si>
    <t>Loratadina 500mg - 20 Comprimidos - EMS (Genérico)</t>
  </si>
  <si>
    <t>Metformina 1g - 10 Comprimidos - Bayer</t>
  </si>
  <si>
    <t>Omeprazol Pomada 30g - Neo Química (Genérico)</t>
  </si>
  <si>
    <t>Sérum Vitamina C Aptamil Tamanho M (40 un)</t>
  </si>
  <si>
    <t>Correia</t>
  </si>
  <si>
    <t>Vacina contra Obesidade - Dose Única</t>
  </si>
  <si>
    <t>Sérum Vitamina C Huggies 50 Metros</t>
  </si>
  <si>
    <t>Jesus e Filhos</t>
  </si>
  <si>
    <t>Montenegro Araújo S.A.</t>
  </si>
  <si>
    <t>Andrade</t>
  </si>
  <si>
    <t>Clonazepam 25mg - 30 Comprimidos - Bayer</t>
  </si>
  <si>
    <t>Losartana Potássica 500mg - 20 Comprimidos - EMS (Genérico)</t>
  </si>
  <si>
    <t>Farias e Filhos</t>
  </si>
  <si>
    <t>Vacina contra Refluxo - Dose Única</t>
  </si>
  <si>
    <t>Duarte Correia S.A.</t>
  </si>
  <si>
    <t>Hastes Flexíveis (Cotonetes) Mió 150ml</t>
  </si>
  <si>
    <t>Enxaguante Bucal Panvel 90g</t>
  </si>
  <si>
    <t>Vacina contra Gripe - Dose Única</t>
  </si>
  <si>
    <t>Vacina contra Câncer de Mama - Dose Única</t>
  </si>
  <si>
    <t>Sérum Vitamina C Pampers 400ml</t>
  </si>
  <si>
    <t>Fluoxetina 1g - 10 Comprimidos - Eurofarma</t>
  </si>
  <si>
    <t>Sertralina 50mg - 30 Comprimidos - Neo Química (Genérico)</t>
  </si>
  <si>
    <t>Sérum Vitamina C Panvel FPS 70</t>
  </si>
  <si>
    <t>Sá</t>
  </si>
  <si>
    <t>Diclofenaco 50mg - 30 Comprimidos - Aché</t>
  </si>
  <si>
    <t>Pantoprazol 1g - 10 Comprimidos - EMS (Genérico)</t>
  </si>
  <si>
    <t>Vacina contra Dengue - Reforço</t>
  </si>
  <si>
    <t>da Cruz - ME</t>
  </si>
  <si>
    <t>Hastes Flexíveis (Cotonetes) Pampers 500ml</t>
  </si>
  <si>
    <t>Metformina Gotas 20ml - Bayer</t>
  </si>
  <si>
    <t>Loratadina Xarope 120ml - EMS (Genérico)</t>
  </si>
  <si>
    <t>Escitalopram Suspensão Oral 50ml - Bayer</t>
  </si>
  <si>
    <t>Fluoxetina Gotas 20ml - Medley (Genérico)</t>
  </si>
  <si>
    <t>Vacina contra Pneumonia - Reforço</t>
  </si>
  <si>
    <t>Peixoto</t>
  </si>
  <si>
    <t>Pantoprazol 50mg - 30 Comprimidos - Eurofarma</t>
  </si>
  <si>
    <t>da Paz Camargo - ME</t>
  </si>
  <si>
    <t>Paracetamol Xarope 120ml - Neo Química (Genérico)</t>
  </si>
  <si>
    <t>Diclofenaco 25mg - 30 Comprimidos - Neo Química (Genérico)</t>
  </si>
  <si>
    <t>Vacina contra Insuficiência Cardíaca - Dose Única</t>
  </si>
  <si>
    <t>Nimesulida 25mg - 30 Comprimidos - Bayer</t>
  </si>
  <si>
    <t>Sertralina Xarope 120ml - Medley (Genérico)</t>
  </si>
  <si>
    <t>Diclofenaco Pomada 30g - Medley (Genérico)</t>
  </si>
  <si>
    <t>Soro Fisiológico CeraVe 150ml</t>
  </si>
  <si>
    <t>Vieira</t>
  </si>
  <si>
    <t>Andrade da Mota S/A</t>
  </si>
  <si>
    <t>Moreira Vasconcelos e Filhos</t>
  </si>
  <si>
    <t>Absorvente com Abas Bepantol 500ml</t>
  </si>
  <si>
    <t>Sinvastatina Suspensão Oral 50ml - EMS (Genérico)</t>
  </si>
  <si>
    <t>Sildenafila 1g - 10 Comprimidos - Neo Química (Genérico)</t>
  </si>
  <si>
    <t>Hidroclorotiazida Xarope 120ml - EMS (Genérico)</t>
  </si>
  <si>
    <t>Pantoprazol 1g - 10 Comprimidos - Bayer</t>
  </si>
  <si>
    <t>Vacina contra Osteoporose - Reforço</t>
  </si>
  <si>
    <t>Cefalexina 25mg - 30 Comprimidos - Neo Química (Genérico)</t>
  </si>
  <si>
    <t>Escitalopram Gotas 20ml - Eurofarma</t>
  </si>
  <si>
    <t>Vacina contra Câncer de Pulmão - Dose Única</t>
  </si>
  <si>
    <t>Creme Hidratante Panvel FPS 50</t>
  </si>
  <si>
    <t>Escitalopram 1g - 10 Comprimidos - Medley (Genérico)</t>
  </si>
  <si>
    <t>Cassiano</t>
  </si>
  <si>
    <t>Azitromicina Suspensão Oral 50ml - Neo Química (Genérico)</t>
  </si>
  <si>
    <t>Azitromicina 1g - 10 Comprimidos - EMS (Genérico)</t>
  </si>
  <si>
    <t>Escitalopram 25mg - 30 Comprimidos - EMS (Genérico)</t>
  </si>
  <si>
    <t>Leite em Pó Infantil Rexona 150ml</t>
  </si>
  <si>
    <t>Cefalexina Gotas 20ml - EMS (Genérico)</t>
  </si>
  <si>
    <t>Enalapril 500mg - 20 Comprimidos - Bayer</t>
  </si>
  <si>
    <t>Vacina contra Enxaqueca - Dose Única</t>
  </si>
  <si>
    <t>Soro Fisiológico Panvel 200ml</t>
  </si>
  <si>
    <t>Azitromicina Xarope 120ml - Medley (Genérico)</t>
  </si>
  <si>
    <t>Lenço Umedecido CeraVe 400ml</t>
  </si>
  <si>
    <t>Dipirona Sódica Xarope 120ml - EMS (Genérico)</t>
  </si>
  <si>
    <t>Hastes Flexíveis (Cotonetes) Listerine 200ml</t>
  </si>
  <si>
    <t>Loratadina 25mg - 30 Comprimidos - Eurofarma</t>
  </si>
  <si>
    <t>Porto</t>
  </si>
  <si>
    <t>Paracetamol 50mg - 30 Comprimidos - Bayer</t>
  </si>
  <si>
    <t>Curativos (Band-Aid) CeraVe FPS 50</t>
  </si>
  <si>
    <t>Sabonete Líquido Panvel 90g</t>
  </si>
  <si>
    <t>Escitalopram Pomada 30g - Eurofarma</t>
  </si>
  <si>
    <t>Clonazepam 50mg - 30 Comprimidos - Aché</t>
  </si>
  <si>
    <t>Pantoprazol 50mg - 30 Comprimidos - Bayer</t>
  </si>
  <si>
    <t>Dipirona Sódica Xarope 120ml - Aché</t>
  </si>
  <si>
    <t>Marques e Filhos</t>
  </si>
  <si>
    <t>Protetor Solar Corporal Needs 90g</t>
  </si>
  <si>
    <t>Garcia</t>
  </si>
  <si>
    <t>Vacina contra Câncer de Próstata - Dose Única</t>
  </si>
  <si>
    <t>Fralda Descartável Colgate 50 Metros</t>
  </si>
  <si>
    <t>Sérum Vitamina C Mió 400ml</t>
  </si>
  <si>
    <t>Vacina contra Psoríase - Dose Única</t>
  </si>
  <si>
    <t>Freitas Alves - EI</t>
  </si>
  <si>
    <t>Condicionador Hidratação Vichy 90g</t>
  </si>
  <si>
    <t>Sildenafila 500mg - 20 Comprimidos - Eurofarma</t>
  </si>
  <si>
    <t>Jesus Barbosa e Filhos</t>
  </si>
  <si>
    <t>Vasconcelos Vasconcelos S.A.</t>
  </si>
  <si>
    <t>Metformina 1g - 10 Comprimidos - Neo Química (Genérico)</t>
  </si>
  <si>
    <t>Metformina Xarope 120ml - Eurofarma</t>
  </si>
  <si>
    <t>Lenço Umedecido La Roche-Posay 50 Metros</t>
  </si>
  <si>
    <t>Mendes Ltda.</t>
  </si>
  <si>
    <t>Clonazepam 25mg - 30 Comprimidos - Eurofarma</t>
  </si>
  <si>
    <t>Creme Hidratante Dove 400ml</t>
  </si>
  <si>
    <t>Vacina contra Chikungunya - Dose Única</t>
  </si>
  <si>
    <t>Amoxicilina Xarope 120ml - Bayer</t>
  </si>
  <si>
    <t>Omeprazol Suspensão Oral 50ml - EMS (Genérico)</t>
  </si>
  <si>
    <t>Pomada para Assaduras Mió 500ml</t>
  </si>
  <si>
    <t>Nascimento Rocha - ME</t>
  </si>
  <si>
    <t>Paracetamol 25mg - 30 Comprimidos - Medley (Genérico)</t>
  </si>
  <si>
    <t>Fio Dental Listerine Tamanho M (40 un)</t>
  </si>
  <si>
    <t>Pomada para Assaduras G-Tech FPS 50</t>
  </si>
  <si>
    <t>Ibuprofeno 1g - 10 Comprimidos - Neo Química (Genérico)</t>
  </si>
  <si>
    <t>Aparecida Rodrigues Ltda.</t>
  </si>
  <si>
    <t>Creme Dental Sempre Livre FPS 50</t>
  </si>
  <si>
    <t>Soro Fisiológico Sempre Livre 500ml</t>
  </si>
  <si>
    <t>Hidroclorotiazida 500mg - 20 Comprimidos - Eurofarma</t>
  </si>
  <si>
    <t>Sinvastatina 1g - 10 Comprimidos - Eurofarma</t>
  </si>
  <si>
    <t>Vacina contra Hepatite C - Reforço</t>
  </si>
  <si>
    <t>Fogaça S/A</t>
  </si>
  <si>
    <t>Fralda Descartável Aptamil 200ml</t>
  </si>
  <si>
    <t>Pomada para Assaduras Dove FPS 70</t>
  </si>
  <si>
    <t>Nimesulida 1g - 10 Comprimidos - Aché</t>
  </si>
  <si>
    <t>Pomada para Assaduras CeraVe 90g</t>
  </si>
  <si>
    <t>Ribeiro</t>
  </si>
  <si>
    <t>Desodorante Roll-on Colgate 90g</t>
  </si>
  <si>
    <t>Lenço Umedecido Sempre Livre Tamanho G (32 un)</t>
  </si>
  <si>
    <t>Cunha S.A.</t>
  </si>
  <si>
    <t>Losartana Potássica 500mg - 20 Comprimidos - Neo Química (Genérico)</t>
  </si>
  <si>
    <t>Soro Fisiológico Johnson's Tamanho M (40 un)</t>
  </si>
  <si>
    <t>Paracetamol 1g - 10 Comprimidos - Aché</t>
  </si>
  <si>
    <t>Protetor Solar Corporal Bepantol 50 Metros</t>
  </si>
  <si>
    <t>Dipirona Sódica Gotas 20ml - Bayer</t>
  </si>
  <si>
    <t>Carvalho Gomes S/A</t>
  </si>
  <si>
    <t>Vacina contra Linfoma - Dose Única</t>
  </si>
  <si>
    <t>Melo</t>
  </si>
  <si>
    <t>Pomada para Assaduras Panvel 200ml</t>
  </si>
  <si>
    <t>Creme Dental Needs FPS 70</t>
  </si>
  <si>
    <t>Clonazepam 1g - 10 Comprimidos - Bayer</t>
  </si>
  <si>
    <t>da Cruz</t>
  </si>
  <si>
    <t>Diclofenaco 1g - 10 Comprimidos - Neo Química (Genérico)</t>
  </si>
  <si>
    <t>Losartana Potássica Suspensão Oral 50ml - Medley (Genérico)</t>
  </si>
  <si>
    <t>Vacina contra Linfoma - Reforço</t>
  </si>
  <si>
    <t>Enalapril 500mg - 20 Comprimidos - EMS (Genérico)</t>
  </si>
  <si>
    <t>Oliveira</t>
  </si>
  <si>
    <t>Pantoprazol Xarope 120ml - Eurofarma</t>
  </si>
  <si>
    <t>Pantoprazol Pomada 30g - Neo Química (Genérico)</t>
  </si>
  <si>
    <t>Loratadina Xarope 120ml - Aché</t>
  </si>
  <si>
    <t>Fralda Descartável G-Tech 200ml</t>
  </si>
  <si>
    <t>Shampoo Anticaspa Rexona 90g</t>
  </si>
  <si>
    <t>Loratadina Gotas 20ml - EMS (Genérico)</t>
  </si>
  <si>
    <t>Freitas</t>
  </si>
  <si>
    <t>Abreu Montenegro Ltda.</t>
  </si>
  <si>
    <t>Tadalafila Pomada 30g - Aché</t>
  </si>
  <si>
    <t>Curativos (Band-Aid) Huggies 150ml</t>
  </si>
  <si>
    <t>Cavalcanti Caldeira Ltda.</t>
  </si>
  <si>
    <t>Vacina contra Dengue - Dose Única</t>
  </si>
  <si>
    <t>Protetor Solar Corporal Rexona 150ml</t>
  </si>
  <si>
    <t>Cardoso Teixeira Ltda.</t>
  </si>
  <si>
    <t>Protetor Solar Facial La Roche-Posay FPS 70</t>
  </si>
  <si>
    <t>Macedo</t>
  </si>
  <si>
    <t>Hidroclorotiazida 50mg - 30 Comprimidos - Eurofarma</t>
  </si>
  <si>
    <t>Vacina contra Dermatite - Reforço</t>
  </si>
  <si>
    <t>Sabonete Líquido CeraVe 500ml</t>
  </si>
  <si>
    <t>Vacina contra Epilepsia - Dose Única</t>
  </si>
  <si>
    <t>Nimesulida Suspensão Oral 50ml - Neo Química (Genérico)</t>
  </si>
  <si>
    <t>Paracetamol Pomada 30g - Medley (Genérico)</t>
  </si>
  <si>
    <t>Tadalafila Suspensão Oral 50ml - Bayer</t>
  </si>
  <si>
    <t>Dipirona Sódica Pomada 30g - EMS (Genérico)</t>
  </si>
  <si>
    <t>da Paz Pinto S.A.</t>
  </si>
  <si>
    <t>Tadalafila Xarope 120ml - Aché</t>
  </si>
  <si>
    <t>Água Micelar Sempre Livre 50g</t>
  </si>
  <si>
    <t>Santos</t>
  </si>
  <si>
    <t>Costa</t>
  </si>
  <si>
    <t>Diclofenaco 1g - 10 Comprimidos - Eurofarma</t>
  </si>
  <si>
    <t>Novais</t>
  </si>
  <si>
    <t>Condicionador Hidratação Needs Tamanho M (40 un)</t>
  </si>
  <si>
    <t>Protetor Solar Corporal Bepantol FPS 70</t>
  </si>
  <si>
    <t>Tadalafila 1g - 10 Comprimidos - Aché</t>
  </si>
  <si>
    <t>Loratadina 50mg - 30 Comprimidos - Eurofarma</t>
  </si>
  <si>
    <t>Dipirona Sódica Gotas 20ml - Eurofarma</t>
  </si>
  <si>
    <t>Paracetamol 50mg - 30 Comprimidos - Medley (Genérico)</t>
  </si>
  <si>
    <t>Martins</t>
  </si>
  <si>
    <t>Creme Hidratante Listerine 500ml</t>
  </si>
  <si>
    <t>Metformina 25mg - 30 Comprimidos - Eurofarma</t>
  </si>
  <si>
    <t>Tadalafila 500mg - 20 Comprimidos - Aché</t>
  </si>
  <si>
    <t>Água Micelar Colgate 50g</t>
  </si>
  <si>
    <t>Nogueira S/A</t>
  </si>
  <si>
    <t>Enalapril Gotas 20ml - Medley (Genérico)</t>
  </si>
  <si>
    <t>Omeprazol 50mg - 30 Comprimidos - Bayer</t>
  </si>
  <si>
    <t>Shampoo Anticaspa Mió 400ml</t>
  </si>
  <si>
    <t>Hidroclorotiazida Gotas 20ml - Medley (Genérico)</t>
  </si>
  <si>
    <t>Creme Hidratante Colgate 150ml</t>
  </si>
  <si>
    <t>Almeida e Filhos</t>
  </si>
  <si>
    <t>Pantoprazol Suspensão Oral 50ml - Neo Química (Genérico)</t>
  </si>
  <si>
    <t>Sérum Vitamina C Listerine Tamanho M (40 un)</t>
  </si>
  <si>
    <t>Desodorante Roll-on Nivea FPS 70</t>
  </si>
  <si>
    <t>Hidroclorotiazida Xarope 120ml - Bayer</t>
  </si>
  <si>
    <t>Condicionador Hidratação G-Tech FPS 50</t>
  </si>
  <si>
    <t>Creme Hidratante Bepantol FPS 50</t>
  </si>
  <si>
    <t>Camargo da Rosa S.A.</t>
  </si>
  <si>
    <t>Enalapril Pomada 30g - Eurofarma</t>
  </si>
  <si>
    <t>Amoxicilina Suspensão Oral 50ml - EMS (Genérico)</t>
  </si>
  <si>
    <t>Oliveira S/A</t>
  </si>
  <si>
    <t>Losartana Potássica Pomada 30g - EMS (Genérico)</t>
  </si>
  <si>
    <t>Sertralina Gotas 20ml - Aché</t>
  </si>
  <si>
    <t>Água Micelar G-Tech FPS 70</t>
  </si>
  <si>
    <t>Alves</t>
  </si>
  <si>
    <t>Enalapril 500mg - 20 Comprimidos - Eurofarma</t>
  </si>
  <si>
    <t>Álcool em Gel 70% La Roche-Posay 50g</t>
  </si>
  <si>
    <t>Freitas - ME</t>
  </si>
  <si>
    <t>Desodorante Aerosol G-Tech 150ml</t>
  </si>
  <si>
    <t>Silveira Ltda.</t>
  </si>
  <si>
    <t>Vacina contra Osteoporose - Dose Única</t>
  </si>
  <si>
    <t>Condicionador Hidratação Nivea 90g</t>
  </si>
  <si>
    <t>Omeprazol 500mg - 20 Comprimidos - EMS (Genérico)</t>
  </si>
  <si>
    <t>Azitromicina 500mg - 20 Comprimidos - Neo Química (Genérico)</t>
  </si>
  <si>
    <t>Álcool em Gel 70% Clear 50g</t>
  </si>
  <si>
    <t>Curativos (Band-Aid) Aptamil Tamanho G (32 un)</t>
  </si>
  <si>
    <t>Pantoprazol 500mg - 20 Comprimidos - Medley (Genérico)</t>
  </si>
  <si>
    <t>Tadalafila 25mg - 30 Comprimidos - Neo Química (Genérico)</t>
  </si>
  <si>
    <t>Cefalexina 1g - 10 Comprimidos - Eurofarma</t>
  </si>
  <si>
    <t>Sérum Vitamina C Clear FPS 70</t>
  </si>
  <si>
    <t>Cefalexina Xarope 120ml - Aché</t>
  </si>
  <si>
    <t>Rodrigues</t>
  </si>
  <si>
    <t>Paracetamol Gotas 20ml - Bayer</t>
  </si>
  <si>
    <t>Curativos (Band-Aid) Nivea 150ml</t>
  </si>
  <si>
    <t>Água Micelar Nivea 500ml</t>
  </si>
  <si>
    <t>Paracetamol Suspensão Oral 50ml - Aché</t>
  </si>
  <si>
    <t>Cavalcanti</t>
  </si>
  <si>
    <t>Monteiro Cirino e Filhos</t>
  </si>
  <si>
    <t>Losartana Potássica Suspensão Oral 50ml - Eurofarma</t>
  </si>
  <si>
    <t>Fluoxetina Suspensão Oral 50ml - Medley (Genérico)</t>
  </si>
  <si>
    <t>Vacina contra Câncer de Próstata - Reforço</t>
  </si>
  <si>
    <t>Sildenafila 25mg - 30 Comprimidos - EMS (Genérico)</t>
  </si>
  <si>
    <t>Rezende - EI</t>
  </si>
  <si>
    <t>Termômetro Digital Needs Tamanho M (40 un)</t>
  </si>
  <si>
    <t>Garcia Ltda.</t>
  </si>
  <si>
    <t>Curativos (Band-Aid) Sempre Livre 90g</t>
  </si>
  <si>
    <t>Hastes Flexíveis (Cotonetes) Huggies 150ml</t>
  </si>
  <si>
    <t>Losartana Potássica Pomada 30g - Neo Química (Genérico)</t>
  </si>
  <si>
    <t>Martins Albuquerque S.A.</t>
  </si>
  <si>
    <t>Losartana Potássica 50mg - 30 Comprimidos - EMS (Genérico)</t>
  </si>
  <si>
    <t>Dipirona Sódica Gotas 20ml - EMS (Genérico)</t>
  </si>
  <si>
    <t>Fralda Descartável Clear FPS 50</t>
  </si>
  <si>
    <t>da Cunha Silveira - EI</t>
  </si>
  <si>
    <t>Azitromicina 50mg - 30 Comprimidos - Aché</t>
  </si>
  <si>
    <t>Hidroclorotiazida 500mg - 20 Comprimidos - Bayer</t>
  </si>
  <si>
    <t>Fernandes</t>
  </si>
  <si>
    <t>Amoxicilina Suspensão Oral 50ml - Medley (Genérico)</t>
  </si>
  <si>
    <t>Sertralina Xarope 120ml - EMS (Genérico)</t>
  </si>
  <si>
    <t>Omeprazol Xarope 120ml - Aché</t>
  </si>
  <si>
    <t>Creme Hidratante Listerine 90g</t>
  </si>
  <si>
    <t>Aragão</t>
  </si>
  <si>
    <t>Diclofenaco Suspensão Oral 50ml - Eurofarma</t>
  </si>
  <si>
    <t>Omeprazol 25mg - 30 Comprimidos - Eurofarma</t>
  </si>
  <si>
    <t>Curativos (Band-Aid) La Roche-Posay 400ml</t>
  </si>
  <si>
    <t>valor_total_receita</t>
  </si>
  <si>
    <t>quantidade_vendida_dia</t>
  </si>
  <si>
    <t>nomecliente</t>
  </si>
  <si>
    <t>Daniela Pires</t>
  </si>
  <si>
    <t>Largo Mateus Garcia</t>
  </si>
  <si>
    <t>Ermelinda</t>
  </si>
  <si>
    <t>Ferreira do Amparo</t>
  </si>
  <si>
    <t>AC</t>
  </si>
  <si>
    <t>Ravi Martins</t>
  </si>
  <si>
    <t>Fazenda de Costela</t>
  </si>
  <si>
    <t>Acaiaca</t>
  </si>
  <si>
    <t>Aragão de Goiás</t>
  </si>
  <si>
    <t>GO</t>
  </si>
  <si>
    <t>Dra. Ana Luiza Cavalcante</t>
  </si>
  <si>
    <t>Favela de Campos</t>
  </si>
  <si>
    <t>Suzana</t>
  </si>
  <si>
    <t>Nunes do Sul</t>
  </si>
  <si>
    <t>MA</t>
  </si>
  <si>
    <t>Dante Vasconcelos</t>
  </si>
  <si>
    <t>Favela de Mendes</t>
  </si>
  <si>
    <t>Santa Rosa</t>
  </si>
  <si>
    <t>Lopes dos Dourados</t>
  </si>
  <si>
    <t>PB</t>
  </si>
  <si>
    <t>Maitê Novaes</t>
  </si>
  <si>
    <t>Passarela de Almeida</t>
  </si>
  <si>
    <t>Xodo-Marize</t>
  </si>
  <si>
    <t>Gonçalves do Sul</t>
  </si>
  <si>
    <t>RO</t>
  </si>
  <si>
    <t>Vinícius Dias</t>
  </si>
  <si>
    <t>Estrada Camargo</t>
  </si>
  <si>
    <t>Vila Piratininga</t>
  </si>
  <si>
    <t>Silva de Minas</t>
  </si>
  <si>
    <t>Camila Nunes</t>
  </si>
  <si>
    <t>Área de Duarte</t>
  </si>
  <si>
    <t>Araguaia</t>
  </si>
  <si>
    <t>BA</t>
  </si>
  <si>
    <t>Srta. Maria Luísa Novais</t>
  </si>
  <si>
    <t>Colônia de Azevedo</t>
  </si>
  <si>
    <t>Xangri-Lá</t>
  </si>
  <si>
    <t>Leão</t>
  </si>
  <si>
    <t>RJ</t>
  </si>
  <si>
    <t>Danilo Teixeira</t>
  </si>
  <si>
    <t>Residencial de Macedo</t>
  </si>
  <si>
    <t>São Geraldo</t>
  </si>
  <si>
    <t>Macedo Alegre</t>
  </si>
  <si>
    <t>RR</t>
  </si>
  <si>
    <t>Maria Julia Viana</t>
  </si>
  <si>
    <t>Sítio de Sampaio</t>
  </si>
  <si>
    <t>Dom Silverio</t>
  </si>
  <si>
    <t>SE</t>
  </si>
  <si>
    <t>Danilo Cunha</t>
  </si>
  <si>
    <t>Vale Novais</t>
  </si>
  <si>
    <t>Vila Nova Cachoeirinha 2ª Seção</t>
  </si>
  <si>
    <t>Pires</t>
  </si>
  <si>
    <t>AM</t>
  </si>
  <si>
    <t>Dra. Heloísa Macedo</t>
  </si>
  <si>
    <t>Viaduto Brenda Carvalho</t>
  </si>
  <si>
    <t>Vitoria Da Conquista</t>
  </si>
  <si>
    <t>Pedro Miguel da Costa</t>
  </si>
  <si>
    <t>Trevo Barbosa</t>
  </si>
  <si>
    <t>Vila Dos Anjos</t>
  </si>
  <si>
    <t>Alves de da Conceição</t>
  </si>
  <si>
    <t>Aurora Teixeira</t>
  </si>
  <si>
    <t>Rodovia de Borges</t>
  </si>
  <si>
    <t>Paquetá</t>
  </si>
  <si>
    <t>da Conceição</t>
  </si>
  <si>
    <t>DF</t>
  </si>
  <si>
    <t>Loratadina Pomada 30g - Eurofarma</t>
  </si>
  <si>
    <t>Calebe Rocha</t>
  </si>
  <si>
    <t>Viela Oliver Gomes</t>
  </si>
  <si>
    <t>João Alfredo</t>
  </si>
  <si>
    <t>CE</t>
  </si>
  <si>
    <t>Igor da Mota</t>
  </si>
  <si>
    <t>Viaduto de Pimenta</t>
  </si>
  <si>
    <t>Nova Floresta</t>
  </si>
  <si>
    <t>Farias da Prata</t>
  </si>
  <si>
    <t>RN</t>
  </si>
  <si>
    <t>Luísa da Mata</t>
  </si>
  <si>
    <t>Passarela Vitor Hugo da Cruz</t>
  </si>
  <si>
    <t>Mantiqueira</t>
  </si>
  <si>
    <t>PE</t>
  </si>
  <si>
    <t>Clarice Castro</t>
  </si>
  <si>
    <t>Sítio Câmara</t>
  </si>
  <si>
    <t>Vila Paris</t>
  </si>
  <si>
    <t>Cavalcante da Serra</t>
  </si>
  <si>
    <t>Maria Vitória Rodrigues</t>
  </si>
  <si>
    <t>Feira de Mendonça</t>
  </si>
  <si>
    <t>Ademar Maldonado</t>
  </si>
  <si>
    <t>Souza</t>
  </si>
  <si>
    <t>ES</t>
  </si>
  <si>
    <t>Yasmin Macedo</t>
  </si>
  <si>
    <t>Lagoa Jade da Paz</t>
  </si>
  <si>
    <t>Pindura Saia</t>
  </si>
  <si>
    <t>TO</t>
  </si>
  <si>
    <t>Eloah Leão</t>
  </si>
  <si>
    <t>Área Benjamin Rios</t>
  </si>
  <si>
    <t>Caiçara - Adelaide</t>
  </si>
  <si>
    <t>Nogueira de Rios</t>
  </si>
  <si>
    <t>PR</t>
  </si>
  <si>
    <t>Isabela Oliveira</t>
  </si>
  <si>
    <t>Via Mendes</t>
  </si>
  <si>
    <t>Paulo Vi</t>
  </si>
  <si>
    <t>Albuquerque de Brito</t>
  </si>
  <si>
    <t>Maria Araújo</t>
  </si>
  <si>
    <t>Passarela Borges</t>
  </si>
  <si>
    <t>Piraja</t>
  </si>
  <si>
    <t>Ísis da Costa</t>
  </si>
  <si>
    <t>Favela Liam Câmara</t>
  </si>
  <si>
    <t>Minas Caixa</t>
  </si>
  <si>
    <t>Maya das Neves</t>
  </si>
  <si>
    <t>Jardim de Oliveira</t>
  </si>
  <si>
    <t>Vila Atila De Paiva</t>
  </si>
  <si>
    <t>Vasconcelos do Campo</t>
  </si>
  <si>
    <t>MG</t>
  </si>
  <si>
    <t>Carlos Eduardo Mendonça</t>
  </si>
  <si>
    <t>Praça de Peixoto</t>
  </si>
  <si>
    <t>Belmonte</t>
  </si>
  <si>
    <t>Siqueira do Campo</t>
  </si>
  <si>
    <t>Olivia Câmara</t>
  </si>
  <si>
    <t>Viaduto de Pires</t>
  </si>
  <si>
    <t>Vila São Rafael</t>
  </si>
  <si>
    <t>Duarte</t>
  </si>
  <si>
    <t>Bento Campos</t>
  </si>
  <si>
    <t>Largo Freitas</t>
  </si>
  <si>
    <t>Vila Calafate</t>
  </si>
  <si>
    <t>Alexia Cavalcante</t>
  </si>
  <si>
    <t>Distrito Viana</t>
  </si>
  <si>
    <t>Vila Santa Rosa</t>
  </si>
  <si>
    <t>Barbosa</t>
  </si>
  <si>
    <t>Mateus Nunes</t>
  </si>
  <si>
    <t>Sítio de Machado</t>
  </si>
  <si>
    <t>Petropolis</t>
  </si>
  <si>
    <t>Cauê Fonseca</t>
  </si>
  <si>
    <t>Parque Sales</t>
  </si>
  <si>
    <t>Carlos Prates</t>
  </si>
  <si>
    <t>Stephany Vargas</t>
  </si>
  <si>
    <t>Jardim Manuella Andrade</t>
  </si>
  <si>
    <t>Tupi B</t>
  </si>
  <si>
    <t>Ramos</t>
  </si>
  <si>
    <t>Joaquim Pereira</t>
  </si>
  <si>
    <t>Vila Helena Alves</t>
  </si>
  <si>
    <t>Jatobá</t>
  </si>
  <si>
    <t>Andrade Alegre</t>
  </si>
  <si>
    <t>Murilo da Cunha</t>
  </si>
  <si>
    <t>Colônia Heloísa Siqueira</t>
  </si>
  <si>
    <t>Dra. Rebeca Melo</t>
  </si>
  <si>
    <t>Esplanada Ayla Carvalho</t>
  </si>
  <si>
    <t>Vila Boa Vista</t>
  </si>
  <si>
    <t>Maria Clara Cirino</t>
  </si>
  <si>
    <t>Esplanada de Cavalcanti</t>
  </si>
  <si>
    <t>Vila Satélite</t>
  </si>
  <si>
    <t>MT</t>
  </si>
  <si>
    <t>Liz Moraes</t>
  </si>
  <si>
    <t>Vale Yago Andrade</t>
  </si>
  <si>
    <t>Vila Mangueiras</t>
  </si>
  <si>
    <t>SP</t>
  </si>
  <si>
    <t>Davi Nunes</t>
  </si>
  <si>
    <t>Rua Gabrielly das Neves</t>
  </si>
  <si>
    <t>Boa Esperança</t>
  </si>
  <si>
    <t>Srta. Stella Araújo</t>
  </si>
  <si>
    <t>Quadra de Sampaio</t>
  </si>
  <si>
    <t>Santa Amelia</t>
  </si>
  <si>
    <t>Pacheco</t>
  </si>
  <si>
    <t>Pedro Henrique Aragão</t>
  </si>
  <si>
    <t>Recanto Aurora Oliveira</t>
  </si>
  <si>
    <t>Vila Nova Dos Milionarios</t>
  </si>
  <si>
    <t>Mendes das Flores</t>
  </si>
  <si>
    <t>AL</t>
  </si>
  <si>
    <t>Mariah Jesus</t>
  </si>
  <si>
    <t>Área Vicente Melo</t>
  </si>
  <si>
    <t>Vila Santo Antônio Barroquinha</t>
  </si>
  <si>
    <t>Henry Gabriel Vieira</t>
  </si>
  <si>
    <t>Largo Thiago Ramos</t>
  </si>
  <si>
    <t>Vila Antena</t>
  </si>
  <si>
    <t>Cardoso</t>
  </si>
  <si>
    <t>Théo Camargo</t>
  </si>
  <si>
    <t>Rodovia Ferreira</t>
  </si>
  <si>
    <t>Serra Verde</t>
  </si>
  <si>
    <t>Barros de Fernandes</t>
  </si>
  <si>
    <t>Rodrigo da Rocha</t>
  </si>
  <si>
    <t>Viela Aylla Vieira</t>
  </si>
  <si>
    <t>Cdi Jatoba</t>
  </si>
  <si>
    <t>Anthony Gabriel Camargo</t>
  </si>
  <si>
    <t>Conjunto de Aparecida</t>
  </si>
  <si>
    <t>Palmeiras</t>
  </si>
  <si>
    <t>Lucca Moura</t>
  </si>
  <si>
    <t>Rua de Dias</t>
  </si>
  <si>
    <t>Nossa Senhora Do Rosário</t>
  </si>
  <si>
    <t>Jesus</t>
  </si>
  <si>
    <t>Srta. Elisa Almeida</t>
  </si>
  <si>
    <t>Parque Nina Costa</t>
  </si>
  <si>
    <t>Silveira</t>
  </si>
  <si>
    <t>João Miguel Cunha</t>
  </si>
  <si>
    <t>Morro de Fernandes</t>
  </si>
  <si>
    <t>Conjunto Novo Dom Bosco</t>
  </si>
  <si>
    <t>Carlos Eduardo Ribeiro</t>
  </si>
  <si>
    <t>Rodovia Santos</t>
  </si>
  <si>
    <t>Boa Viagem</t>
  </si>
  <si>
    <t>Sr. Davi Novaes</t>
  </si>
  <si>
    <t>Feira de Alves</t>
  </si>
  <si>
    <t>Barão Homem De Melo 1ª Seção</t>
  </si>
  <si>
    <t>Montenegro</t>
  </si>
  <si>
    <t>SC</t>
  </si>
  <si>
    <t>Isabelly Santos</t>
  </si>
  <si>
    <t>Travessa Yago Porto</t>
  </si>
  <si>
    <t>Betânia</t>
  </si>
  <si>
    <t>Júlia Viana</t>
  </si>
  <si>
    <t>Passarela Sabrina Câmara</t>
  </si>
  <si>
    <t>São Sebastião</t>
  </si>
  <si>
    <t>Théo Pastor</t>
  </si>
  <si>
    <t>Recanto de Silveira</t>
  </si>
  <si>
    <t>Nova Esperança</t>
  </si>
  <si>
    <t>Nogueira</t>
  </si>
  <si>
    <t>PA</t>
  </si>
  <si>
    <t>Maria Helena Sales</t>
  </si>
  <si>
    <t>Fazenda Lívia Melo</t>
  </si>
  <si>
    <t>Morro Dos Macacos</t>
  </si>
  <si>
    <t>Rafaela Fernandes</t>
  </si>
  <si>
    <t>Condomínio Maria Sophia Moura</t>
  </si>
  <si>
    <t>Conjunto Lagoa</t>
  </si>
  <si>
    <t>Rezende</t>
  </si>
  <si>
    <t>Maria Julia da Costa</t>
  </si>
  <si>
    <t>Área Pires</t>
  </si>
  <si>
    <t>São Marcos</t>
  </si>
  <si>
    <t>Rocha</t>
  </si>
  <si>
    <t>RS</t>
  </si>
  <si>
    <t>Maitê Montenegro</t>
  </si>
  <si>
    <t>Residencial Fogaça</t>
  </si>
  <si>
    <t>Vila Copacabana</t>
  </si>
  <si>
    <t>Cassiano Verde</t>
  </si>
  <si>
    <t>Oliver Correia</t>
  </si>
  <si>
    <t>Viaduto Antonella Rocha</t>
  </si>
  <si>
    <t>Varzea Da Palma</t>
  </si>
  <si>
    <t>Isaque Farias</t>
  </si>
  <si>
    <t>Morro de Camargo</t>
  </si>
  <si>
    <t>Providencia</t>
  </si>
  <si>
    <t>Gael Peixoto</t>
  </si>
  <si>
    <t>Via de Silveira</t>
  </si>
  <si>
    <t>Urca</t>
  </si>
  <si>
    <t>Almeida das Pedras</t>
  </si>
  <si>
    <t>PI</t>
  </si>
  <si>
    <t>Dr. Murilo Casa Grande</t>
  </si>
  <si>
    <t>Vale Igor Dias</t>
  </si>
  <si>
    <t>São Gonçalo</t>
  </si>
  <si>
    <t>Barbosa dos Dourados</t>
  </si>
  <si>
    <t>Mariana Casa Grande</t>
  </si>
  <si>
    <t>Campo de Mendes</t>
  </si>
  <si>
    <t>Dona Clara</t>
  </si>
  <si>
    <t>Cecilia Souza</t>
  </si>
  <si>
    <t>Esplanada Yan Aparecida</t>
  </si>
  <si>
    <t>Brasil Industrial</t>
  </si>
  <si>
    <t>Dr. Francisco Lopes</t>
  </si>
  <si>
    <t>Praia de Costela</t>
  </si>
  <si>
    <t>Mariquinhas</t>
  </si>
  <si>
    <t>Macedo de Costa</t>
  </si>
  <si>
    <t>Gustavo Henrique Campos</t>
  </si>
  <si>
    <t>Avenida Cecilia Garcia</t>
  </si>
  <si>
    <t>Alto Caiçaras</t>
  </si>
  <si>
    <t>Emilly Monteiro</t>
  </si>
  <si>
    <t>Rua Camargo</t>
  </si>
  <si>
    <t>Campo Alegre</t>
  </si>
  <si>
    <t>Brito</t>
  </si>
  <si>
    <t>MS</t>
  </si>
  <si>
    <t>Joana da Conceição</t>
  </si>
  <si>
    <t>Estrada de Ribeiro</t>
  </si>
  <si>
    <t>Vila São Paulo</t>
  </si>
  <si>
    <t>Martins de Gonçalves</t>
  </si>
  <si>
    <t>Bella Correia</t>
  </si>
  <si>
    <t>Morro Leão</t>
  </si>
  <si>
    <t>Jonas Veiga</t>
  </si>
  <si>
    <t>Dom Costa</t>
  </si>
  <si>
    <t>Loteamento Josué Oliveira</t>
  </si>
  <si>
    <t>Ambrosina</t>
  </si>
  <si>
    <t>Sr. Leonardo Leão</t>
  </si>
  <si>
    <t>Área Cavalcante</t>
  </si>
  <si>
    <t>Calafate</t>
  </si>
  <si>
    <t>da Mota de Oliveira</t>
  </si>
  <si>
    <t>Srta. Ana Sophia Albuquerque</t>
  </si>
  <si>
    <t>Viela de Vasconcelos</t>
  </si>
  <si>
    <t>Nossa Senhora Da Conceição</t>
  </si>
  <si>
    <t>Dr. Gael Henrique Montenegro</t>
  </si>
  <si>
    <t>Via Gomes</t>
  </si>
  <si>
    <t>Sr. Thales Câmara</t>
  </si>
  <si>
    <t>Núcleo Asafe Dias</t>
  </si>
  <si>
    <t>Santa Rita</t>
  </si>
  <si>
    <t>Cavalcanti de Correia</t>
  </si>
  <si>
    <t>Dra. Maria Vargas</t>
  </si>
  <si>
    <t>Ladeira de Ramos</t>
  </si>
  <si>
    <t>Dr. Antony Cavalcanti</t>
  </si>
  <si>
    <t>Sítio Lorena Fernandes</t>
  </si>
  <si>
    <t>Vila Da Luz</t>
  </si>
  <si>
    <t>da Mata dos Dourados</t>
  </si>
  <si>
    <t>Dra. Bruna Cirino</t>
  </si>
  <si>
    <t>Viaduto de Cassiano</t>
  </si>
  <si>
    <t>Baleia</t>
  </si>
  <si>
    <t>Ana Cecília Gonçalves</t>
  </si>
  <si>
    <t>Aeroporto Marcela Correia</t>
  </si>
  <si>
    <t>Céu Azul</t>
  </si>
  <si>
    <t>Costela do Oeste</t>
  </si>
  <si>
    <t>Maitê Souza</t>
  </si>
  <si>
    <t>Aeroporto de Sá</t>
  </si>
  <si>
    <t>Barão Homem De Melo 2ª Seção</t>
  </si>
  <si>
    <t>Eduardo Costela</t>
  </si>
  <si>
    <t>Lago de Albuquerque</t>
  </si>
  <si>
    <t>Trevo</t>
  </si>
  <si>
    <t>Vinicius da Conceição</t>
  </si>
  <si>
    <t>Largo de Duarte</t>
  </si>
  <si>
    <t>Apollo Lima</t>
  </si>
  <si>
    <t>Loteamento Correia</t>
  </si>
  <si>
    <t>Boa União 2ª Seção</t>
  </si>
  <si>
    <t>Isaac Marques</t>
  </si>
  <si>
    <t>Trecho Silva</t>
  </si>
  <si>
    <t>Bom Jesus</t>
  </si>
  <si>
    <t>Sampaio da Serra</t>
  </si>
  <si>
    <t>Nina Nunes</t>
  </si>
  <si>
    <t>Trecho Brito</t>
  </si>
  <si>
    <t>Inconfidência</t>
  </si>
  <si>
    <t>Isaque Cunha</t>
  </si>
  <si>
    <t>Estrada de Sales</t>
  </si>
  <si>
    <t>Cachoeirinha</t>
  </si>
  <si>
    <t>Sousa</t>
  </si>
  <si>
    <t>Sra. Eloá Sousa</t>
  </si>
  <si>
    <t>Lago de da Rosa</t>
  </si>
  <si>
    <t>Vila Pinho</t>
  </si>
  <si>
    <t>Enzo Pereira</t>
  </si>
  <si>
    <t>Rodovia Rocha</t>
  </si>
  <si>
    <t>Albuquerque</t>
  </si>
  <si>
    <t>Ester Alves</t>
  </si>
  <si>
    <t>Alameda Ana Laura da Cunha</t>
  </si>
  <si>
    <t>Vila Minaslandia</t>
  </si>
  <si>
    <t>Albuquerque das Flores</t>
  </si>
  <si>
    <t>Breno Mendonça</t>
  </si>
  <si>
    <t>Esplanada Albuquerque</t>
  </si>
  <si>
    <t>Tres Marias</t>
  </si>
  <si>
    <t>Gael Pacheco</t>
  </si>
  <si>
    <t>Pátio Enrico Almeida</t>
  </si>
  <si>
    <t>Vila Nova Gameleira 2ª Seção</t>
  </si>
  <si>
    <t>Azevedo de Minas</t>
  </si>
  <si>
    <t>Sra. Maria da Rosa</t>
  </si>
  <si>
    <t>Vila Bella Cassiano</t>
  </si>
  <si>
    <t>Canaa</t>
  </si>
  <si>
    <t>Amoxicilina Suspensão Oral 50ml - Neo Química (Genérico)</t>
  </si>
  <si>
    <t>Luan Moreira</t>
  </si>
  <si>
    <t>Vereda de Pereira</t>
  </si>
  <si>
    <t>Conjunto Serra Verde</t>
  </si>
  <si>
    <t>Mariana Almeida</t>
  </si>
  <si>
    <t>Trecho de Fernandes</t>
  </si>
  <si>
    <t>Concórdia</t>
  </si>
  <si>
    <t>Sampaio das Flores</t>
  </si>
  <si>
    <t>Benicio da Mota</t>
  </si>
  <si>
    <t>Condomínio Vicente Aragão</t>
  </si>
  <si>
    <t>Fogaça do Amparo</t>
  </si>
  <si>
    <t>Maria Luiza das Neves</t>
  </si>
  <si>
    <t>Ladeira de Rocha</t>
  </si>
  <si>
    <t>Diamante</t>
  </si>
  <si>
    <t>Emanuel Aragão</t>
  </si>
  <si>
    <t>Rodovia Jesus</t>
  </si>
  <si>
    <t>Goiania</t>
  </si>
  <si>
    <t>Henrique Monteiro</t>
  </si>
  <si>
    <t>Passarela Barros</t>
  </si>
  <si>
    <t>Maitê da Paz</t>
  </si>
  <si>
    <t>Jardim Santos</t>
  </si>
  <si>
    <t>São Francisco Das Chagas</t>
  </si>
  <si>
    <t>Ana Carolina Rios</t>
  </si>
  <si>
    <t>Vila Vieira</t>
  </si>
  <si>
    <t>Saudade</t>
  </si>
  <si>
    <t>Vieira de Minas</t>
  </si>
  <si>
    <t>Maria Alice Albuquerque</t>
  </si>
  <si>
    <t>Chácara da Costa</t>
  </si>
  <si>
    <t>Jardim Atlântico</t>
  </si>
  <si>
    <t>da Rocha</t>
  </si>
  <si>
    <t>Ana Jesus</t>
  </si>
  <si>
    <t>Vale de Cunha</t>
  </si>
  <si>
    <t>Leonina</t>
  </si>
  <si>
    <t>Yan Garcia</t>
  </si>
  <si>
    <t>Passarela José Miguel Pinto</t>
  </si>
  <si>
    <t>Nova Granada</t>
  </si>
  <si>
    <t>da Paz de Sampaio</t>
  </si>
  <si>
    <t>Matheus Cassiano</t>
  </si>
  <si>
    <t>Viela Ravy Moreira</t>
  </si>
  <si>
    <t>Etelvina Carneiro</t>
  </si>
  <si>
    <t>Leonardo Freitas</t>
  </si>
  <si>
    <t>Trevo Noah Monteiro</t>
  </si>
  <si>
    <t>Conjunto Paulo Vi</t>
  </si>
  <si>
    <t>João Felipe Mendes</t>
  </si>
  <si>
    <t>Feira Rodrigues</t>
  </si>
  <si>
    <t>Novo Santa Cecilia</t>
  </si>
  <si>
    <t>Vasconcelos de Minas</t>
  </si>
  <si>
    <t>Luiz Felipe Gonçalves</t>
  </si>
  <si>
    <t>Lago de das Neves</t>
  </si>
  <si>
    <t>Helena Barbosa</t>
  </si>
  <si>
    <t>Lago Sousa</t>
  </si>
  <si>
    <t>Mariano De Abreu</t>
  </si>
  <si>
    <t>Rafaela Moura</t>
  </si>
  <si>
    <t>Estação Thiago Sampaio</t>
  </si>
  <si>
    <t>Santo Agostinho</t>
  </si>
  <si>
    <t>Ferreira de Ferreira</t>
  </si>
  <si>
    <t>Felipe Pinto</t>
  </si>
  <si>
    <t>Sítio Correia</t>
  </si>
  <si>
    <t>Vila Nova Paraíso</t>
  </si>
  <si>
    <t>Sr. Diego Rezende</t>
  </si>
  <si>
    <t>Vila Juan da Cruz</t>
  </si>
  <si>
    <t>Corumbiara</t>
  </si>
  <si>
    <t>Sr. Fernando Mendonça</t>
  </si>
  <si>
    <t>Núcleo Pastor</t>
  </si>
  <si>
    <t>Eymard</t>
  </si>
  <si>
    <t>Caroline Pacheco</t>
  </si>
  <si>
    <t>Pátio Rafael Fonseca</t>
  </si>
  <si>
    <t>Vila Betânia</t>
  </si>
  <si>
    <t>Calebe Moreira</t>
  </si>
  <si>
    <t>Morro de da Cruz</t>
  </si>
  <si>
    <t>Vila Jardim Montanhes</t>
  </si>
  <si>
    <t>Marcela Novais</t>
  </si>
  <si>
    <t>Rua Dante Fogaça</t>
  </si>
  <si>
    <t>Lagoinha</t>
  </si>
  <si>
    <t>da Costa</t>
  </si>
  <si>
    <t>Sra. Ísis Pacheco</t>
  </si>
  <si>
    <t>Viela Ágatha Pires</t>
  </si>
  <si>
    <t>Distrito Industrial Do Jatoba</t>
  </si>
  <si>
    <t>Antônio Garcia</t>
  </si>
  <si>
    <t>Rodovia de da Conceição</t>
  </si>
  <si>
    <t>Nova Suíça</t>
  </si>
  <si>
    <t>Mathias Silveira</t>
  </si>
  <si>
    <t>Recanto da Paz</t>
  </si>
  <si>
    <t>Beija Flor</t>
  </si>
  <si>
    <t>Vicente Jesus</t>
  </si>
  <si>
    <t>Lago Théo Azevedo</t>
  </si>
  <si>
    <t>Correia Grande</t>
  </si>
  <si>
    <t>Laís Borges</t>
  </si>
  <si>
    <t>Vale Rodrigo Campos</t>
  </si>
  <si>
    <t>Nova America</t>
  </si>
  <si>
    <t>Martins do Amparo</t>
  </si>
  <si>
    <t>Ana Clara Moura</t>
  </si>
  <si>
    <t>Lagoa de Albuquerque</t>
  </si>
  <si>
    <t>Natália da Cruz</t>
  </si>
  <si>
    <t>Recanto de Freitas</t>
  </si>
  <si>
    <t>José Viana</t>
  </si>
  <si>
    <t>Lago Sales</t>
  </si>
  <si>
    <t>Vila Rica</t>
  </si>
  <si>
    <t>Lavínia Sousa</t>
  </si>
  <si>
    <t>Praia Cavalcanti</t>
  </si>
  <si>
    <t>Cruzeiro</t>
  </si>
  <si>
    <t>Enalapril Suspensão Oral 50ml - Aché</t>
  </si>
  <si>
    <t>Clara Albuquerque</t>
  </si>
  <si>
    <t>Via de da Cruz</t>
  </si>
  <si>
    <t>Sr. Dante da Mota</t>
  </si>
  <si>
    <t>Núcleo João Miguel Casa Grande</t>
  </si>
  <si>
    <t>Palmares</t>
  </si>
  <si>
    <t>Casa Grande do Oeste</t>
  </si>
  <si>
    <t>Yago Fonseca</t>
  </si>
  <si>
    <t>Ladeira Oliveira</t>
  </si>
  <si>
    <t>Santa Terezinha</t>
  </si>
  <si>
    <t>Maria Julia Cavalcante</t>
  </si>
  <si>
    <t>Lago Dom da Cruz</t>
  </si>
  <si>
    <t>Vila Nova</t>
  </si>
  <si>
    <t>Mathias Costa</t>
  </si>
  <si>
    <t>Área Ana Abreu</t>
  </si>
  <si>
    <t>Álvaro Camargos</t>
  </si>
  <si>
    <t>da Paz das Flores</t>
  </si>
  <si>
    <t>Otávio Duarte</t>
  </si>
  <si>
    <t>Ladeira Abreu</t>
  </si>
  <si>
    <t>Santo Antônio</t>
  </si>
  <si>
    <t>Dom Oliveira</t>
  </si>
  <si>
    <t>Praça Amanda Pastor</t>
  </si>
  <si>
    <t>Monsenhor Messias</t>
  </si>
  <si>
    <t>da Luz de Ramos</t>
  </si>
  <si>
    <t>Dr. Juan Barros</t>
  </si>
  <si>
    <t>Sítio de Andrade</t>
  </si>
  <si>
    <t>Siqueira do Amparo</t>
  </si>
  <si>
    <t>Srta. Manuella Souza</t>
  </si>
  <si>
    <t>Viela Maria Luiza Garcia</t>
  </si>
  <si>
    <t>Mangabeiras</t>
  </si>
  <si>
    <t>Fogaça Alegre</t>
  </si>
  <si>
    <t>João Miguel Pereira</t>
  </si>
  <si>
    <t>Feira de Ramos</t>
  </si>
  <si>
    <t>Oeste</t>
  </si>
  <si>
    <t>Vacina contra Insônia - Reforço</t>
  </si>
  <si>
    <t>Maria Abreu</t>
  </si>
  <si>
    <t>Vila Luiz Miguel Aparecida</t>
  </si>
  <si>
    <t>Horto</t>
  </si>
  <si>
    <t>Olívia Moraes</t>
  </si>
  <si>
    <t>Lago de Ferreira</t>
  </si>
  <si>
    <t>Kevin Guerra</t>
  </si>
  <si>
    <t>Recanto Julia Pinto</t>
  </si>
  <si>
    <t>São Bernardo</t>
  </si>
  <si>
    <t>Hellena da Mata</t>
  </si>
  <si>
    <t>Lagoa Agatha Machado</t>
  </si>
  <si>
    <t>Funcionários</t>
  </si>
  <si>
    <t>Fernanda Cavalcanti</t>
  </si>
  <si>
    <t>Chácara Sampaio</t>
  </si>
  <si>
    <t>Vila Maria</t>
  </si>
  <si>
    <t>Peixoto de Machado</t>
  </si>
  <si>
    <t>Pedro Henrique Fonseca</t>
  </si>
  <si>
    <t>Praia Melo</t>
  </si>
  <si>
    <t>Vila Jardim São José</t>
  </si>
  <si>
    <t>Guerra de Minas</t>
  </si>
  <si>
    <t>Gael Albuquerque</t>
  </si>
  <si>
    <t>Chácara Ana Carolina Ribeiro</t>
  </si>
  <si>
    <t>Câmara de Casa Grande</t>
  </si>
  <si>
    <t>Luana Dias</t>
  </si>
  <si>
    <t>Campo Daniela Caldeira</t>
  </si>
  <si>
    <t>Vila Aeroporto</t>
  </si>
  <si>
    <t>Vitor Hugo Azevedo</t>
  </si>
  <si>
    <t>Recanto Agatha Freitas</t>
  </si>
  <si>
    <t>Custodinha</t>
  </si>
  <si>
    <t>Rocha das Pedras</t>
  </si>
  <si>
    <t>AP</t>
  </si>
  <si>
    <t>Mariane Marques</t>
  </si>
  <si>
    <t>Colônia Maria Alice Cassiano</t>
  </si>
  <si>
    <t>Omeprazol 500mg - 20 Comprimidos - Eurofarma</t>
  </si>
  <si>
    <t>Eduardo Mendes</t>
  </si>
  <si>
    <t>Feira de Teixeira</t>
  </si>
  <si>
    <t>Estoril</t>
  </si>
  <si>
    <t>Peixoto das Flores</t>
  </si>
  <si>
    <t>Ana Liz Casa Grande</t>
  </si>
  <si>
    <t>Lago Brenda Farias</t>
  </si>
  <si>
    <t>Gonçalves das Pedras</t>
  </si>
  <si>
    <t>Kaique Silva</t>
  </si>
  <si>
    <t>Parque Borges</t>
  </si>
  <si>
    <t>Vila São Geraldo</t>
  </si>
  <si>
    <t>Dra. Aurora Cunha</t>
  </si>
  <si>
    <t>Feira Manuela Azevedo</t>
  </si>
  <si>
    <t>Bandeirantes</t>
  </si>
  <si>
    <t>Apollo Pastor</t>
  </si>
  <si>
    <t>Setor de da Mata</t>
  </si>
  <si>
    <t>Cenaculo</t>
  </si>
  <si>
    <t>Dra. Laís Andrade</t>
  </si>
  <si>
    <t>Praça Maria Alice Aparecida</t>
  </si>
  <si>
    <t>Sra. Isabella Monteiro</t>
  </si>
  <si>
    <t>Praia Vitor Gabriel Nogueira</t>
  </si>
  <si>
    <t>Vila Sumaré</t>
  </si>
  <si>
    <t>Dra. Ana Lívia Novais</t>
  </si>
  <si>
    <t>Distrito Lima</t>
  </si>
  <si>
    <t>Taquaril</t>
  </si>
  <si>
    <t>Letícia Fernandes</t>
  </si>
  <si>
    <t>Trecho Rael Mendes</t>
  </si>
  <si>
    <t>Dr. Mathias Araújo</t>
  </si>
  <si>
    <t>Morro de Novaes</t>
  </si>
  <si>
    <t>Cabana Do Pai Tomás</t>
  </si>
  <si>
    <t>da Costa de Melo</t>
  </si>
  <si>
    <t>Oliver Jesus</t>
  </si>
  <si>
    <t>Lago Melo</t>
  </si>
  <si>
    <t>Rio Branco</t>
  </si>
  <si>
    <t>Léo da Rosa</t>
  </si>
  <si>
    <t>Rodovia Leandro da Mata</t>
  </si>
  <si>
    <t>Primeiro De Maio</t>
  </si>
  <si>
    <t>Breno Camargo</t>
  </si>
  <si>
    <t>Campo Sarah das Neves</t>
  </si>
  <si>
    <t>Luiz Gustavo Gonçalves</t>
  </si>
  <si>
    <t>Aeroporto Nogueira</t>
  </si>
  <si>
    <t>Chácara Leonina</t>
  </si>
  <si>
    <t>Almeida Grande</t>
  </si>
  <si>
    <t>Juliana Barbosa</t>
  </si>
  <si>
    <t>Vila de Casa Grande</t>
  </si>
  <si>
    <t>Vila Vista Alegre</t>
  </si>
  <si>
    <t>Dr. Enzo Gabriel Mendes</t>
  </si>
  <si>
    <t>Residencial de Pinto</t>
  </si>
  <si>
    <t>Ipiranga</t>
  </si>
  <si>
    <t>Daniel Vargas</t>
  </si>
  <si>
    <t>Colônia de Peixoto</t>
  </si>
  <si>
    <t>Outro</t>
  </si>
  <si>
    <t>Cavalcante</t>
  </si>
  <si>
    <t>Benjamim Pastor</t>
  </si>
  <si>
    <t>Vale da Rocha</t>
  </si>
  <si>
    <t>Bacurau</t>
  </si>
  <si>
    <t>da Luz</t>
  </si>
  <si>
    <t>Paulo Novais</t>
  </si>
  <si>
    <t>Praia Leão</t>
  </si>
  <si>
    <t>Sr. Vitor Hugo Costa</t>
  </si>
  <si>
    <t>Ladeira de Garcia</t>
  </si>
  <si>
    <t>Vila Santa Monica 1ª Seção</t>
  </si>
  <si>
    <t>Maria Julia Dias</t>
  </si>
  <si>
    <t>Campo Vasconcelos</t>
  </si>
  <si>
    <t>Fluoxetina 500mg - 20 Comprimidos - Medley (Genérico)</t>
  </si>
  <si>
    <t>Luiz Miguel Ribeiro</t>
  </si>
  <si>
    <t>Lago Cardoso</t>
  </si>
  <si>
    <t>Conjunto Taquaril</t>
  </si>
  <si>
    <t>Moraes</t>
  </si>
  <si>
    <t>João Lima</t>
  </si>
  <si>
    <t>Loteamento de Santos</t>
  </si>
  <si>
    <t>Milionario</t>
  </si>
  <si>
    <t>Ana Vitória Pinto</t>
  </si>
  <si>
    <t>Rua Sampaio</t>
  </si>
  <si>
    <t>São Vicente</t>
  </si>
  <si>
    <t>Eduarda Viana</t>
  </si>
  <si>
    <t>Monte São José</t>
  </si>
  <si>
    <t>Gomes</t>
  </si>
  <si>
    <t>Maria Isis Castro</t>
  </si>
  <si>
    <t>Rua Oliveira</t>
  </si>
  <si>
    <t>Vila Coqueiral</t>
  </si>
  <si>
    <t>João Guilherme Fernandes</t>
  </si>
  <si>
    <t>Lagoa de Campos</t>
  </si>
  <si>
    <t>Sabrina Fonseca</t>
  </si>
  <si>
    <t>Largo Ana Carolina Albuquerque</t>
  </si>
  <si>
    <t>Conjunto Santa Maria</t>
  </si>
  <si>
    <t>Sr. Marcelo Sales</t>
  </si>
  <si>
    <t>Aeroporto Rodrigues</t>
  </si>
  <si>
    <t>Fazendinha</t>
  </si>
  <si>
    <t>Rios do Oeste</t>
  </si>
  <si>
    <t>Dr. Bruno Gomes</t>
  </si>
  <si>
    <t>Ladeira Vieira</t>
  </si>
  <si>
    <t>da Paz das Pedras</t>
  </si>
  <si>
    <t>Cauê da Luz</t>
  </si>
  <si>
    <t>Trevo Rios</t>
  </si>
  <si>
    <t>Tupi A</t>
  </si>
  <si>
    <t>Francisco Pinto</t>
  </si>
  <si>
    <t>Morro João Miguel Andrade</t>
  </si>
  <si>
    <t>São Luiz</t>
  </si>
  <si>
    <t>Amoxicilina Gotas 20ml - Aché</t>
  </si>
  <si>
    <t>Mariah Costela</t>
  </si>
  <si>
    <t>Residencial Dante Monteiro</t>
  </si>
  <si>
    <t>Juan Mendes</t>
  </si>
  <si>
    <t>Rua de Freitas</t>
  </si>
  <si>
    <t>Sra. Eduarda Leão</t>
  </si>
  <si>
    <t>Lago de Martins</t>
  </si>
  <si>
    <t>Sr. Francisco Teixeira</t>
  </si>
  <si>
    <t>Feira Sales</t>
  </si>
  <si>
    <t>Santa Monica</t>
  </si>
  <si>
    <t>Câmara do Galho</t>
  </si>
  <si>
    <t>Dr. Gael Marques</t>
  </si>
  <si>
    <t>Conjunto Julia Ferreira</t>
  </si>
  <si>
    <t>Alves do Oeste</t>
  </si>
  <si>
    <t>Luiz Miguel Caldeira</t>
  </si>
  <si>
    <t>Setor da Paz</t>
  </si>
  <si>
    <t>Vila Do Pombal</t>
  </si>
  <si>
    <t>Vinicius Cirino</t>
  </si>
  <si>
    <t>Lago Carvalho</t>
  </si>
  <si>
    <t>Mariah Nunes</t>
  </si>
  <si>
    <t>Condomínio Rezende</t>
  </si>
  <si>
    <t>Grotinha</t>
  </si>
  <si>
    <t>Araújo da Prata</t>
  </si>
  <si>
    <t>Henry Gabriel da Rosa</t>
  </si>
  <si>
    <t>Lagoa Caldeira</t>
  </si>
  <si>
    <t>Zilah Sposito</t>
  </si>
  <si>
    <t>Dra. Lara Caldeira</t>
  </si>
  <si>
    <t>Feira Freitas</t>
  </si>
  <si>
    <t>Vila Barragem Santa Lúcia</t>
  </si>
  <si>
    <t>Anthony Gabriel Siqueira</t>
  </si>
  <si>
    <t>Trecho Cirino</t>
  </si>
  <si>
    <t>Vila São Gabriel</t>
  </si>
  <si>
    <t>Fernando Pereira</t>
  </si>
  <si>
    <t>Setor Santos</t>
  </si>
  <si>
    <t>Novo São Lucas</t>
  </si>
  <si>
    <t>Vargas</t>
  </si>
  <si>
    <t>Ana Beatriz da Luz</t>
  </si>
  <si>
    <t>Sítio de Nogueira</t>
  </si>
  <si>
    <t>Granja De Freitas</t>
  </si>
  <si>
    <t>Alexandre Brito</t>
  </si>
  <si>
    <t>Distrito de Fogaça</t>
  </si>
  <si>
    <t>Renascença</t>
  </si>
  <si>
    <t>Maya Cirino</t>
  </si>
  <si>
    <t>Avenida de Fogaça</t>
  </si>
  <si>
    <t>Natália Barbosa</t>
  </si>
  <si>
    <t>Trecho Vargas</t>
  </si>
  <si>
    <t>Brito da Mata</t>
  </si>
  <si>
    <t>Anna Liz Cassiano</t>
  </si>
  <si>
    <t>Lagoa de Jesus</t>
  </si>
  <si>
    <t>Casa Branca</t>
  </si>
  <si>
    <t>Dra. Raquel Fernandes</t>
  </si>
  <si>
    <t>Quadra Nina Cirino</t>
  </si>
  <si>
    <t>Aragão do Galho</t>
  </si>
  <si>
    <t>Otávio Ribeiro</t>
  </si>
  <si>
    <t>Fazenda de Silveira</t>
  </si>
  <si>
    <t>Vila Da Paz</t>
  </si>
  <si>
    <t>Cauã da Mota</t>
  </si>
  <si>
    <t>Área Caleb Borges</t>
  </si>
  <si>
    <t>Dr. Vinícius Moura</t>
  </si>
  <si>
    <t>Vila de Sá</t>
  </si>
  <si>
    <t>Vila Havaí</t>
  </si>
  <si>
    <t>da Mota do Campo</t>
  </si>
  <si>
    <t>Valentim Siqueira</t>
  </si>
  <si>
    <t>Fazenda Freitas</t>
  </si>
  <si>
    <t>Eloah Almeida</t>
  </si>
  <si>
    <t>Viaduto Luiz Fernando Pastor</t>
  </si>
  <si>
    <t>Oliveira Verde</t>
  </si>
  <si>
    <t>Heloisa Mendes</t>
  </si>
  <si>
    <t>Vale Machado</t>
  </si>
  <si>
    <t>Esperança</t>
  </si>
  <si>
    <t>Maria Clara Freitas</t>
  </si>
  <si>
    <t>Rodovia da Mota</t>
  </si>
  <si>
    <t>Montenegro Alegre</t>
  </si>
  <si>
    <t>Maitê Lima</t>
  </si>
  <si>
    <t>Campo de Castro</t>
  </si>
  <si>
    <t>Buraco Quente</t>
  </si>
  <si>
    <t>Emilly Rodrigues</t>
  </si>
  <si>
    <t>Morro Matheus Camargo</t>
  </si>
  <si>
    <t>José Vieira</t>
  </si>
  <si>
    <t>Jardim Caio Araújo</t>
  </si>
  <si>
    <t>Engenho Nogueira</t>
  </si>
  <si>
    <t>Vacina contra Melanoma - Reforço</t>
  </si>
  <si>
    <t>Igor Gonçalves</t>
  </si>
  <si>
    <t>Favela Bento Macedo</t>
  </si>
  <si>
    <t>Tiradentes</t>
  </si>
  <si>
    <t>Dias</t>
  </si>
  <si>
    <t>Maria Julia Vargas</t>
  </si>
  <si>
    <t>Avenida José Rezende</t>
  </si>
  <si>
    <t>Vila Maloca</t>
  </si>
  <si>
    <t>Otto Barbosa</t>
  </si>
  <si>
    <t>Parque Ana Luiza Sampaio</t>
  </si>
  <si>
    <t>João Pinheiro</t>
  </si>
  <si>
    <t>Hidroclorotiazida 500mg - 20 Comprimidos - Aché</t>
  </si>
  <si>
    <t>Ana Clara Machado</t>
  </si>
  <si>
    <t>Campo Heloisa Moura</t>
  </si>
  <si>
    <t>São Paulo</t>
  </si>
  <si>
    <t>Zoe Correia</t>
  </si>
  <si>
    <t>Loteamento de Machado</t>
  </si>
  <si>
    <t>Vila Da Amizade</t>
  </si>
  <si>
    <t>Ana Pereira</t>
  </si>
  <si>
    <t>Ladeira Cauã Aragão</t>
  </si>
  <si>
    <t>Fernando Moraes</t>
  </si>
  <si>
    <t>Quadra Costela</t>
  </si>
  <si>
    <t>Marajó</t>
  </si>
  <si>
    <t>Miguel Moreira</t>
  </si>
  <si>
    <t>Vila de Cirino</t>
  </si>
  <si>
    <t>Universitário</t>
  </si>
  <si>
    <t>Marcos Vinicius Jesus</t>
  </si>
  <si>
    <t>Distrito Leão</t>
  </si>
  <si>
    <t>Dra. Luiza Fogaça</t>
  </si>
  <si>
    <t>Vila Léo Andrade</t>
  </si>
  <si>
    <t>Sra. Clarice Silveira</t>
  </si>
  <si>
    <t>Praia Vitor da Mata</t>
  </si>
  <si>
    <t>Unidas</t>
  </si>
  <si>
    <t>Luiz Gustavo Gomes</t>
  </si>
  <si>
    <t>Chácara João Lucas Brito</t>
  </si>
  <si>
    <t>da Rocha da Prata</t>
  </si>
  <si>
    <t>Isis Pastor</t>
  </si>
  <si>
    <t>Via de Machado</t>
  </si>
  <si>
    <t>Santa Sofia</t>
  </si>
  <si>
    <t>Marques Alegre</t>
  </si>
  <si>
    <t>Isaque Santos</t>
  </si>
  <si>
    <t>Quadra Carvalho</t>
  </si>
  <si>
    <t>Ouro Preto</t>
  </si>
  <si>
    <t>Milena Jesus</t>
  </si>
  <si>
    <t>Fazenda Farias</t>
  </si>
  <si>
    <t>Vicente Albuquerque</t>
  </si>
  <si>
    <t>Morro Freitas</t>
  </si>
  <si>
    <t>Vila Engenho Nogueira</t>
  </si>
  <si>
    <t>Ravi Lucca da Mota</t>
  </si>
  <si>
    <t>Recanto Ana Carolina Santos</t>
  </si>
  <si>
    <t>Srta. Maria Clara Aragão</t>
  </si>
  <si>
    <t>Estrada de Carvalho</t>
  </si>
  <si>
    <t>Coqueiros</t>
  </si>
  <si>
    <t>Melissa Barbosa</t>
  </si>
  <si>
    <t>Via Azevedo</t>
  </si>
  <si>
    <t>Coração De Jesus</t>
  </si>
  <si>
    <t>Gael Pereira</t>
  </si>
  <si>
    <t>Colônia Sarah Jesus</t>
  </si>
  <si>
    <t>Murilo Cassiano</t>
  </si>
  <si>
    <t>Esplanada Luísa Melo</t>
  </si>
  <si>
    <t>Parque São Pedro</t>
  </si>
  <si>
    <t>Srta. Ana Cecília Pires</t>
  </si>
  <si>
    <t>Avenida Ryan Pacheco</t>
  </si>
  <si>
    <t>Aparecida 7ª Seção</t>
  </si>
  <si>
    <t>Sophia Aragão</t>
  </si>
  <si>
    <t>Fazenda Moraes</t>
  </si>
  <si>
    <t>Yago Lima</t>
  </si>
  <si>
    <t>Quadra de Mendes</t>
  </si>
  <si>
    <t>Vila Paraíso</t>
  </si>
  <si>
    <t>Benjamim Azevedo</t>
  </si>
  <si>
    <t>Residencial Yuri Gomes</t>
  </si>
  <si>
    <t>Santa Margarida</t>
  </si>
  <si>
    <t>da Rocha do Amparo</t>
  </si>
  <si>
    <t>Amanda Pimenta</t>
  </si>
  <si>
    <t>Conjunto de Casa Grande</t>
  </si>
  <si>
    <t>Grota</t>
  </si>
  <si>
    <t>Maria Alice Farias</t>
  </si>
  <si>
    <t>Distrito de Pacheco</t>
  </si>
  <si>
    <t>Marmiteiros</t>
  </si>
  <si>
    <t>Silveira das Flores</t>
  </si>
  <si>
    <t>Arthur Miguel Dias</t>
  </si>
  <si>
    <t>Parque Kaique da Cruz</t>
  </si>
  <si>
    <t>Santa Lúcia</t>
  </si>
  <si>
    <t>Sara Leão</t>
  </si>
  <si>
    <t>Travessa de Siqueira</t>
  </si>
  <si>
    <t>São João Batista</t>
  </si>
  <si>
    <t>Marcela Cassiano</t>
  </si>
  <si>
    <t>Jardim de Campos</t>
  </si>
  <si>
    <t>Conjunto São Francisco De Assis</t>
  </si>
  <si>
    <t>Dr. Yuri Moraes</t>
  </si>
  <si>
    <t>Núcleo Gabriel Montenegro</t>
  </si>
  <si>
    <t>Lourdes</t>
  </si>
  <si>
    <t>Lucas Gabriel Almeida</t>
  </si>
  <si>
    <t>Travessa Freitas</t>
  </si>
  <si>
    <t>Vila Nova Cachoeirinha 1ª Seção</t>
  </si>
  <si>
    <t>da Cruz da Mata</t>
  </si>
  <si>
    <t>Sr. Pietro Moura</t>
  </si>
  <si>
    <t>Favela Vitória Marques</t>
  </si>
  <si>
    <t>Raquel Cavalcanti</t>
  </si>
  <si>
    <t>Morro Moraes</t>
  </si>
  <si>
    <t>João Lucas Melo</t>
  </si>
  <si>
    <t>Passarela Sabrina Guerra</t>
  </si>
  <si>
    <t>Virgínia</t>
  </si>
  <si>
    <t>da Rocha Alegre</t>
  </si>
  <si>
    <t>Sara Martins</t>
  </si>
  <si>
    <t>Loteamento Jade Casa Grande</t>
  </si>
  <si>
    <t>Vista Do Sol</t>
  </si>
  <si>
    <t>Emilly Costela</t>
  </si>
  <si>
    <t>Passarela Monteiro</t>
  </si>
  <si>
    <t>Conjunto Califórnia I</t>
  </si>
  <si>
    <t>Siqueira do Norte</t>
  </si>
  <si>
    <t>Ryan Gonçalves</t>
  </si>
  <si>
    <t>Vila de Silva</t>
  </si>
  <si>
    <t>Cecilia Sousa</t>
  </si>
  <si>
    <t>Aeroporto Vicente Fernandes</t>
  </si>
  <si>
    <t>Cônego Pinheiro 1ª Seção</t>
  </si>
  <si>
    <t>Davi Luiz Carvalho</t>
  </si>
  <si>
    <t>Praça Bruno Vasconcelos</t>
  </si>
  <si>
    <t>Maitê Oliveira</t>
  </si>
  <si>
    <t>Ladeira da Mata</t>
  </si>
  <si>
    <t>Fogaça</t>
  </si>
  <si>
    <t>Ravi Lucca Cunha</t>
  </si>
  <si>
    <t>Estação da Cruz</t>
  </si>
  <si>
    <t>Mangueiras</t>
  </si>
  <si>
    <t>Ana Julia da Mata</t>
  </si>
  <si>
    <t>Trecho Maria Ribeiro</t>
  </si>
  <si>
    <t>Minaslandia</t>
  </si>
  <si>
    <t>Maria Fonseca</t>
  </si>
  <si>
    <t>Setor Sampaio</t>
  </si>
  <si>
    <t>Cidade Jardim</t>
  </si>
  <si>
    <t>Lara Vargas</t>
  </si>
  <si>
    <t>Sítio Casa Grande</t>
  </si>
  <si>
    <t>Vila Santo Antônio</t>
  </si>
  <si>
    <t>Srta. Elisa Mendes</t>
  </si>
  <si>
    <t>Distrito de Vieira</t>
  </si>
  <si>
    <t>Braúnas</t>
  </si>
  <si>
    <t>Ferreira de Sampaio</t>
  </si>
  <si>
    <t>Dr. Marcelo Freitas</t>
  </si>
  <si>
    <t>Ladeira de Cunha</t>
  </si>
  <si>
    <t>Acaba Mundo</t>
  </si>
  <si>
    <t>Ana Laura Machado</t>
  </si>
  <si>
    <t>Loteamento Azevedo</t>
  </si>
  <si>
    <t>Dra. Pietra Moraes</t>
  </si>
  <si>
    <t>Pátio Carvalho</t>
  </si>
  <si>
    <t>Brito Alegre</t>
  </si>
  <si>
    <t>Rhavi Alves</t>
  </si>
  <si>
    <t>Praça Costa</t>
  </si>
  <si>
    <t>Pompéia</t>
  </si>
  <si>
    <t>Sr. Enzo Moraes</t>
  </si>
  <si>
    <t>Sítio João Felipe Gomes</t>
  </si>
  <si>
    <t>Sra. Cecilia Gomes</t>
  </si>
  <si>
    <t>Vale Cavalcanti</t>
  </si>
  <si>
    <t>Buritis</t>
  </si>
  <si>
    <t>Ana Oliveira</t>
  </si>
  <si>
    <t>Pátio de Azevedo</t>
  </si>
  <si>
    <t>Universo</t>
  </si>
  <si>
    <t>Thiago Nascimento</t>
  </si>
  <si>
    <t>Sítio Alexia Cirino</t>
  </si>
  <si>
    <t>Sophia Santos</t>
  </si>
  <si>
    <t>Condomínio de da Rosa</t>
  </si>
  <si>
    <t>Barão Homem De Melo 3ª Seção</t>
  </si>
  <si>
    <t>Barros de Sousa</t>
  </si>
  <si>
    <t>Ester Nunes</t>
  </si>
  <si>
    <t>Condomínio de Leão</t>
  </si>
  <si>
    <t>Costela</t>
  </si>
  <si>
    <t>Luan Barros</t>
  </si>
  <si>
    <t>Praça de Moreira</t>
  </si>
  <si>
    <t>Vila Madre Gertrudes 3ª Seção</t>
  </si>
  <si>
    <t>Matheus Brito</t>
  </si>
  <si>
    <t>Avenida da Conceição</t>
  </si>
  <si>
    <t>Duarte Verde</t>
  </si>
  <si>
    <t>Marcelo Santos</t>
  </si>
  <si>
    <t>Residencial Evelyn Monteiro</t>
  </si>
  <si>
    <t>Vila Das Oliveiras</t>
  </si>
  <si>
    <t>Gustavo Barbosa</t>
  </si>
  <si>
    <t>Estrada Benício Gomes</t>
  </si>
  <si>
    <t>Conjunto Califórnia Ii</t>
  </si>
  <si>
    <t>Pacheco de Novaes</t>
  </si>
  <si>
    <t>João Guilherme Costela</t>
  </si>
  <si>
    <t>Estação Rael Borges</t>
  </si>
  <si>
    <t>Rhavi Oliveira</t>
  </si>
  <si>
    <t>Passarela Vitor Gabriel Dias</t>
  </si>
  <si>
    <t>Luiza Barros</t>
  </si>
  <si>
    <t>Condomínio Isabel Pacheco</t>
  </si>
  <si>
    <t>Melissa Araújo</t>
  </si>
  <si>
    <t>Estação Andrade</t>
  </si>
  <si>
    <t>Alta Tensão 2ª Seção</t>
  </si>
  <si>
    <t>Dra. Elisa Teixeira</t>
  </si>
  <si>
    <t>Aeroporto Monteiro</t>
  </si>
  <si>
    <t>Confisco</t>
  </si>
  <si>
    <t>Sra. Clarice Fernandes</t>
  </si>
  <si>
    <t>Viela de Silveira</t>
  </si>
  <si>
    <t>Luxemburgo</t>
  </si>
  <si>
    <t>Julia da Rocha</t>
  </si>
  <si>
    <t>Área de Castro</t>
  </si>
  <si>
    <t>Sion</t>
  </si>
  <si>
    <t>da Costa do Galho</t>
  </si>
  <si>
    <t>João Miguel Ferreira</t>
  </si>
  <si>
    <t>Trecho Maya da Cruz</t>
  </si>
  <si>
    <t>Ipe</t>
  </si>
  <si>
    <t>Freitas Alegre</t>
  </si>
  <si>
    <t>João Lucas Caldeira</t>
  </si>
  <si>
    <t>Setor de Farias</t>
  </si>
  <si>
    <t>São Gabriel</t>
  </si>
  <si>
    <t>Dra. Ana Lívia Cavalcante</t>
  </si>
  <si>
    <t>Favela de Ferreira</t>
  </si>
  <si>
    <t>Ayla Castro</t>
  </si>
  <si>
    <t>Campo de da Rosa</t>
  </si>
  <si>
    <t>Sara Costa</t>
  </si>
  <si>
    <t>Largo Cauê Sousa</t>
  </si>
  <si>
    <t>Gabriela Peixoto</t>
  </si>
  <si>
    <t>Via de Ribeiro</t>
  </si>
  <si>
    <t>Lagoa</t>
  </si>
  <si>
    <t>Zoe Mendes</t>
  </si>
  <si>
    <t>Sítio Aparecida</t>
  </si>
  <si>
    <t>Sport Club</t>
  </si>
  <si>
    <t>Amanda Cassiano</t>
  </si>
  <si>
    <t>Sítio da Cruz</t>
  </si>
  <si>
    <t>Nova Cintra</t>
  </si>
  <si>
    <t>Lopes de Goiás</t>
  </si>
  <si>
    <t>Clara Borges</t>
  </si>
  <si>
    <t>Pátio de Albuquerque</t>
  </si>
  <si>
    <t>Pilar</t>
  </si>
  <si>
    <t>Diego Aragão</t>
  </si>
  <si>
    <t>Estrada de Camargo</t>
  </si>
  <si>
    <t>Dr. Lucas Machado</t>
  </si>
  <si>
    <t>Feira Rhavi Montenegro</t>
  </si>
  <si>
    <t>Prado</t>
  </si>
  <si>
    <t>Carlos Eduardo Melo</t>
  </si>
  <si>
    <t>Praia de Aparecida</t>
  </si>
  <si>
    <t>Planalto</t>
  </si>
  <si>
    <t>Sr. Juan Cardoso</t>
  </si>
  <si>
    <t>Largo de Ramos</t>
  </si>
  <si>
    <t>Ana Beatriz Porto</t>
  </si>
  <si>
    <t>Vila Câmara</t>
  </si>
  <si>
    <t>Vera Cruz</t>
  </si>
  <si>
    <t>Pimenta</t>
  </si>
  <si>
    <t>Rafael Ribeiro</t>
  </si>
  <si>
    <t>Quadra Fogaça</t>
  </si>
  <si>
    <t>Novo Das Industrias</t>
  </si>
  <si>
    <t>Monteiro</t>
  </si>
  <si>
    <t>Maria Helena Camargo</t>
  </si>
  <si>
    <t>Estrada Cassiano</t>
  </si>
  <si>
    <t>Novaes de Minas</t>
  </si>
  <si>
    <t>Isabel Câmara</t>
  </si>
  <si>
    <t>Esplanada Almeida</t>
  </si>
  <si>
    <t>Jardim Felicidade</t>
  </si>
  <si>
    <t>Isaac Jesus</t>
  </si>
  <si>
    <t>Trecho de Guerra</t>
  </si>
  <si>
    <t>Esplanada</t>
  </si>
  <si>
    <t>Ana Laura Fonseca</t>
  </si>
  <si>
    <t>Núcleo da Cunha</t>
  </si>
  <si>
    <t>Pinto dos Dourados</t>
  </si>
  <si>
    <t>Arthur Freitas</t>
  </si>
  <si>
    <t>Lagoa Henry Caldeira</t>
  </si>
  <si>
    <t>Barreiro</t>
  </si>
  <si>
    <t>Nicolas Fonseca</t>
  </si>
  <si>
    <t>Esplanada Josué Correia</t>
  </si>
  <si>
    <t>Mirtes</t>
  </si>
  <si>
    <t>Levi Cardoso</t>
  </si>
  <si>
    <t>Chácara Alana Farias</t>
  </si>
  <si>
    <t>Campos</t>
  </si>
  <si>
    <t>Ana Carolina Abreu</t>
  </si>
  <si>
    <t>Praça de Macedo</t>
  </si>
  <si>
    <t>Léo Silveira</t>
  </si>
  <si>
    <t>Alameda de Carvalho</t>
  </si>
  <si>
    <t>Sra. Heloisa Gomes</t>
  </si>
  <si>
    <t>Vereda Bruna Mendes</t>
  </si>
  <si>
    <t>Capitão Eduardo</t>
  </si>
  <si>
    <t>Jade da Conceição</t>
  </si>
  <si>
    <t>Favela de Mendonça</t>
  </si>
  <si>
    <t>Nossa Senhora Aparecida</t>
  </si>
  <si>
    <t>Kaique Cassiano</t>
  </si>
  <si>
    <t>Viela Azevedo</t>
  </si>
  <si>
    <t>Sr. Nathan Mendonça</t>
  </si>
  <si>
    <t>Aeroporto Peixoto</t>
  </si>
  <si>
    <t>Vila Antena Montanhês</t>
  </si>
  <si>
    <t>Manuela Oliveira</t>
  </si>
  <si>
    <t>Vereda de Gomes</t>
  </si>
  <si>
    <t>Novo Ouro Preto</t>
  </si>
  <si>
    <t>Ana Cecília Cavalcanti</t>
  </si>
  <si>
    <t>Fazenda João Lucas da Mata</t>
  </si>
  <si>
    <t>Maria Luiza Vargas</t>
  </si>
  <si>
    <t>Setor de Jesus</t>
  </si>
  <si>
    <t>Theo Cardoso</t>
  </si>
  <si>
    <t>Lago de Araújo</t>
  </si>
  <si>
    <t>Vitoria</t>
  </si>
  <si>
    <t>Diego Moraes</t>
  </si>
  <si>
    <t>Avenida Bruno Pastor</t>
  </si>
  <si>
    <t>Sr. Benicio Novais</t>
  </si>
  <si>
    <t>Vereda Liam Fogaça</t>
  </si>
  <si>
    <t>Maria Goretti</t>
  </si>
  <si>
    <t>Montenegro da Praia</t>
  </si>
  <si>
    <t>Larissa Martins</t>
  </si>
  <si>
    <t>Vereda de das Neves</t>
  </si>
  <si>
    <t>Vila De Sá</t>
  </si>
  <si>
    <t>Ana Vitória Gomes</t>
  </si>
  <si>
    <t>Campo de Araújo</t>
  </si>
  <si>
    <t>Kamilly Sousa</t>
  </si>
  <si>
    <t>Conjunto Almeida</t>
  </si>
  <si>
    <t>João Felipe Gomes</t>
  </si>
  <si>
    <t>Núcleo Laura Leão</t>
  </si>
  <si>
    <t>Rhavi Fogaça</t>
  </si>
  <si>
    <t>Conjunto Apollo Nascimento</t>
  </si>
  <si>
    <t>Pindorama</t>
  </si>
  <si>
    <t>Sra. Cecília Gonçalves</t>
  </si>
  <si>
    <t>Esplanada Leão</t>
  </si>
  <si>
    <t>Yago Souza</t>
  </si>
  <si>
    <t>Vereda Rafaela Teixeira</t>
  </si>
  <si>
    <t>Olhos D'água</t>
  </si>
  <si>
    <t>Moraes do Galho</t>
  </si>
  <si>
    <t>Calebe Ramos</t>
  </si>
  <si>
    <t>Passarela Agatha Rodrigues</t>
  </si>
  <si>
    <t>Dr. Luan Mendes</t>
  </si>
  <si>
    <t>Rodovia Cavalcante</t>
  </si>
  <si>
    <t>Maria Virgínia</t>
  </si>
  <si>
    <t>João Miguel da Mata</t>
  </si>
  <si>
    <t>Largo Davi Luiz Silva</t>
  </si>
  <si>
    <t>Erick Gomes</t>
  </si>
  <si>
    <t>Chácara Barros</t>
  </si>
  <si>
    <t>Ana Julia Pereira</t>
  </si>
  <si>
    <t>Parque Benício Cassiano</t>
  </si>
  <si>
    <t>Giovanna Duarte</t>
  </si>
  <si>
    <t>Vila Pietro da Conceição</t>
  </si>
  <si>
    <t>Graça</t>
  </si>
  <si>
    <t>da Mata de Pereira</t>
  </si>
  <si>
    <t>Emanuella da Luz</t>
  </si>
  <si>
    <t>Travessa Castro</t>
  </si>
  <si>
    <t>Daniel Azevedo</t>
  </si>
  <si>
    <t>Distrito Nicole Casa Grande</t>
  </si>
  <si>
    <t>Aurora Leão</t>
  </si>
  <si>
    <t>Rua de Pastor</t>
  </si>
  <si>
    <t>Mathias Camargo</t>
  </si>
  <si>
    <t>Recanto José Pedro Rodrigues</t>
  </si>
  <si>
    <t>Davi Luiz Pastor</t>
  </si>
  <si>
    <t>Rodovia Aragão</t>
  </si>
  <si>
    <t>Srta. Marina Sá</t>
  </si>
  <si>
    <t>Pátio de Cassiano</t>
  </si>
  <si>
    <t>Marieta 3ª Seção</t>
  </si>
  <si>
    <t>Srta. Kamilly Aragão</t>
  </si>
  <si>
    <t>Viela Martins</t>
  </si>
  <si>
    <t>Bonfim</t>
  </si>
  <si>
    <t>Enzo Gabriel Cardoso</t>
  </si>
  <si>
    <t>Setor de Marques</t>
  </si>
  <si>
    <t>Vacina contra Colesterol Alto - Dose Única</t>
  </si>
  <si>
    <t>Marina Nunes</t>
  </si>
  <si>
    <t>Estação Lopes</t>
  </si>
  <si>
    <t>Vila Nossa Senhora Do Rosário</t>
  </si>
  <si>
    <t>Ana Laura Ramos</t>
  </si>
  <si>
    <t>Fazenda de Sampaio</t>
  </si>
  <si>
    <t>Srta. Ester da Mata</t>
  </si>
  <si>
    <t>Chácara de Silva</t>
  </si>
  <si>
    <t>Fernando da Rocha</t>
  </si>
  <si>
    <t>Ladeira de Costa</t>
  </si>
  <si>
    <t>Srta. Marina Cunha</t>
  </si>
  <si>
    <t>Alameda Brenda Martins</t>
  </si>
  <si>
    <t>São Benedito</t>
  </si>
  <si>
    <t>Davi Lucas da Cruz</t>
  </si>
  <si>
    <t>Jardim Helena Pinto</t>
  </si>
  <si>
    <t>Arthur Miguel Cunha</t>
  </si>
  <si>
    <t>Conjunto de Vargas</t>
  </si>
  <si>
    <t>Nova Vista</t>
  </si>
  <si>
    <t>Ana Júlia Fonseca</t>
  </si>
  <si>
    <t>União</t>
  </si>
  <si>
    <t>Bruno da Rosa</t>
  </si>
  <si>
    <t>Conjunto Vieira</t>
  </si>
  <si>
    <t>Ravy Sampaio</t>
  </si>
  <si>
    <t>Praia Ana Clara Guerra</t>
  </si>
  <si>
    <t>Minas Brasil</t>
  </si>
  <si>
    <t>Hadassa Costa</t>
  </si>
  <si>
    <t>Campo Albuquerque</t>
  </si>
  <si>
    <t>Floresta</t>
  </si>
  <si>
    <t>Theo Aparecida</t>
  </si>
  <si>
    <t>Ladeira Guerra</t>
  </si>
  <si>
    <t>Daniela Freitas</t>
  </si>
  <si>
    <t>Alameda de Peixoto</t>
  </si>
  <si>
    <t>Maria Eduarda Dias</t>
  </si>
  <si>
    <t>Avenida Stella Dias</t>
  </si>
  <si>
    <t>Sra. Esther Silva</t>
  </si>
  <si>
    <t>Recanto Bruna Vieira</t>
  </si>
  <si>
    <t>Itatiaia</t>
  </si>
  <si>
    <t>Aragão da Serra</t>
  </si>
  <si>
    <t>Dra. Luana Jesus</t>
  </si>
  <si>
    <t>Fazenda Maria Cecília da Luz</t>
  </si>
  <si>
    <t>Bento Teixeira</t>
  </si>
  <si>
    <t>Via Emanuel Ferreira</t>
  </si>
  <si>
    <t>Cefalexina 50mg - 30 Comprimidos - EMS (Genérico)</t>
  </si>
  <si>
    <t>Helena Andrade</t>
  </si>
  <si>
    <t>Aeroporto Camila Freitas</t>
  </si>
  <si>
    <t>Thomas Câmara</t>
  </si>
  <si>
    <t>Chácara de Moraes</t>
  </si>
  <si>
    <t>Vila São Dimas</t>
  </si>
  <si>
    <t>Yago da Luz</t>
  </si>
  <si>
    <t>Feira Guerra</t>
  </si>
  <si>
    <t>Miramar</t>
  </si>
  <si>
    <t>Caroline Fonseca</t>
  </si>
  <si>
    <t>Colônia Borges</t>
  </si>
  <si>
    <t>Juan Andrade</t>
  </si>
  <si>
    <t>Chácara de Montenegro</t>
  </si>
  <si>
    <t>Vila Petropolis</t>
  </si>
  <si>
    <t>Samuel Barros</t>
  </si>
  <si>
    <t>Passarela Rhavi da Rocha</t>
  </si>
  <si>
    <t>Oliver da Rocha</t>
  </si>
  <si>
    <t>Distrito Maria Cecília Viana</t>
  </si>
  <si>
    <t>Heloisa Moura</t>
  </si>
  <si>
    <t>Condomínio José Nascimento</t>
  </si>
  <si>
    <t>Dra. Ana Beatriz Costa</t>
  </si>
  <si>
    <t>Sítio de Montenegro</t>
  </si>
  <si>
    <t>Castelo</t>
  </si>
  <si>
    <t>Alexia Cavalcanti</t>
  </si>
  <si>
    <t>Vila de Duarte</t>
  </si>
  <si>
    <t>Castro de Jesus</t>
  </si>
  <si>
    <t>Cecília Cardoso</t>
  </si>
  <si>
    <t>Passarela Lima</t>
  </si>
  <si>
    <t>Colégio Batista</t>
  </si>
  <si>
    <t>Giovanna Barbosa</t>
  </si>
  <si>
    <t>Feira Nunes</t>
  </si>
  <si>
    <t>Thomas Duarte</t>
  </si>
  <si>
    <t>Viaduto das Neves</t>
  </si>
  <si>
    <t>Lagoinha Leblon</t>
  </si>
  <si>
    <t>Rhavi Guerra</t>
  </si>
  <si>
    <t>Residencial de Sales</t>
  </si>
  <si>
    <t>Leandro Dias</t>
  </si>
  <si>
    <t>Rua de da Rocha</t>
  </si>
  <si>
    <t>Alto Das Antenas</t>
  </si>
  <si>
    <t>Valentim Moreira</t>
  </si>
  <si>
    <t>Parque Heitor Leão</t>
  </si>
  <si>
    <t>Leonardo Cardoso</t>
  </si>
  <si>
    <t>Feira de Câmara</t>
  </si>
  <si>
    <t>Pirineus</t>
  </si>
  <si>
    <t>Vitor Hugo Cirino</t>
  </si>
  <si>
    <t>Fazenda de Castro</t>
  </si>
  <si>
    <t>Havaí</t>
  </si>
  <si>
    <t>Heloísa Machado</t>
  </si>
  <si>
    <t>Feira Bárbara Rodrigues</t>
  </si>
  <si>
    <t>Conjunto Floramar</t>
  </si>
  <si>
    <t>Daniel Camargo</t>
  </si>
  <si>
    <t>Via Vasconcelos</t>
  </si>
  <si>
    <t>Beira Linha</t>
  </si>
  <si>
    <t>Isabel Martins</t>
  </si>
  <si>
    <t>Loteamento Lopes</t>
  </si>
  <si>
    <t>Ian Santos</t>
  </si>
  <si>
    <t>Loteamento de Teixeira</t>
  </si>
  <si>
    <t>Castanheira</t>
  </si>
  <si>
    <t>Sr. Augusto Freitas</t>
  </si>
  <si>
    <t>Esplanada Mendonça</t>
  </si>
  <si>
    <t>Santa Efigênia</t>
  </si>
  <si>
    <t>Dra. Manuela Vargas</t>
  </si>
  <si>
    <t>Distrito de Borges</t>
  </si>
  <si>
    <t>Joaquim Caldeira</t>
  </si>
  <si>
    <t>Feira de Siqueira</t>
  </si>
  <si>
    <t>Apolonia</t>
  </si>
  <si>
    <t>Lopes de Mendes</t>
  </si>
  <si>
    <t>Milena da Mota</t>
  </si>
  <si>
    <t>Parque Davi Lucca Brito</t>
  </si>
  <si>
    <t>Barroca</t>
  </si>
  <si>
    <t>Nascimento de Azevedo</t>
  </si>
  <si>
    <t>Maria Laura Costela</t>
  </si>
  <si>
    <t>Estação de Moreira</t>
  </si>
  <si>
    <t>Ryan Moreira</t>
  </si>
  <si>
    <t>Colônia de da Luz</t>
  </si>
  <si>
    <t>Sra. Lorena Moura</t>
  </si>
  <si>
    <t>Alameda Rodrigues</t>
  </si>
  <si>
    <t>Vila Independencia 2ª Seção</t>
  </si>
  <si>
    <t>Aurora Macedo</t>
  </si>
  <si>
    <t>Feira Dante Mendes</t>
  </si>
  <si>
    <t>Srta. Esther da Conceição</t>
  </si>
  <si>
    <t>Trecho Breno das Neves</t>
  </si>
  <si>
    <t>Ana Cecília Souza</t>
  </si>
  <si>
    <t>Chácara Maria Isis Araújo</t>
  </si>
  <si>
    <t>Caroline Pires</t>
  </si>
  <si>
    <t>Aeroporto Luísa Sales</t>
  </si>
  <si>
    <t>Área de Porto</t>
  </si>
  <si>
    <t>Vila Califórnia</t>
  </si>
  <si>
    <t>Henrique Correia</t>
  </si>
  <si>
    <t>Vereda Cecilia Fonseca</t>
  </si>
  <si>
    <t>Vila Tirol</t>
  </si>
  <si>
    <t>Vitor Gabriel Campos</t>
  </si>
  <si>
    <t>Parque de Vasconcelos</t>
  </si>
  <si>
    <t>Flamengo</t>
  </si>
  <si>
    <t>Nicole Pastor</t>
  </si>
  <si>
    <t>Praia Cavalcante</t>
  </si>
  <si>
    <t>Juan Vargas</t>
  </si>
  <si>
    <t>Aeroporto Matteo da Mata</t>
  </si>
  <si>
    <t>Julia Pimenta</t>
  </si>
  <si>
    <t>Conjunto de da Mata</t>
  </si>
  <si>
    <t>Lavínia Silva</t>
  </si>
  <si>
    <t>Trevo Léo Nunes</t>
  </si>
  <si>
    <t>José Miguel da Cunha</t>
  </si>
  <si>
    <t>Esplanada de Ferreira</t>
  </si>
  <si>
    <t>Macedo do Sul</t>
  </si>
  <si>
    <t>Josué Lima</t>
  </si>
  <si>
    <t>Aeroporto Macedo</t>
  </si>
  <si>
    <t>Dr. Bernardo da Cunha</t>
  </si>
  <si>
    <t>Conjunto de Lopes</t>
  </si>
  <si>
    <t>Floramar</t>
  </si>
  <si>
    <t>Raquel Novais</t>
  </si>
  <si>
    <t>Viela Alana Carvalho</t>
  </si>
  <si>
    <t>Mateus Aparecida</t>
  </si>
  <si>
    <t>Colônia Pacheco</t>
  </si>
  <si>
    <t>Bella Mendes</t>
  </si>
  <si>
    <t>Condomínio de Duarte</t>
  </si>
  <si>
    <t>Theodoro Rodrigues</t>
  </si>
  <si>
    <t>Rodovia Erick Caldeira</t>
  </si>
  <si>
    <t>Maria Isis Mendonça</t>
  </si>
  <si>
    <t>Núcleo de Gomes</t>
  </si>
  <si>
    <t>Davi Miguel Cardoso</t>
  </si>
  <si>
    <t>Praça Sarah da Costa</t>
  </si>
  <si>
    <t>Gameleira</t>
  </si>
  <si>
    <t>Vacina contra Gastrite - Dose Única</t>
  </si>
  <si>
    <t>Murilo Silva</t>
  </si>
  <si>
    <t>Condomínio Luara Camargo</t>
  </si>
  <si>
    <t>Luiza da Cruz</t>
  </si>
  <si>
    <t>Largo Alícia Cassiano</t>
  </si>
  <si>
    <t>Azevedo de Leão</t>
  </si>
  <si>
    <t>Otto Guerra</t>
  </si>
  <si>
    <t>Distrito Machado</t>
  </si>
  <si>
    <t>Juan Silveira</t>
  </si>
  <si>
    <t>Praia Cirino</t>
  </si>
  <si>
    <t>Srta. Isabelly Souza</t>
  </si>
  <si>
    <t>Lago Antonella Novais</t>
  </si>
  <si>
    <t>Maria Laura Cunha</t>
  </si>
  <si>
    <t>Conjunto de Moraes</t>
  </si>
  <si>
    <t>São Pedro</t>
  </si>
  <si>
    <t>Maria Luísa da Cunha</t>
  </si>
  <si>
    <t>Ladeira Câmara</t>
  </si>
  <si>
    <t>Dr. Kaique Monteiro</t>
  </si>
  <si>
    <t>Chácara de Rodrigues</t>
  </si>
  <si>
    <t>Maria Cecília da Rosa</t>
  </si>
  <si>
    <t>Parque Rios</t>
  </si>
  <si>
    <t>João Felipe Silveira</t>
  </si>
  <si>
    <t>Aeroporto Fernandes</t>
  </si>
  <si>
    <t>Camponesa 1ª Seção</t>
  </si>
  <si>
    <t>Ravy Rios</t>
  </si>
  <si>
    <t>Núcleo de da Cunha</t>
  </si>
  <si>
    <t>Alta Tensão 1ª Seção</t>
  </si>
  <si>
    <t>Theo Cavalcanti</t>
  </si>
  <si>
    <t>Trevo de Vieira</t>
  </si>
  <si>
    <t>Garças</t>
  </si>
  <si>
    <t>Ester Vasconcelos</t>
  </si>
  <si>
    <t>Favela de da Rocha</t>
  </si>
  <si>
    <t>Dra. Cecilia Aragão</t>
  </si>
  <si>
    <t>Campo Maria Isis Barros</t>
  </si>
  <si>
    <t>Nossa Senhora Da Aparecida</t>
  </si>
  <si>
    <t>Pedro Mendonça</t>
  </si>
  <si>
    <t>Aeroporto José Miguel Ramos</t>
  </si>
  <si>
    <t>Santa Maria</t>
  </si>
  <si>
    <t>Rhavi Monteiro</t>
  </si>
  <si>
    <t>Favela Ana Beatriz Garcia</t>
  </si>
  <si>
    <t>Apollo Sousa</t>
  </si>
  <si>
    <t>Rodovia de Dias</t>
  </si>
  <si>
    <t>São José</t>
  </si>
  <si>
    <t>Otto Rocha</t>
  </si>
  <si>
    <t>Rua Eduardo Pereira</t>
  </si>
  <si>
    <t>Fernandes do Norte</t>
  </si>
  <si>
    <t>Matteo Rezende</t>
  </si>
  <si>
    <t>Quadra Barros</t>
  </si>
  <si>
    <t>Salgado Filho</t>
  </si>
  <si>
    <t>Lívia Dias</t>
  </si>
  <si>
    <t>Campo da Cruz</t>
  </si>
  <si>
    <t>Sra. Bruna das Neves</t>
  </si>
  <si>
    <t>Avenida de Caldeira</t>
  </si>
  <si>
    <t>Dra. Lívia Cirino</t>
  </si>
  <si>
    <t>Parque Pinto</t>
  </si>
  <si>
    <t>Hadassa Rocha</t>
  </si>
  <si>
    <t>Mathias Guerra</t>
  </si>
  <si>
    <t>Fazenda Kevin Sá</t>
  </si>
  <si>
    <t>Aguas Claras</t>
  </si>
  <si>
    <t>Srta. Alícia Campos</t>
  </si>
  <si>
    <t>Residencial Luana Sampaio</t>
  </si>
  <si>
    <t>Cecília Campos</t>
  </si>
  <si>
    <t>Estação de Dias</t>
  </si>
  <si>
    <t>Maria Fernanda Rodrigues</t>
  </si>
  <si>
    <t>Passarela Castro</t>
  </si>
  <si>
    <t>Tirol</t>
  </si>
  <si>
    <t>Sabrina Brito</t>
  </si>
  <si>
    <t>Trevo Ana Julia Sá</t>
  </si>
  <si>
    <t>Vale Do Jatoba</t>
  </si>
  <si>
    <t>João Felipe Moreira</t>
  </si>
  <si>
    <t>Aeroporto Barbosa</t>
  </si>
  <si>
    <t>Dom Bosco</t>
  </si>
  <si>
    <t>Aylla Jesus</t>
  </si>
  <si>
    <t>Rua Cassiano</t>
  </si>
  <si>
    <t>Vila Jardim Leblon</t>
  </si>
  <si>
    <t>Ravi Lucca da Conceição</t>
  </si>
  <si>
    <t>Morro Rezende</t>
  </si>
  <si>
    <t>Dra. Cecilia Borges</t>
  </si>
  <si>
    <t>Esplanada Rodrigues</t>
  </si>
  <si>
    <t>Brayan Pastor</t>
  </si>
  <si>
    <t>Núcleo de Martins</t>
  </si>
  <si>
    <t>Nova Gameleira</t>
  </si>
  <si>
    <t>Danilo Camargo</t>
  </si>
  <si>
    <t>Trevo Freitas</t>
  </si>
  <si>
    <t>Lavínia Moreira</t>
  </si>
  <si>
    <t>Trevo de Martins</t>
  </si>
  <si>
    <t>Sophia Dias</t>
  </si>
  <si>
    <t>Rua de Novais</t>
  </si>
  <si>
    <t>Isabel Aragão</t>
  </si>
  <si>
    <t>Dr. Carlos Eduardo Câmara</t>
  </si>
  <si>
    <t>Sítio de Nunes</t>
  </si>
  <si>
    <t>Lindéia</t>
  </si>
  <si>
    <t>Hellena Viana</t>
  </si>
  <si>
    <t>Fazenda de Ferreira</t>
  </si>
  <si>
    <t>Santa Tereza</t>
  </si>
  <si>
    <t>Azitromicina Suspensão Oral 50ml - Bayer</t>
  </si>
  <si>
    <t>Ayla da Paz</t>
  </si>
  <si>
    <t>Vale Felipe Casa Grande</t>
  </si>
  <si>
    <t>Maria Clara Araújo</t>
  </si>
  <si>
    <t>Distrito de Cirino</t>
  </si>
  <si>
    <t>Liam Guerra</t>
  </si>
  <si>
    <t>Esplanada Aparecida</t>
  </si>
  <si>
    <t>Samuel Câmara</t>
  </si>
  <si>
    <t>Recanto Luiz Gustavo Freitas</t>
  </si>
  <si>
    <t>Vila Batik</t>
  </si>
  <si>
    <t>Casa Grande</t>
  </si>
  <si>
    <t>Paulo Duarte</t>
  </si>
  <si>
    <t>Loteamento da Mota</t>
  </si>
  <si>
    <t>Pedro Henrique Costela</t>
  </si>
  <si>
    <t>Residencial da Mota</t>
  </si>
  <si>
    <t>Sra. Fernanda Campos</t>
  </si>
  <si>
    <t>Condomínio de Nunes</t>
  </si>
  <si>
    <t>Luiz Felipe Cavalcanti</t>
  </si>
  <si>
    <t>Quadra de Azevedo</t>
  </si>
  <si>
    <t>Dra. Ana Lívia da Mota</t>
  </si>
  <si>
    <t>Residencial de da Cruz</t>
  </si>
  <si>
    <t>Nicolas Gonçalves</t>
  </si>
  <si>
    <t>Viela de Lopes</t>
  </si>
  <si>
    <t>São Lucas</t>
  </si>
  <si>
    <t>Guilherme Pinto</t>
  </si>
  <si>
    <t>Viela Nascimento</t>
  </si>
  <si>
    <t>Senhor Dos Passos</t>
  </si>
  <si>
    <t>Letícia Costa</t>
  </si>
  <si>
    <t>Sítio Bruno Moreira</t>
  </si>
  <si>
    <t>Lorenzo Ferreira</t>
  </si>
  <si>
    <t>Campo Renan da Paz</t>
  </si>
  <si>
    <t>Alípio De Melo</t>
  </si>
  <si>
    <t>Joaquim Moreira</t>
  </si>
  <si>
    <t>Morro Jesus</t>
  </si>
  <si>
    <t>Matheus Dias</t>
  </si>
  <si>
    <t>Sítio de Casa Grande</t>
  </si>
  <si>
    <t>Sra. Ísis Sales</t>
  </si>
  <si>
    <t>Lagoa Pastor</t>
  </si>
  <si>
    <t>Pietro da Rosa</t>
  </si>
  <si>
    <t>Quadra de Câmara</t>
  </si>
  <si>
    <t>Arthur Gabriel da Luz</t>
  </si>
  <si>
    <t>Loteamento de Carvalho</t>
  </si>
  <si>
    <t>Srta. Nina Fonseca</t>
  </si>
  <si>
    <t>Esplanada de Teixeira</t>
  </si>
  <si>
    <t>Maria Tereza</t>
  </si>
  <si>
    <t>Hellena Cunha</t>
  </si>
  <si>
    <t>Núcleo Ian Rezende</t>
  </si>
  <si>
    <t>Sra. Fernanda Costela</t>
  </si>
  <si>
    <t>Estação Camargo</t>
  </si>
  <si>
    <t>Venda Nova</t>
  </si>
  <si>
    <t>Joaquim Andrade</t>
  </si>
  <si>
    <t>Núcleo Luiz Fernando Nascimento</t>
  </si>
  <si>
    <t>Barro Preto</t>
  </si>
  <si>
    <t>Bárbara Oliveira</t>
  </si>
  <si>
    <t>Fazenda Ramos</t>
  </si>
  <si>
    <t>Rebeca Campos</t>
  </si>
  <si>
    <t>Vereda Rafaela Sousa</t>
  </si>
  <si>
    <t>Santa Branca</t>
  </si>
  <si>
    <t>Davi Gonçalves</t>
  </si>
  <si>
    <t>Trevo de Moura</t>
  </si>
  <si>
    <t>Júlia Lopes</t>
  </si>
  <si>
    <t>Passarela Casa Grande</t>
  </si>
  <si>
    <t>Lavínia Caldeira</t>
  </si>
  <si>
    <t>Ladeira de Guerra</t>
  </si>
  <si>
    <t>Gutierrez</t>
  </si>
  <si>
    <t>Aurora Melo</t>
  </si>
  <si>
    <t>Conjunto Raul Sampaio</t>
  </si>
  <si>
    <t>Diogo da Costa</t>
  </si>
  <si>
    <t>Lago Pereira</t>
  </si>
  <si>
    <t>Independência</t>
  </si>
  <si>
    <t>Brayan Pires</t>
  </si>
  <si>
    <t>Aeroporto da Rosa</t>
  </si>
  <si>
    <t>João Lucas Brito</t>
  </si>
  <si>
    <t>Passarela de Farias</t>
  </si>
  <si>
    <t>Madri</t>
  </si>
  <si>
    <t>Alana Peixoto</t>
  </si>
  <si>
    <t>Vereda de Aragão</t>
  </si>
  <si>
    <t>Glória</t>
  </si>
  <si>
    <t>Antony Garcia</t>
  </si>
  <si>
    <t>Feira Albuquerque</t>
  </si>
  <si>
    <t>São Jorge 1ª Seção</t>
  </si>
  <si>
    <t>Sr. Asafe Aragão</t>
  </si>
  <si>
    <t>Lago Garcia</t>
  </si>
  <si>
    <t>Jardim Guanabara</t>
  </si>
  <si>
    <t>Natália Fonseca</t>
  </si>
  <si>
    <t>Lagoa da Mota</t>
  </si>
  <si>
    <t>Ribeiro De Abreu</t>
  </si>
  <si>
    <t>Arthur Miguel Araújo</t>
  </si>
  <si>
    <t>Vereda Santos</t>
  </si>
  <si>
    <t>Benjamim Pires</t>
  </si>
  <si>
    <t>Aeroporto de da Cruz</t>
  </si>
  <si>
    <t>Pedro Lucas Siqueira</t>
  </si>
  <si>
    <t>Conjunto Machado</t>
  </si>
  <si>
    <t>Julia Vargas</t>
  </si>
  <si>
    <t>Núcleo Pires</t>
  </si>
  <si>
    <t>Isaac Cavalcanti</t>
  </si>
  <si>
    <t>Quadra João Vitor Monteiro</t>
  </si>
  <si>
    <t>Luiz Gustavo Duarte</t>
  </si>
  <si>
    <t>Via de Pinto</t>
  </si>
  <si>
    <t>Jardim São José</t>
  </si>
  <si>
    <t>Gael Ramos</t>
  </si>
  <si>
    <t>Setor de Peixoto</t>
  </si>
  <si>
    <t>Enzo Gabriel Montenegro</t>
  </si>
  <si>
    <t>Avenida Albuquerque</t>
  </si>
  <si>
    <t>Vila Ipiranga</t>
  </si>
  <si>
    <t>Léo Barbosa</t>
  </si>
  <si>
    <t>Alameda da Cunha</t>
  </si>
  <si>
    <t>Conjunto Minas Caixa</t>
  </si>
  <si>
    <t>Dr. Vitor Hugo Lima</t>
  </si>
  <si>
    <t>Núcleo de Barbosa</t>
  </si>
  <si>
    <t>Sra. Maria Vitória Nunes</t>
  </si>
  <si>
    <t>Aeroporto Theodoro da Rosa</t>
  </si>
  <si>
    <t>João Lucas Souza</t>
  </si>
  <si>
    <t>Largo Moura</t>
  </si>
  <si>
    <t>Cônego Pinheiro 2ª Seção</t>
  </si>
  <si>
    <t>Zoe Costela</t>
  </si>
  <si>
    <t>Esplanada Danilo Mendes</t>
  </si>
  <si>
    <t>Gabrielly Lopes</t>
  </si>
  <si>
    <t>Área de Lima</t>
  </si>
  <si>
    <t>Vila Formosa</t>
  </si>
  <si>
    <t>Machado da Serra</t>
  </si>
  <si>
    <t>Ravi Lucca Sales</t>
  </si>
  <si>
    <t>Trecho Felipe Santos</t>
  </si>
  <si>
    <t>Luiz Felipe Albuquerque</t>
  </si>
  <si>
    <t>Ladeira da Paz</t>
  </si>
  <si>
    <t>Ágatha Viana</t>
  </si>
  <si>
    <t>Ladeira Lopes</t>
  </si>
  <si>
    <t>Yasmin Pereira</t>
  </si>
  <si>
    <t>Área de Pastor</t>
  </si>
  <si>
    <t>Eloah Nogueira</t>
  </si>
  <si>
    <t>Esplanada de da Conceição</t>
  </si>
  <si>
    <t>Dra. Maria Cecília Oliveira</t>
  </si>
  <si>
    <t>Diclofenaco Suspensão Oral 50ml - Aché</t>
  </si>
  <si>
    <t>Vinicius da Cruz</t>
  </si>
  <si>
    <t>Vila Ana Ferreira</t>
  </si>
  <si>
    <t>Ísis da Mota</t>
  </si>
  <si>
    <t>Conjunto Clarice da Conceição</t>
  </si>
  <si>
    <t>Mariah Cardoso</t>
  </si>
  <si>
    <t>Distrito Kevin Guerra</t>
  </si>
  <si>
    <t>Itapoa</t>
  </si>
  <si>
    <t>Olivia Azevedo</t>
  </si>
  <si>
    <t>Praça de Freitas</t>
  </si>
  <si>
    <t>Vinícius Garcia</t>
  </si>
  <si>
    <t>Esplanada de Mendes</t>
  </si>
  <si>
    <t>Júlia das Neves</t>
  </si>
  <si>
    <t>Estação Ana Carolina Vasconcelos</t>
  </si>
  <si>
    <t>Maria Luiza Borges</t>
  </si>
  <si>
    <t>Lago da Luz</t>
  </si>
  <si>
    <t>João Miguel Azevedo</t>
  </si>
  <si>
    <t>Trevo Fonseca</t>
  </si>
  <si>
    <t>Serra</t>
  </si>
  <si>
    <t>Diego da Rocha</t>
  </si>
  <si>
    <t>Alameda Cardoso</t>
  </si>
  <si>
    <t>Clara Pimenta</t>
  </si>
  <si>
    <t>Pátio de Peixoto</t>
  </si>
  <si>
    <t>Isadora Martins</t>
  </si>
  <si>
    <t>Praia Marques</t>
  </si>
  <si>
    <t>Grajaú</t>
  </si>
  <si>
    <t>Anna Liz Rocha</t>
  </si>
  <si>
    <t>Rodovia de Castro</t>
  </si>
  <si>
    <t>Ravi Lucca Pastor</t>
  </si>
  <si>
    <t>Núcleo Maria Luísa Duarte</t>
  </si>
  <si>
    <t>Heloísa Cassiano</t>
  </si>
  <si>
    <t>Parque de Jesus</t>
  </si>
  <si>
    <t>Lucas Moura</t>
  </si>
  <si>
    <t>Vale de Ribeiro</t>
  </si>
  <si>
    <t>Liz Novais</t>
  </si>
  <si>
    <t>Chácara Daniela Alves</t>
  </si>
  <si>
    <t>Maria Laura Pinto</t>
  </si>
  <si>
    <t>Vale Vasconcelos</t>
  </si>
  <si>
    <t>Comiteco</t>
  </si>
  <si>
    <t>Camila da Mata</t>
  </si>
  <si>
    <t>Loteamento Lavínia Ferreira</t>
  </si>
  <si>
    <t>Francisco Cavalcanti</t>
  </si>
  <si>
    <t>Praia Amanda Viana</t>
  </si>
  <si>
    <t>Liam Sales</t>
  </si>
  <si>
    <t>Área Rafaela Costela</t>
  </si>
  <si>
    <t>Isaque Gonçalves</t>
  </si>
  <si>
    <t>Praça Yuri Aragão</t>
  </si>
  <si>
    <t>Camila Cassiano</t>
  </si>
  <si>
    <t>Sítio Nogueira</t>
  </si>
  <si>
    <t>Mateus Mendonça</t>
  </si>
  <si>
    <t>Estrada Calebe Farias</t>
  </si>
  <si>
    <t>Esther Ramos</t>
  </si>
  <si>
    <t>Travessa Hadassa Moura</t>
  </si>
  <si>
    <t>Benicio Cirino</t>
  </si>
  <si>
    <t>Aeroporto Porto</t>
  </si>
  <si>
    <t>Dr. Benicio Ramos</t>
  </si>
  <si>
    <t>Pátio de Cavalcante</t>
  </si>
  <si>
    <t>Dr. Ravi Lucca Novaes</t>
  </si>
  <si>
    <t>Núcleo Cavalcante</t>
  </si>
  <si>
    <t>da Conceição da Serra</t>
  </si>
  <si>
    <t>Alana Sales</t>
  </si>
  <si>
    <t>Vila de Leão</t>
  </si>
  <si>
    <t>Samuel Teixeira</t>
  </si>
  <si>
    <t>Campo Henry Gabriel Nunes</t>
  </si>
  <si>
    <t>Sra. Isis Pimenta</t>
  </si>
  <si>
    <t>Setor Noah Câmara</t>
  </si>
  <si>
    <t>Candelaria</t>
  </si>
  <si>
    <t>João Pedro Barbosa</t>
  </si>
  <si>
    <t>Sítio de Cunha</t>
  </si>
  <si>
    <t>Alto Dos Pinheiros</t>
  </si>
  <si>
    <t>Maitê Almeida</t>
  </si>
  <si>
    <t>Caetano Furquim</t>
  </si>
  <si>
    <t>Ana Clara Ferreira</t>
  </si>
  <si>
    <t>Dra. Clarice Peixoto</t>
  </si>
  <si>
    <t>Ladeira Duarte</t>
  </si>
  <si>
    <t>Jardim Do Vale</t>
  </si>
  <si>
    <t>Luara Aragão</t>
  </si>
  <si>
    <t>Núcleo Milena Macedo</t>
  </si>
  <si>
    <t>Dr. Vitor Hugo da Cunha</t>
  </si>
  <si>
    <t>Pátio Vinicius Rocha</t>
  </si>
  <si>
    <t>Maravilha</t>
  </si>
  <si>
    <t>Barros Grande</t>
  </si>
  <si>
    <t>Srta. Jade Borges</t>
  </si>
  <si>
    <t>Fazenda Vargas</t>
  </si>
  <si>
    <t>Andiroba</t>
  </si>
  <si>
    <t>Catarina Nogueira</t>
  </si>
  <si>
    <t>Morro Brito</t>
  </si>
  <si>
    <t>Santa Rita De Cássia</t>
  </si>
  <si>
    <t>Metformina 25mg - 30 Comprimidos - EMS (Genérico)</t>
  </si>
  <si>
    <t>Dra. Maria Clara da Rocha</t>
  </si>
  <si>
    <t>Cecilia Guerra</t>
  </si>
  <si>
    <t>Fazenda de da Paz</t>
  </si>
  <si>
    <t>Vitória Ribeiro</t>
  </si>
  <si>
    <t>Favela de Abreu</t>
  </si>
  <si>
    <t>Santa Isabel</t>
  </si>
  <si>
    <t>Nicolas Moura</t>
  </si>
  <si>
    <t>Sítio da Luz</t>
  </si>
  <si>
    <t>Sra. Sophia Peixoto</t>
  </si>
  <si>
    <t>Distrito Lara da Conceição</t>
  </si>
  <si>
    <t>da Mata</t>
  </si>
  <si>
    <t>Amanda Marques</t>
  </si>
  <si>
    <t>Ladeira Porto</t>
  </si>
  <si>
    <t>Cauê Garcia</t>
  </si>
  <si>
    <t>Jardim de Gonçalves</t>
  </si>
  <si>
    <t>Sr. Davi Luiz Ramos</t>
  </si>
  <si>
    <t>Núcleo Lopes</t>
  </si>
  <si>
    <t>Vila Ecológica</t>
  </si>
  <si>
    <t>Dr. Antônio Lima</t>
  </si>
  <si>
    <t>Viela de Costela</t>
  </si>
  <si>
    <t>Vila Da Ária</t>
  </si>
  <si>
    <t>Ana Clara da Conceição</t>
  </si>
  <si>
    <t>Feira Pinto</t>
  </si>
  <si>
    <t>Rhavi Ramos</t>
  </si>
  <si>
    <t>Conjunto Macedo</t>
  </si>
  <si>
    <t>São Francisco</t>
  </si>
  <si>
    <t>Ana Luiza Moura</t>
  </si>
  <si>
    <t>Lago de da Mota</t>
  </si>
  <si>
    <t>Luiz Henrique da Mata</t>
  </si>
  <si>
    <t>Esplanada Eduarda Cunha</t>
  </si>
  <si>
    <t>Horto Florestal</t>
  </si>
  <si>
    <t>Gabriela Silva</t>
  </si>
  <si>
    <t>Chácara Vargas</t>
  </si>
  <si>
    <t>Lavínia Abreu</t>
  </si>
  <si>
    <t>Lagoa de Silveira</t>
  </si>
  <si>
    <t>Cauã Monteiro</t>
  </si>
  <si>
    <t>Setor Gael Henrique Barbosa</t>
  </si>
  <si>
    <t>Jardim Dos Comerciarios</t>
  </si>
  <si>
    <t>Srta. Isabel Cunha</t>
  </si>
  <si>
    <t>Praça Moreira</t>
  </si>
  <si>
    <t>Enzo Silva</t>
  </si>
  <si>
    <t>Conjunto Gustavo Henrique da Rocha</t>
  </si>
  <si>
    <t>Jardim Montanhês</t>
  </si>
  <si>
    <t>Diego Fernandes</t>
  </si>
  <si>
    <t>Feira Viana</t>
  </si>
  <si>
    <t>Fernanda Cunha</t>
  </si>
  <si>
    <t>Parque Vasconcelos</t>
  </si>
  <si>
    <t>Dra. Larissa Dias</t>
  </si>
  <si>
    <t>Distrito de Viana</t>
  </si>
  <si>
    <t>Paulo Rodrigues</t>
  </si>
  <si>
    <t>Recanto de Gonçalves</t>
  </si>
  <si>
    <t>Itaipu</t>
  </si>
  <si>
    <t>Thales Santos</t>
  </si>
  <si>
    <t>Conjunto Câmara</t>
  </si>
  <si>
    <t>Gael Henrique da Mata</t>
  </si>
  <si>
    <t>Praça Ramos</t>
  </si>
  <si>
    <t>Igor da Cruz</t>
  </si>
  <si>
    <t>Colônia Martins</t>
  </si>
  <si>
    <t>Sr. Gustavo Henrique Porto</t>
  </si>
  <si>
    <t>Rua da Mota</t>
  </si>
  <si>
    <t>Vila Inestan</t>
  </si>
  <si>
    <t>Levi Almeida</t>
  </si>
  <si>
    <t>Largo Castro</t>
  </si>
  <si>
    <t>Yago Montenegro</t>
  </si>
  <si>
    <t>Vila Santa Monica 2ª Seção</t>
  </si>
  <si>
    <t>Benício Rezende</t>
  </si>
  <si>
    <t>Recanto Campos</t>
  </si>
  <si>
    <t>Ana Carolina Câmara</t>
  </si>
  <si>
    <t>Jardim Laís Cunha</t>
  </si>
  <si>
    <t>Califórnia</t>
  </si>
  <si>
    <t>José Miguel Oliveira</t>
  </si>
  <si>
    <t>Praça Josué Macedo</t>
  </si>
  <si>
    <t>Vitor Ramos</t>
  </si>
  <si>
    <t>Vale Maria Sophia Novais</t>
  </si>
  <si>
    <t>Bianca Farias</t>
  </si>
  <si>
    <t>Alameda Maria Isis da Paz</t>
  </si>
  <si>
    <t>Pousada Santo Antonio</t>
  </si>
  <si>
    <t>Pereira do Oeste</t>
  </si>
  <si>
    <t>Leonardo Rodrigues</t>
  </si>
  <si>
    <t>Estação de Mendes</t>
  </si>
  <si>
    <t>Canadá</t>
  </si>
  <si>
    <t>Sr. Murilo Macedo</t>
  </si>
  <si>
    <t>Chácara de Teixeira</t>
  </si>
  <si>
    <t>Das Industrias I</t>
  </si>
  <si>
    <t>Isabel Farias</t>
  </si>
  <si>
    <t>Ladeira de Cavalcante</t>
  </si>
  <si>
    <t>Jaqueline</t>
  </si>
  <si>
    <t>Melina Moura</t>
  </si>
  <si>
    <t>Área de Novais</t>
  </si>
  <si>
    <t>Marcela Peixoto</t>
  </si>
  <si>
    <t>Campo Luara Rezende</t>
  </si>
  <si>
    <t>Ventosa</t>
  </si>
  <si>
    <t>Anna Liz Rodrigues</t>
  </si>
  <si>
    <t>Estação de Peixoto</t>
  </si>
  <si>
    <t>Dr. Vitor Lopes</t>
  </si>
  <si>
    <t>Ana Sophia Castro</t>
  </si>
  <si>
    <t>Alameda Teixeira</t>
  </si>
  <si>
    <t>Pedro Lucas Pires</t>
  </si>
  <si>
    <t>Lago Enzo Gabriel Silveira</t>
  </si>
  <si>
    <t>Monte Azul</t>
  </si>
  <si>
    <t>Mateus da Conceição</t>
  </si>
  <si>
    <t>Praça Lunna Freitas</t>
  </si>
  <si>
    <t>Luísa Gomes</t>
  </si>
  <si>
    <t>Campo de Cirino</t>
  </si>
  <si>
    <t>Jardim Leblon</t>
  </si>
  <si>
    <t>Dr. João Miguel da Paz</t>
  </si>
  <si>
    <t>Vale Ramos</t>
  </si>
  <si>
    <t>Vila São Francisco</t>
  </si>
  <si>
    <t>Caroline da Mata</t>
  </si>
  <si>
    <t>Trecho Freitas</t>
  </si>
  <si>
    <t>Cidade Jardim Taquaril</t>
  </si>
  <si>
    <t>Ana Beatriz Araújo</t>
  </si>
  <si>
    <t>Estrada Araújo</t>
  </si>
  <si>
    <t>Lago Campos</t>
  </si>
  <si>
    <t>Copacabana</t>
  </si>
  <si>
    <t>Henry da Paz</t>
  </si>
  <si>
    <t>Rodovia Rodrigues</t>
  </si>
  <si>
    <t>Sr. Kaique Caldeira</t>
  </si>
  <si>
    <t>Via de Albuquerque</t>
  </si>
  <si>
    <t>Elisa Brito</t>
  </si>
  <si>
    <t>Praia Maria Julia Cavalcanti</t>
  </si>
  <si>
    <t>Valentim Leão</t>
  </si>
  <si>
    <t>Pátio Mendes</t>
  </si>
  <si>
    <t>Atila De Paiva</t>
  </si>
  <si>
    <t>Kaique Nascimento</t>
  </si>
  <si>
    <t>Esplanada Lima</t>
  </si>
  <si>
    <t>Pietro Pastor</t>
  </si>
  <si>
    <t>Morro Viana</t>
  </si>
  <si>
    <t>Vila Madre Gertrudes 4ª Seção</t>
  </si>
  <si>
    <t>Fernanda Lima</t>
  </si>
  <si>
    <t>Via Enzo da Conceição</t>
  </si>
  <si>
    <t>Novo Aarão Reis</t>
  </si>
  <si>
    <t>Mathias Ferreira</t>
  </si>
  <si>
    <t>Estação de Jesus</t>
  </si>
  <si>
    <t>José Pedro Albuquerque</t>
  </si>
  <si>
    <t>Lago da Rocha</t>
  </si>
  <si>
    <t>Manuela Aragão</t>
  </si>
  <si>
    <t>Rodovia Gabriela Garcia</t>
  </si>
  <si>
    <t>Benicio Cunha</t>
  </si>
  <si>
    <t>Chácara Maria Clara Jesus</t>
  </si>
  <si>
    <t>Nicolas Castro</t>
  </si>
  <si>
    <t>Ladeira de Ferreira</t>
  </si>
  <si>
    <t>Sousa da Praia</t>
  </si>
  <si>
    <t>Sr. Ian Guerra</t>
  </si>
  <si>
    <t>Estrada de Pacheco</t>
  </si>
  <si>
    <t>Dr. Benício Macedo</t>
  </si>
  <si>
    <t>Ladeira Benjamin Farias</t>
  </si>
  <si>
    <t>Dra. Isabela Monteiro</t>
  </si>
  <si>
    <t>Residencial Correia</t>
  </si>
  <si>
    <t>Hellena Siqueira</t>
  </si>
  <si>
    <t>Favela Maria Sophia Freitas</t>
  </si>
  <si>
    <t>Dr. Pedro Lucas Costa</t>
  </si>
  <si>
    <t>Residencial de Câmara</t>
  </si>
  <si>
    <t>Allana Machado</t>
  </si>
  <si>
    <t>Viaduto de Vieira</t>
  </si>
  <si>
    <t>Alana Melo</t>
  </si>
  <si>
    <t>Aeroporto Beatriz Nascimento</t>
  </si>
  <si>
    <t>Léo Sampaio</t>
  </si>
  <si>
    <t>Vereda de Casa Grande</t>
  </si>
  <si>
    <t>Sofia da Paz</t>
  </si>
  <si>
    <t>Vila de Lima</t>
  </si>
  <si>
    <t>Vila Canto Do Sabiá</t>
  </si>
  <si>
    <t>Emanuella Nascimento</t>
  </si>
  <si>
    <t>Núcleo Mendonça</t>
  </si>
  <si>
    <t>São João</t>
  </si>
  <si>
    <t>Guilherme Novais</t>
  </si>
  <si>
    <t>Trevo Cauê Pires</t>
  </si>
  <si>
    <t>Davi Silva</t>
  </si>
  <si>
    <t>Vereda Nascimento</t>
  </si>
  <si>
    <t>Dra. Ana Vitória Câmara</t>
  </si>
  <si>
    <t>Conjunto Cavalcanti</t>
  </si>
  <si>
    <t>Benjamim Rios</t>
  </si>
  <si>
    <t>Distrito Sabrina Caldeira</t>
  </si>
  <si>
    <t>Dom Peixoto</t>
  </si>
  <si>
    <t>Vereda de Moreira</t>
  </si>
  <si>
    <t>João Miguel Viana</t>
  </si>
  <si>
    <t>Praça da Paz</t>
  </si>
  <si>
    <t>João Lucas Mendes</t>
  </si>
  <si>
    <t>Loteamento Campos</t>
  </si>
  <si>
    <t>Sagrada Família</t>
  </si>
  <si>
    <t>Calebe Souza</t>
  </si>
  <si>
    <t>Aeroporto Benjamin Ribeiro</t>
  </si>
  <si>
    <t>Ana Sophia Vasconcelos</t>
  </si>
  <si>
    <t>Avenida de Cassiano</t>
  </si>
  <si>
    <t>José Miguel Vieira</t>
  </si>
  <si>
    <t>Lagoa Julia Sampaio</t>
  </si>
  <si>
    <t>Albuquerque do Norte</t>
  </si>
  <si>
    <t>Benicio Novais</t>
  </si>
  <si>
    <t>Lago Dias</t>
  </si>
  <si>
    <t>Caio da Mata</t>
  </si>
  <si>
    <t>Chácara Rezende</t>
  </si>
  <si>
    <t>Maria Flor Caldeira</t>
  </si>
  <si>
    <t>Via de Lima</t>
  </si>
  <si>
    <t>Dr. Guilherme Pimenta</t>
  </si>
  <si>
    <t>Alameda João Gabriel Mendonça</t>
  </si>
  <si>
    <t>Nicolas da Mota</t>
  </si>
  <si>
    <t>Parque Almeida</t>
  </si>
  <si>
    <t>Bryan Alves</t>
  </si>
  <si>
    <t>Elisa Vargas</t>
  </si>
  <si>
    <t>Lara Freitas</t>
  </si>
  <si>
    <t>Loteamento Dante Mendes</t>
  </si>
  <si>
    <t>Sra. Ayla Garcia</t>
  </si>
  <si>
    <t>Esplanada de da Rosa</t>
  </si>
  <si>
    <t>Manuella Cirino</t>
  </si>
  <si>
    <t>Travessa Pastor</t>
  </si>
  <si>
    <t>Nathan Guerra</t>
  </si>
  <si>
    <t>Praça Sousa</t>
  </si>
  <si>
    <t>Maria Vitória Porto</t>
  </si>
  <si>
    <t>Distrito Heloisa Vargas</t>
  </si>
  <si>
    <t>Henry Brito</t>
  </si>
  <si>
    <t>Vale de da Rocha</t>
  </si>
  <si>
    <t>Dr. Cauã Câmara</t>
  </si>
  <si>
    <t>Quadra de da Luz</t>
  </si>
  <si>
    <t>Cassiano do Oeste</t>
  </si>
  <si>
    <t>Lavínia Rezende</t>
  </si>
  <si>
    <t>Vereda Cardoso</t>
  </si>
  <si>
    <t>Maria Helena</t>
  </si>
  <si>
    <t>Camila Sampaio</t>
  </si>
  <si>
    <t>Vila Nascimento</t>
  </si>
  <si>
    <t>Kevin Souza</t>
  </si>
  <si>
    <t>Travessa de Porto</t>
  </si>
  <si>
    <t>Cidade Nova</t>
  </si>
  <si>
    <t>João Gabriel Rodrigues</t>
  </si>
  <si>
    <t>Setor Luana Aragão</t>
  </si>
  <si>
    <t>Manacas</t>
  </si>
  <si>
    <t>Pedro Miguel Carvalho</t>
  </si>
  <si>
    <t>Leandro Pires</t>
  </si>
  <si>
    <t>Praia de Fernandes</t>
  </si>
  <si>
    <t>Agatha da Mota</t>
  </si>
  <si>
    <t>Área Andrade</t>
  </si>
  <si>
    <t>Evelyn Fonseca</t>
  </si>
  <si>
    <t>Chácara Cunha</t>
  </si>
  <si>
    <t>Léo Aparecida</t>
  </si>
  <si>
    <t>Favela Camargo</t>
  </si>
  <si>
    <t>Fonseca de Cavalcante</t>
  </si>
  <si>
    <t>Dr. Bento Pinto</t>
  </si>
  <si>
    <t>Via de Macedo</t>
  </si>
  <si>
    <t>Eduarda Pacheco</t>
  </si>
  <si>
    <t>Rodovia Enzo Martins</t>
  </si>
  <si>
    <t>Ravi Caldeira</t>
  </si>
  <si>
    <t>Lago de Montenegro</t>
  </si>
  <si>
    <t>Otávio Freitas</t>
  </si>
  <si>
    <t>Passarela Larissa Lopes</t>
  </si>
  <si>
    <t>Vila Nova Gameleira 3ª Seção</t>
  </si>
  <si>
    <t>Maria Clara da Cruz</t>
  </si>
  <si>
    <t>Parque Ana Sophia Aragão</t>
  </si>
  <si>
    <t>João Mendonça</t>
  </si>
  <si>
    <t>Via Julia Castro</t>
  </si>
  <si>
    <t>Estrela Do Oriente</t>
  </si>
  <si>
    <t>Sra. Allana Leão</t>
  </si>
  <si>
    <t>Chácara Cassiano</t>
  </si>
  <si>
    <t>Joana Câmara</t>
  </si>
  <si>
    <t>Núcleo Ana Laura da Mota</t>
  </si>
  <si>
    <t>Dr. Brayan Barros</t>
  </si>
  <si>
    <t>Conjunto Carvalho</t>
  </si>
  <si>
    <t>Vila Mantiqueira</t>
  </si>
  <si>
    <t>Vinícius da Luz</t>
  </si>
  <si>
    <t>Trecho Nogueira</t>
  </si>
  <si>
    <t>Bela Vitoria</t>
  </si>
  <si>
    <t>João Vitor Albuquerque</t>
  </si>
  <si>
    <t>Viela de Ribeiro</t>
  </si>
  <si>
    <t>Bruno Vieira</t>
  </si>
  <si>
    <t>Vereda de Freitas</t>
  </si>
  <si>
    <t>Ravy Gonçalves</t>
  </si>
  <si>
    <t>Passarela Brito</t>
  </si>
  <si>
    <t>Sr. Danilo Sales</t>
  </si>
  <si>
    <t>Travessa Cirino</t>
  </si>
  <si>
    <t>Mineirão</t>
  </si>
  <si>
    <t>Arthur Gabriel Araújo</t>
  </si>
  <si>
    <t>Praça de Souza</t>
  </si>
  <si>
    <t>Asafe Melo</t>
  </si>
  <si>
    <t>Parque João Vitor Lopes</t>
  </si>
  <si>
    <t>Guaratã</t>
  </si>
  <si>
    <t>Leonardo da Conceição</t>
  </si>
  <si>
    <t>Residencial de Nascimento</t>
  </si>
  <si>
    <t>Vila Fumec</t>
  </si>
  <si>
    <t>Dr. José Pacheco</t>
  </si>
  <si>
    <t>Sítio Breno Rocha</t>
  </si>
  <si>
    <t>Otto Moreira</t>
  </si>
  <si>
    <t>Ladeira de Vieira</t>
  </si>
  <si>
    <t>Novo Tupi</t>
  </si>
  <si>
    <t>Bento Martins</t>
  </si>
  <si>
    <t>Morro de da Paz</t>
  </si>
  <si>
    <t>Conjunto Bonsucesso</t>
  </si>
  <si>
    <t>Anthony da Paz</t>
  </si>
  <si>
    <t>Praia de Sales</t>
  </si>
  <si>
    <t>Vinicius Monteiro</t>
  </si>
  <si>
    <t>Núcleo Cauã Rezende</t>
  </si>
  <si>
    <t>Bernardo Aragão</t>
  </si>
  <si>
    <t>Morro Farias</t>
  </si>
  <si>
    <t>Sra. Mariah Vasconcelos</t>
  </si>
  <si>
    <t>Feira Julia Sá</t>
  </si>
  <si>
    <t>Dr. Vitor Gabriel Costela</t>
  </si>
  <si>
    <t>Praia de da Mata</t>
  </si>
  <si>
    <t>Dr. Nicolas Novaes</t>
  </si>
  <si>
    <t>Praia de da Costa</t>
  </si>
  <si>
    <t>Dom Joaquim</t>
  </si>
  <si>
    <t>Isaac Brito</t>
  </si>
  <si>
    <t>Sítio Maitê Cavalcanti</t>
  </si>
  <si>
    <t>Ester Souza</t>
  </si>
  <si>
    <t>Setor Luiz Otávio Vieira</t>
  </si>
  <si>
    <t>Cauã Cavalcanti</t>
  </si>
  <si>
    <t>Loteamento de Cardoso</t>
  </si>
  <si>
    <t>Ana Lívia Ferreira</t>
  </si>
  <si>
    <t>Praça Vargas</t>
  </si>
  <si>
    <t>Jardim Vitoria</t>
  </si>
  <si>
    <t>Rhavi Andrade</t>
  </si>
  <si>
    <t>Viaduto Azevedo</t>
  </si>
  <si>
    <t>Vila Independencia 3ª Seção</t>
  </si>
  <si>
    <t>Bruno Moraes</t>
  </si>
  <si>
    <t>Trevo de Pereira</t>
  </si>
  <si>
    <t>Flavio De Oliveira</t>
  </si>
  <si>
    <t>Leandro Fogaça</t>
  </si>
  <si>
    <t>Via Enzo Gabriel Cavalcante</t>
  </si>
  <si>
    <t>Sr. José Miguel Pimenta</t>
  </si>
  <si>
    <t>Distrito de Marques</t>
  </si>
  <si>
    <t>Coração Eucarístico</t>
  </si>
  <si>
    <t>Liz Caldeira</t>
  </si>
  <si>
    <t>Pátio Lucca Nunes</t>
  </si>
  <si>
    <t>da Rosa de Nascimento</t>
  </si>
  <si>
    <t>Thales Cunha</t>
  </si>
  <si>
    <t>Rua Araújo</t>
  </si>
  <si>
    <t>Levi Caldeira</t>
  </si>
  <si>
    <t>Conjunto Barros</t>
  </si>
  <si>
    <t>Dr. Luiz Felipe Fogaça</t>
  </si>
  <si>
    <t>Estrada de Moreira</t>
  </si>
  <si>
    <t>Padre Eustáquio</t>
  </si>
  <si>
    <t>João Nogueira</t>
  </si>
  <si>
    <t>Residencial de Leão</t>
  </si>
  <si>
    <t>Letícia Monteiro</t>
  </si>
  <si>
    <t>Parque Otto Araújo</t>
  </si>
  <si>
    <t>Henry Gabriel Siqueira</t>
  </si>
  <si>
    <t>Trecho Laís Alves</t>
  </si>
  <si>
    <t>Conjunto Jatoba</t>
  </si>
  <si>
    <t>Eduardo Almeida</t>
  </si>
  <si>
    <t>Quadra de Pereira</t>
  </si>
  <si>
    <t>Lucca Camargo</t>
  </si>
  <si>
    <t>Estrada de Nascimento</t>
  </si>
  <si>
    <t>Recanto de Macedo</t>
  </si>
  <si>
    <t>Vila Primeiro De Maio</t>
  </si>
  <si>
    <t>Dra. Alícia Andrade</t>
  </si>
  <si>
    <t>Via Albuquerque</t>
  </si>
  <si>
    <t>Joana da Rosa</t>
  </si>
  <si>
    <t>Núcleo Fernandes</t>
  </si>
  <si>
    <t>Olivia Sá</t>
  </si>
  <si>
    <t>Jardim Gonçalves</t>
  </si>
  <si>
    <t>Vila Novo São Lucas</t>
  </si>
  <si>
    <t>Isabela Cassiano</t>
  </si>
  <si>
    <t>Praça de Pinto</t>
  </si>
  <si>
    <t>Maria Alice Viana</t>
  </si>
  <si>
    <t>Estrada de Almeida</t>
  </si>
  <si>
    <t>Srta. Maria Flor Rezende</t>
  </si>
  <si>
    <t>Fazenda Câmara</t>
  </si>
  <si>
    <t>Maria Luísa Oliveira</t>
  </si>
  <si>
    <t>Lagoa Lopes</t>
  </si>
  <si>
    <t>Vila Oeste</t>
  </si>
  <si>
    <t>Alice Guerra</t>
  </si>
  <si>
    <t>Lagoa de Fernandes</t>
  </si>
  <si>
    <t>Diogo Casa Grande</t>
  </si>
  <si>
    <t>Condomínio Aurora Cardoso</t>
  </si>
  <si>
    <t>Vila Copasa</t>
  </si>
  <si>
    <t>Caleb Correia</t>
  </si>
  <si>
    <t>Praça Mendes</t>
  </si>
  <si>
    <t>Luigi Cassiano</t>
  </si>
  <si>
    <t>Trevo Lara Teixeira</t>
  </si>
  <si>
    <t>Emanuel Cavalcanti</t>
  </si>
  <si>
    <t>Setor Pietro Cirino</t>
  </si>
  <si>
    <t>Sofia Castro</t>
  </si>
  <si>
    <t>Alameda Mendes</t>
  </si>
  <si>
    <t>Vacina contra Hipertensão - Dose Única</t>
  </si>
  <si>
    <t>Leandro Jesus</t>
  </si>
  <si>
    <t>Núcleo Caleb Borges</t>
  </si>
  <si>
    <t>Maitê Nunes</t>
  </si>
  <si>
    <t>Vereda Garcia</t>
  </si>
  <si>
    <t>Vila Puc</t>
  </si>
  <si>
    <t>Milena Sales</t>
  </si>
  <si>
    <t>Loteamento Ana Beatriz Marques</t>
  </si>
  <si>
    <t>Mariane Fogaça</t>
  </si>
  <si>
    <t>Vereda Bryan Ramos</t>
  </si>
  <si>
    <t>Melissa Costa</t>
  </si>
  <si>
    <t>Vale de Carvalho</t>
  </si>
  <si>
    <t>Erick Fonseca</t>
  </si>
  <si>
    <t>Travessa João Miguel Peixoto</t>
  </si>
  <si>
    <t>Rael Dias</t>
  </si>
  <si>
    <t>Feira da Luz</t>
  </si>
  <si>
    <t>Vila São Gabriel Jacui</t>
  </si>
  <si>
    <t>Brayan Almeida</t>
  </si>
  <si>
    <t>Residencial Cunha</t>
  </si>
  <si>
    <t>Mirante</t>
  </si>
  <si>
    <t>Srta. Isabelly Borges</t>
  </si>
  <si>
    <t>Campo de da Cruz</t>
  </si>
  <si>
    <t>Eloá Rocha</t>
  </si>
  <si>
    <t>Campo Ribeiro</t>
  </si>
  <si>
    <t>Luna Cardoso</t>
  </si>
  <si>
    <t>Largo de Sá</t>
  </si>
  <si>
    <t>Sarah das Neves</t>
  </si>
  <si>
    <t>Condomínio Emilly Andrade</t>
  </si>
  <si>
    <t>Ravi Lucca da Cruz</t>
  </si>
  <si>
    <t>Valentim da Luz</t>
  </si>
  <si>
    <t>Jardim Porto</t>
  </si>
  <si>
    <t>Sra. Isabela Machado</t>
  </si>
  <si>
    <t>Jardim Sales</t>
  </si>
  <si>
    <t>Santa Helena</t>
  </si>
  <si>
    <t>André da Cunha</t>
  </si>
  <si>
    <t>Área Gael Cavalcanti</t>
  </si>
  <si>
    <t>Asafe Barbosa</t>
  </si>
  <si>
    <t>Viaduto Alves</t>
  </si>
  <si>
    <t>Maria Vitória Fonseca</t>
  </si>
  <si>
    <t>Ladeira de Sousa</t>
  </si>
  <si>
    <t>Kevin Nunes</t>
  </si>
  <si>
    <t>Parque Lunna Borges</t>
  </si>
  <si>
    <t>Vila Madre Gertrudes 1ª Seção</t>
  </si>
  <si>
    <t>Emilly Silva</t>
  </si>
  <si>
    <t>Quadra de Melo</t>
  </si>
  <si>
    <t>Raquel Sousa</t>
  </si>
  <si>
    <t>Residencial Ramos</t>
  </si>
  <si>
    <t>Davi Miguel Moreira</t>
  </si>
  <si>
    <t>Travessa Costela</t>
  </si>
  <si>
    <t>Dr. Liam Fernandes</t>
  </si>
  <si>
    <t>Viaduto Giovanna Guerra</t>
  </si>
  <si>
    <t>Thiago Mendes</t>
  </si>
  <si>
    <t>Núcleo Moura</t>
  </si>
  <si>
    <t>São Damião</t>
  </si>
  <si>
    <t>Luiza Rezende</t>
  </si>
  <si>
    <t>Feira Eloah Gonçalves</t>
  </si>
  <si>
    <t>Luna da Mota</t>
  </si>
  <si>
    <t>Conjunto de Ramos</t>
  </si>
  <si>
    <t>Milena Azevedo</t>
  </si>
  <si>
    <t>Feira Ana Lívia Nogueira</t>
  </si>
  <si>
    <t>Rafael Silveira</t>
  </si>
  <si>
    <t>Núcleo Luiz Miguel Fogaça</t>
  </si>
  <si>
    <t>Sophia Sampaio</t>
  </si>
  <si>
    <t>Vale José Miguel Lima</t>
  </si>
  <si>
    <t>Ayla Martins</t>
  </si>
  <si>
    <t>Teixeira Dias</t>
  </si>
  <si>
    <t>Maitê Andrade</t>
  </si>
  <si>
    <t>Parque Erick Duarte</t>
  </si>
  <si>
    <t>Pantanal</t>
  </si>
  <si>
    <t>Noah Lima</t>
  </si>
  <si>
    <t>Aeroporto Oliver Duarte</t>
  </si>
  <si>
    <t>Vila Cloris</t>
  </si>
  <si>
    <t>Henry Dias</t>
  </si>
  <si>
    <t>Área Pimenta</t>
  </si>
  <si>
    <t>Ryan Vargas</t>
  </si>
  <si>
    <t>Condomínio Diego Rezende</t>
  </si>
  <si>
    <t>Vicente Fogaça</t>
  </si>
  <si>
    <t>Travessa de Rios</t>
  </si>
  <si>
    <t>Mariana Barros</t>
  </si>
  <si>
    <t>Viaduto Ravy Correia</t>
  </si>
  <si>
    <t>Rebeca Gonçalves</t>
  </si>
  <si>
    <t>Jardim Gomes</t>
  </si>
  <si>
    <t>Cecilia da Conceição</t>
  </si>
  <si>
    <t>Praia de Teixeira</t>
  </si>
  <si>
    <t>Carlos Eduardo Macedo</t>
  </si>
  <si>
    <t>Condomínio Castro</t>
  </si>
  <si>
    <t>Guarani</t>
  </si>
  <si>
    <t>João Pedro Ferreira</t>
  </si>
  <si>
    <t>Passarela de da Luz</t>
  </si>
  <si>
    <t>Maria Laura Mendonça</t>
  </si>
  <si>
    <t>Passarela Stella Santos</t>
  </si>
  <si>
    <t>Evelyn Silva</t>
  </si>
  <si>
    <t>Vila de Pires</t>
  </si>
  <si>
    <t>Apollo Aparecida</t>
  </si>
  <si>
    <t>Área Maria Eduarda Vargas</t>
  </si>
  <si>
    <t>Alana Porto</t>
  </si>
  <si>
    <t>Rodovia de da Cruz</t>
  </si>
  <si>
    <t>Marieta 2ª Seção</t>
  </si>
  <si>
    <t>Luana Cardoso</t>
  </si>
  <si>
    <t>Vila Maria Eduarda da Luz</t>
  </si>
  <si>
    <t>Benjamin Nascimento</t>
  </si>
  <si>
    <t>Chácara Moraes</t>
  </si>
  <si>
    <t>Olaria</t>
  </si>
  <si>
    <t>Luiz Felipe da Cunha</t>
  </si>
  <si>
    <t>Feira de Moreira</t>
  </si>
  <si>
    <t>Vitor Hugo Almeida</t>
  </si>
  <si>
    <t>Esplanada Anthony Gabriel Gonçalves</t>
  </si>
  <si>
    <t>Théo Monteiro</t>
  </si>
  <si>
    <t>Rodovia de Gonçalves</t>
  </si>
  <si>
    <t>Luísa Cirino</t>
  </si>
  <si>
    <t>Parque de Santos</t>
  </si>
  <si>
    <t>Raquel Cirino</t>
  </si>
  <si>
    <t>Quadra Juliana Leão</t>
  </si>
  <si>
    <t>Maria Luísa Castro</t>
  </si>
  <si>
    <t>Rua Pimenta</t>
  </si>
  <si>
    <t>Esther da Luz</t>
  </si>
  <si>
    <t>Praça de Vargas</t>
  </si>
  <si>
    <t>Bryan Cavalcanti</t>
  </si>
  <si>
    <t>Sítio Carvalho</t>
  </si>
  <si>
    <t>Marilandia</t>
  </si>
  <si>
    <t>Vitor Borges</t>
  </si>
  <si>
    <t>Estação Bryan Ramos</t>
  </si>
  <si>
    <t>Luara Leão</t>
  </si>
  <si>
    <t>Rua de Rodrigues</t>
  </si>
  <si>
    <t>Sra. Olivia Garcia</t>
  </si>
  <si>
    <t>Quadra de Brito</t>
  </si>
  <si>
    <t>Laís da Rocha</t>
  </si>
  <si>
    <t>Viela de Araújo</t>
  </si>
  <si>
    <t>Maria Liz Cunha</t>
  </si>
  <si>
    <t>Distrito Cavalcante</t>
  </si>
  <si>
    <t>Santo André</t>
  </si>
  <si>
    <t>Dr. Emanuel Barbosa</t>
  </si>
  <si>
    <t>Diego das Neves</t>
  </si>
  <si>
    <t>Viela da Paz</t>
  </si>
  <si>
    <t>Davi Lucas Barros</t>
  </si>
  <si>
    <t>Aeroporto Maria Sophia Gomes</t>
  </si>
  <si>
    <t>Srta. Sarah da Cruz</t>
  </si>
  <si>
    <t>Alameda de Nunes</t>
  </si>
  <si>
    <t>Cecilia Lima</t>
  </si>
  <si>
    <t>Morro Ferreira</t>
  </si>
  <si>
    <t>Sr. Anthony Rodrigues</t>
  </si>
  <si>
    <t>Lagoa de Casa Grande</t>
  </si>
  <si>
    <t>Sr. João Vitor Sá</t>
  </si>
  <si>
    <t>Ladeira de Sales</t>
  </si>
  <si>
    <t>Marcela da Cruz</t>
  </si>
  <si>
    <t>Campo Santos</t>
  </si>
  <si>
    <t>Isaque Nascimento</t>
  </si>
  <si>
    <t>Lago Heitor Gomes</t>
  </si>
  <si>
    <t>Belvedere</t>
  </si>
  <si>
    <t>Evelyn Gomes</t>
  </si>
  <si>
    <t>Fazenda Lívia Caldeira</t>
  </si>
  <si>
    <t>Vila Nova Cachoeirinha 3ª Seção</t>
  </si>
  <si>
    <t>Anthony Melo</t>
  </si>
  <si>
    <t>Via Benjamim Cassiano</t>
  </si>
  <si>
    <t>Esplanada Maria Vitória Nunes</t>
  </si>
  <si>
    <t>Luiz Fernando Cassiano</t>
  </si>
  <si>
    <t>Viela Aparecida</t>
  </si>
  <si>
    <t>Ester Porto</t>
  </si>
  <si>
    <t>Rodovia de Pastor</t>
  </si>
  <si>
    <t>Davi Lucca Lopes</t>
  </si>
  <si>
    <t>Vila Maitê Novaes</t>
  </si>
  <si>
    <t>Antonella Silva</t>
  </si>
  <si>
    <t>Travessa Brito</t>
  </si>
  <si>
    <t>Camponesa 2ª Seção</t>
  </si>
  <si>
    <t>Helena Carvalho</t>
  </si>
  <si>
    <t>Parque de Costela</t>
  </si>
  <si>
    <t>Isabella Cavalcanti</t>
  </si>
  <si>
    <t>Praia Barros</t>
  </si>
  <si>
    <t>Mathias Freitas</t>
  </si>
  <si>
    <t>Rua Luiz Gustavo Viana</t>
  </si>
  <si>
    <t>Jardim Alvorada</t>
  </si>
  <si>
    <t>Paulo Rocha</t>
  </si>
  <si>
    <t>Lago Aparecida</t>
  </si>
  <si>
    <t>Nossa Senhora De Fátima</t>
  </si>
  <si>
    <t>Luana Gonçalves</t>
  </si>
  <si>
    <t>Lago de Duarte</t>
  </si>
  <si>
    <t>Vila Nova Gameleira 1ª Seção</t>
  </si>
  <si>
    <t>Bruna Sales</t>
  </si>
  <si>
    <t>Lagoa de Cavalcante</t>
  </si>
  <si>
    <t>Sabrina Guerra</t>
  </si>
  <si>
    <t>Trecho de Oliveira</t>
  </si>
  <si>
    <t>Danilo Pinto</t>
  </si>
  <si>
    <t>Trecho Brayan Rezende</t>
  </si>
  <si>
    <t>Ana Lívia Vasconcelos</t>
  </si>
  <si>
    <t>Travessa Emanuella das Neves</t>
  </si>
  <si>
    <t>Leticia</t>
  </si>
  <si>
    <t>Srta. Luísa Souza</t>
  </si>
  <si>
    <t>Sítio de Moura</t>
  </si>
  <si>
    <t>Juan Mendonça</t>
  </si>
  <si>
    <t>Loteamento Valentina Andrade</t>
  </si>
  <si>
    <t>Letícia Albuquerque</t>
  </si>
  <si>
    <t>Luiz Gustavo Macedo</t>
  </si>
  <si>
    <t>Trevo de Cirino</t>
  </si>
  <si>
    <t>João Gabriel Moreira</t>
  </si>
  <si>
    <t>Conjunto Gustavo Henrique das Neves</t>
  </si>
  <si>
    <t>Dr. Kevin Pacheco</t>
  </si>
  <si>
    <t>Conjunto de Teixeira</t>
  </si>
  <si>
    <t>Laura Rezende</t>
  </si>
  <si>
    <t>Pátio Montenegro</t>
  </si>
  <si>
    <t>Nova Pampulha</t>
  </si>
  <si>
    <t>Benicio Ribeiro</t>
  </si>
  <si>
    <t>Ladeira Jesus</t>
  </si>
  <si>
    <t>Bernadete</t>
  </si>
  <si>
    <t>João Vitor Pereira</t>
  </si>
  <si>
    <t>Pátio de Carvalho</t>
  </si>
  <si>
    <t>Pietra das Neves</t>
  </si>
  <si>
    <t>Núcleo Anna Liz Andrade</t>
  </si>
  <si>
    <t>Santa Cecilia</t>
  </si>
  <si>
    <t>Carlos Eduardo Castro</t>
  </si>
  <si>
    <t>Rodovia de Pires</t>
  </si>
  <si>
    <t>Sofia Andrade</t>
  </si>
  <si>
    <t>Jardim de Cavalcanti</t>
  </si>
  <si>
    <t>Noah Pereira</t>
  </si>
  <si>
    <t>Estação de Marques</t>
  </si>
  <si>
    <t>Condicionador Hidratação Johnson's FPS 70</t>
  </si>
  <si>
    <t>Valentim Andrade</t>
  </si>
  <si>
    <t>Estação Davi Teixeira</t>
  </si>
  <si>
    <t>Heitor Dias</t>
  </si>
  <si>
    <t>Centro</t>
  </si>
  <si>
    <t>Gabrielly Dias</t>
  </si>
  <si>
    <t>Largo Pacheco</t>
  </si>
  <si>
    <t>Parque São José</t>
  </si>
  <si>
    <t>Diego Alves</t>
  </si>
  <si>
    <t>Área Maria Albuquerque</t>
  </si>
  <si>
    <t>Jardim América</t>
  </si>
  <si>
    <t>Sra. Carolina Brito</t>
  </si>
  <si>
    <t>Conjunto Lunna Borges</t>
  </si>
  <si>
    <t>André Azevedo</t>
  </si>
  <si>
    <t>Viela João Pires</t>
  </si>
  <si>
    <t>Sr. Cauã Garcia</t>
  </si>
  <si>
    <t>Aeroporto Alexia Barros</t>
  </si>
  <si>
    <t>Manuela Monteiro</t>
  </si>
  <si>
    <t>Favela Pereira</t>
  </si>
  <si>
    <t>Paraíso</t>
  </si>
  <si>
    <t>Noah Castro</t>
  </si>
  <si>
    <t>Distrito de Gonçalves</t>
  </si>
  <si>
    <t>Estrada da Paz</t>
  </si>
  <si>
    <t>Bianca Gonçalves</t>
  </si>
  <si>
    <t>Núcleo de da Cruz</t>
  </si>
  <si>
    <t>Ravy Fogaça</t>
  </si>
  <si>
    <t>Largo da Mata</t>
  </si>
  <si>
    <t>Luísa Pires</t>
  </si>
  <si>
    <t>Viaduto Luiz Gustavo Siqueira</t>
  </si>
  <si>
    <t>Maria Liz Ferreira</t>
  </si>
  <si>
    <t>Vereda de da Conceição</t>
  </si>
  <si>
    <t>Davi Lucca Macedo</t>
  </si>
  <si>
    <t>Praia Pereira</t>
  </si>
  <si>
    <t>Vitor Monteiro</t>
  </si>
  <si>
    <t>Setor Ribeiro</t>
  </si>
  <si>
    <t>Cecília Aragão</t>
  </si>
  <si>
    <t>Condomínio de Melo</t>
  </si>
  <si>
    <t>Igor Machado</t>
  </si>
  <si>
    <t>Estação Leão</t>
  </si>
  <si>
    <t>Hellena Silveira</t>
  </si>
  <si>
    <t>Chácara Marcelo Viana</t>
  </si>
  <si>
    <t>Manuella Guerra</t>
  </si>
  <si>
    <t>Praça Vitor Garcia</t>
  </si>
  <si>
    <t>Juliana</t>
  </si>
  <si>
    <t>Maria Sophia Moreira</t>
  </si>
  <si>
    <t>Lagoa Rhavi Albuquerque</t>
  </si>
  <si>
    <t>Léo Mendonça</t>
  </si>
  <si>
    <t>Lagoa de Farias</t>
  </si>
  <si>
    <t>Nicolas Ribeiro</t>
  </si>
  <si>
    <t>Trevo Duarte</t>
  </si>
  <si>
    <t>Bruna Cassiano</t>
  </si>
  <si>
    <t>Conjunto de da Paz</t>
  </si>
  <si>
    <t>Cauã Gomes</t>
  </si>
  <si>
    <t>Vale de Casa Grande</t>
  </si>
  <si>
    <t>Liberdade</t>
  </si>
  <si>
    <t>Vitor Aragão</t>
  </si>
  <si>
    <t>Passarela da Rosa</t>
  </si>
  <si>
    <t>Sophia Pacheco</t>
  </si>
  <si>
    <t>Núcleo de Silveira</t>
  </si>
  <si>
    <t>Eduardo Vasconcelos</t>
  </si>
  <si>
    <t>Esplanada de Viana</t>
  </si>
  <si>
    <t>Lorenzo Vargas</t>
  </si>
  <si>
    <t>Vale Francisco Cardoso</t>
  </si>
  <si>
    <t>Sra. Rafaela Mendes</t>
  </si>
  <si>
    <t>Luiz Felipe Vieira</t>
  </si>
  <si>
    <t>Chácara Alana da Mota</t>
  </si>
  <si>
    <t>Pongelupe</t>
  </si>
  <si>
    <t>Nathan Aparecida</t>
  </si>
  <si>
    <t>Fazenda Alícia Abreu</t>
  </si>
  <si>
    <t>Sr. Ryan Brito</t>
  </si>
  <si>
    <t>Morro de da Conceição</t>
  </si>
  <si>
    <t>João Guilherme Jesus</t>
  </si>
  <si>
    <t>Rodovia Sampaio</t>
  </si>
  <si>
    <t>São Tomaz</t>
  </si>
  <si>
    <t>Ana Rodrigues</t>
  </si>
  <si>
    <t>Passarela João Felipe Silva</t>
  </si>
  <si>
    <t>Emanuel Nogueira</t>
  </si>
  <si>
    <t>Favela de Melo</t>
  </si>
  <si>
    <t>Luara Sampaio</t>
  </si>
  <si>
    <t>Trevo Marina Montenegro</t>
  </si>
  <si>
    <t>Marcela Silva</t>
  </si>
  <si>
    <t>Viaduto Ester Lopes</t>
  </si>
  <si>
    <t>Conjunto Celso Machado</t>
  </si>
  <si>
    <t>Luna Barros</t>
  </si>
  <si>
    <t>Conjunto Sara Silveira</t>
  </si>
  <si>
    <t>Dr. Benício Guerra</t>
  </si>
  <si>
    <t>Estação de Cavalcanti</t>
  </si>
  <si>
    <t>Gustavo Silva</t>
  </si>
  <si>
    <t>Sítio André Teixeira</t>
  </si>
  <si>
    <t>Vila São João Batista</t>
  </si>
  <si>
    <t>Dr. Lucas Gabriel Guerra</t>
  </si>
  <si>
    <t>Favela Silva</t>
  </si>
  <si>
    <t>Clara Andrade</t>
  </si>
  <si>
    <t>Vereda Ana Luiza da Paz</t>
  </si>
  <si>
    <t>Isabel Cardoso</t>
  </si>
  <si>
    <t>Condomínio Siqueira</t>
  </si>
  <si>
    <t>Cauã da Cunha</t>
  </si>
  <si>
    <t>Jardim Yago Duarte</t>
  </si>
  <si>
    <t>Bárbara Gomes</t>
  </si>
  <si>
    <t>Viela Caldeira</t>
  </si>
  <si>
    <t>Lorenzo Barbosa</t>
  </si>
  <si>
    <t>Lagoa Catarina Alves</t>
  </si>
  <si>
    <t>Vila Jardim Alvorada</t>
  </si>
  <si>
    <t>Gael Pastor</t>
  </si>
  <si>
    <t>Parque da Cruz</t>
  </si>
  <si>
    <t>Maria Júlia Casa Grande</t>
  </si>
  <si>
    <t>Dra. Isabel Gomes</t>
  </si>
  <si>
    <t>Lago de Dias</t>
  </si>
  <si>
    <t>Dr. José Miguel Alves</t>
  </si>
  <si>
    <t>Lago Hadassa da Mota</t>
  </si>
  <si>
    <t>São Jorge 2ª Seção</t>
  </si>
  <si>
    <t>Dr. José Fogaça</t>
  </si>
  <si>
    <t>Sítio de Pastor</t>
  </si>
  <si>
    <t>Sr. Lorenzo Barros</t>
  </si>
  <si>
    <t>Condomínio de Barros</t>
  </si>
  <si>
    <t>Júlia Barros</t>
  </si>
  <si>
    <t>Conjunto de Ribeiro</t>
  </si>
  <si>
    <t>Dra. Bella Moura</t>
  </si>
  <si>
    <t>Núcleo Erick Carvalho</t>
  </si>
  <si>
    <t>Luiz Felipe Pires</t>
  </si>
  <si>
    <t>Aeroporto Aragão</t>
  </si>
  <si>
    <t>Dr. Leandro Moreira</t>
  </si>
  <si>
    <t>Esplanada de Dias</t>
  </si>
  <si>
    <t>Isabel Pereira</t>
  </si>
  <si>
    <t>Favela Benicio Barros</t>
  </si>
  <si>
    <t>Ana Julia Oliveira</t>
  </si>
  <si>
    <t>Largo Manuela da Mota</t>
  </si>
  <si>
    <t>Ravy Aragão</t>
  </si>
  <si>
    <t>Rua Ravi Lucca Carvalho</t>
  </si>
  <si>
    <t>João Gabriel Guerra</t>
  </si>
  <si>
    <t>Jardim Isaac Fonseca</t>
  </si>
  <si>
    <t>Pedro Henrique Cunha</t>
  </si>
  <si>
    <t>Chácara Benjamim Rezende</t>
  </si>
  <si>
    <t>Vila Trinta E Um De Março</t>
  </si>
  <si>
    <t>Eduardo Cassiano</t>
  </si>
  <si>
    <t>Vereda de Vasconcelos</t>
  </si>
  <si>
    <t>Juliana Cavalcante</t>
  </si>
  <si>
    <t>Chácara de Ramos</t>
  </si>
  <si>
    <t>Luísa Rios</t>
  </si>
  <si>
    <t>Sítio Cunha</t>
  </si>
  <si>
    <t>Leandro Garcia</t>
  </si>
  <si>
    <t>Conjunto Maria Isis Azevedo</t>
  </si>
  <si>
    <t>Carlos Eduardo Nascimento</t>
  </si>
  <si>
    <t>Lago Barbosa</t>
  </si>
  <si>
    <t>Macedo de Martins</t>
  </si>
  <si>
    <t>Emilly Araújo</t>
  </si>
  <si>
    <t>Manuella Camargo</t>
  </si>
  <si>
    <t>Campo Borges</t>
  </si>
  <si>
    <t>Isabelly Abreu</t>
  </si>
  <si>
    <t>Distrito Carvalho</t>
  </si>
  <si>
    <t>Caroline da Rosa</t>
  </si>
  <si>
    <t>Núcleo de Cavalcanti</t>
  </si>
  <si>
    <t>João Lucas Santos</t>
  </si>
  <si>
    <t>Viaduto de Farias</t>
  </si>
  <si>
    <t>Vila Real 1ª Seção</t>
  </si>
  <si>
    <t>Cecilia Barbosa</t>
  </si>
  <si>
    <t>Distrito de Nascimento</t>
  </si>
  <si>
    <t>Sofia Garcia</t>
  </si>
  <si>
    <t>Passarela Camargo</t>
  </si>
  <si>
    <t>Caio Barbosa</t>
  </si>
  <si>
    <t>Lago de Pacheco</t>
  </si>
  <si>
    <t>Dra. Ayla Borges</t>
  </si>
  <si>
    <t>Chácara Heloisa da Paz</t>
  </si>
  <si>
    <t>Srta. Heloísa da Cruz</t>
  </si>
  <si>
    <t>Via de Moreira</t>
  </si>
  <si>
    <t>Eloah Caldeira</t>
  </si>
  <si>
    <t>Campo Vargas</t>
  </si>
  <si>
    <t>Mariane Castro</t>
  </si>
  <si>
    <t>Feira de da Mata</t>
  </si>
  <si>
    <t>Luiz Felipe Casa Grande</t>
  </si>
  <si>
    <t>Fazenda Ferreira</t>
  </si>
  <si>
    <t>Josué Viana</t>
  </si>
  <si>
    <t>Travessa de Souza</t>
  </si>
  <si>
    <t>Augusto Novaes</t>
  </si>
  <si>
    <t>Núcleo Vieira</t>
  </si>
  <si>
    <t>Dr. Cauã Mendes</t>
  </si>
  <si>
    <t>Lagoa de Barros</t>
  </si>
  <si>
    <t>Ravi da Costa</t>
  </si>
  <si>
    <t>Setor Benício Gonçalves</t>
  </si>
  <si>
    <t>Pedro Nunes</t>
  </si>
  <si>
    <t>Praça de Barbosa</t>
  </si>
  <si>
    <t>Enzo Martins</t>
  </si>
  <si>
    <t>Feira Manuela Sampaio</t>
  </si>
  <si>
    <t>Sr. Thomas Vasconcelos</t>
  </si>
  <si>
    <t>Viela Pedro Miguel da Paz</t>
  </si>
  <si>
    <t>Esther Machado</t>
  </si>
  <si>
    <t>Vila Lucca Jesus</t>
  </si>
  <si>
    <t>Nathan Sousa</t>
  </si>
  <si>
    <t>Alameda Helena da Mota</t>
  </si>
  <si>
    <t>Alana Duarte</t>
  </si>
  <si>
    <t>Favela Castro</t>
  </si>
  <si>
    <t>Levi Câmara</t>
  </si>
  <si>
    <t>João Gabriel Garcia</t>
  </si>
  <si>
    <t>Fazenda Aragão</t>
  </si>
  <si>
    <t>Bella Sampaio</t>
  </si>
  <si>
    <t>Avenida Pacheco</t>
  </si>
  <si>
    <t>Otto Montenegro</t>
  </si>
  <si>
    <t>Largo Borges</t>
  </si>
  <si>
    <t>Sra. Yasmin Fogaça</t>
  </si>
  <si>
    <t>Sítio Vasconcelos</t>
  </si>
  <si>
    <t>Amanda Monteiro</t>
  </si>
  <si>
    <t>Conjunto de Barros</t>
  </si>
  <si>
    <t>Ísis Casa Grande</t>
  </si>
  <si>
    <t>Lago de Mendes</t>
  </si>
  <si>
    <t>Dr. Arthur Miguel Machado</t>
  </si>
  <si>
    <t>Aeroporto de Pacheco</t>
  </si>
  <si>
    <t>Ana Lívia Cardoso</t>
  </si>
  <si>
    <t>Jardim de Costa</t>
  </si>
  <si>
    <t>Dra. Isabel Cavalcanti</t>
  </si>
  <si>
    <t>Feira de Vargas</t>
  </si>
  <si>
    <t>Srta. Júlia Cassiano</t>
  </si>
  <si>
    <t>Pátio Cunha</t>
  </si>
  <si>
    <t>Penha</t>
  </si>
  <si>
    <t>Jade Rios</t>
  </si>
  <si>
    <t>Fazenda de Azevedo</t>
  </si>
  <si>
    <t>Bianca Andrade</t>
  </si>
  <si>
    <t>Favela Moraes</t>
  </si>
  <si>
    <t>Maria Laura Dias</t>
  </si>
  <si>
    <t>Recanto Guerra</t>
  </si>
  <si>
    <t>Lajedo</t>
  </si>
  <si>
    <t>Matheus Jesus</t>
  </si>
  <si>
    <t>Parque Isabela da Conceição</t>
  </si>
  <si>
    <t>Sra. Ana Lívia Porto</t>
  </si>
  <si>
    <t>Maria Fernanda Castro</t>
  </si>
  <si>
    <t>Condomínio Cauã Brito</t>
  </si>
  <si>
    <t>Ana Melo</t>
  </si>
  <si>
    <t>Área Juan Macedo</t>
  </si>
  <si>
    <t>Stephany Castro</t>
  </si>
  <si>
    <t>Chácara Dom Freitas</t>
  </si>
  <si>
    <t>Camila Martins</t>
  </si>
  <si>
    <t>Ladeira Eduardo Novais</t>
  </si>
  <si>
    <t>Serrano</t>
  </si>
  <si>
    <t>Benício Garcia</t>
  </si>
  <si>
    <t>Alameda Gonçalves</t>
  </si>
  <si>
    <t>Isabel Lopes</t>
  </si>
  <si>
    <t>Loteamento da Rocha</t>
  </si>
  <si>
    <t>Brayan Aparecida</t>
  </si>
  <si>
    <t>Parque Costa</t>
  </si>
  <si>
    <t>Raul Sampaio</t>
  </si>
  <si>
    <t>Núcleo Carvalho</t>
  </si>
  <si>
    <t>Pedro Miguel da Paz</t>
  </si>
  <si>
    <t>Fazenda Barbosa</t>
  </si>
  <si>
    <t>João Vitor Costa</t>
  </si>
  <si>
    <t>Condomínio Antony Farias</t>
  </si>
  <si>
    <t>Antony Nogueira</t>
  </si>
  <si>
    <t>Rua de Monteiro</t>
  </si>
  <si>
    <t>Caleb da Cunha</t>
  </si>
  <si>
    <t>Parque Camila Pires</t>
  </si>
  <si>
    <t>Ouro Minas</t>
  </si>
  <si>
    <t>Luiz Felipe Pastor</t>
  </si>
  <si>
    <t>Rodovia Macedo</t>
  </si>
  <si>
    <t>Léo Ferreira</t>
  </si>
  <si>
    <t>Quadra de Moura</t>
  </si>
  <si>
    <t>Lara Teixeira</t>
  </si>
  <si>
    <t>Favela de Pires</t>
  </si>
  <si>
    <t>Luiza Barbosa</t>
  </si>
  <si>
    <t>Travessa Theodoro Vasconcelos</t>
  </si>
  <si>
    <t>Aurora Guerra</t>
  </si>
  <si>
    <t>Colônia Ana Liz da Rocha</t>
  </si>
  <si>
    <t>Boa União 1ª Seção</t>
  </si>
  <si>
    <t>Juan Ramos</t>
  </si>
  <si>
    <t>Chácara Viana</t>
  </si>
  <si>
    <t>Diogo das Neves</t>
  </si>
  <si>
    <t>Praça da Conceição</t>
  </si>
  <si>
    <t>Paulo Rezende</t>
  </si>
  <si>
    <t>Núcleo Letícia Sampaio</t>
  </si>
  <si>
    <t>Calebe Mendes</t>
  </si>
  <si>
    <t>Alameda Maria Alice Novais</t>
  </si>
  <si>
    <t>Isabelly Farias</t>
  </si>
  <si>
    <t>Parque da Luz</t>
  </si>
  <si>
    <t>Dra. Raquel Correia</t>
  </si>
  <si>
    <t>Vale de Ferreira</t>
  </si>
  <si>
    <t>André Pastor</t>
  </si>
  <si>
    <t>Jardim Clara Dias</t>
  </si>
  <si>
    <t>Srta. Eloá Nascimento</t>
  </si>
  <si>
    <t>Residencial Cassiano</t>
  </si>
  <si>
    <t>Heliopolis</t>
  </si>
  <si>
    <t>Dra. Bárbara da Luz</t>
  </si>
  <si>
    <t>Viela de Pastor</t>
  </si>
  <si>
    <t>Otto Castro</t>
  </si>
  <si>
    <t>Vale de Rodrigues</t>
  </si>
  <si>
    <t>Stella Barbosa</t>
  </si>
  <si>
    <t>Vale de Pereira</t>
  </si>
  <si>
    <t>Maysa Fogaça</t>
  </si>
  <si>
    <t>Viaduto Bruno Moreira</t>
  </si>
  <si>
    <t>Dra. Heloisa Leão</t>
  </si>
  <si>
    <t>Vila Moraes</t>
  </si>
  <si>
    <t>Vitor Gabriel Lima</t>
  </si>
  <si>
    <t>Condomínio de Marques</t>
  </si>
  <si>
    <t>Alice Ramos</t>
  </si>
  <si>
    <t>Lagoa Freitas</t>
  </si>
  <si>
    <t>Sr. Matheus Ribeiro</t>
  </si>
  <si>
    <t>Área de Mendes</t>
  </si>
  <si>
    <t>Ana Laura Rios</t>
  </si>
  <si>
    <t>Lagoa Camargo</t>
  </si>
  <si>
    <t>Dr. Thomas Abreu</t>
  </si>
  <si>
    <t>Campo Gomes</t>
  </si>
  <si>
    <t>Rebeca Melo</t>
  </si>
  <si>
    <t>Quadra de das Neves</t>
  </si>
  <si>
    <t>João Pedro Caldeira</t>
  </si>
  <si>
    <t>Aeroporto Pastor</t>
  </si>
  <si>
    <t>Pimenta da Praia</t>
  </si>
  <si>
    <t>Alexandre da Conceição</t>
  </si>
  <si>
    <t>Vereda Maria Eduarda Moura</t>
  </si>
  <si>
    <t>Ana Sophia Araújo</t>
  </si>
  <si>
    <t>Parque Heitor Vieira</t>
  </si>
  <si>
    <t>Bella Fernandes</t>
  </si>
  <si>
    <t>Vinicius Melo</t>
  </si>
  <si>
    <t>Estação Diogo Rodrigues</t>
  </si>
  <si>
    <t>Dom Cabral</t>
  </si>
  <si>
    <t>Larissa da Rosa</t>
  </si>
  <si>
    <t>Residencial de Farias</t>
  </si>
  <si>
    <t>Gael Freitas</t>
  </si>
  <si>
    <t>Vereda Léo Nogueira</t>
  </si>
  <si>
    <t>Sra. Milena Pires</t>
  </si>
  <si>
    <t>Jardim Zoe Barbosa</t>
  </si>
  <si>
    <t>José Pedro Alves</t>
  </si>
  <si>
    <t>Travessa de Barros</t>
  </si>
  <si>
    <t>Santa Cruz</t>
  </si>
  <si>
    <t>Caio Abreu</t>
  </si>
  <si>
    <t>Via Pedro Barros</t>
  </si>
  <si>
    <t>Ana Luiza Silveira</t>
  </si>
  <si>
    <t>Rua de Sampaio</t>
  </si>
  <si>
    <t>Nicolas Pereira</t>
  </si>
  <si>
    <t>Estrada de da Cunha</t>
  </si>
  <si>
    <t>Antônio Rios</t>
  </si>
  <si>
    <t>Rodovia de Farias</t>
  </si>
  <si>
    <t>Eloá Andrade</t>
  </si>
  <si>
    <t>Conjunto de Nunes</t>
  </si>
  <si>
    <t>Dr. Guilherme Teixeira</t>
  </si>
  <si>
    <t>Rua Felipe Peixoto</t>
  </si>
  <si>
    <t>Sr. Otto Barbosa</t>
  </si>
  <si>
    <t>Lago de Ramos</t>
  </si>
  <si>
    <t>Larissa Correia</t>
  </si>
  <si>
    <t>Chácara da Mata</t>
  </si>
  <si>
    <t>Marcelo da Rocha</t>
  </si>
  <si>
    <t>Recanto de Moreira</t>
  </si>
  <si>
    <t>Maria Eduarda Monteiro</t>
  </si>
  <si>
    <t>Rua de Caldeira</t>
  </si>
  <si>
    <t>João Vitor Aragão</t>
  </si>
  <si>
    <t>Distrito Mendes</t>
  </si>
  <si>
    <t>Julia Ramos</t>
  </si>
  <si>
    <t>Campo de Freitas</t>
  </si>
  <si>
    <t>Arthur Gabriel Cardoso</t>
  </si>
  <si>
    <t>Setor da Cunha</t>
  </si>
  <si>
    <t>Sr. Luiz Gustavo Jesus</t>
  </si>
  <si>
    <t>Lago Pinto</t>
  </si>
  <si>
    <t>Letícia Araújo</t>
  </si>
  <si>
    <t>Conjunto Ana Julia Câmara</t>
  </si>
  <si>
    <t>Dra. Emanuelly Monteiro</t>
  </si>
  <si>
    <t>Trevo Alves</t>
  </si>
  <si>
    <t>Sr. Benjamim Caldeira</t>
  </si>
  <si>
    <t>Vila de Aragão</t>
  </si>
  <si>
    <t>Daniel Moreira</t>
  </si>
  <si>
    <t>Feira Amanda das Neves</t>
  </si>
  <si>
    <t>Gabrielly da Rosa</t>
  </si>
  <si>
    <t>Travessa de da Mata</t>
  </si>
  <si>
    <t>Dr. Marcelo Melo</t>
  </si>
  <si>
    <t>Vale Nathan Albuquerque</t>
  </si>
  <si>
    <t>Stephany Viana</t>
  </si>
  <si>
    <t>Esplanada de Vargas</t>
  </si>
  <si>
    <t>Bryan Azevedo</t>
  </si>
  <si>
    <t>Vereda de Rios</t>
  </si>
  <si>
    <t>Olívia Mendonça</t>
  </si>
  <si>
    <t>Quadra de Silveira</t>
  </si>
  <si>
    <t>Sr. Noah Moraes</t>
  </si>
  <si>
    <t>Fazenda Rezende</t>
  </si>
  <si>
    <t>Maria Isis Cunha</t>
  </si>
  <si>
    <t>Favela Antony Pastor</t>
  </si>
  <si>
    <t>Sra. Luana Jesus</t>
  </si>
  <si>
    <t>Recanto de Novaes</t>
  </si>
  <si>
    <t>Heloísa Rezende</t>
  </si>
  <si>
    <t>Aeroporto da Conceição</t>
  </si>
  <si>
    <t>Indaiá</t>
  </si>
  <si>
    <t>Sr. Rafael Gonçalves</t>
  </si>
  <si>
    <t>Passarela Noah Nogueira</t>
  </si>
  <si>
    <t>José Pedro Vargas</t>
  </si>
  <si>
    <t>Condomínio Pacheco</t>
  </si>
  <si>
    <t>João Felipe Novais</t>
  </si>
  <si>
    <t>Rua Isabella Porto</t>
  </si>
  <si>
    <t>Rafaela Gomes</t>
  </si>
  <si>
    <t>Morro Gonçalves</t>
  </si>
  <si>
    <t>Valentim Cunha</t>
  </si>
  <si>
    <t>Rodovia de Fonseca</t>
  </si>
  <si>
    <t>Ísis Cassiano</t>
  </si>
  <si>
    <t>Sítio de da Paz</t>
  </si>
  <si>
    <t>Pedro Henrique Duarte</t>
  </si>
  <si>
    <t>Rodovia de Freitas</t>
  </si>
  <si>
    <t>Chácara de Abreu</t>
  </si>
  <si>
    <t>Eloá Rodrigues</t>
  </si>
  <si>
    <t>Vereda Carolina Porto</t>
  </si>
  <si>
    <t>Sr. Thomas Pires</t>
  </si>
  <si>
    <t>Residencial de Azevedo</t>
  </si>
  <si>
    <t>Ladeira de Campos</t>
  </si>
  <si>
    <t>Srta. Larissa Moura</t>
  </si>
  <si>
    <t>Vale Vargas</t>
  </si>
  <si>
    <t>Dra. Manuela da Mota</t>
  </si>
  <si>
    <t>Lago de Casa Grande</t>
  </si>
  <si>
    <t>Breno Moura</t>
  </si>
  <si>
    <t>Vereda de Cavalcanti</t>
  </si>
  <si>
    <t>Joana Aragão</t>
  </si>
  <si>
    <t>Quadra de Cavalcante</t>
  </si>
  <si>
    <t>Sr. Henrique Alves</t>
  </si>
  <si>
    <t>Jardim de Moreira</t>
  </si>
  <si>
    <t>Cecília Pires</t>
  </si>
  <si>
    <t>Fazenda Theodoro da Luz</t>
  </si>
  <si>
    <t>Isabelly Souza</t>
  </si>
  <si>
    <t>Jardim de Camargo</t>
  </si>
  <si>
    <t>Maria Cecília Casa Grande</t>
  </si>
  <si>
    <t>Loteamento Marques</t>
  </si>
  <si>
    <t>Antônio das Neves</t>
  </si>
  <si>
    <t>Praia de Almeida</t>
  </si>
  <si>
    <t>Rua Noah Pastor</t>
  </si>
  <si>
    <t>Alícia da Cruz</t>
  </si>
  <si>
    <t>Estrada Pastor</t>
  </si>
  <si>
    <t>Apollo da Paz</t>
  </si>
  <si>
    <t>Vereda de Fernandes</t>
  </si>
  <si>
    <t>Luiza Andrade</t>
  </si>
  <si>
    <t>Largo Cavalcante</t>
  </si>
  <si>
    <t>Fernão Dias</t>
  </si>
  <si>
    <t>Nicole Gomes</t>
  </si>
  <si>
    <t>Favela de Vasconcelos</t>
  </si>
  <si>
    <t>Rael Montenegro</t>
  </si>
  <si>
    <t>Trecho de Teixeira</t>
  </si>
  <si>
    <t>Vitor Hugo Fogaça</t>
  </si>
  <si>
    <t>Passarela Novaes</t>
  </si>
  <si>
    <t>Cinquentenário</t>
  </si>
  <si>
    <t>Dr. Theodoro Rodrigues</t>
  </si>
  <si>
    <t>Núcleo de Araújo</t>
  </si>
  <si>
    <t>Gabriel Costa</t>
  </si>
  <si>
    <t>Colônia João Gabriel Carvalho</t>
  </si>
  <si>
    <t>Brenda Novaes</t>
  </si>
  <si>
    <t>Avenida de Pastor</t>
  </si>
  <si>
    <t>Satelite</t>
  </si>
  <si>
    <t>Maria da Conceição</t>
  </si>
  <si>
    <t>Rua Ravi Cavalcante</t>
  </si>
  <si>
    <t>Valentim Sousa</t>
  </si>
  <si>
    <t>Conjunto Fonseca</t>
  </si>
  <si>
    <t>Srta. Larissa Rios</t>
  </si>
  <si>
    <t>Esplanada de da Paz</t>
  </si>
  <si>
    <t>Pedro Lucas Costela</t>
  </si>
  <si>
    <t>Morro Alexia Duarte</t>
  </si>
  <si>
    <t>João Gabriel Gonçalves</t>
  </si>
  <si>
    <t>Esplanada de da Rocha</t>
  </si>
  <si>
    <t>Colônia Clarice Costa</t>
  </si>
  <si>
    <t>José Pedro da Luz</t>
  </si>
  <si>
    <t>Trecho Isaque Cavalcante</t>
  </si>
  <si>
    <t>Conjunto de Cirino</t>
  </si>
  <si>
    <t>Théo Cardoso</t>
  </si>
  <si>
    <t>Núcleo Mendes</t>
  </si>
  <si>
    <t>Maria Eduarda Andrade</t>
  </si>
  <si>
    <t>Setor de Mendonça</t>
  </si>
  <si>
    <t>Dr. Ryan Cavalcante</t>
  </si>
  <si>
    <t>Parque Luigi Borges</t>
  </si>
  <si>
    <t>Enrico Sales</t>
  </si>
  <si>
    <t>Área Lorena Nogueira</t>
  </si>
  <si>
    <t>Maitê Pires</t>
  </si>
  <si>
    <t>Passarela de Fonseca</t>
  </si>
  <si>
    <t>Dra. Ana Cecília Cavalcanti</t>
  </si>
  <si>
    <t>Maria Laura Cavalcanti</t>
  </si>
  <si>
    <t>Área Machado</t>
  </si>
  <si>
    <t>Alpes</t>
  </si>
  <si>
    <t>Antony Carvalho</t>
  </si>
  <si>
    <t>Viela Siqueira</t>
  </si>
  <si>
    <t>Pietra Fonseca</t>
  </si>
  <si>
    <t>Praça de Azevedo</t>
  </si>
  <si>
    <t>Juan Azevedo</t>
  </si>
  <si>
    <t>Feira Fernandes</t>
  </si>
  <si>
    <t>Sarah Fogaça</t>
  </si>
  <si>
    <t>Morro Danilo Guerra</t>
  </si>
  <si>
    <t>João Rios</t>
  </si>
  <si>
    <t>Lago Maria Luísa da Rocha</t>
  </si>
  <si>
    <t>Maitê Silva</t>
  </si>
  <si>
    <t>Esplanada Juliana Abreu</t>
  </si>
  <si>
    <t>Vicente Rocha</t>
  </si>
  <si>
    <t>Vale Joana Dias</t>
  </si>
  <si>
    <t>José Pedro da Rosa</t>
  </si>
  <si>
    <t>Rodovia Anthony Gabriel Ramos</t>
  </si>
  <si>
    <t>Joana Novais</t>
  </si>
  <si>
    <t>Lago de Moraes</t>
  </si>
  <si>
    <t>Sophie Sampaio</t>
  </si>
  <si>
    <t>Fazenda Jesus</t>
  </si>
  <si>
    <t>Srta. Olívia Souza</t>
  </si>
  <si>
    <t>Viaduto de Pacheco</t>
  </si>
  <si>
    <t>Alto Barroca</t>
  </si>
  <si>
    <t>Maria Clara Andrade</t>
  </si>
  <si>
    <t>Área Lucca Pinto</t>
  </si>
  <si>
    <t>Ana Siqueira</t>
  </si>
  <si>
    <t>Campo Pietra Garcia</t>
  </si>
  <si>
    <t>Pedro Henrique Pastor</t>
  </si>
  <si>
    <t>Rodovia Sarah Andrade</t>
  </si>
  <si>
    <t>Stella Cunha</t>
  </si>
  <si>
    <t>Setor Ana Liz Caldeira</t>
  </si>
  <si>
    <t>João Vitor Lopes</t>
  </si>
  <si>
    <t>Vale Nathan Marques</t>
  </si>
  <si>
    <t>Manuela Castro</t>
  </si>
  <si>
    <t>Rua de Pacheco</t>
  </si>
  <si>
    <t>Dr. Heitor Vieira</t>
  </si>
  <si>
    <t>Parque Camargo</t>
  </si>
  <si>
    <t>Calebe Azevedo</t>
  </si>
  <si>
    <t>Alameda Pinto</t>
  </si>
  <si>
    <t>Srta. Bianca Cunha</t>
  </si>
  <si>
    <t>Núcleo Cunha</t>
  </si>
  <si>
    <t>São Salvador</t>
  </si>
  <si>
    <t>Pedro Lucas Teixeira</t>
  </si>
  <si>
    <t>Lagoa Cavalcanti</t>
  </si>
  <si>
    <t>Camargos</t>
  </si>
  <si>
    <t>Luigi da Rosa</t>
  </si>
  <si>
    <t>Via Ravi Lucca Cassiano</t>
  </si>
  <si>
    <t>Danilo Montenegro</t>
  </si>
  <si>
    <t>Distrito da Costa</t>
  </si>
  <si>
    <t>Agatha Mendonça</t>
  </si>
  <si>
    <t>Praia de Guerra</t>
  </si>
  <si>
    <t>Rebeca Cavalcante</t>
  </si>
  <si>
    <t>Rua de Jesus</t>
  </si>
  <si>
    <t>Alto Vera Cruz</t>
  </si>
  <si>
    <t>Isadora Lopes</t>
  </si>
  <si>
    <t>Distrito de Gomes</t>
  </si>
  <si>
    <t>Srta. Maria Luísa Barros</t>
  </si>
  <si>
    <t>Jardim de Dias</t>
  </si>
  <si>
    <t>Estrela</t>
  </si>
  <si>
    <t>Ana Laura da Rocha</t>
  </si>
  <si>
    <t>Sítio Marques</t>
  </si>
  <si>
    <t>Sr. Léo Freitas</t>
  </si>
  <si>
    <t>Feira Porto</t>
  </si>
  <si>
    <t>Ana Júlia Araújo</t>
  </si>
  <si>
    <t>Passarela de Silveira</t>
  </si>
  <si>
    <t>Yago Ferreira</t>
  </si>
  <si>
    <t>Vila Sá</t>
  </si>
  <si>
    <t>Ágatha Silveira</t>
  </si>
  <si>
    <t>Morro de Cunha</t>
  </si>
  <si>
    <t>Marcela da Paz</t>
  </si>
  <si>
    <t>Trecho Ana Julia da Mata</t>
  </si>
  <si>
    <t>Maria Luísa Sá</t>
  </si>
  <si>
    <t>Jardim Rodrigo Campos</t>
  </si>
  <si>
    <t>Clara Cavalcanti</t>
  </si>
  <si>
    <t>Sítio Barbosa</t>
  </si>
  <si>
    <t>Leonardo Andrade</t>
  </si>
  <si>
    <t>Largo Caldeira</t>
  </si>
  <si>
    <t>Maria Isis Leão</t>
  </si>
  <si>
    <t>Jardim de Sampaio</t>
  </si>
  <si>
    <t>Sarah Castro</t>
  </si>
  <si>
    <t>Viaduto Vitor Hugo Fogaça</t>
  </si>
  <si>
    <t>Nina Peixoto</t>
  </si>
  <si>
    <t>Fazenda Maria Cecília Mendonça</t>
  </si>
  <si>
    <t>Heitor Vasconcelos</t>
  </si>
  <si>
    <t>Parque Caldeira</t>
  </si>
  <si>
    <t>João Lucas Albuquerque</t>
  </si>
  <si>
    <t>Trevo de Ramos</t>
  </si>
  <si>
    <t>Maria Eduarda Vasconcelos</t>
  </si>
  <si>
    <t>Núcleo Almeida</t>
  </si>
  <si>
    <t>Pietra Andrade</t>
  </si>
  <si>
    <t>Viela Freitas</t>
  </si>
  <si>
    <t>Flavio Marques Lisboa</t>
  </si>
  <si>
    <t>Gabriela Montenegro</t>
  </si>
  <si>
    <t>Rua Sophie da Rocha</t>
  </si>
  <si>
    <t>Srta. Sophia Monteiro</t>
  </si>
  <si>
    <t>Parque Levi Montenegro</t>
  </si>
  <si>
    <t>Sophia Garcia</t>
  </si>
  <si>
    <t>Fazenda da Conceição</t>
  </si>
  <si>
    <t>João Felipe Carvalho</t>
  </si>
  <si>
    <t>Favela Vargas</t>
  </si>
  <si>
    <t>Ravi Lucca Novais</t>
  </si>
  <si>
    <t>Travessa Cassiano</t>
  </si>
  <si>
    <t>Laís Cavalcante</t>
  </si>
  <si>
    <t>Trecho de Castro</t>
  </si>
  <si>
    <t>Fralda Descartável Mió 90g</t>
  </si>
  <si>
    <t>Dr. Ravi Castro</t>
  </si>
  <si>
    <t>Jardim de Montenegro</t>
  </si>
  <si>
    <t>Gabrielly Sousa</t>
  </si>
  <si>
    <t>Rodovia Cassiano</t>
  </si>
  <si>
    <t>Maria Sales</t>
  </si>
  <si>
    <t>Quadra Ana Carolina Costa</t>
  </si>
  <si>
    <t>Henrique Ferreira</t>
  </si>
  <si>
    <t>Estação Barbosa</t>
  </si>
  <si>
    <t>Vitor Barbosa</t>
  </si>
  <si>
    <t>Recanto Farias</t>
  </si>
  <si>
    <t>Guilherme Moreira</t>
  </si>
  <si>
    <t>Condomínio de Monteiro</t>
  </si>
  <si>
    <t>Juan Gonçalves</t>
  </si>
  <si>
    <t>Via Raul Correia</t>
  </si>
  <si>
    <t>João Cirino</t>
  </si>
  <si>
    <t>Condomínio de Rezende</t>
  </si>
  <si>
    <t>Joana Sales</t>
  </si>
  <si>
    <t>Distrito de Cunha</t>
  </si>
  <si>
    <t>Rodrigo Teixeira</t>
  </si>
  <si>
    <t>Aeroporto de da Paz</t>
  </si>
  <si>
    <t>Maria Isis Ramos</t>
  </si>
  <si>
    <t>Lagoa Abreu</t>
  </si>
  <si>
    <t>Metformina 500mg - 20 Comprimidos - Medley (Genérico)</t>
  </si>
  <si>
    <t>Quadra de Freitas</t>
  </si>
  <si>
    <t>Juan Nascimento</t>
  </si>
  <si>
    <t>Lagoa de Souza</t>
  </si>
  <si>
    <t>Sr. Gael Carvalho</t>
  </si>
  <si>
    <t>Parque Anthony Gabriel da Cruz</t>
  </si>
  <si>
    <t>Rodrigo Abreu</t>
  </si>
  <si>
    <t>Recanto Ferreira</t>
  </si>
  <si>
    <t>Sra. Ana Carolina Brito</t>
  </si>
  <si>
    <t>Estrada Lorenzo Borges</t>
  </si>
  <si>
    <t>Sr. Dante Cunha</t>
  </si>
  <si>
    <t>Vale Gabrielly Freitas</t>
  </si>
  <si>
    <t>Frei Leopoldo</t>
  </si>
  <si>
    <t>Dra. Maria Júlia Mendes</t>
  </si>
  <si>
    <t>Trevo Sophie Farias</t>
  </si>
  <si>
    <t>Sr. Daniel Monteiro</t>
  </si>
  <si>
    <t>Lagoa Anthony da Luz</t>
  </si>
  <si>
    <t>Passarela Maria Fernanda da Cunha</t>
  </si>
  <si>
    <t>Thomas da Mata</t>
  </si>
  <si>
    <t>Setor Porto</t>
  </si>
  <si>
    <t>Sra. Jade Albuquerque</t>
  </si>
  <si>
    <t>Condomínio de Casa Grande</t>
  </si>
  <si>
    <t>Henry Vieira</t>
  </si>
  <si>
    <t>Praça Matteo Ramos</t>
  </si>
  <si>
    <t>Maria Júlia Andrade</t>
  </si>
  <si>
    <t>Estação Raul Albuquerque</t>
  </si>
  <si>
    <t>Mirella das Neves</t>
  </si>
  <si>
    <t>Loteamento Sales</t>
  </si>
  <si>
    <t>Pietro da Mata</t>
  </si>
  <si>
    <t>Ladeira Gael Henrique da Rosa</t>
  </si>
  <si>
    <t>Ana Vitória Guerra</t>
  </si>
  <si>
    <t>Campo Emanuella Campos</t>
  </si>
  <si>
    <t>Vila Piratininga Venda Nova</t>
  </si>
  <si>
    <t>Rodrigo Machado</t>
  </si>
  <si>
    <t>Lago Thomas Nogueira</t>
  </si>
  <si>
    <t>Zoe Pimenta</t>
  </si>
  <si>
    <t>Via da Conceição</t>
  </si>
  <si>
    <t>Stephany Moura</t>
  </si>
  <si>
    <t>Parque Anthony Gabriel Silveira</t>
  </si>
  <si>
    <t>Laura Sá</t>
  </si>
  <si>
    <t>Recanto de Araújo</t>
  </si>
  <si>
    <t>Fazenda Clara Pinto</t>
  </si>
  <si>
    <t>Srta. Lavínia Gomes</t>
  </si>
  <si>
    <t>Vereda de Leão</t>
  </si>
  <si>
    <t>Dr. Thomas Almeida</t>
  </si>
  <si>
    <t>Fazenda Luiz Fernando Azevedo</t>
  </si>
  <si>
    <t>Cauê Pastor</t>
  </si>
  <si>
    <t>Jardim Juliana da Conceição</t>
  </si>
  <si>
    <t>Brayan Castro</t>
  </si>
  <si>
    <t>Condomínio Bruno Araújo</t>
  </si>
  <si>
    <t>Gael Henrique Ferreira</t>
  </si>
  <si>
    <t>Europa</t>
  </si>
  <si>
    <t>Dr. Eduardo Novais</t>
  </si>
  <si>
    <t>Recanto Correia</t>
  </si>
  <si>
    <t>Srta. Isabelly Sampaio</t>
  </si>
  <si>
    <t>Vale Rios</t>
  </si>
  <si>
    <t>Alícia Machado</t>
  </si>
  <si>
    <t>Viaduto Castro</t>
  </si>
  <si>
    <t>Vinicius da Luz</t>
  </si>
  <si>
    <t>Praça Isabella da Mota</t>
  </si>
  <si>
    <t>Ana Vitória da Conceição</t>
  </si>
  <si>
    <t>Vale Sabrina da Costa</t>
  </si>
  <si>
    <t>Vila Pilar</t>
  </si>
  <si>
    <t>Sra. Sophie Almeida</t>
  </si>
  <si>
    <t>Quadra de Correia</t>
  </si>
  <si>
    <t>Diego Pacheco</t>
  </si>
  <si>
    <t>Passarela Catarina Costa</t>
  </si>
  <si>
    <t>Caroline Carvalho</t>
  </si>
  <si>
    <t>Quadra da Luz</t>
  </si>
  <si>
    <t>Sophia Costa</t>
  </si>
  <si>
    <t>Esplanada Liz Marques</t>
  </si>
  <si>
    <t>Sra. Heloísa Gomes</t>
  </si>
  <si>
    <t>Chácara Liam Moraes</t>
  </si>
  <si>
    <t>Juan Caldeira</t>
  </si>
  <si>
    <t>Quadra de Costela</t>
  </si>
  <si>
    <t>Luan Vargas</t>
  </si>
  <si>
    <t>Passarela de Sá</t>
  </si>
  <si>
    <t>Leonardo Pimenta</t>
  </si>
  <si>
    <t>Loteamento Barros</t>
  </si>
  <si>
    <t>Joana Silveira</t>
  </si>
  <si>
    <t>Alameda Yan Correia</t>
  </si>
  <si>
    <t>Asafe da Rocha</t>
  </si>
  <si>
    <t>Rua Novais</t>
  </si>
  <si>
    <t>Carlos Eduardo Moura</t>
  </si>
  <si>
    <t>Vila Cemig</t>
  </si>
  <si>
    <t>Marcela Correia</t>
  </si>
  <si>
    <t>Ladeira de Ribeiro</t>
  </si>
  <si>
    <t>Vitória Sampaio</t>
  </si>
  <si>
    <t>Rodovia de Lopes</t>
  </si>
  <si>
    <t>Sra. Eloah Nascimento</t>
  </si>
  <si>
    <t>Morro de Macedo</t>
  </si>
  <si>
    <t>id_pedido</t>
  </si>
  <si>
    <t>hora</t>
  </si>
  <si>
    <t>precvenda</t>
  </si>
  <si>
    <t>Bairro</t>
  </si>
  <si>
    <t>Estado</t>
  </si>
  <si>
    <t>Município</t>
  </si>
  <si>
    <t>trimestre</t>
  </si>
  <si>
    <t>Faturamento</t>
  </si>
  <si>
    <t>Mês</t>
  </si>
  <si>
    <t>Receita</t>
  </si>
  <si>
    <t>Despesa</t>
  </si>
  <si>
    <t>Lucro</t>
  </si>
  <si>
    <t>Logradouro</t>
  </si>
  <si>
    <t>Cidade</t>
  </si>
  <si>
    <t>Ano</t>
  </si>
  <si>
    <t>Dia Semana</t>
  </si>
  <si>
    <t>Data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</si>
</sst>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400]h:mm:ss\ AM/PM"/>
    <numFmt numFmtId="169" formatCode="[&gt;10000]dd/mm/yyyy;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5" fillId="0" borderId="0" xfId="0" applyFont="1"/>
    <xf numFmtId="44" fontId="0" fillId="0" borderId="0" xfId="1" applyFont="1"/>
    <xf numFmtId="0" fontId="2" fillId="0" borderId="0" xfId="0" applyFont="1"/>
    <xf numFmtId="0" fontId="0" fillId="4" borderId="0" xfId="0" applyFill="1"/>
    <xf numFmtId="0" fontId="2" fillId="3" borderId="0" xfId="0" applyFont="1" applyFill="1"/>
    <xf numFmtId="0" fontId="0" fillId="0" borderId="0" xfId="1" applyNumberFormat="1" applyFont="1"/>
    <xf numFmtId="0" fontId="2" fillId="0" borderId="0" xfId="1" applyNumberFormat="1" applyFont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9" fontId="0" fillId="0" borderId="0" xfId="0" applyNumberFormat="1"/>
  </cellXfs>
  <cellStyles count="2">
    <cellStyle name="Moeda" xfId="1" builtinId="4"/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Apoio_Cliente!$M$3</c:f>
          <c:strCache>
            <c:ptCount val="1"/>
            <c:pt idx="0">
              <c:v>Top 4 clientes por faturamento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Apoio_Cliente!$C$2:$C$5</c:f>
              <c:strCache>
                <c:ptCount val="4"/>
                <c:pt idx="0">
                  <c:v>Pedro Henrique Aragão</c:v>
                </c:pt>
                <c:pt idx="1">
                  <c:v>Luiz Felipe Casa Grande</c:v>
                </c:pt>
                <c:pt idx="2">
                  <c:v>Emilly Araújo</c:v>
                </c:pt>
                <c:pt idx="3">
                  <c:v>Benjamin Nascimento</c:v>
                </c:pt>
              </c:strCache>
            </c:strRef>
          </c:cat>
          <c:val>
            <c:numRef>
              <c:f>Apoio_Cliente!$D$2:$D$5</c:f>
              <c:numCache>
                <c:formatCode>General</c:formatCode>
                <c:ptCount val="4"/>
                <c:pt idx="0">
                  <c:v>4096.26</c:v>
                </c:pt>
                <c:pt idx="1">
                  <c:v>4000.22</c:v>
                </c:pt>
                <c:pt idx="2">
                  <c:v>3959.8300000000004</c:v>
                </c:pt>
                <c:pt idx="3">
                  <c:v>3772.97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1-41AD-B061-886986DE7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800432"/>
        <c:axId val="2034314480"/>
      </c:barChart>
      <c:catAx>
        <c:axId val="151380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314480"/>
        <c:crosses val="autoZero"/>
        <c:auto val="1"/>
        <c:lblAlgn val="ctr"/>
        <c:lblOffset val="100"/>
        <c:noMultiLvlLbl val="0"/>
      </c:catAx>
      <c:valAx>
        <c:axId val="203431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80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Apoio_Regiao!$K$8</c:f>
          <c:strCache>
            <c:ptCount val="1"/>
            <c:pt idx="0">
              <c:v>Faturamento dos top 8 Estado (R$)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Apoio_Regiao!$D$2:$D$9</c:f>
              <c:strCache>
                <c:ptCount val="8"/>
                <c:pt idx="0">
                  <c:v>PE</c:v>
                </c:pt>
                <c:pt idx="1">
                  <c:v>BA</c:v>
                </c:pt>
                <c:pt idx="2">
                  <c:v>PB</c:v>
                </c:pt>
                <c:pt idx="3">
                  <c:v>RR</c:v>
                </c:pt>
                <c:pt idx="4">
                  <c:v>DF</c:v>
                </c:pt>
                <c:pt idx="5">
                  <c:v>RJ</c:v>
                </c:pt>
                <c:pt idx="6">
                  <c:v>PR</c:v>
                </c:pt>
                <c:pt idx="7">
                  <c:v>RO</c:v>
                </c:pt>
              </c:strCache>
            </c:strRef>
          </c:cat>
          <c:val>
            <c:numRef>
              <c:f>Apoio_Regiao!$E$2:$E$9</c:f>
              <c:numCache>
                <c:formatCode>General</c:formatCode>
                <c:ptCount val="8"/>
                <c:pt idx="0">
                  <c:v>58625.700000000019</c:v>
                </c:pt>
                <c:pt idx="1">
                  <c:v>58263.850000000006</c:v>
                </c:pt>
                <c:pt idx="2">
                  <c:v>57122.160000000018</c:v>
                </c:pt>
                <c:pt idx="3">
                  <c:v>56405.570000000014</c:v>
                </c:pt>
                <c:pt idx="4">
                  <c:v>55910.720000000038</c:v>
                </c:pt>
                <c:pt idx="5">
                  <c:v>54485.539999999979</c:v>
                </c:pt>
                <c:pt idx="6">
                  <c:v>48275.209999999992</c:v>
                </c:pt>
                <c:pt idx="7">
                  <c:v>47957.190000000024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0-470B-9056-0D71C88E6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793936"/>
        <c:axId val="2034264080"/>
      </c:barChart>
      <c:catAx>
        <c:axId val="15137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64080"/>
        <c:crosses val="autoZero"/>
        <c:auto val="1"/>
        <c:lblAlgn val="ctr"/>
        <c:lblOffset val="100"/>
        <c:noMultiLvlLbl val="0"/>
      </c:catAx>
      <c:valAx>
        <c:axId val="20342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7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Apoio_Tempo!$O$8</c:f>
          <c:strCache>
            <c:ptCount val="1"/>
            <c:pt idx="0">
              <c:v>Evolução de Receitas por mes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Apoio_Tempo!$D$2:$D$13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Apoio_Tempo!$E$2:$E$13</c:f>
              <c:numCache>
                <c:formatCode>_("R$"* #,##0.00_);_("R$"* \(#,##0.00\);_("R$"* "-"??_);_(@_)</c:formatCode>
                <c:ptCount val="12"/>
                <c:pt idx="0">
                  <c:v>102398.63999999997</c:v>
                </c:pt>
                <c:pt idx="1">
                  <c:v>81737.120000000039</c:v>
                </c:pt>
                <c:pt idx="2">
                  <c:v>100090.12000000002</c:v>
                </c:pt>
                <c:pt idx="3">
                  <c:v>82097.469999999972</c:v>
                </c:pt>
                <c:pt idx="4">
                  <c:v>87155.040000000066</c:v>
                </c:pt>
                <c:pt idx="5">
                  <c:v>78053.119999999981</c:v>
                </c:pt>
                <c:pt idx="6">
                  <c:v>88304.659999999974</c:v>
                </c:pt>
                <c:pt idx="7">
                  <c:v>77131.750000000044</c:v>
                </c:pt>
                <c:pt idx="8">
                  <c:v>89651.930000000051</c:v>
                </c:pt>
                <c:pt idx="9">
                  <c:v>94132.419999999984</c:v>
                </c:pt>
                <c:pt idx="10">
                  <c:v>83021.039999999994</c:v>
                </c:pt>
                <c:pt idx="11">
                  <c:v>90869.070000000022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A-4D9F-A5ED-AA4FD8C8A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807632"/>
        <c:axId val="500736432"/>
      </c:lineChart>
      <c:catAx>
        <c:axId val="49480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736432"/>
        <c:crosses val="autoZero"/>
        <c:auto val="1"/>
        <c:lblAlgn val="ctr"/>
        <c:lblOffset val="100"/>
        <c:noMultiLvlLbl val="0"/>
      </c:catAx>
      <c:valAx>
        <c:axId val="5007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80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Apoio_Produto!$K$6</c:f>
          <c:strCache>
            <c:ptCount val="1"/>
            <c:pt idx="0">
              <c:v>Top 3 Produtos por Faturamento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Apoio_Produto!$D$2:$D$4</c:f>
              <c:strCache>
                <c:ptCount val="3"/>
                <c:pt idx="0">
                  <c:v>Pantoprazol Pomada 30g - Medley (Genérico)</c:v>
                </c:pt>
                <c:pt idx="1">
                  <c:v>Vacina contra Desnutrição - Dose Única</c:v>
                </c:pt>
                <c:pt idx="2">
                  <c:v>Escitalopram Suspensão Oral 50ml - Eurofarma</c:v>
                </c:pt>
              </c:strCache>
            </c:strRef>
          </c:cat>
          <c:val>
            <c:numRef>
              <c:f>Apoio_Produto!$E$2:$E$4</c:f>
              <c:numCache>
                <c:formatCode>General</c:formatCode>
                <c:ptCount val="3"/>
                <c:pt idx="0">
                  <c:v>7952.94</c:v>
                </c:pt>
                <c:pt idx="1">
                  <c:v>7636.0599999999995</c:v>
                </c:pt>
                <c:pt idx="2">
                  <c:v>7017.4199999999992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1-42E7-A84F-737152A38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618800"/>
        <c:axId val="2034291440"/>
      </c:barChart>
      <c:catAx>
        <c:axId val="114961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91440"/>
        <c:crosses val="autoZero"/>
        <c:auto val="1"/>
        <c:lblAlgn val="ctr"/>
        <c:lblOffset val="100"/>
        <c:noMultiLvlLbl val="0"/>
      </c:catAx>
      <c:valAx>
        <c:axId val="203429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6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Balanço Financeiro e Margem de Lucro (Mensal em R$)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Apoio_Financeiro!$B$1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Apoio_Financeiro!$A$2:$A$13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Apoio_Financeiro!$B$2:$B$13</c:f>
              <c:numCache>
                <c:formatCode>General</c:formatCode>
                <c:ptCount val="12"/>
                <c:pt idx="0">
                  <c:v>102398.63999999997</c:v>
                </c:pt>
                <c:pt idx="1">
                  <c:v>81737.120000000039</c:v>
                </c:pt>
                <c:pt idx="2">
                  <c:v>100090.12000000002</c:v>
                </c:pt>
                <c:pt idx="3">
                  <c:v>82097.469999999972</c:v>
                </c:pt>
                <c:pt idx="4">
                  <c:v>87155.040000000066</c:v>
                </c:pt>
                <c:pt idx="5">
                  <c:v>78053.119999999981</c:v>
                </c:pt>
                <c:pt idx="6">
                  <c:v>88304.659999999974</c:v>
                </c:pt>
                <c:pt idx="7">
                  <c:v>77131.750000000044</c:v>
                </c:pt>
                <c:pt idx="8">
                  <c:v>89651.930000000051</c:v>
                </c:pt>
                <c:pt idx="9">
                  <c:v>94132.419999999984</c:v>
                </c:pt>
                <c:pt idx="10">
                  <c:v>83021.039999999994</c:v>
                </c:pt>
                <c:pt idx="11">
                  <c:v>90869.070000000022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8E9-AD00-C0FEB7AC6E7E}"/>
            </c:ext>
          </c:extLst>
        </c:ser>
        <c:ser>
          <c:idx val="2"/>
          <c:order val="1"/>
          <c:tx>
            <c:strRef>
              <c:f>Apoio_Financeiro!$C$1</c:f>
              <c:strCache>
                <c:ptCount val="1"/>
                <c:pt idx="0">
                  <c:v>Despesa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Apoio_Financeiro!$A$2:$A$13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Apoio_Financeiro!$C$2:$C$13</c:f>
              <c:numCache>
                <c:formatCode>General</c:formatCode>
                <c:ptCount val="12"/>
                <c:pt idx="0">
                  <c:v>42996</c:v>
                </c:pt>
                <c:pt idx="1">
                  <c:v>37166</c:v>
                </c:pt>
                <c:pt idx="2">
                  <c:v>20686</c:v>
                </c:pt>
                <c:pt idx="3">
                  <c:v>42058</c:v>
                </c:pt>
                <c:pt idx="4">
                  <c:v>29593</c:v>
                </c:pt>
                <c:pt idx="5">
                  <c:v>42751</c:v>
                </c:pt>
                <c:pt idx="6">
                  <c:v>48572</c:v>
                </c:pt>
                <c:pt idx="7">
                  <c:v>37343</c:v>
                </c:pt>
                <c:pt idx="8">
                  <c:v>48742</c:v>
                </c:pt>
                <c:pt idx="9">
                  <c:v>67849</c:v>
                </c:pt>
                <c:pt idx="10">
                  <c:v>41941</c:v>
                </c:pt>
                <c:pt idx="11">
                  <c:v>22714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7-48E9-AD00-C0FEB7AC6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3231312"/>
        <c:axId val="2034285200"/>
      </c:barChart>
      <c:lineChart>
        <c:grouping val="standard"/>
        <c:varyColors val="0"/>
        <c:ser>
          <c:idx val="3"/>
          <c:order val="2"/>
          <c:tx>
            <c:strRef>
              <c:f>Apoio_Financeiro!$D$1</c:f>
              <c:strCache>
                <c:ptCount val="1"/>
                <c:pt idx="0">
                  <c:v>Lucro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Apoio_Financeiro!$D$2:$D$13</c:f>
              <c:numCache>
                <c:formatCode>General</c:formatCode>
                <c:ptCount val="12"/>
                <c:pt idx="0">
                  <c:v>59402.63999999997</c:v>
                </c:pt>
                <c:pt idx="1">
                  <c:v>44571.120000000039</c:v>
                </c:pt>
                <c:pt idx="2">
                  <c:v>79404.120000000024</c:v>
                </c:pt>
                <c:pt idx="3">
                  <c:v>40039.469999999972</c:v>
                </c:pt>
                <c:pt idx="4">
                  <c:v>57562.040000000066</c:v>
                </c:pt>
                <c:pt idx="5">
                  <c:v>35302.119999999981</c:v>
                </c:pt>
                <c:pt idx="6">
                  <c:v>39732.659999999974</c:v>
                </c:pt>
                <c:pt idx="7">
                  <c:v>39788.750000000044</c:v>
                </c:pt>
                <c:pt idx="8">
                  <c:v>40909.930000000051</c:v>
                </c:pt>
                <c:pt idx="9">
                  <c:v>26283.419999999984</c:v>
                </c:pt>
                <c:pt idx="10">
                  <c:v>41080.039999999994</c:v>
                </c:pt>
                <c:pt idx="11">
                  <c:v>68155.070000000022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87-48E9-AD00-C0FEB7AC6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231312"/>
        <c:axId val="2034285200"/>
      </c:lineChart>
      <c:catAx>
        <c:axId val="50323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85200"/>
        <c:crosses val="autoZero"/>
        <c:auto val="1"/>
        <c:lblAlgn val="ctr"/>
        <c:lblOffset val="100"/>
        <c:noMultiLvlLbl val="0"/>
      </c:catAx>
      <c:valAx>
        <c:axId val="20342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23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Apoio_FiltroExtra!$M$9</c:f>
          <c:strCache>
            <c:ptCount val="1"/>
            <c:pt idx="0">
              <c:v>Faturamento em Aragão da Serra por Ano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Apoio_FiltroExtra!EixoX_Tempo</c:f>
              <c:numCache>
                <c:formatCode>[&gt;10000]dd/mm/yyyy;0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[0]!EixoY_Dinheiro</c:f>
              <c:numCache>
                <c:formatCode>General</c:formatCode>
                <c:ptCount val="3"/>
                <c:pt idx="0">
                  <c:v>627.19000000000005</c:v>
                </c:pt>
                <c:pt idx="1">
                  <c:v>1102.51</c:v>
                </c:pt>
                <c:pt idx="2">
                  <c:v>785.86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E-4069-97F0-F7CAD153D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758784"/>
        <c:axId val="2073162192"/>
      </c:barChart>
      <c:catAx>
        <c:axId val="2114758784"/>
        <c:scaling>
          <c:orientation val="minMax"/>
        </c:scaling>
        <c:delete val="0"/>
        <c:axPos val="b"/>
        <c:numFmt formatCode="[&gt;10000]dd/mm/yyyy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3162192"/>
        <c:crosses val="autoZero"/>
        <c:auto val="0"/>
        <c:lblAlgn val="ctr"/>
        <c:lblOffset val="100"/>
        <c:noMultiLvlLbl val="0"/>
      </c:catAx>
      <c:valAx>
        <c:axId val="20731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758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Apoio_FiltroExtra!$M$9</c:f>
          <c:strCache>
            <c:ptCount val="1"/>
            <c:pt idx="0">
              <c:v>Faturamento em Aragão da Serra por Ano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Apoio_FiltroExtra!EixoX_Tempo</c:f>
              <c:numCache>
                <c:formatCode>[&gt;10000]dd/mm/yyyy;0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[0]!EixoY_Dinheiro</c:f>
              <c:numCache>
                <c:formatCode>General</c:formatCode>
                <c:ptCount val="3"/>
                <c:pt idx="0">
                  <c:v>627.19000000000005</c:v>
                </c:pt>
                <c:pt idx="1">
                  <c:v>1102.51</c:v>
                </c:pt>
                <c:pt idx="2">
                  <c:v>785.86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0-4840-839A-20D25BD58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758784"/>
        <c:axId val="2073162192"/>
      </c:barChart>
      <c:dateAx>
        <c:axId val="2114758784"/>
        <c:scaling>
          <c:orientation val="minMax"/>
        </c:scaling>
        <c:delete val="0"/>
        <c:axPos val="b"/>
        <c:numFmt formatCode="[&gt;10000]dd/mm/yyyy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3162192"/>
        <c:crosses val="autoZero"/>
        <c:auto val="1"/>
        <c:lblOffset val="100"/>
        <c:baseTimeUnit val="days"/>
      </c:dateAx>
      <c:valAx>
        <c:axId val="20731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4758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0" i="0" u="none" strike="noStrike" baseline="0"/>
              <a:t>Balanço Financeiro e Margem de Lucro (Mensal em R$)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Apoio_Financeiro!$B$1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Apoio_Financeiro!$A$2:$A$13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Apoio_Financeiro!$B$2:$B$13</c:f>
              <c:numCache>
                <c:formatCode>General</c:formatCode>
                <c:ptCount val="12"/>
                <c:pt idx="0">
                  <c:v>102398.63999999997</c:v>
                </c:pt>
                <c:pt idx="1">
                  <c:v>81737.120000000039</c:v>
                </c:pt>
                <c:pt idx="2">
                  <c:v>100090.12000000002</c:v>
                </c:pt>
                <c:pt idx="3">
                  <c:v>82097.469999999972</c:v>
                </c:pt>
                <c:pt idx="4">
                  <c:v>87155.040000000066</c:v>
                </c:pt>
                <c:pt idx="5">
                  <c:v>78053.119999999981</c:v>
                </c:pt>
                <c:pt idx="6">
                  <c:v>88304.659999999974</c:v>
                </c:pt>
                <c:pt idx="7">
                  <c:v>77131.750000000044</c:v>
                </c:pt>
                <c:pt idx="8">
                  <c:v>89651.930000000051</c:v>
                </c:pt>
                <c:pt idx="9">
                  <c:v>94132.419999999984</c:v>
                </c:pt>
                <c:pt idx="10">
                  <c:v>83021.039999999994</c:v>
                </c:pt>
                <c:pt idx="11">
                  <c:v>90869.070000000022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D-4409-8E42-25044187267E}"/>
            </c:ext>
          </c:extLst>
        </c:ser>
        <c:ser>
          <c:idx val="2"/>
          <c:order val="1"/>
          <c:tx>
            <c:strRef>
              <c:f>Apoio_Financeiro!$C$1</c:f>
              <c:strCache>
                <c:ptCount val="1"/>
                <c:pt idx="0">
                  <c:v>Despesa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Apoio_Financeiro!$A$2:$A$13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Apoio_Financeiro!$C$2:$C$13</c:f>
              <c:numCache>
                <c:formatCode>General</c:formatCode>
                <c:ptCount val="12"/>
                <c:pt idx="0">
                  <c:v>42996</c:v>
                </c:pt>
                <c:pt idx="1">
                  <c:v>37166</c:v>
                </c:pt>
                <c:pt idx="2">
                  <c:v>20686</c:v>
                </c:pt>
                <c:pt idx="3">
                  <c:v>42058</c:v>
                </c:pt>
                <c:pt idx="4">
                  <c:v>29593</c:v>
                </c:pt>
                <c:pt idx="5">
                  <c:v>42751</c:v>
                </c:pt>
                <c:pt idx="6">
                  <c:v>48572</c:v>
                </c:pt>
                <c:pt idx="7">
                  <c:v>37343</c:v>
                </c:pt>
                <c:pt idx="8">
                  <c:v>48742</c:v>
                </c:pt>
                <c:pt idx="9">
                  <c:v>67849</c:v>
                </c:pt>
                <c:pt idx="10">
                  <c:v>41941</c:v>
                </c:pt>
                <c:pt idx="11">
                  <c:v>22714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D-4409-8E42-25044187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3231312"/>
        <c:axId val="2034285200"/>
      </c:barChart>
      <c:lineChart>
        <c:grouping val="standard"/>
        <c:varyColors val="0"/>
        <c:ser>
          <c:idx val="3"/>
          <c:order val="2"/>
          <c:tx>
            <c:strRef>
              <c:f>Apoio_Financeiro!$D$1</c:f>
              <c:strCache>
                <c:ptCount val="1"/>
                <c:pt idx="0">
                  <c:v>Lucro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Apoio_Financeiro!$D$2:$D$13</c:f>
              <c:numCache>
                <c:formatCode>General</c:formatCode>
                <c:ptCount val="12"/>
                <c:pt idx="0">
                  <c:v>59402.63999999997</c:v>
                </c:pt>
                <c:pt idx="1">
                  <c:v>44571.120000000039</c:v>
                </c:pt>
                <c:pt idx="2">
                  <c:v>79404.120000000024</c:v>
                </c:pt>
                <c:pt idx="3">
                  <c:v>40039.469999999972</c:v>
                </c:pt>
                <c:pt idx="4">
                  <c:v>57562.040000000066</c:v>
                </c:pt>
                <c:pt idx="5">
                  <c:v>35302.119999999981</c:v>
                </c:pt>
                <c:pt idx="6">
                  <c:v>39732.659999999974</c:v>
                </c:pt>
                <c:pt idx="7">
                  <c:v>39788.750000000044</c:v>
                </c:pt>
                <c:pt idx="8">
                  <c:v>40909.930000000051</c:v>
                </c:pt>
                <c:pt idx="9">
                  <c:v>26283.419999999984</c:v>
                </c:pt>
                <c:pt idx="10">
                  <c:v>41080.039999999994</c:v>
                </c:pt>
                <c:pt idx="11">
                  <c:v>68155.070000000022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5D-4409-8E42-25044187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231312"/>
        <c:axId val="2034285200"/>
      </c:lineChart>
      <c:catAx>
        <c:axId val="50323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85200"/>
        <c:crosses val="autoZero"/>
        <c:auto val="1"/>
        <c:lblAlgn val="ctr"/>
        <c:lblOffset val="100"/>
        <c:noMultiLvlLbl val="0"/>
      </c:catAx>
      <c:valAx>
        <c:axId val="20342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23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Apoio_Tempo!$O$8</c:f>
          <c:strCache>
            <c:ptCount val="1"/>
            <c:pt idx="0">
              <c:v>Evolução de Receitas por mes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Apoio_Tempo!$D$2:$D$13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Apoio_Tempo!$E$2:$E$13</c:f>
              <c:numCache>
                <c:formatCode>_("R$"* #,##0.00_);_("R$"* \(#,##0.00\);_("R$"* "-"??_);_(@_)</c:formatCode>
                <c:ptCount val="12"/>
                <c:pt idx="0">
                  <c:v>102398.63999999997</c:v>
                </c:pt>
                <c:pt idx="1">
                  <c:v>81737.120000000039</c:v>
                </c:pt>
                <c:pt idx="2">
                  <c:v>100090.12000000002</c:v>
                </c:pt>
                <c:pt idx="3">
                  <c:v>82097.469999999972</c:v>
                </c:pt>
                <c:pt idx="4">
                  <c:v>87155.040000000066</c:v>
                </c:pt>
                <c:pt idx="5">
                  <c:v>78053.119999999981</c:v>
                </c:pt>
                <c:pt idx="6">
                  <c:v>88304.659999999974</c:v>
                </c:pt>
                <c:pt idx="7">
                  <c:v>77131.750000000044</c:v>
                </c:pt>
                <c:pt idx="8">
                  <c:v>89651.930000000051</c:v>
                </c:pt>
                <c:pt idx="9">
                  <c:v>94132.419999999984</c:v>
                </c:pt>
                <c:pt idx="10">
                  <c:v>83021.039999999994</c:v>
                </c:pt>
                <c:pt idx="11">
                  <c:v>90869.070000000022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6A-43B6-A3E2-B9579D43B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807632"/>
        <c:axId val="500736432"/>
      </c:lineChart>
      <c:catAx>
        <c:axId val="49480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736432"/>
        <c:crosses val="autoZero"/>
        <c:auto val="1"/>
        <c:lblAlgn val="ctr"/>
        <c:lblOffset val="100"/>
        <c:noMultiLvlLbl val="0"/>
      </c:catAx>
      <c:valAx>
        <c:axId val="50073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80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Apoio_Cliente!$M$3</c:f>
          <c:strCache>
            <c:ptCount val="1"/>
            <c:pt idx="0">
              <c:v>Top 4 clientes por faturamento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Apoio_Cliente!$C$2:$C$5</c:f>
              <c:strCache>
                <c:ptCount val="4"/>
                <c:pt idx="0">
                  <c:v>Pedro Henrique Aragão</c:v>
                </c:pt>
                <c:pt idx="1">
                  <c:v>Luiz Felipe Casa Grande</c:v>
                </c:pt>
                <c:pt idx="2">
                  <c:v>Emilly Araújo</c:v>
                </c:pt>
                <c:pt idx="3">
                  <c:v>Benjamin Nascimento</c:v>
                </c:pt>
              </c:strCache>
            </c:strRef>
          </c:cat>
          <c:val>
            <c:numRef>
              <c:f>Apoio_Cliente!$D$2:$D$5</c:f>
              <c:numCache>
                <c:formatCode>General</c:formatCode>
                <c:ptCount val="4"/>
                <c:pt idx="0">
                  <c:v>4096.26</c:v>
                </c:pt>
                <c:pt idx="1">
                  <c:v>4000.22</c:v>
                </c:pt>
                <c:pt idx="2">
                  <c:v>3959.8300000000004</c:v>
                </c:pt>
                <c:pt idx="3">
                  <c:v>3772.97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1-4929-9FAF-D290430D1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800432"/>
        <c:axId val="2034314480"/>
      </c:barChart>
      <c:catAx>
        <c:axId val="151380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314480"/>
        <c:crosses val="autoZero"/>
        <c:auto val="1"/>
        <c:lblAlgn val="ctr"/>
        <c:lblOffset val="100"/>
        <c:noMultiLvlLbl val="0"/>
      </c:catAx>
      <c:valAx>
        <c:axId val="203431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80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Apoio_Produto!$K$6</c:f>
          <c:strCache>
            <c:ptCount val="1"/>
            <c:pt idx="0">
              <c:v>Top 3 Produtos por Faturamento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Apoio_Produto!$D$2:$D$4</c:f>
              <c:strCache>
                <c:ptCount val="3"/>
                <c:pt idx="0">
                  <c:v>Pantoprazol Pomada 30g - Medley (Genérico)</c:v>
                </c:pt>
                <c:pt idx="1">
                  <c:v>Vacina contra Desnutrição - Dose Única</c:v>
                </c:pt>
                <c:pt idx="2">
                  <c:v>Escitalopram Suspensão Oral 50ml - Eurofarma</c:v>
                </c:pt>
              </c:strCache>
            </c:strRef>
          </c:cat>
          <c:val>
            <c:numRef>
              <c:f>Apoio_Produto!$E$2:$E$4</c:f>
              <c:numCache>
                <c:formatCode>General</c:formatCode>
                <c:ptCount val="3"/>
                <c:pt idx="0">
                  <c:v>7952.94</c:v>
                </c:pt>
                <c:pt idx="1">
                  <c:v>7636.0599999999995</c:v>
                </c:pt>
                <c:pt idx="2">
                  <c:v>7017.4199999999992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D-4D74-8E87-01B523238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9618800"/>
        <c:axId val="2034291440"/>
      </c:barChart>
      <c:catAx>
        <c:axId val="114961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91440"/>
        <c:crosses val="autoZero"/>
        <c:auto val="1"/>
        <c:lblAlgn val="ctr"/>
        <c:lblOffset val="100"/>
        <c:noMultiLvlLbl val="0"/>
      </c:catAx>
      <c:valAx>
        <c:axId val="203429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6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Apoio_Regiao!$K$8</c:f>
          <c:strCache>
            <c:ptCount val="1"/>
            <c:pt idx="0">
              <c:v>Faturamento dos top 8 Estado (R$)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Apoio_Regiao!$D$2:$D$9</c:f>
              <c:strCache>
                <c:ptCount val="8"/>
                <c:pt idx="0">
                  <c:v>PE</c:v>
                </c:pt>
                <c:pt idx="1">
                  <c:v>BA</c:v>
                </c:pt>
                <c:pt idx="2">
                  <c:v>PB</c:v>
                </c:pt>
                <c:pt idx="3">
                  <c:v>RR</c:v>
                </c:pt>
                <c:pt idx="4">
                  <c:v>DF</c:v>
                </c:pt>
                <c:pt idx="5">
                  <c:v>RJ</c:v>
                </c:pt>
                <c:pt idx="6">
                  <c:v>PR</c:v>
                </c:pt>
                <c:pt idx="7">
                  <c:v>RO</c:v>
                </c:pt>
              </c:strCache>
            </c:strRef>
          </c:cat>
          <c:val>
            <c:numRef>
              <c:f>Apoio_Regiao!$E$2:$E$9</c:f>
              <c:numCache>
                <c:formatCode>General</c:formatCode>
                <c:ptCount val="8"/>
                <c:pt idx="0">
                  <c:v>58625.700000000019</c:v>
                </c:pt>
                <c:pt idx="1">
                  <c:v>58263.850000000006</c:v>
                </c:pt>
                <c:pt idx="2">
                  <c:v>57122.160000000018</c:v>
                </c:pt>
                <c:pt idx="3">
                  <c:v>56405.570000000014</c:v>
                </c:pt>
                <c:pt idx="4">
                  <c:v>55910.720000000038</c:v>
                </c:pt>
                <c:pt idx="5">
                  <c:v>54485.539999999979</c:v>
                </c:pt>
                <c:pt idx="6">
                  <c:v>48275.209999999992</c:v>
                </c:pt>
                <c:pt idx="7">
                  <c:v>47957.190000000024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A-488D-AB4F-30C84D8DE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3793936"/>
        <c:axId val="2034264080"/>
      </c:barChart>
      <c:catAx>
        <c:axId val="151379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4264080"/>
        <c:crosses val="autoZero"/>
        <c:auto val="1"/>
        <c:lblAlgn val="ctr"/>
        <c:lblOffset val="100"/>
        <c:noMultiLvlLbl val="0"/>
      </c:catAx>
      <c:valAx>
        <c:axId val="203426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79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647700</xdr:colOff>
      <xdr:row>17</xdr:row>
      <xdr:rowOff>5443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80A385-A338-4F9B-8E08-CDB9B9C1A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653142</xdr:colOff>
      <xdr:row>4</xdr:row>
      <xdr:rowOff>0</xdr:rowOff>
    </xdr:from>
    <xdr:to>
      <xdr:col>14</xdr:col>
      <xdr:colOff>16328</xdr:colOff>
      <xdr:row>17</xdr:row>
      <xdr:rowOff>10886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C75191-CC43-4635-A6F9-58C47C54C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16328</xdr:colOff>
      <xdr:row>4</xdr:row>
      <xdr:rowOff>0</xdr:rowOff>
    </xdr:from>
    <xdr:to>
      <xdr:col>21</xdr:col>
      <xdr:colOff>21771</xdr:colOff>
      <xdr:row>17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CCFE0A5-1764-4C58-B5AC-9F55E48CE8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647700</xdr:colOff>
      <xdr:row>30</xdr:row>
      <xdr:rowOff>185057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8AD542A-3158-4F32-8E24-417000A05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653142</xdr:colOff>
      <xdr:row>18</xdr:row>
      <xdr:rowOff>5443</xdr:rowOff>
    </xdr:from>
    <xdr:to>
      <xdr:col>14</xdr:col>
      <xdr:colOff>0</xdr:colOff>
      <xdr:row>31</xdr:row>
      <xdr:rowOff>5443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1B6F079-E528-4D03-82CE-2141996D6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12370</xdr:colOff>
      <xdr:row>18</xdr:row>
      <xdr:rowOff>18555</xdr:rowOff>
    </xdr:from>
    <xdr:to>
      <xdr:col>21</xdr:col>
      <xdr:colOff>12370</xdr:colOff>
      <xdr:row>30</xdr:row>
      <xdr:rowOff>191736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C8A998A-9CAD-43A3-86AE-D45D9DAE5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40821</xdr:colOff>
      <xdr:row>1</xdr:row>
      <xdr:rowOff>70756</xdr:rowOff>
    </xdr:from>
    <xdr:to>
      <xdr:col>12</xdr:col>
      <xdr:colOff>40821</xdr:colOff>
      <xdr:row>16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4AA2E1-FD66-4E48-03A2-5581E7228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536121</xdr:colOff>
      <xdr:row>6</xdr:row>
      <xdr:rowOff>81642</xdr:rowOff>
    </xdr:from>
    <xdr:to>
      <xdr:col>13</xdr:col>
      <xdr:colOff>536121</xdr:colOff>
      <xdr:row>21</xdr:row>
      <xdr:rowOff>48985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E31611-F047-AFF1-F8FC-D3387D886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220435</xdr:colOff>
      <xdr:row>6</xdr:row>
      <xdr:rowOff>81642</xdr:rowOff>
    </xdr:from>
    <xdr:to>
      <xdr:col>13</xdr:col>
      <xdr:colOff>220435</xdr:colOff>
      <xdr:row>21</xdr:row>
      <xdr:rowOff>48985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A12F12-4FF0-302A-DF36-03D8BF1BA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296635</xdr:colOff>
      <xdr:row>1</xdr:row>
      <xdr:rowOff>54428</xdr:rowOff>
    </xdr:from>
    <xdr:to>
      <xdr:col>11</xdr:col>
      <xdr:colOff>296635</xdr:colOff>
      <xdr:row>16</xdr:row>
      <xdr:rowOff>21771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76815E-D54A-52B4-23DD-836932FB0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247649</xdr:colOff>
      <xdr:row>5</xdr:row>
      <xdr:rowOff>5441</xdr:rowOff>
    </xdr:from>
    <xdr:to>
      <xdr:col>9</xdr:col>
      <xdr:colOff>247649</xdr:colOff>
      <xdr:row>19</xdr:row>
      <xdr:rowOff>157841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4C4905-1C08-7A5C-0D4C-F09A00622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16</xdr:row>
      <xdr:rowOff>65314</xdr:rowOff>
    </xdr:from>
    <xdr:to>
      <xdr:col>12</xdr:col>
      <xdr:colOff>27214</xdr:colOff>
      <xdr:row>31</xdr:row>
      <xdr:rowOff>32657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61856D-C569-4836-15B4-BC0ECA4FD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14E2DBBF-1407-445E-8D98-2D9A6CD72843}" autoFormatId="16" applyNumberFormats="0" applyBorderFormats="0" applyFontFormats="0" applyPatternFormats="0" applyAlignmentFormats="0" applyWidthHeightFormats="0">
  <queryTableRefresh nextId="23">
    <queryTableFields count="18">
      <queryTableField id="1" name="valor_total_receita" tableColumnId="1"/>
      <queryTableField id="2" name="quantidade" tableColumnId="2"/>
      <queryTableField id="3" name="id_pedido" tableColumnId="3"/>
      <queryTableField id="4" name="hora" tableColumnId="4"/>
      <queryTableField id="5" name="nomecliente" tableColumnId="5"/>
      <queryTableField id="6" name="ruacliente" tableColumnId="6"/>
      <queryTableField id="7" name="bairrocliente" tableColumnId="7"/>
      <queryTableField id="8" name="municipiocliente" tableColumnId="8"/>
      <queryTableField id="9" name="ufcliente" tableColumnId="9"/>
      <queryTableField id="10" name="nomeproduto" tableColumnId="10"/>
      <queryTableField id="11" name="categproduto" tableColumnId="11"/>
      <queryTableField id="12" name="precvenda" tableColumnId="12"/>
      <queryTableField id="13" name="data_transacao" tableColumnId="13"/>
      <queryTableField id="14" name="dia_da_semana" tableColumnId="14"/>
      <queryTableField id="15" name="dia" tableColumnId="15"/>
      <queryTableField id="16" name="mes" tableColumnId="16"/>
      <queryTableField id="17" name="trismeste" tableColumnId="17"/>
      <queryTableField id="18" name="ano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619C9C4E-CE9E-4972-9B3A-AAA6AD6EA2E0}" autoFormatId="16" applyNumberFormats="0" applyBorderFormats="0" applyFontFormats="0" applyPatternFormats="0" applyAlignmentFormats="0" applyWidthHeightFormats="0">
  <queryTableRefresh nextId="19">
    <queryTableFields count="16">
      <queryTableField id="1" name="valor_total_receita" tableColumnId="1"/>
      <queryTableField id="2" name="quantidade_vendida_dia" tableColumnId="2"/>
      <queryTableField id="3" name="nomecliente" tableColumnId="3"/>
      <queryTableField id="4" name="ruacliente" tableColumnId="4"/>
      <queryTableField id="5" name="bairrocliente" tableColumnId="5"/>
      <queryTableField id="6" name="municipiocliente" tableColumnId="6"/>
      <queryTableField id="7" name="ufcliente" tableColumnId="7"/>
      <queryTableField id="8" name="nomeproduto" tableColumnId="8"/>
      <queryTableField id="9" name="categproduto" tableColumnId="9"/>
      <queryTableField id="10" name="precvenda" tableColumnId="10"/>
      <queryTableField id="11" name="data_transacao" tableColumnId="11"/>
      <queryTableField id="12" name="dia_da_semana" tableColumnId="12"/>
      <queryTableField id="13" name="dia" tableColumnId="13"/>
      <queryTableField id="14" name="mes" tableColumnId="14"/>
      <queryTableField id="15" name="trismeste" tableColumnId="15"/>
      <queryTableField id="16" name="ano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1213AF2-C0D9-461B-A8A7-162D98704374}" autoFormatId="16" applyNumberFormats="0" applyBorderFormats="0" applyFontFormats="0" applyPatternFormats="0" applyAlignmentFormats="0" applyWidthHeightFormats="0">
  <queryTableRefresh nextId="14">
    <queryTableFields count="13">
      <queryTableField id="1" name="iddespesa" tableColumnId="1"/>
      <queryTableField id="2" name="data_transacao" tableColumnId="2"/>
      <queryTableField id="3" name="dia_da_semana" tableColumnId="3"/>
      <queryTableField id="4" name="dia" tableColumnId="4"/>
      <queryTableField id="5" name="mes" tableColumnId="5"/>
      <queryTableField id="6" name="trismeste" tableColumnId="6"/>
      <queryTableField id="7" name="ano" tableColumnId="7"/>
      <queryTableField id="8" name="nomefornecedor" tableColumnId="8"/>
      <queryTableField id="9" name="nomeproduto" tableColumnId="9"/>
      <queryTableField id="10" name="categproduto" tableColumnId="10"/>
      <queryTableField id="11" name="quantidade" tableColumnId="11"/>
      <queryTableField id="12" name="preco_unitario" tableColumnId="12"/>
      <queryTableField id="13" name="valor_total_despesa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5D9DA6-6D1F-450E-A3B9-95218D94AAFF}" name="receita_detalhada" displayName="receita_detalhada" ref="A1:R3001" tableType="queryTable" totalsRowShown="0">
  <autoFilter ref="A1:R3001" xr:uid="{745D9DA6-6D1F-450E-A3B9-95218D94AAFF}"/>
  <tableColumns count="18">
    <tableColumn id="1" xr3:uid="{1BD34F6D-8B06-464A-B6D8-CD72225B21A7}" uniqueName="1" name="valor_total_receita" queryTableFieldId="1"/>
    <tableColumn id="2" xr3:uid="{CEADC292-7186-4DEC-9098-2D58E4BE888D}" uniqueName="2" name="quantidade" queryTableFieldId="2"/>
    <tableColumn id="3" xr3:uid="{78B7F6C5-24EA-4955-AF39-9F907A60326D}" uniqueName="3" name="id_pedido" queryTableFieldId="3"/>
    <tableColumn id="4" xr3:uid="{394E1F49-512A-4124-A593-5F2ED4D4C05E}" uniqueName="4" name="hora" queryTableFieldId="4" dataDxfId="23"/>
    <tableColumn id="5" xr3:uid="{F547DABA-7BD9-4439-9A95-DB41A14079D2}" uniqueName="5" name="nomecliente" queryTableFieldId="5" dataDxfId="22"/>
    <tableColumn id="6" xr3:uid="{24650E5C-A178-49A2-97D7-4F90B8D6AD12}" uniqueName="6" name="Logradouro" queryTableFieldId="6" dataDxfId="21"/>
    <tableColumn id="7" xr3:uid="{94FFC3AC-4D47-4A9F-B437-8A441FAE4A9C}" uniqueName="7" name="Bairro" queryTableFieldId="7" dataDxfId="20"/>
    <tableColumn id="8" xr3:uid="{7E11A2C7-B139-476A-BD65-D10ADA2FEA0B}" uniqueName="8" name="Município" queryTableFieldId="8" dataDxfId="19"/>
    <tableColumn id="9" xr3:uid="{255BD3AA-DEC6-420B-A907-62852B8DCB70}" uniqueName="9" name="Estado" queryTableFieldId="9" dataDxfId="18"/>
    <tableColumn id="10" xr3:uid="{37C92842-297E-456D-9C33-BC8BC9657265}" uniqueName="10" name="nomeproduto" queryTableFieldId="10" dataDxfId="17"/>
    <tableColumn id="11" xr3:uid="{3CBA6603-654E-4F8E-A01D-709A9444DD77}" uniqueName="11" name="categproduto" queryTableFieldId="11" dataDxfId="16"/>
    <tableColumn id="12" xr3:uid="{E9407B27-AC83-4B4E-9164-8A037E97F0D9}" uniqueName="12" name="precvenda" queryTableFieldId="12"/>
    <tableColumn id="13" xr3:uid="{DBA4C6B5-7779-447B-B7A1-96C54A98011F}" uniqueName="13" name="data_transacao" queryTableFieldId="13" dataDxfId="15"/>
    <tableColumn id="14" xr3:uid="{DBC0E534-F4E1-41AE-AE22-1E4F3CF7834F}" uniqueName="14" name="dia_da_semana" queryTableFieldId="14" dataDxfId="14"/>
    <tableColumn id="15" xr3:uid="{936A5EB7-990F-4007-BE4F-5D34FA2D958C}" uniqueName="15" name="dia" queryTableFieldId="15"/>
    <tableColumn id="16" xr3:uid="{853B762E-316F-4EB6-A07E-6C8D028AB7D0}" uniqueName="16" name="mes" queryTableFieldId="16"/>
    <tableColumn id="17" xr3:uid="{57C71F83-E61B-4A60-80D2-CE613F77353B}" uniqueName="17" name="trismeste" queryTableFieldId="17"/>
    <tableColumn id="18" xr3:uid="{14C805A6-A9E2-4B81-A175-657DD4D77463}" uniqueName="18" name="ano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C4156A-A0BB-466D-8BBF-B680BCF86934}" name="receita_agregada" displayName="receita_agregada" ref="A1:P3001" tableType="queryTable" totalsRowShown="0">
  <autoFilter ref="A1:P3001" xr:uid="{DEC4156A-A0BB-466D-8BBF-B680BCF86934}"/>
  <tableColumns count="16">
    <tableColumn id="1" xr3:uid="{D86C13A2-7C3F-4CB4-A2CD-4A87D1156DDE}" uniqueName="1" name="valor_total_receita" queryTableFieldId="1"/>
    <tableColumn id="2" xr3:uid="{2BE3F321-1976-4F0E-A120-DFE2A45DFDB0}" uniqueName="2" name="quantidade_vendida_dia" queryTableFieldId="2"/>
    <tableColumn id="3" xr3:uid="{FD0E8A8B-25CA-4A1D-9ADE-DBFA9E6CB220}" uniqueName="3" name="nomecliente" queryTableFieldId="3" dataDxfId="13"/>
    <tableColumn id="4" xr3:uid="{FB7D36E8-757B-40B7-BB63-70F80EC4775A}" uniqueName="4" name="Logradouro" queryTableFieldId="4" dataDxfId="12"/>
    <tableColumn id="5" xr3:uid="{FD4AE3B0-9424-4C8A-A214-C21BC368F20E}" uniqueName="5" name="Bairro" queryTableFieldId="5" dataDxfId="11"/>
    <tableColumn id="6" xr3:uid="{C77D332C-07B9-44C3-89EA-B3F6E9C17295}" uniqueName="6" name="Município" queryTableFieldId="6" dataDxfId="10"/>
    <tableColumn id="7" xr3:uid="{275F4813-2CB3-4A2E-AC7B-AAB19900F128}" uniqueName="7" name="Estado" queryTableFieldId="7" dataDxfId="9"/>
    <tableColumn id="8" xr3:uid="{5CF8F61F-E3EC-4BBE-BB62-81155285F5A1}" uniqueName="8" name="nomeproduto" queryTableFieldId="8" dataDxfId="8"/>
    <tableColumn id="9" xr3:uid="{03558593-92E3-4F87-A568-C90920DDC761}" uniqueName="9" name="categproduto" queryTableFieldId="9" dataDxfId="7"/>
    <tableColumn id="10" xr3:uid="{764CD1CA-D5DA-4FF0-89C5-4EEC7C320E03}" uniqueName="10" name="precvenda" queryTableFieldId="10"/>
    <tableColumn id="11" xr3:uid="{2F53A17D-20F1-47FF-B34F-D8D5748957EE}" uniqueName="11" name="data_transacao" queryTableFieldId="11" dataDxfId="6"/>
    <tableColumn id="12" xr3:uid="{27FFBE85-7531-4418-8C08-7AD5BDE8EDD8}" uniqueName="12" name="dia_da_semana" queryTableFieldId="12" dataDxfId="5"/>
    <tableColumn id="13" xr3:uid="{BDE57E14-027A-4024-A3A0-474E5548DDE7}" uniqueName="13" name="dia" queryTableFieldId="13"/>
    <tableColumn id="14" xr3:uid="{54F9788A-2E12-4AE8-A766-DCFF2ADA1F75}" uniqueName="14" name="mes" queryTableFieldId="14"/>
    <tableColumn id="15" xr3:uid="{EFE9C4FA-1F39-4C37-AA4F-16D5D57F263E}" uniqueName="15" name="trimestre" queryTableFieldId="15"/>
    <tableColumn id="16" xr3:uid="{5A104C09-F41D-4750-B697-EA276218B252}" uniqueName="16" name="ano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CC10C-91A5-4EE0-A9EA-57BC545AF74F}" name="despesa" displayName="despesa" ref="A1:M1926" tableType="queryTable" totalsRowShown="0">
  <autoFilter ref="A1:M1926" xr:uid="{1D9CC10C-91A5-4EE0-A9EA-57BC545AF74F}"/>
  <tableColumns count="13">
    <tableColumn id="1" xr3:uid="{C20642F9-B42D-4405-9331-36218E929BB0}" uniqueName="1" name="iddespesa" queryTableFieldId="1"/>
    <tableColumn id="2" xr3:uid="{C80E9B97-6E1D-4DA4-B1B3-CAF3620B0549}" uniqueName="2" name="data_transacao" queryTableFieldId="2" dataDxfId="4"/>
    <tableColumn id="3" xr3:uid="{21EFC9DE-B97F-49CF-AE67-3D66D08F48C9}" uniqueName="3" name="dia_da_semana" queryTableFieldId="3" dataDxfId="3"/>
    <tableColumn id="4" xr3:uid="{78A07C35-5A4B-4111-9C71-A54ADA525A20}" uniqueName="4" name="dia" queryTableFieldId="4"/>
    <tableColumn id="5" xr3:uid="{7F90C700-92DE-44AC-8A04-C9152B8BB635}" uniqueName="5" name="mes" queryTableFieldId="5"/>
    <tableColumn id="6" xr3:uid="{34603EDF-FBF0-438D-99FD-4EC835DA2540}" uniqueName="6" name="trismeste" queryTableFieldId="6"/>
    <tableColumn id="7" xr3:uid="{9C456372-702E-4429-B4CF-4E025286FF09}" uniqueName="7" name="ano" queryTableFieldId="7"/>
    <tableColumn id="8" xr3:uid="{DEE6BE53-01C5-45B6-B1C8-1E5BA872F757}" uniqueName="8" name="nomefornecedor" queryTableFieldId="8" dataDxfId="2"/>
    <tableColumn id="9" xr3:uid="{D4C7371D-7612-4BF4-A138-0E3BD732F148}" uniqueName="9" name="nomeproduto" queryTableFieldId="9" dataDxfId="1"/>
    <tableColumn id="10" xr3:uid="{5DB0068A-9ED4-40F5-A880-D4BB6EA40904}" uniqueName="10" name="categproduto" queryTableFieldId="10" dataDxfId="0"/>
    <tableColumn id="11" xr3:uid="{59EE5DFB-9B5D-4B60-8A58-992CD547FBBC}" uniqueName="11" name="quantidade" queryTableFieldId="11"/>
    <tableColumn id="12" xr3:uid="{56766B5A-2A89-4EE4-912D-AB90025E33CD}" uniqueName="12" name="preco_unitario" queryTableFieldId="12"/>
    <tableColumn id="13" xr3:uid="{E209E476-97E2-4861-8223-853DC93F16F0}" uniqueName="13" name="valor_total_despesa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B047-7489-43F5-9A18-383EDC6D35A6}">
  <dimension ref="A1:R3001"/>
  <sheetViews>
    <sheetView topLeftCell="J1" workbookViewId="0">
      <selection activeCell="P1" sqref="P1:P1048576"/>
    </sheetView>
  </sheetViews>
  <sheetFormatPr defaultRowHeight="14.6"/>
  <cols>
    <col min="1" max="1" width="18.61328125" bestFit="1" customWidth="1"/>
    <col min="2" max="2" width="12.61328125" bestFit="1" customWidth="1"/>
    <col min="3" max="3" width="11.3046875" bestFit="1" customWidth="1"/>
    <col min="4" max="4" width="7.921875" bestFit="1" customWidth="1"/>
    <col min="5" max="5" width="25.4609375" bestFit="1" customWidth="1"/>
    <col min="6" max="6" width="32.15234375" bestFit="1" customWidth="1"/>
    <col min="7" max="7" width="27.3828125" bestFit="1" customWidth="1"/>
    <col min="8" max="8" width="20.61328125" bestFit="1" customWidth="1"/>
    <col min="9" max="9" width="10.53515625" bestFit="1" customWidth="1"/>
    <col min="10" max="10" width="59.23046875" bestFit="1" customWidth="1"/>
    <col min="11" max="11" width="21.53515625" bestFit="1" customWidth="1"/>
    <col min="12" max="12" width="11.921875" bestFit="1" customWidth="1"/>
    <col min="13" max="13" width="16" bestFit="1" customWidth="1"/>
    <col min="14" max="14" width="16.15234375" bestFit="1" customWidth="1"/>
    <col min="15" max="15" width="12.3046875" customWidth="1"/>
    <col min="16" max="16" width="6.61328125" bestFit="1" customWidth="1"/>
    <col min="17" max="17" width="11" bestFit="1" customWidth="1"/>
    <col min="18" max="18" width="6.15234375" bestFit="1" customWidth="1"/>
  </cols>
  <sheetData>
    <row r="1" spans="1:18">
      <c r="A1" t="s">
        <v>741</v>
      </c>
      <c r="B1" t="s">
        <v>11</v>
      </c>
      <c r="C1" t="s">
        <v>3518</v>
      </c>
      <c r="D1" t="s">
        <v>3519</v>
      </c>
      <c r="E1" t="s">
        <v>743</v>
      </c>
      <c r="F1" t="s">
        <v>3530</v>
      </c>
      <c r="G1" t="s">
        <v>3521</v>
      </c>
      <c r="H1" t="s">
        <v>3523</v>
      </c>
      <c r="I1" t="s">
        <v>3522</v>
      </c>
      <c r="J1" t="s">
        <v>9</v>
      </c>
      <c r="K1" t="s">
        <v>10</v>
      </c>
      <c r="L1" t="s">
        <v>3520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</row>
    <row r="2" spans="1:18">
      <c r="A2">
        <v>454.94</v>
      </c>
      <c r="B2">
        <v>2</v>
      </c>
      <c r="C2">
        <v>1</v>
      </c>
      <c r="D2" s="2">
        <v>0.13151797453703704</v>
      </c>
      <c r="E2" t="s">
        <v>3280</v>
      </c>
      <c r="F2" t="s">
        <v>3281</v>
      </c>
      <c r="G2" t="s">
        <v>2615</v>
      </c>
      <c r="H2" t="s">
        <v>387</v>
      </c>
      <c r="I2" t="s">
        <v>821</v>
      </c>
      <c r="J2" t="s">
        <v>116</v>
      </c>
      <c r="K2" t="s">
        <v>57</v>
      </c>
      <c r="L2">
        <v>227.47</v>
      </c>
      <c r="M2" s="1">
        <v>46208</v>
      </c>
      <c r="N2" t="s">
        <v>28</v>
      </c>
      <c r="O2">
        <v>5</v>
      </c>
      <c r="P2">
        <v>7</v>
      </c>
      <c r="Q2">
        <v>3</v>
      </c>
      <c r="R2">
        <v>2026</v>
      </c>
    </row>
    <row r="3" spans="1:18">
      <c r="A3">
        <v>676.92</v>
      </c>
      <c r="B3">
        <v>4</v>
      </c>
      <c r="C3">
        <v>2</v>
      </c>
      <c r="D3" s="2">
        <v>0.31568582175925924</v>
      </c>
      <c r="E3" t="s">
        <v>3212</v>
      </c>
      <c r="F3" t="s">
        <v>3213</v>
      </c>
      <c r="G3" t="s">
        <v>2013</v>
      </c>
      <c r="H3" t="s">
        <v>1111</v>
      </c>
      <c r="I3" t="s">
        <v>981</v>
      </c>
      <c r="J3" t="s">
        <v>3427</v>
      </c>
      <c r="K3" t="s">
        <v>39</v>
      </c>
      <c r="L3">
        <v>169.23</v>
      </c>
      <c r="M3" s="1">
        <v>46053</v>
      </c>
      <c r="N3" t="s">
        <v>14</v>
      </c>
      <c r="O3">
        <v>31</v>
      </c>
      <c r="P3">
        <v>1</v>
      </c>
      <c r="Q3">
        <v>1</v>
      </c>
      <c r="R3">
        <v>2026</v>
      </c>
    </row>
    <row r="4" spans="1:18">
      <c r="A4">
        <v>1214.05</v>
      </c>
      <c r="B4">
        <v>5</v>
      </c>
      <c r="C4">
        <v>3</v>
      </c>
      <c r="D4" s="2">
        <v>0.79700265046296292</v>
      </c>
      <c r="E4" t="s">
        <v>2453</v>
      </c>
      <c r="F4" t="s">
        <v>832</v>
      </c>
      <c r="G4" t="s">
        <v>756</v>
      </c>
      <c r="H4" t="s">
        <v>1280</v>
      </c>
      <c r="I4" t="s">
        <v>908</v>
      </c>
      <c r="J4" t="s">
        <v>329</v>
      </c>
      <c r="K4" t="s">
        <v>82</v>
      </c>
      <c r="L4">
        <v>242.81</v>
      </c>
      <c r="M4" s="1">
        <v>45866</v>
      </c>
      <c r="N4" t="s">
        <v>93</v>
      </c>
      <c r="O4">
        <v>28</v>
      </c>
      <c r="P4">
        <v>7</v>
      </c>
      <c r="Q4">
        <v>3</v>
      </c>
      <c r="R4">
        <v>2025</v>
      </c>
    </row>
    <row r="5" spans="1:18">
      <c r="A5">
        <v>705.52</v>
      </c>
      <c r="B5">
        <v>4</v>
      </c>
      <c r="C5">
        <v>4</v>
      </c>
      <c r="D5" s="2">
        <v>0.77542214120370367</v>
      </c>
      <c r="E5" t="s">
        <v>2932</v>
      </c>
      <c r="F5" t="s">
        <v>2933</v>
      </c>
      <c r="G5" t="s">
        <v>2538</v>
      </c>
      <c r="H5" t="s">
        <v>113</v>
      </c>
      <c r="I5" t="s">
        <v>854</v>
      </c>
      <c r="J5" t="s">
        <v>384</v>
      </c>
      <c r="K5" t="s">
        <v>37</v>
      </c>
      <c r="L5">
        <v>176.38</v>
      </c>
      <c r="M5" s="1">
        <v>45951</v>
      </c>
      <c r="N5" t="s">
        <v>48</v>
      </c>
      <c r="O5">
        <v>21</v>
      </c>
      <c r="P5">
        <v>10</v>
      </c>
      <c r="Q5">
        <v>4</v>
      </c>
      <c r="R5">
        <v>2025</v>
      </c>
    </row>
    <row r="6" spans="1:18">
      <c r="A6">
        <v>38.04</v>
      </c>
      <c r="B6">
        <v>4</v>
      </c>
      <c r="C6">
        <v>5</v>
      </c>
      <c r="D6" s="2">
        <v>0.90584549768518519</v>
      </c>
      <c r="E6" t="s">
        <v>2613</v>
      </c>
      <c r="F6" t="s">
        <v>2614</v>
      </c>
      <c r="G6" t="s">
        <v>2615</v>
      </c>
      <c r="H6" t="s">
        <v>1574</v>
      </c>
      <c r="I6" t="s">
        <v>1003</v>
      </c>
      <c r="J6" t="s">
        <v>727</v>
      </c>
      <c r="K6" t="s">
        <v>97</v>
      </c>
      <c r="L6">
        <v>9.51</v>
      </c>
      <c r="M6" s="1">
        <v>46259</v>
      </c>
      <c r="N6" t="s">
        <v>48</v>
      </c>
      <c r="O6">
        <v>25</v>
      </c>
      <c r="P6">
        <v>8</v>
      </c>
      <c r="Q6">
        <v>3</v>
      </c>
      <c r="R6">
        <v>2026</v>
      </c>
    </row>
    <row r="7" spans="1:18">
      <c r="A7">
        <v>617.49</v>
      </c>
      <c r="B7">
        <v>3</v>
      </c>
      <c r="C7">
        <v>6</v>
      </c>
      <c r="D7" s="2">
        <v>0.21638724537037038</v>
      </c>
      <c r="E7" t="s">
        <v>1963</v>
      </c>
      <c r="F7" t="s">
        <v>1964</v>
      </c>
      <c r="G7" t="s">
        <v>1965</v>
      </c>
      <c r="H7" t="s">
        <v>1002</v>
      </c>
      <c r="I7" t="s">
        <v>1003</v>
      </c>
      <c r="J7" t="s">
        <v>246</v>
      </c>
      <c r="K7" t="s">
        <v>23</v>
      </c>
      <c r="L7">
        <v>205.83</v>
      </c>
      <c r="M7" s="1">
        <v>45865</v>
      </c>
      <c r="N7" t="s">
        <v>28</v>
      </c>
      <c r="O7">
        <v>27</v>
      </c>
      <c r="P7">
        <v>7</v>
      </c>
      <c r="Q7">
        <v>3</v>
      </c>
      <c r="R7">
        <v>2025</v>
      </c>
    </row>
    <row r="8" spans="1:18">
      <c r="A8">
        <v>117.35</v>
      </c>
      <c r="B8">
        <v>5</v>
      </c>
      <c r="C8">
        <v>7</v>
      </c>
      <c r="D8" s="2">
        <v>0.24946615740740741</v>
      </c>
      <c r="E8" t="s">
        <v>3084</v>
      </c>
      <c r="F8" t="s">
        <v>3085</v>
      </c>
      <c r="G8" t="s">
        <v>3086</v>
      </c>
      <c r="H8" t="s">
        <v>562</v>
      </c>
      <c r="I8" t="s">
        <v>753</v>
      </c>
      <c r="J8" t="s">
        <v>492</v>
      </c>
      <c r="K8" t="s">
        <v>21</v>
      </c>
      <c r="L8">
        <v>23.47</v>
      </c>
      <c r="M8" s="1">
        <v>45744</v>
      </c>
      <c r="N8" t="s">
        <v>79</v>
      </c>
      <c r="O8">
        <v>28</v>
      </c>
      <c r="P8">
        <v>3</v>
      </c>
      <c r="Q8">
        <v>1</v>
      </c>
      <c r="R8">
        <v>2025</v>
      </c>
    </row>
    <row r="9" spans="1:18">
      <c r="A9">
        <v>17.850000000000001</v>
      </c>
      <c r="B9">
        <v>1</v>
      </c>
      <c r="C9">
        <v>8</v>
      </c>
      <c r="D9" s="2">
        <v>0.36061682870370371</v>
      </c>
      <c r="E9" t="s">
        <v>3091</v>
      </c>
      <c r="F9" t="s">
        <v>3092</v>
      </c>
      <c r="G9" t="s">
        <v>1064</v>
      </c>
      <c r="H9" t="s">
        <v>757</v>
      </c>
      <c r="I9" t="s">
        <v>758</v>
      </c>
      <c r="J9" t="s">
        <v>605</v>
      </c>
      <c r="K9" t="s">
        <v>39</v>
      </c>
      <c r="L9">
        <v>17.850000000000001</v>
      </c>
      <c r="M9" s="1">
        <v>45977</v>
      </c>
      <c r="N9" t="s">
        <v>28</v>
      </c>
      <c r="O9">
        <v>16</v>
      </c>
      <c r="P9">
        <v>11</v>
      </c>
      <c r="Q9">
        <v>4</v>
      </c>
      <c r="R9">
        <v>2025</v>
      </c>
    </row>
    <row r="10" spans="1:18">
      <c r="A10">
        <v>695.52</v>
      </c>
      <c r="B10">
        <v>3</v>
      </c>
      <c r="C10">
        <v>9</v>
      </c>
      <c r="D10" s="2">
        <v>0.62453092592592596</v>
      </c>
      <c r="E10" t="s">
        <v>2316</v>
      </c>
      <c r="F10" t="s">
        <v>2317</v>
      </c>
      <c r="G10" t="s">
        <v>1909</v>
      </c>
      <c r="H10" t="s">
        <v>915</v>
      </c>
      <c r="I10" t="s">
        <v>908</v>
      </c>
      <c r="J10" t="s">
        <v>626</v>
      </c>
      <c r="K10" t="s">
        <v>17</v>
      </c>
      <c r="L10">
        <v>231.84</v>
      </c>
      <c r="M10" s="1">
        <v>45773</v>
      </c>
      <c r="N10" t="s">
        <v>14</v>
      </c>
      <c r="O10">
        <v>26</v>
      </c>
      <c r="P10">
        <v>4</v>
      </c>
      <c r="Q10">
        <v>2</v>
      </c>
      <c r="R10">
        <v>2025</v>
      </c>
    </row>
    <row r="11" spans="1:18">
      <c r="A11">
        <v>335.58</v>
      </c>
      <c r="B11">
        <v>3</v>
      </c>
      <c r="C11">
        <v>10</v>
      </c>
      <c r="D11" s="2">
        <v>0.55041662037037042</v>
      </c>
      <c r="E11" t="s">
        <v>1448</v>
      </c>
      <c r="F11" t="s">
        <v>1449</v>
      </c>
      <c r="G11" t="s">
        <v>1050</v>
      </c>
      <c r="H11" t="s">
        <v>806</v>
      </c>
      <c r="I11" t="s">
        <v>807</v>
      </c>
      <c r="J11" t="s">
        <v>432</v>
      </c>
      <c r="K11" t="s">
        <v>46</v>
      </c>
      <c r="L11">
        <v>111.86</v>
      </c>
      <c r="M11" s="1">
        <v>46251</v>
      </c>
      <c r="N11" t="s">
        <v>93</v>
      </c>
      <c r="O11">
        <v>17</v>
      </c>
      <c r="P11">
        <v>8</v>
      </c>
      <c r="Q11">
        <v>3</v>
      </c>
      <c r="R11">
        <v>2026</v>
      </c>
    </row>
    <row r="12" spans="1:18">
      <c r="A12">
        <v>12.7</v>
      </c>
      <c r="B12">
        <v>5</v>
      </c>
      <c r="C12">
        <v>11</v>
      </c>
      <c r="D12" s="2">
        <v>0.72196495370370373</v>
      </c>
      <c r="E12" t="s">
        <v>996</v>
      </c>
      <c r="F12" t="s">
        <v>997</v>
      </c>
      <c r="G12" t="s">
        <v>998</v>
      </c>
      <c r="H12" t="s">
        <v>762</v>
      </c>
      <c r="I12" t="s">
        <v>763</v>
      </c>
      <c r="J12" t="s">
        <v>409</v>
      </c>
      <c r="K12" t="s">
        <v>39</v>
      </c>
      <c r="L12">
        <v>2.54</v>
      </c>
      <c r="M12" s="1">
        <v>45768</v>
      </c>
      <c r="N12" t="s">
        <v>93</v>
      </c>
      <c r="O12">
        <v>21</v>
      </c>
      <c r="P12">
        <v>4</v>
      </c>
      <c r="Q12">
        <v>2</v>
      </c>
      <c r="R12">
        <v>2025</v>
      </c>
    </row>
    <row r="13" spans="1:18">
      <c r="A13">
        <v>233.21</v>
      </c>
      <c r="B13">
        <v>1</v>
      </c>
      <c r="C13">
        <v>12</v>
      </c>
      <c r="D13" s="2">
        <v>0.46864900462962961</v>
      </c>
      <c r="E13" t="s">
        <v>1435</v>
      </c>
      <c r="F13" t="s">
        <v>1436</v>
      </c>
      <c r="G13" t="s">
        <v>1437</v>
      </c>
      <c r="H13" t="s">
        <v>387</v>
      </c>
      <c r="I13" t="s">
        <v>821</v>
      </c>
      <c r="J13" t="s">
        <v>648</v>
      </c>
      <c r="K13" t="s">
        <v>57</v>
      </c>
      <c r="L13">
        <v>233.21</v>
      </c>
      <c r="M13" s="1">
        <v>45782</v>
      </c>
      <c r="N13" t="s">
        <v>93</v>
      </c>
      <c r="O13">
        <v>5</v>
      </c>
      <c r="P13">
        <v>5</v>
      </c>
      <c r="Q13">
        <v>2</v>
      </c>
      <c r="R13">
        <v>2025</v>
      </c>
    </row>
    <row r="14" spans="1:18">
      <c r="A14">
        <v>105.69</v>
      </c>
      <c r="B14">
        <v>3</v>
      </c>
      <c r="C14">
        <v>13</v>
      </c>
      <c r="D14" s="2">
        <v>0.65426343750000004</v>
      </c>
      <c r="E14" t="s">
        <v>2834</v>
      </c>
      <c r="F14" t="s">
        <v>2835</v>
      </c>
      <c r="G14" t="s">
        <v>1335</v>
      </c>
      <c r="H14" t="s">
        <v>1071</v>
      </c>
      <c r="I14" t="s">
        <v>817</v>
      </c>
      <c r="J14" t="s">
        <v>261</v>
      </c>
      <c r="K14" t="s">
        <v>31</v>
      </c>
      <c r="L14">
        <v>35.229999999999997</v>
      </c>
      <c r="M14" s="1">
        <v>46150</v>
      </c>
      <c r="N14" t="s">
        <v>79</v>
      </c>
      <c r="O14">
        <v>8</v>
      </c>
      <c r="P14">
        <v>5</v>
      </c>
      <c r="Q14">
        <v>2</v>
      </c>
      <c r="R14">
        <v>2026</v>
      </c>
    </row>
    <row r="15" spans="1:18">
      <c r="A15">
        <v>419.84</v>
      </c>
      <c r="B15">
        <v>4</v>
      </c>
      <c r="C15">
        <v>14</v>
      </c>
      <c r="D15" s="2">
        <v>0.45176406250000001</v>
      </c>
      <c r="E15" t="s">
        <v>3137</v>
      </c>
      <c r="F15" t="s">
        <v>3138</v>
      </c>
      <c r="G15" t="s">
        <v>2383</v>
      </c>
      <c r="H15" t="s">
        <v>3139</v>
      </c>
      <c r="I15" t="s">
        <v>908</v>
      </c>
      <c r="J15" t="s">
        <v>225</v>
      </c>
      <c r="K15" t="s">
        <v>21</v>
      </c>
      <c r="L15">
        <v>104.96</v>
      </c>
      <c r="M15" s="1">
        <v>45731</v>
      </c>
      <c r="N15" t="s">
        <v>14</v>
      </c>
      <c r="O15">
        <v>15</v>
      </c>
      <c r="P15">
        <v>3</v>
      </c>
      <c r="Q15">
        <v>1</v>
      </c>
      <c r="R15">
        <v>2025</v>
      </c>
    </row>
    <row r="16" spans="1:18">
      <c r="A16">
        <v>29.68</v>
      </c>
      <c r="B16">
        <v>4</v>
      </c>
      <c r="C16">
        <v>15</v>
      </c>
      <c r="D16" s="2">
        <v>0.64368087962962961</v>
      </c>
      <c r="E16" t="s">
        <v>3023</v>
      </c>
      <c r="F16" t="s">
        <v>3024</v>
      </c>
      <c r="G16" t="s">
        <v>2365</v>
      </c>
      <c r="H16" t="s">
        <v>106</v>
      </c>
      <c r="I16" t="s">
        <v>790</v>
      </c>
      <c r="J16" t="s">
        <v>194</v>
      </c>
      <c r="K16" t="s">
        <v>39</v>
      </c>
      <c r="L16">
        <v>7.42</v>
      </c>
      <c r="M16" s="1">
        <v>46175</v>
      </c>
      <c r="N16" t="s">
        <v>48</v>
      </c>
      <c r="O16">
        <v>2</v>
      </c>
      <c r="P16">
        <v>6</v>
      </c>
      <c r="Q16">
        <v>2</v>
      </c>
      <c r="R16">
        <v>2026</v>
      </c>
    </row>
    <row r="17" spans="1:18">
      <c r="A17">
        <v>236.88</v>
      </c>
      <c r="B17">
        <v>4</v>
      </c>
      <c r="C17">
        <v>16</v>
      </c>
      <c r="D17" s="2">
        <v>0.56368687500000003</v>
      </c>
      <c r="E17" t="s">
        <v>1381</v>
      </c>
      <c r="F17" t="s">
        <v>1382</v>
      </c>
      <c r="G17" t="s">
        <v>1383</v>
      </c>
      <c r="H17" t="s">
        <v>1384</v>
      </c>
      <c r="I17" t="s">
        <v>908</v>
      </c>
      <c r="J17" t="s">
        <v>516</v>
      </c>
      <c r="K17" t="s">
        <v>31</v>
      </c>
      <c r="L17">
        <v>59.22</v>
      </c>
      <c r="M17" s="1">
        <v>45617</v>
      </c>
      <c r="N17" t="s">
        <v>105</v>
      </c>
      <c r="O17">
        <v>21</v>
      </c>
      <c r="P17">
        <v>11</v>
      </c>
      <c r="Q17">
        <v>4</v>
      </c>
      <c r="R17">
        <v>2024</v>
      </c>
    </row>
    <row r="18" spans="1:18">
      <c r="A18">
        <v>1212.25</v>
      </c>
      <c r="B18">
        <v>5</v>
      </c>
      <c r="C18">
        <v>17</v>
      </c>
      <c r="D18" s="2">
        <v>0.48026840277777777</v>
      </c>
      <c r="E18" t="s">
        <v>3220</v>
      </c>
      <c r="F18" t="s">
        <v>3221</v>
      </c>
      <c r="G18" t="s">
        <v>2845</v>
      </c>
      <c r="H18" t="s">
        <v>785</v>
      </c>
      <c r="I18" t="s">
        <v>786</v>
      </c>
      <c r="J18" t="s">
        <v>214</v>
      </c>
      <c r="K18" t="s">
        <v>69</v>
      </c>
      <c r="L18">
        <v>242.45</v>
      </c>
      <c r="M18" s="1">
        <v>46223</v>
      </c>
      <c r="N18" t="s">
        <v>93</v>
      </c>
      <c r="O18">
        <v>20</v>
      </c>
      <c r="P18">
        <v>7</v>
      </c>
      <c r="Q18">
        <v>3</v>
      </c>
      <c r="R18">
        <v>2026</v>
      </c>
    </row>
    <row r="19" spans="1:18">
      <c r="A19">
        <v>275.7</v>
      </c>
      <c r="B19">
        <v>5</v>
      </c>
      <c r="C19">
        <v>18</v>
      </c>
      <c r="D19" s="2">
        <v>0.6530655671296296</v>
      </c>
      <c r="E19" t="s">
        <v>3076</v>
      </c>
      <c r="F19" t="s">
        <v>3077</v>
      </c>
      <c r="G19" t="s">
        <v>2666</v>
      </c>
      <c r="H19" t="s">
        <v>1156</v>
      </c>
      <c r="I19" t="s">
        <v>839</v>
      </c>
      <c r="J19" t="s">
        <v>257</v>
      </c>
      <c r="K19" t="s">
        <v>57</v>
      </c>
      <c r="L19">
        <v>55.14</v>
      </c>
      <c r="M19" s="1">
        <v>46133</v>
      </c>
      <c r="N19" t="s">
        <v>48</v>
      </c>
      <c r="O19">
        <v>21</v>
      </c>
      <c r="P19">
        <v>4</v>
      </c>
      <c r="Q19">
        <v>2</v>
      </c>
      <c r="R19">
        <v>2026</v>
      </c>
    </row>
    <row r="20" spans="1:18">
      <c r="A20">
        <v>31.35</v>
      </c>
      <c r="B20">
        <v>1</v>
      </c>
      <c r="C20">
        <v>19</v>
      </c>
      <c r="D20" s="2">
        <v>0.5082873726851852</v>
      </c>
      <c r="E20" t="s">
        <v>1974</v>
      </c>
      <c r="F20" t="s">
        <v>1975</v>
      </c>
      <c r="G20" t="s">
        <v>1976</v>
      </c>
      <c r="H20" t="s">
        <v>806</v>
      </c>
      <c r="I20" t="s">
        <v>807</v>
      </c>
      <c r="J20" t="s">
        <v>557</v>
      </c>
      <c r="K20" t="s">
        <v>46</v>
      </c>
      <c r="L20">
        <v>31.35</v>
      </c>
      <c r="M20" s="1">
        <v>46068</v>
      </c>
      <c r="N20" t="s">
        <v>28</v>
      </c>
      <c r="O20">
        <v>15</v>
      </c>
      <c r="P20">
        <v>2</v>
      </c>
      <c r="Q20">
        <v>1</v>
      </c>
      <c r="R20">
        <v>2026</v>
      </c>
    </row>
    <row r="21" spans="1:18">
      <c r="A21">
        <v>428.52</v>
      </c>
      <c r="B21">
        <v>3</v>
      </c>
      <c r="C21">
        <v>20</v>
      </c>
      <c r="D21" s="2">
        <v>0.18227329861111111</v>
      </c>
      <c r="E21" t="s">
        <v>3240</v>
      </c>
      <c r="F21" t="s">
        <v>3241</v>
      </c>
      <c r="G21" t="s">
        <v>1798</v>
      </c>
      <c r="H21" t="s">
        <v>794</v>
      </c>
      <c r="I21" t="s">
        <v>821</v>
      </c>
      <c r="J21" t="s">
        <v>465</v>
      </c>
      <c r="K21" t="s">
        <v>31</v>
      </c>
      <c r="L21">
        <v>142.84</v>
      </c>
      <c r="M21" s="1">
        <v>46055</v>
      </c>
      <c r="N21" t="s">
        <v>93</v>
      </c>
      <c r="O21">
        <v>2</v>
      </c>
      <c r="P21">
        <v>2</v>
      </c>
      <c r="Q21">
        <v>1</v>
      </c>
      <c r="R21">
        <v>2026</v>
      </c>
    </row>
    <row r="22" spans="1:18">
      <c r="A22">
        <v>821.8</v>
      </c>
      <c r="B22">
        <v>4</v>
      </c>
      <c r="C22">
        <v>21</v>
      </c>
      <c r="D22" s="2">
        <v>0.41789714120370369</v>
      </c>
      <c r="E22" t="s">
        <v>847</v>
      </c>
      <c r="F22" t="s">
        <v>848</v>
      </c>
      <c r="G22" t="s">
        <v>849</v>
      </c>
      <c r="H22" t="s">
        <v>387</v>
      </c>
      <c r="I22" t="s">
        <v>821</v>
      </c>
      <c r="J22" t="s">
        <v>107</v>
      </c>
      <c r="K22" t="s">
        <v>17</v>
      </c>
      <c r="L22">
        <v>205.45</v>
      </c>
      <c r="M22" s="1">
        <v>45737</v>
      </c>
      <c r="N22" t="s">
        <v>79</v>
      </c>
      <c r="O22">
        <v>21</v>
      </c>
      <c r="P22">
        <v>3</v>
      </c>
      <c r="Q22">
        <v>1</v>
      </c>
      <c r="R22">
        <v>2025</v>
      </c>
    </row>
    <row r="23" spans="1:18">
      <c r="A23">
        <v>370.04999999999995</v>
      </c>
      <c r="B23">
        <v>3</v>
      </c>
      <c r="C23">
        <v>22</v>
      </c>
      <c r="D23" s="2">
        <v>0.62945084490740744</v>
      </c>
      <c r="E23" t="s">
        <v>2039</v>
      </c>
      <c r="F23" t="s">
        <v>2040</v>
      </c>
      <c r="G23" t="s">
        <v>878</v>
      </c>
      <c r="H23" t="s">
        <v>780</v>
      </c>
      <c r="I23" t="s">
        <v>781</v>
      </c>
      <c r="J23" t="s">
        <v>630</v>
      </c>
      <c r="K23" t="s">
        <v>69</v>
      </c>
      <c r="L23">
        <v>123.35</v>
      </c>
      <c r="M23" s="1">
        <v>45864</v>
      </c>
      <c r="N23" t="s">
        <v>14</v>
      </c>
      <c r="O23">
        <v>26</v>
      </c>
      <c r="P23">
        <v>7</v>
      </c>
      <c r="Q23">
        <v>3</v>
      </c>
      <c r="R23">
        <v>2025</v>
      </c>
    </row>
    <row r="24" spans="1:18">
      <c r="A24">
        <v>489.41999999999996</v>
      </c>
      <c r="B24">
        <v>3</v>
      </c>
      <c r="C24">
        <v>23</v>
      </c>
      <c r="D24" s="2">
        <v>0.38025394675925928</v>
      </c>
      <c r="E24" t="s">
        <v>3379</v>
      </c>
      <c r="F24" t="s">
        <v>3380</v>
      </c>
      <c r="G24" t="s">
        <v>1143</v>
      </c>
      <c r="H24" t="s">
        <v>953</v>
      </c>
      <c r="I24" t="s">
        <v>954</v>
      </c>
      <c r="J24" t="s">
        <v>183</v>
      </c>
      <c r="K24" t="s">
        <v>19</v>
      </c>
      <c r="L24">
        <v>163.13999999999999</v>
      </c>
      <c r="M24" s="1">
        <v>46073</v>
      </c>
      <c r="N24" t="s">
        <v>79</v>
      </c>
      <c r="O24">
        <v>20</v>
      </c>
      <c r="P24">
        <v>2</v>
      </c>
      <c r="Q24">
        <v>1</v>
      </c>
      <c r="R24">
        <v>2026</v>
      </c>
    </row>
    <row r="25" spans="1:18">
      <c r="A25">
        <v>685.98</v>
      </c>
      <c r="B25">
        <v>3</v>
      </c>
      <c r="C25">
        <v>24</v>
      </c>
      <c r="D25" s="2">
        <v>0.53101353009259256</v>
      </c>
      <c r="E25" t="s">
        <v>3274</v>
      </c>
      <c r="F25" t="s">
        <v>3275</v>
      </c>
      <c r="G25" t="s">
        <v>2108</v>
      </c>
      <c r="H25" t="s">
        <v>1107</v>
      </c>
      <c r="I25" t="s">
        <v>763</v>
      </c>
      <c r="J25" t="s">
        <v>480</v>
      </c>
      <c r="K25" t="s">
        <v>57</v>
      </c>
      <c r="L25">
        <v>228.66</v>
      </c>
      <c r="M25" s="1">
        <v>46106</v>
      </c>
      <c r="N25" t="s">
        <v>34</v>
      </c>
      <c r="O25">
        <v>25</v>
      </c>
      <c r="P25">
        <v>3</v>
      </c>
      <c r="Q25">
        <v>1</v>
      </c>
      <c r="R25">
        <v>2026</v>
      </c>
    </row>
    <row r="26" spans="1:18">
      <c r="A26">
        <v>1110.1000000000001</v>
      </c>
      <c r="B26">
        <v>5</v>
      </c>
      <c r="C26">
        <v>25</v>
      </c>
      <c r="D26" s="2">
        <v>0.55154072916666663</v>
      </c>
      <c r="E26" t="s">
        <v>2969</v>
      </c>
      <c r="F26" t="s">
        <v>2970</v>
      </c>
      <c r="G26" t="s">
        <v>2971</v>
      </c>
      <c r="H26" t="s">
        <v>953</v>
      </c>
      <c r="I26" t="s">
        <v>954</v>
      </c>
      <c r="J26" t="s">
        <v>501</v>
      </c>
      <c r="K26" t="s">
        <v>25</v>
      </c>
      <c r="L26">
        <v>222.02</v>
      </c>
      <c r="M26" s="1">
        <v>46082</v>
      </c>
      <c r="N26" t="s">
        <v>28</v>
      </c>
      <c r="O26">
        <v>1</v>
      </c>
      <c r="P26">
        <v>3</v>
      </c>
      <c r="Q26">
        <v>1</v>
      </c>
      <c r="R26">
        <v>2026</v>
      </c>
    </row>
    <row r="27" spans="1:18">
      <c r="A27">
        <v>131.25</v>
      </c>
      <c r="B27">
        <v>5</v>
      </c>
      <c r="C27">
        <v>26</v>
      </c>
      <c r="D27" s="2">
        <v>0.98162673611111106</v>
      </c>
      <c r="E27" t="s">
        <v>1650</v>
      </c>
      <c r="F27" t="s">
        <v>1651</v>
      </c>
      <c r="G27" t="s">
        <v>1652</v>
      </c>
      <c r="H27" t="s">
        <v>1239</v>
      </c>
      <c r="I27" t="s">
        <v>795</v>
      </c>
      <c r="J27" t="s">
        <v>493</v>
      </c>
      <c r="K27" t="s">
        <v>46</v>
      </c>
      <c r="L27">
        <v>26.25</v>
      </c>
      <c r="M27" s="1">
        <v>45672</v>
      </c>
      <c r="N27" t="s">
        <v>34</v>
      </c>
      <c r="O27">
        <v>15</v>
      </c>
      <c r="P27">
        <v>1</v>
      </c>
      <c r="Q27">
        <v>1</v>
      </c>
      <c r="R27">
        <v>2025</v>
      </c>
    </row>
    <row r="28" spans="1:18">
      <c r="A28">
        <v>1003.5500000000001</v>
      </c>
      <c r="B28">
        <v>5</v>
      </c>
      <c r="C28">
        <v>27</v>
      </c>
      <c r="D28" s="2">
        <v>0.83901929398148145</v>
      </c>
      <c r="E28" t="s">
        <v>3007</v>
      </c>
      <c r="F28" t="s">
        <v>3008</v>
      </c>
      <c r="G28" t="s">
        <v>1053</v>
      </c>
      <c r="H28" t="s">
        <v>113</v>
      </c>
      <c r="I28" t="s">
        <v>854</v>
      </c>
      <c r="J28" t="s">
        <v>298</v>
      </c>
      <c r="K28" t="s">
        <v>31</v>
      </c>
      <c r="L28">
        <v>200.71</v>
      </c>
      <c r="M28" s="1">
        <v>45618</v>
      </c>
      <c r="N28" t="s">
        <v>79</v>
      </c>
      <c r="O28">
        <v>22</v>
      </c>
      <c r="P28">
        <v>11</v>
      </c>
      <c r="Q28">
        <v>4</v>
      </c>
      <c r="R28">
        <v>2024</v>
      </c>
    </row>
    <row r="29" spans="1:18">
      <c r="A29">
        <v>454.94</v>
      </c>
      <c r="B29">
        <v>2</v>
      </c>
      <c r="C29">
        <v>28</v>
      </c>
      <c r="D29" s="2">
        <v>0.10169909722222223</v>
      </c>
      <c r="E29" t="s">
        <v>2711</v>
      </c>
      <c r="F29" t="s">
        <v>2712</v>
      </c>
      <c r="G29" t="s">
        <v>798</v>
      </c>
      <c r="H29" t="s">
        <v>1649</v>
      </c>
      <c r="I29" t="s">
        <v>790</v>
      </c>
      <c r="J29" t="s">
        <v>116</v>
      </c>
      <c r="K29" t="s">
        <v>57</v>
      </c>
      <c r="L29">
        <v>227.47</v>
      </c>
      <c r="M29" s="1">
        <v>45701</v>
      </c>
      <c r="N29" t="s">
        <v>105</v>
      </c>
      <c r="O29">
        <v>13</v>
      </c>
      <c r="P29">
        <v>2</v>
      </c>
      <c r="Q29">
        <v>1</v>
      </c>
      <c r="R29">
        <v>2025</v>
      </c>
    </row>
    <row r="30" spans="1:18">
      <c r="A30">
        <v>106.56</v>
      </c>
      <c r="B30">
        <v>2</v>
      </c>
      <c r="C30">
        <v>29</v>
      </c>
      <c r="D30" s="2">
        <v>0.28751840277777779</v>
      </c>
      <c r="E30" t="s">
        <v>1916</v>
      </c>
      <c r="F30" t="s">
        <v>1917</v>
      </c>
      <c r="G30" t="s">
        <v>1195</v>
      </c>
      <c r="H30" t="s">
        <v>1384</v>
      </c>
      <c r="I30" t="s">
        <v>908</v>
      </c>
      <c r="J30" t="s">
        <v>459</v>
      </c>
      <c r="K30" t="s">
        <v>43</v>
      </c>
      <c r="L30">
        <v>53.28</v>
      </c>
      <c r="M30" s="1">
        <v>45561</v>
      </c>
      <c r="N30" t="s">
        <v>105</v>
      </c>
      <c r="O30">
        <v>26</v>
      </c>
      <c r="P30">
        <v>9</v>
      </c>
      <c r="Q30">
        <v>3</v>
      </c>
      <c r="R30">
        <v>2024</v>
      </c>
    </row>
    <row r="31" spans="1:18">
      <c r="A31">
        <v>549.88</v>
      </c>
      <c r="B31">
        <v>4</v>
      </c>
      <c r="C31">
        <v>30</v>
      </c>
      <c r="D31" s="2">
        <v>0.80453890046296295</v>
      </c>
      <c r="E31" t="s">
        <v>3373</v>
      </c>
      <c r="F31" t="s">
        <v>3374</v>
      </c>
      <c r="G31" t="s">
        <v>2754</v>
      </c>
      <c r="H31" t="s">
        <v>211</v>
      </c>
      <c r="I31" t="s">
        <v>966</v>
      </c>
      <c r="J31" t="s">
        <v>379</v>
      </c>
      <c r="K31" t="s">
        <v>69</v>
      </c>
      <c r="L31">
        <v>137.47</v>
      </c>
      <c r="M31" s="1">
        <v>45720</v>
      </c>
      <c r="N31" t="s">
        <v>48</v>
      </c>
      <c r="O31">
        <v>4</v>
      </c>
      <c r="P31">
        <v>3</v>
      </c>
      <c r="Q31">
        <v>1</v>
      </c>
      <c r="R31">
        <v>2025</v>
      </c>
    </row>
    <row r="32" spans="1:18">
      <c r="A32">
        <v>168.77</v>
      </c>
      <c r="B32">
        <v>1</v>
      </c>
      <c r="C32">
        <v>31</v>
      </c>
      <c r="D32" s="2">
        <v>0.78742086805555556</v>
      </c>
      <c r="E32" t="s">
        <v>1293</v>
      </c>
      <c r="F32" t="s">
        <v>1294</v>
      </c>
      <c r="G32" t="s">
        <v>1295</v>
      </c>
      <c r="H32" t="s">
        <v>883</v>
      </c>
      <c r="I32" t="s">
        <v>807</v>
      </c>
      <c r="J32" t="s">
        <v>287</v>
      </c>
      <c r="K32" t="s">
        <v>46</v>
      </c>
      <c r="L32">
        <v>168.77</v>
      </c>
      <c r="M32" s="1">
        <v>46215</v>
      </c>
      <c r="N32" t="s">
        <v>28</v>
      </c>
      <c r="O32">
        <v>12</v>
      </c>
      <c r="P32">
        <v>7</v>
      </c>
      <c r="Q32">
        <v>3</v>
      </c>
      <c r="R32">
        <v>2026</v>
      </c>
    </row>
    <row r="33" spans="1:18">
      <c r="A33">
        <v>169.26</v>
      </c>
      <c r="B33">
        <v>2</v>
      </c>
      <c r="C33">
        <v>32</v>
      </c>
      <c r="D33" s="2">
        <v>0.19568181712962962</v>
      </c>
      <c r="E33" t="s">
        <v>1051</v>
      </c>
      <c r="F33" t="s">
        <v>1052</v>
      </c>
      <c r="G33" t="s">
        <v>1053</v>
      </c>
      <c r="H33" t="s">
        <v>1054</v>
      </c>
      <c r="I33" t="s">
        <v>892</v>
      </c>
      <c r="J33" t="s">
        <v>528</v>
      </c>
      <c r="K33" t="s">
        <v>69</v>
      </c>
      <c r="L33">
        <v>84.63</v>
      </c>
      <c r="M33" s="1">
        <v>45584</v>
      </c>
      <c r="N33" t="s">
        <v>14</v>
      </c>
      <c r="O33">
        <v>19</v>
      </c>
      <c r="P33">
        <v>10</v>
      </c>
      <c r="Q33">
        <v>4</v>
      </c>
      <c r="R33">
        <v>2024</v>
      </c>
    </row>
    <row r="34" spans="1:18">
      <c r="A34">
        <v>195.99</v>
      </c>
      <c r="B34">
        <v>3</v>
      </c>
      <c r="C34">
        <v>33</v>
      </c>
      <c r="D34" s="2">
        <v>0.70624530092592597</v>
      </c>
      <c r="E34" t="s">
        <v>1221</v>
      </c>
      <c r="F34" t="s">
        <v>1222</v>
      </c>
      <c r="G34" t="s">
        <v>1098</v>
      </c>
      <c r="H34" t="s">
        <v>802</v>
      </c>
      <c r="I34" t="s">
        <v>748</v>
      </c>
      <c r="J34" t="s">
        <v>189</v>
      </c>
      <c r="K34" t="s">
        <v>43</v>
      </c>
      <c r="L34">
        <v>65.33</v>
      </c>
      <c r="M34" s="1">
        <v>45711</v>
      </c>
      <c r="N34" t="s">
        <v>28</v>
      </c>
      <c r="O34">
        <v>23</v>
      </c>
      <c r="P34">
        <v>2</v>
      </c>
      <c r="Q34">
        <v>1</v>
      </c>
      <c r="R34">
        <v>2025</v>
      </c>
    </row>
    <row r="35" spans="1:18">
      <c r="A35">
        <v>591.16</v>
      </c>
      <c r="B35">
        <v>4</v>
      </c>
      <c r="C35">
        <v>34</v>
      </c>
      <c r="D35" s="2">
        <v>0.38416346064814816</v>
      </c>
      <c r="E35" t="s">
        <v>1258</v>
      </c>
      <c r="F35" t="s">
        <v>1259</v>
      </c>
      <c r="G35" t="s">
        <v>1260</v>
      </c>
      <c r="H35" t="s">
        <v>15</v>
      </c>
      <c r="I35" t="s">
        <v>834</v>
      </c>
      <c r="J35" t="s">
        <v>176</v>
      </c>
      <c r="K35" t="s">
        <v>21</v>
      </c>
      <c r="L35">
        <v>147.79</v>
      </c>
      <c r="M35" s="1">
        <v>45701</v>
      </c>
      <c r="N35" t="s">
        <v>105</v>
      </c>
      <c r="O35">
        <v>13</v>
      </c>
      <c r="P35">
        <v>2</v>
      </c>
      <c r="Q35">
        <v>1</v>
      </c>
      <c r="R35">
        <v>2025</v>
      </c>
    </row>
    <row r="36" spans="1:18">
      <c r="A36">
        <v>1005.15</v>
      </c>
      <c r="B36">
        <v>5</v>
      </c>
      <c r="C36">
        <v>35</v>
      </c>
      <c r="D36" s="2">
        <v>0.97837562499999997</v>
      </c>
      <c r="E36" t="s">
        <v>1871</v>
      </c>
      <c r="F36" t="s">
        <v>1872</v>
      </c>
      <c r="G36" t="s">
        <v>1873</v>
      </c>
      <c r="H36" t="s">
        <v>747</v>
      </c>
      <c r="I36" t="s">
        <v>748</v>
      </c>
      <c r="J36" t="s">
        <v>314</v>
      </c>
      <c r="K36" t="s">
        <v>100</v>
      </c>
      <c r="L36">
        <v>201.03</v>
      </c>
      <c r="M36" s="1">
        <v>45846</v>
      </c>
      <c r="N36" t="s">
        <v>48</v>
      </c>
      <c r="O36">
        <v>8</v>
      </c>
      <c r="P36">
        <v>7</v>
      </c>
      <c r="Q36">
        <v>3</v>
      </c>
      <c r="R36">
        <v>2025</v>
      </c>
    </row>
    <row r="37" spans="1:18">
      <c r="A37">
        <v>131.87</v>
      </c>
      <c r="B37">
        <v>1</v>
      </c>
      <c r="C37">
        <v>36</v>
      </c>
      <c r="D37" s="2">
        <v>0.61320697916666667</v>
      </c>
      <c r="E37" t="s">
        <v>1248</v>
      </c>
      <c r="F37" t="s">
        <v>1249</v>
      </c>
      <c r="G37" t="s">
        <v>861</v>
      </c>
      <c r="H37" t="s">
        <v>1032</v>
      </c>
      <c r="I37" t="s">
        <v>839</v>
      </c>
      <c r="J37" t="s">
        <v>165</v>
      </c>
      <c r="K37" t="s">
        <v>69</v>
      </c>
      <c r="L37">
        <v>131.87</v>
      </c>
      <c r="M37" s="1">
        <v>46156</v>
      </c>
      <c r="N37" t="s">
        <v>105</v>
      </c>
      <c r="O37">
        <v>14</v>
      </c>
      <c r="P37">
        <v>5</v>
      </c>
      <c r="Q37">
        <v>2</v>
      </c>
      <c r="R37">
        <v>2026</v>
      </c>
    </row>
    <row r="38" spans="1:18">
      <c r="A38">
        <v>598.91999999999996</v>
      </c>
      <c r="B38">
        <v>4</v>
      </c>
      <c r="C38">
        <v>37</v>
      </c>
      <c r="D38" s="2">
        <v>0.89413365740740736</v>
      </c>
      <c r="E38" t="s">
        <v>2972</v>
      </c>
      <c r="F38" t="s">
        <v>2973</v>
      </c>
      <c r="G38" t="s">
        <v>1771</v>
      </c>
      <c r="H38" t="s">
        <v>1533</v>
      </c>
      <c r="I38" t="s">
        <v>781</v>
      </c>
      <c r="J38" t="s">
        <v>425</v>
      </c>
      <c r="K38" t="s">
        <v>51</v>
      </c>
      <c r="L38">
        <v>149.72999999999999</v>
      </c>
      <c r="M38" s="1">
        <v>45788</v>
      </c>
      <c r="N38" t="s">
        <v>28</v>
      </c>
      <c r="O38">
        <v>11</v>
      </c>
      <c r="P38">
        <v>5</v>
      </c>
      <c r="Q38">
        <v>2</v>
      </c>
      <c r="R38">
        <v>2025</v>
      </c>
    </row>
    <row r="39" spans="1:18">
      <c r="A39">
        <v>225.73</v>
      </c>
      <c r="B39">
        <v>1</v>
      </c>
      <c r="C39">
        <v>38</v>
      </c>
      <c r="D39" s="2">
        <v>0.28031644675925926</v>
      </c>
      <c r="E39" t="s">
        <v>2662</v>
      </c>
      <c r="F39" t="s">
        <v>2663</v>
      </c>
      <c r="G39" t="s">
        <v>2416</v>
      </c>
      <c r="H39" t="s">
        <v>825</v>
      </c>
      <c r="I39" t="s">
        <v>781</v>
      </c>
      <c r="J39" t="s">
        <v>444</v>
      </c>
      <c r="K39" t="s">
        <v>37</v>
      </c>
      <c r="L39">
        <v>225.73</v>
      </c>
      <c r="M39" s="1">
        <v>45702</v>
      </c>
      <c r="N39" t="s">
        <v>79</v>
      </c>
      <c r="O39">
        <v>14</v>
      </c>
      <c r="P39">
        <v>2</v>
      </c>
      <c r="Q39">
        <v>1</v>
      </c>
      <c r="R39">
        <v>2025</v>
      </c>
    </row>
    <row r="40" spans="1:18">
      <c r="A40">
        <v>49.72</v>
      </c>
      <c r="B40">
        <v>2</v>
      </c>
      <c r="C40">
        <v>39</v>
      </c>
      <c r="D40" s="2">
        <v>4.7771203703703705E-2</v>
      </c>
      <c r="E40" t="s">
        <v>996</v>
      </c>
      <c r="F40" t="s">
        <v>997</v>
      </c>
      <c r="G40" t="s">
        <v>998</v>
      </c>
      <c r="H40" t="s">
        <v>762</v>
      </c>
      <c r="I40" t="s">
        <v>763</v>
      </c>
      <c r="J40" t="s">
        <v>531</v>
      </c>
      <c r="K40" t="s">
        <v>69</v>
      </c>
      <c r="L40">
        <v>24.86</v>
      </c>
      <c r="M40" s="1">
        <v>45706</v>
      </c>
      <c r="N40" t="s">
        <v>48</v>
      </c>
      <c r="O40">
        <v>18</v>
      </c>
      <c r="P40">
        <v>2</v>
      </c>
      <c r="Q40">
        <v>1</v>
      </c>
      <c r="R40">
        <v>2025</v>
      </c>
    </row>
    <row r="41" spans="1:18">
      <c r="A41">
        <v>95.62</v>
      </c>
      <c r="B41">
        <v>1</v>
      </c>
      <c r="C41">
        <v>40</v>
      </c>
      <c r="D41" s="2">
        <v>0.53240984953703707</v>
      </c>
      <c r="E41" t="s">
        <v>2420</v>
      </c>
      <c r="F41" t="s">
        <v>2421</v>
      </c>
      <c r="G41" t="s">
        <v>1001</v>
      </c>
      <c r="H41" t="s">
        <v>1254</v>
      </c>
      <c r="I41" t="s">
        <v>781</v>
      </c>
      <c r="J41" t="s">
        <v>153</v>
      </c>
      <c r="K41" t="s">
        <v>37</v>
      </c>
      <c r="L41">
        <v>95.62</v>
      </c>
      <c r="M41" s="1">
        <v>45791</v>
      </c>
      <c r="N41" t="s">
        <v>34</v>
      </c>
      <c r="O41">
        <v>14</v>
      </c>
      <c r="P41">
        <v>5</v>
      </c>
      <c r="Q41">
        <v>2</v>
      </c>
      <c r="R41">
        <v>2025</v>
      </c>
    </row>
    <row r="42" spans="1:18">
      <c r="A42">
        <v>91.88</v>
      </c>
      <c r="B42">
        <v>4</v>
      </c>
      <c r="C42">
        <v>41</v>
      </c>
      <c r="D42" s="2">
        <v>4.1830138888888889E-2</v>
      </c>
      <c r="E42" t="s">
        <v>2018</v>
      </c>
      <c r="F42" t="s">
        <v>2019</v>
      </c>
      <c r="G42" t="s">
        <v>2020</v>
      </c>
      <c r="H42" t="s">
        <v>635</v>
      </c>
      <c r="I42" t="s">
        <v>768</v>
      </c>
      <c r="J42" t="s">
        <v>90</v>
      </c>
      <c r="K42" t="s">
        <v>23</v>
      </c>
      <c r="L42">
        <v>22.97</v>
      </c>
      <c r="M42" s="1">
        <v>45785</v>
      </c>
      <c r="N42" t="s">
        <v>105</v>
      </c>
      <c r="O42">
        <v>8</v>
      </c>
      <c r="P42">
        <v>5</v>
      </c>
      <c r="Q42">
        <v>2</v>
      </c>
      <c r="R42">
        <v>2025</v>
      </c>
    </row>
    <row r="43" spans="1:18">
      <c r="A43">
        <v>225.56</v>
      </c>
      <c r="B43">
        <v>4</v>
      </c>
      <c r="C43">
        <v>42</v>
      </c>
      <c r="D43" s="2">
        <v>0.25502457175925924</v>
      </c>
      <c r="E43" t="s">
        <v>873</v>
      </c>
      <c r="F43" t="s">
        <v>874</v>
      </c>
      <c r="G43" t="s">
        <v>875</v>
      </c>
      <c r="H43" t="s">
        <v>387</v>
      </c>
      <c r="I43" t="s">
        <v>821</v>
      </c>
      <c r="J43" t="s">
        <v>308</v>
      </c>
      <c r="K43" t="s">
        <v>19</v>
      </c>
      <c r="L43">
        <v>56.39</v>
      </c>
      <c r="M43" s="1">
        <v>45678</v>
      </c>
      <c r="N43" t="s">
        <v>48</v>
      </c>
      <c r="O43">
        <v>21</v>
      </c>
      <c r="P43">
        <v>1</v>
      </c>
      <c r="Q43">
        <v>1</v>
      </c>
      <c r="R43">
        <v>2025</v>
      </c>
    </row>
    <row r="44" spans="1:18">
      <c r="A44">
        <v>21.87</v>
      </c>
      <c r="B44">
        <v>1</v>
      </c>
      <c r="C44">
        <v>43</v>
      </c>
      <c r="D44" s="2">
        <v>0.55396388888888892</v>
      </c>
      <c r="E44" t="s">
        <v>1869</v>
      </c>
      <c r="F44" t="s">
        <v>1870</v>
      </c>
      <c r="G44" t="s">
        <v>1501</v>
      </c>
      <c r="H44" t="s">
        <v>869</v>
      </c>
      <c r="I44" t="s">
        <v>1247</v>
      </c>
      <c r="J44" t="s">
        <v>462</v>
      </c>
      <c r="K44" t="s">
        <v>100</v>
      </c>
      <c r="L44">
        <v>21.87</v>
      </c>
      <c r="M44" s="1">
        <v>45617</v>
      </c>
      <c r="N44" t="s">
        <v>105</v>
      </c>
      <c r="O44">
        <v>21</v>
      </c>
      <c r="P44">
        <v>11</v>
      </c>
      <c r="Q44">
        <v>4</v>
      </c>
      <c r="R44">
        <v>2024</v>
      </c>
    </row>
    <row r="45" spans="1:18">
      <c r="A45">
        <v>420.38</v>
      </c>
      <c r="B45">
        <v>2</v>
      </c>
      <c r="C45">
        <v>44</v>
      </c>
      <c r="D45" s="2">
        <v>7.9827395833333328E-2</v>
      </c>
      <c r="E45" t="s">
        <v>3177</v>
      </c>
      <c r="F45" t="s">
        <v>3178</v>
      </c>
      <c r="G45" t="s">
        <v>1162</v>
      </c>
      <c r="H45" t="s">
        <v>1359</v>
      </c>
      <c r="I45" t="s">
        <v>768</v>
      </c>
      <c r="J45" t="s">
        <v>157</v>
      </c>
      <c r="K45" t="s">
        <v>19</v>
      </c>
      <c r="L45">
        <v>210.19</v>
      </c>
      <c r="M45" s="1">
        <v>46268</v>
      </c>
      <c r="N45" t="s">
        <v>105</v>
      </c>
      <c r="O45">
        <v>3</v>
      </c>
      <c r="P45">
        <v>9</v>
      </c>
      <c r="Q45">
        <v>3</v>
      </c>
      <c r="R45">
        <v>2026</v>
      </c>
    </row>
    <row r="46" spans="1:18">
      <c r="A46">
        <v>129.30000000000001</v>
      </c>
      <c r="B46">
        <v>5</v>
      </c>
      <c r="C46">
        <v>45</v>
      </c>
      <c r="D46" s="2">
        <v>0.44369706018518518</v>
      </c>
      <c r="E46" t="s">
        <v>2072</v>
      </c>
      <c r="F46" t="s">
        <v>2073</v>
      </c>
      <c r="G46" t="s">
        <v>1709</v>
      </c>
      <c r="H46" t="s">
        <v>961</v>
      </c>
      <c r="I46" t="s">
        <v>807</v>
      </c>
      <c r="J46" t="s">
        <v>282</v>
      </c>
      <c r="K46" t="s">
        <v>21</v>
      </c>
      <c r="L46">
        <v>25.86</v>
      </c>
      <c r="M46" s="1">
        <v>45917</v>
      </c>
      <c r="N46" t="s">
        <v>34</v>
      </c>
      <c r="O46">
        <v>17</v>
      </c>
      <c r="P46">
        <v>9</v>
      </c>
      <c r="Q46">
        <v>3</v>
      </c>
      <c r="R46">
        <v>2025</v>
      </c>
    </row>
    <row r="47" spans="1:18">
      <c r="A47">
        <v>1000.6</v>
      </c>
      <c r="B47">
        <v>5</v>
      </c>
      <c r="C47">
        <v>46</v>
      </c>
      <c r="D47" s="2">
        <v>0.40182416666666665</v>
      </c>
      <c r="E47" t="s">
        <v>2788</v>
      </c>
      <c r="F47" t="s">
        <v>2789</v>
      </c>
      <c r="G47" t="s">
        <v>1565</v>
      </c>
      <c r="H47" t="s">
        <v>136</v>
      </c>
      <c r="I47" t="s">
        <v>776</v>
      </c>
      <c r="J47" t="s">
        <v>239</v>
      </c>
      <c r="K47" t="s">
        <v>23</v>
      </c>
      <c r="L47">
        <v>200.12</v>
      </c>
      <c r="M47" s="1">
        <v>46228</v>
      </c>
      <c r="N47" t="s">
        <v>14</v>
      </c>
      <c r="O47">
        <v>25</v>
      </c>
      <c r="P47">
        <v>7</v>
      </c>
      <c r="Q47">
        <v>3</v>
      </c>
      <c r="R47">
        <v>2026</v>
      </c>
    </row>
    <row r="48" spans="1:18">
      <c r="A48">
        <v>79.25</v>
      </c>
      <c r="B48">
        <v>1</v>
      </c>
      <c r="C48">
        <v>47</v>
      </c>
      <c r="D48" s="2">
        <v>0.41442865740740742</v>
      </c>
      <c r="E48" t="s">
        <v>2139</v>
      </c>
      <c r="F48" t="s">
        <v>2140</v>
      </c>
      <c r="G48" t="s">
        <v>2141</v>
      </c>
      <c r="H48" t="s">
        <v>464</v>
      </c>
      <c r="I48" t="s">
        <v>896</v>
      </c>
      <c r="J48" t="s">
        <v>253</v>
      </c>
      <c r="K48" t="s">
        <v>23</v>
      </c>
      <c r="L48">
        <v>79.25</v>
      </c>
      <c r="M48" s="1">
        <v>45982</v>
      </c>
      <c r="N48" t="s">
        <v>79</v>
      </c>
      <c r="O48">
        <v>21</v>
      </c>
      <c r="P48">
        <v>11</v>
      </c>
      <c r="Q48">
        <v>4</v>
      </c>
      <c r="R48">
        <v>2025</v>
      </c>
    </row>
    <row r="49" spans="1:18">
      <c r="A49">
        <v>57.16</v>
      </c>
      <c r="B49">
        <v>4</v>
      </c>
      <c r="C49">
        <v>48</v>
      </c>
      <c r="D49" s="2">
        <v>0.56445164351851851</v>
      </c>
      <c r="E49" t="s">
        <v>1354</v>
      </c>
      <c r="F49" t="s">
        <v>1355</v>
      </c>
      <c r="G49" t="s">
        <v>1324</v>
      </c>
      <c r="H49" t="s">
        <v>196</v>
      </c>
      <c r="I49" t="s">
        <v>1247</v>
      </c>
      <c r="J49" t="s">
        <v>685</v>
      </c>
      <c r="K49" t="s">
        <v>69</v>
      </c>
      <c r="L49">
        <v>14.29</v>
      </c>
      <c r="M49" s="1">
        <v>46029</v>
      </c>
      <c r="N49" t="s">
        <v>34</v>
      </c>
      <c r="O49">
        <v>7</v>
      </c>
      <c r="P49">
        <v>1</v>
      </c>
      <c r="Q49">
        <v>1</v>
      </c>
      <c r="R49">
        <v>2026</v>
      </c>
    </row>
    <row r="50" spans="1:18">
      <c r="A50">
        <v>437.40000000000003</v>
      </c>
      <c r="B50">
        <v>5</v>
      </c>
      <c r="C50">
        <v>49</v>
      </c>
      <c r="D50" s="2">
        <v>0.2390349537037037</v>
      </c>
      <c r="E50" t="s">
        <v>2686</v>
      </c>
      <c r="F50" t="s">
        <v>2687</v>
      </c>
      <c r="G50" t="s">
        <v>952</v>
      </c>
      <c r="H50" t="s">
        <v>280</v>
      </c>
      <c r="I50" t="s">
        <v>812</v>
      </c>
      <c r="J50" t="s">
        <v>604</v>
      </c>
      <c r="K50" t="s">
        <v>69</v>
      </c>
      <c r="L50">
        <v>87.48</v>
      </c>
      <c r="M50" s="1">
        <v>46025</v>
      </c>
      <c r="N50" t="s">
        <v>14</v>
      </c>
      <c r="O50">
        <v>3</v>
      </c>
      <c r="P50">
        <v>1</v>
      </c>
      <c r="Q50">
        <v>1</v>
      </c>
      <c r="R50">
        <v>2026</v>
      </c>
    </row>
    <row r="51" spans="1:18">
      <c r="A51">
        <v>623.20000000000005</v>
      </c>
      <c r="B51">
        <v>5</v>
      </c>
      <c r="C51">
        <v>50</v>
      </c>
      <c r="D51" s="2">
        <v>0.87551137731481476</v>
      </c>
      <c r="E51" t="s">
        <v>2879</v>
      </c>
      <c r="F51" t="s">
        <v>2880</v>
      </c>
      <c r="G51" t="s">
        <v>2881</v>
      </c>
      <c r="H51" t="s">
        <v>151</v>
      </c>
      <c r="I51" t="s">
        <v>1003</v>
      </c>
      <c r="J51" t="s">
        <v>356</v>
      </c>
      <c r="K51" t="s">
        <v>69</v>
      </c>
      <c r="L51">
        <v>124.64</v>
      </c>
      <c r="M51" s="1">
        <v>45857</v>
      </c>
      <c r="N51" t="s">
        <v>14</v>
      </c>
      <c r="O51">
        <v>19</v>
      </c>
      <c r="P51">
        <v>7</v>
      </c>
      <c r="Q51">
        <v>3</v>
      </c>
      <c r="R51">
        <v>2025</v>
      </c>
    </row>
    <row r="52" spans="1:18">
      <c r="A52">
        <v>939.12</v>
      </c>
      <c r="B52">
        <v>4</v>
      </c>
      <c r="C52">
        <v>51</v>
      </c>
      <c r="D52" s="2">
        <v>0.64650043981481486</v>
      </c>
      <c r="E52" t="s">
        <v>2063</v>
      </c>
      <c r="F52" t="s">
        <v>2064</v>
      </c>
      <c r="G52" t="s">
        <v>2065</v>
      </c>
      <c r="H52" t="s">
        <v>1156</v>
      </c>
      <c r="I52" t="s">
        <v>821</v>
      </c>
      <c r="J52" t="s">
        <v>45</v>
      </c>
      <c r="K52" t="s">
        <v>46</v>
      </c>
      <c r="L52">
        <v>234.78</v>
      </c>
      <c r="M52" s="1">
        <v>46274</v>
      </c>
      <c r="N52" t="s">
        <v>34</v>
      </c>
      <c r="O52">
        <v>9</v>
      </c>
      <c r="P52">
        <v>9</v>
      </c>
      <c r="Q52">
        <v>3</v>
      </c>
      <c r="R52">
        <v>2026</v>
      </c>
    </row>
    <row r="53" spans="1:18">
      <c r="A53">
        <v>94.27</v>
      </c>
      <c r="B53">
        <v>1</v>
      </c>
      <c r="C53">
        <v>52</v>
      </c>
      <c r="D53" s="2">
        <v>0.5271607060185185</v>
      </c>
      <c r="E53" t="s">
        <v>1572</v>
      </c>
      <c r="F53" t="s">
        <v>1573</v>
      </c>
      <c r="G53" t="s">
        <v>1565</v>
      </c>
      <c r="H53" t="s">
        <v>1574</v>
      </c>
      <c r="I53" t="s">
        <v>1003</v>
      </c>
      <c r="J53" t="s">
        <v>506</v>
      </c>
      <c r="K53" t="s">
        <v>97</v>
      </c>
      <c r="L53">
        <v>94.27</v>
      </c>
      <c r="M53" s="1">
        <v>46190</v>
      </c>
      <c r="N53" t="s">
        <v>34</v>
      </c>
      <c r="O53">
        <v>17</v>
      </c>
      <c r="P53">
        <v>6</v>
      </c>
      <c r="Q53">
        <v>2</v>
      </c>
      <c r="R53">
        <v>2026</v>
      </c>
    </row>
    <row r="54" spans="1:18">
      <c r="A54">
        <v>199.78</v>
      </c>
      <c r="B54">
        <v>1</v>
      </c>
      <c r="C54">
        <v>53</v>
      </c>
      <c r="D54" s="2">
        <v>0.83028427083333334</v>
      </c>
      <c r="E54" t="s">
        <v>2370</v>
      </c>
      <c r="F54" t="s">
        <v>2371</v>
      </c>
      <c r="G54" t="s">
        <v>1633</v>
      </c>
      <c r="H54" t="s">
        <v>757</v>
      </c>
      <c r="I54" t="s">
        <v>758</v>
      </c>
      <c r="J54" t="s">
        <v>520</v>
      </c>
      <c r="K54" t="s">
        <v>122</v>
      </c>
      <c r="L54">
        <v>199.78</v>
      </c>
      <c r="M54" s="1">
        <v>45978</v>
      </c>
      <c r="N54" t="s">
        <v>93</v>
      </c>
      <c r="O54">
        <v>17</v>
      </c>
      <c r="P54">
        <v>11</v>
      </c>
      <c r="Q54">
        <v>4</v>
      </c>
      <c r="R54">
        <v>2025</v>
      </c>
    </row>
    <row r="55" spans="1:18">
      <c r="A55">
        <v>234.88</v>
      </c>
      <c r="B55">
        <v>2</v>
      </c>
      <c r="C55">
        <v>54</v>
      </c>
      <c r="D55" s="2">
        <v>0.9509572106481482</v>
      </c>
      <c r="E55" t="s">
        <v>2627</v>
      </c>
      <c r="F55" t="s">
        <v>2628</v>
      </c>
      <c r="G55" t="s">
        <v>2629</v>
      </c>
      <c r="H55" t="s">
        <v>2332</v>
      </c>
      <c r="I55" t="s">
        <v>1003</v>
      </c>
      <c r="J55" t="s">
        <v>419</v>
      </c>
      <c r="K55" t="s">
        <v>39</v>
      </c>
      <c r="L55">
        <v>117.44</v>
      </c>
      <c r="M55" s="1">
        <v>45636</v>
      </c>
      <c r="N55" t="s">
        <v>48</v>
      </c>
      <c r="O55">
        <v>10</v>
      </c>
      <c r="P55">
        <v>12</v>
      </c>
      <c r="Q55">
        <v>4</v>
      </c>
      <c r="R55">
        <v>2024</v>
      </c>
    </row>
    <row r="56" spans="1:18">
      <c r="A56">
        <v>307.02</v>
      </c>
      <c r="B56">
        <v>3</v>
      </c>
      <c r="C56">
        <v>55</v>
      </c>
      <c r="D56" s="2">
        <v>9.7180092592592596E-3</v>
      </c>
      <c r="E56" t="s">
        <v>2311</v>
      </c>
      <c r="F56" t="s">
        <v>2312</v>
      </c>
      <c r="G56" t="s">
        <v>1205</v>
      </c>
      <c r="H56" t="s">
        <v>825</v>
      </c>
      <c r="I56" t="s">
        <v>781</v>
      </c>
      <c r="J56" t="s">
        <v>538</v>
      </c>
      <c r="K56" t="s">
        <v>43</v>
      </c>
      <c r="L56">
        <v>102.34</v>
      </c>
      <c r="M56" s="1">
        <v>45917</v>
      </c>
      <c r="N56" t="s">
        <v>34</v>
      </c>
      <c r="O56">
        <v>17</v>
      </c>
      <c r="P56">
        <v>9</v>
      </c>
      <c r="Q56">
        <v>3</v>
      </c>
      <c r="R56">
        <v>2025</v>
      </c>
    </row>
    <row r="57" spans="1:18">
      <c r="A57">
        <v>56.02</v>
      </c>
      <c r="B57">
        <v>2</v>
      </c>
      <c r="C57">
        <v>56</v>
      </c>
      <c r="D57" s="2">
        <v>0.40351385416666669</v>
      </c>
      <c r="E57" t="s">
        <v>2263</v>
      </c>
      <c r="F57" t="s">
        <v>2264</v>
      </c>
      <c r="G57" t="s">
        <v>957</v>
      </c>
      <c r="H57" t="s">
        <v>2265</v>
      </c>
      <c r="I57" t="s">
        <v>830</v>
      </c>
      <c r="J57" t="s">
        <v>463</v>
      </c>
      <c r="K57" t="s">
        <v>43</v>
      </c>
      <c r="L57">
        <v>28.01</v>
      </c>
      <c r="M57" s="1">
        <v>45571</v>
      </c>
      <c r="N57" t="s">
        <v>28</v>
      </c>
      <c r="O57">
        <v>6</v>
      </c>
      <c r="P57">
        <v>10</v>
      </c>
      <c r="Q57">
        <v>4</v>
      </c>
      <c r="R57">
        <v>2024</v>
      </c>
    </row>
    <row r="58" spans="1:18">
      <c r="A58">
        <v>652.55999999999995</v>
      </c>
      <c r="B58">
        <v>4</v>
      </c>
      <c r="C58">
        <v>57</v>
      </c>
      <c r="D58" s="2">
        <v>0.52914366898148146</v>
      </c>
      <c r="E58" t="s">
        <v>813</v>
      </c>
      <c r="F58" t="s">
        <v>814</v>
      </c>
      <c r="G58" t="s">
        <v>815</v>
      </c>
      <c r="H58" t="s">
        <v>816</v>
      </c>
      <c r="I58" t="s">
        <v>817</v>
      </c>
      <c r="J58" t="s">
        <v>183</v>
      </c>
      <c r="K58" t="s">
        <v>19</v>
      </c>
      <c r="L58">
        <v>163.13999999999999</v>
      </c>
      <c r="M58" s="1">
        <v>45915</v>
      </c>
      <c r="N58" t="s">
        <v>93</v>
      </c>
      <c r="O58">
        <v>15</v>
      </c>
      <c r="P58">
        <v>9</v>
      </c>
      <c r="Q58">
        <v>3</v>
      </c>
      <c r="R58">
        <v>2025</v>
      </c>
    </row>
    <row r="59" spans="1:18">
      <c r="A59">
        <v>959.09999999999991</v>
      </c>
      <c r="B59">
        <v>5</v>
      </c>
      <c r="C59">
        <v>58</v>
      </c>
      <c r="D59" s="2">
        <v>0.80922057870370367</v>
      </c>
      <c r="E59" t="s">
        <v>2131</v>
      </c>
      <c r="F59" t="s">
        <v>2132</v>
      </c>
      <c r="G59" t="s">
        <v>2133</v>
      </c>
      <c r="H59" t="s">
        <v>929</v>
      </c>
      <c r="I59" t="s">
        <v>830</v>
      </c>
      <c r="J59" t="s">
        <v>584</v>
      </c>
      <c r="K59" t="s">
        <v>19</v>
      </c>
      <c r="L59">
        <v>191.82</v>
      </c>
      <c r="M59" s="1">
        <v>46255</v>
      </c>
      <c r="N59" t="s">
        <v>79</v>
      </c>
      <c r="O59">
        <v>21</v>
      </c>
      <c r="P59">
        <v>8</v>
      </c>
      <c r="Q59">
        <v>3</v>
      </c>
      <c r="R59">
        <v>2026</v>
      </c>
    </row>
    <row r="60" spans="1:18">
      <c r="A60">
        <v>729.15000000000009</v>
      </c>
      <c r="B60">
        <v>5</v>
      </c>
      <c r="C60">
        <v>59</v>
      </c>
      <c r="D60" s="2">
        <v>0.1595477662037037</v>
      </c>
      <c r="E60" t="s">
        <v>2993</v>
      </c>
      <c r="F60" t="s">
        <v>2994</v>
      </c>
      <c r="G60" t="s">
        <v>805</v>
      </c>
      <c r="H60" t="s">
        <v>1318</v>
      </c>
      <c r="I60" t="s">
        <v>807</v>
      </c>
      <c r="J60" t="s">
        <v>171</v>
      </c>
      <c r="K60" t="s">
        <v>46</v>
      </c>
      <c r="L60">
        <v>145.83000000000001</v>
      </c>
      <c r="M60" s="1">
        <v>45860</v>
      </c>
      <c r="N60" t="s">
        <v>48</v>
      </c>
      <c r="O60">
        <v>22</v>
      </c>
      <c r="P60">
        <v>7</v>
      </c>
      <c r="Q60">
        <v>3</v>
      </c>
      <c r="R60">
        <v>2025</v>
      </c>
    </row>
    <row r="61" spans="1:18">
      <c r="A61">
        <v>206.6</v>
      </c>
      <c r="B61">
        <v>4</v>
      </c>
      <c r="C61">
        <v>60</v>
      </c>
      <c r="D61" s="2">
        <v>0.51421640046296291</v>
      </c>
      <c r="E61" t="s">
        <v>2125</v>
      </c>
      <c r="F61" t="s">
        <v>2126</v>
      </c>
      <c r="G61" t="s">
        <v>1562</v>
      </c>
      <c r="H61" t="s">
        <v>1607</v>
      </c>
      <c r="I61" t="s">
        <v>839</v>
      </c>
      <c r="J61" t="s">
        <v>212</v>
      </c>
      <c r="K61" t="s">
        <v>57</v>
      </c>
      <c r="L61">
        <v>51.65</v>
      </c>
      <c r="M61" s="1">
        <v>45669</v>
      </c>
      <c r="N61" t="s">
        <v>28</v>
      </c>
      <c r="O61">
        <v>12</v>
      </c>
      <c r="P61">
        <v>1</v>
      </c>
      <c r="Q61">
        <v>1</v>
      </c>
      <c r="R61">
        <v>2025</v>
      </c>
    </row>
    <row r="62" spans="1:18">
      <c r="A62">
        <v>164.27</v>
      </c>
      <c r="B62">
        <v>1</v>
      </c>
      <c r="C62">
        <v>61</v>
      </c>
      <c r="D62" s="2">
        <v>0.51195643518518519</v>
      </c>
      <c r="E62" t="s">
        <v>1894</v>
      </c>
      <c r="F62" t="s">
        <v>1895</v>
      </c>
      <c r="G62" t="s">
        <v>1387</v>
      </c>
      <c r="H62" t="s">
        <v>1213</v>
      </c>
      <c r="I62" t="s">
        <v>839</v>
      </c>
      <c r="J62" t="s">
        <v>127</v>
      </c>
      <c r="K62" t="s">
        <v>21</v>
      </c>
      <c r="L62">
        <v>164.27</v>
      </c>
      <c r="M62" s="1">
        <v>45624</v>
      </c>
      <c r="N62" t="s">
        <v>105</v>
      </c>
      <c r="O62">
        <v>28</v>
      </c>
      <c r="P62">
        <v>11</v>
      </c>
      <c r="Q62">
        <v>4</v>
      </c>
      <c r="R62">
        <v>2024</v>
      </c>
    </row>
    <row r="63" spans="1:18">
      <c r="A63">
        <v>15.870000000000001</v>
      </c>
      <c r="B63">
        <v>3</v>
      </c>
      <c r="C63">
        <v>62</v>
      </c>
      <c r="D63" s="2">
        <v>0.16098327546296295</v>
      </c>
      <c r="E63" t="s">
        <v>2129</v>
      </c>
      <c r="F63" t="s">
        <v>2130</v>
      </c>
      <c r="G63" t="s">
        <v>998</v>
      </c>
      <c r="H63" t="s">
        <v>380</v>
      </c>
      <c r="I63" t="s">
        <v>776</v>
      </c>
      <c r="J63" t="s">
        <v>394</v>
      </c>
      <c r="K63" t="s">
        <v>122</v>
      </c>
      <c r="L63">
        <v>5.29</v>
      </c>
      <c r="M63" s="1">
        <v>45640</v>
      </c>
      <c r="N63" t="s">
        <v>14</v>
      </c>
      <c r="O63">
        <v>14</v>
      </c>
      <c r="P63">
        <v>12</v>
      </c>
      <c r="Q63">
        <v>4</v>
      </c>
      <c r="R63">
        <v>2024</v>
      </c>
    </row>
    <row r="64" spans="1:18">
      <c r="A64">
        <v>162.16</v>
      </c>
      <c r="B64">
        <v>1</v>
      </c>
      <c r="C64">
        <v>63</v>
      </c>
      <c r="D64" s="2">
        <v>0.16537627314814815</v>
      </c>
      <c r="E64" t="s">
        <v>2477</v>
      </c>
      <c r="F64" t="s">
        <v>2478</v>
      </c>
      <c r="G64" t="s">
        <v>2479</v>
      </c>
      <c r="H64" t="s">
        <v>196</v>
      </c>
      <c r="I64" t="s">
        <v>1247</v>
      </c>
      <c r="J64" t="s">
        <v>651</v>
      </c>
      <c r="K64" t="s">
        <v>122</v>
      </c>
      <c r="L64">
        <v>162.16</v>
      </c>
      <c r="M64" s="1">
        <v>46265</v>
      </c>
      <c r="N64" t="s">
        <v>93</v>
      </c>
      <c r="O64">
        <v>31</v>
      </c>
      <c r="P64">
        <v>8</v>
      </c>
      <c r="Q64">
        <v>3</v>
      </c>
      <c r="R64">
        <v>2026</v>
      </c>
    </row>
    <row r="65" spans="1:18">
      <c r="A65">
        <v>619.52</v>
      </c>
      <c r="B65">
        <v>4</v>
      </c>
      <c r="C65">
        <v>64</v>
      </c>
      <c r="D65" s="2">
        <v>7.9167013888888887E-2</v>
      </c>
      <c r="E65" t="s">
        <v>1360</v>
      </c>
      <c r="F65" t="s">
        <v>1361</v>
      </c>
      <c r="G65" t="s">
        <v>932</v>
      </c>
      <c r="H65" t="s">
        <v>1362</v>
      </c>
      <c r="I65" t="s">
        <v>896</v>
      </c>
      <c r="J65" t="s">
        <v>704</v>
      </c>
      <c r="K65" t="s">
        <v>51</v>
      </c>
      <c r="L65">
        <v>154.88</v>
      </c>
      <c r="M65" s="1">
        <v>46013</v>
      </c>
      <c r="N65" t="s">
        <v>93</v>
      </c>
      <c r="O65">
        <v>22</v>
      </c>
      <c r="P65">
        <v>12</v>
      </c>
      <c r="Q65">
        <v>4</v>
      </c>
      <c r="R65">
        <v>2025</v>
      </c>
    </row>
    <row r="66" spans="1:18">
      <c r="A66">
        <v>81.960000000000008</v>
      </c>
      <c r="B66">
        <v>3</v>
      </c>
      <c r="C66">
        <v>65</v>
      </c>
      <c r="D66" s="2">
        <v>0.73964157407407405</v>
      </c>
      <c r="E66" t="s">
        <v>1368</v>
      </c>
      <c r="F66" t="s">
        <v>1369</v>
      </c>
      <c r="G66" t="s">
        <v>1370</v>
      </c>
      <c r="H66" t="s">
        <v>1371</v>
      </c>
      <c r="I66" t="s">
        <v>786</v>
      </c>
      <c r="J66" t="s">
        <v>423</v>
      </c>
      <c r="K66" t="s">
        <v>37</v>
      </c>
      <c r="L66">
        <v>27.32</v>
      </c>
      <c r="M66" s="1">
        <v>46007</v>
      </c>
      <c r="N66" t="s">
        <v>48</v>
      </c>
      <c r="O66">
        <v>16</v>
      </c>
      <c r="P66">
        <v>12</v>
      </c>
      <c r="Q66">
        <v>4</v>
      </c>
      <c r="R66">
        <v>2025</v>
      </c>
    </row>
    <row r="67" spans="1:18">
      <c r="A67">
        <v>418.1</v>
      </c>
      <c r="B67">
        <v>5</v>
      </c>
      <c r="C67">
        <v>66</v>
      </c>
      <c r="D67" s="2">
        <v>0.34670392361111113</v>
      </c>
      <c r="E67" t="s">
        <v>2035</v>
      </c>
      <c r="F67" t="s">
        <v>2036</v>
      </c>
      <c r="G67" t="s">
        <v>1793</v>
      </c>
      <c r="H67" t="s">
        <v>1920</v>
      </c>
      <c r="I67" t="s">
        <v>807</v>
      </c>
      <c r="J67" t="s">
        <v>649</v>
      </c>
      <c r="K67" t="s">
        <v>23</v>
      </c>
      <c r="L67">
        <v>83.62</v>
      </c>
      <c r="M67" s="1">
        <v>45829</v>
      </c>
      <c r="N67" t="s">
        <v>14</v>
      </c>
      <c r="O67">
        <v>21</v>
      </c>
      <c r="P67">
        <v>6</v>
      </c>
      <c r="Q67">
        <v>2</v>
      </c>
      <c r="R67">
        <v>2025</v>
      </c>
    </row>
    <row r="68" spans="1:18">
      <c r="A68">
        <v>400.96</v>
      </c>
      <c r="B68">
        <v>2</v>
      </c>
      <c r="C68">
        <v>67</v>
      </c>
      <c r="D68" s="2">
        <v>1.526337962962963E-2</v>
      </c>
      <c r="E68" t="s">
        <v>2185</v>
      </c>
      <c r="F68" t="s">
        <v>2186</v>
      </c>
      <c r="G68" t="s">
        <v>1429</v>
      </c>
      <c r="H68" t="s">
        <v>1395</v>
      </c>
      <c r="I68" t="s">
        <v>776</v>
      </c>
      <c r="J68" t="s">
        <v>2254</v>
      </c>
      <c r="K68" t="s">
        <v>43</v>
      </c>
      <c r="L68">
        <v>200.48</v>
      </c>
      <c r="M68" s="1">
        <v>45705</v>
      </c>
      <c r="N68" t="s">
        <v>93</v>
      </c>
      <c r="O68">
        <v>17</v>
      </c>
      <c r="P68">
        <v>2</v>
      </c>
      <c r="Q68">
        <v>1</v>
      </c>
      <c r="R68">
        <v>2025</v>
      </c>
    </row>
    <row r="69" spans="1:18">
      <c r="A69">
        <v>349.45</v>
      </c>
      <c r="B69">
        <v>5</v>
      </c>
      <c r="C69">
        <v>68</v>
      </c>
      <c r="D69" s="2">
        <v>0.33803935185185185</v>
      </c>
      <c r="E69" t="s">
        <v>2437</v>
      </c>
      <c r="F69" t="s">
        <v>2438</v>
      </c>
      <c r="G69" t="s">
        <v>1025</v>
      </c>
      <c r="H69" t="s">
        <v>1111</v>
      </c>
      <c r="I69" t="s">
        <v>981</v>
      </c>
      <c r="J69" t="s">
        <v>366</v>
      </c>
      <c r="K69" t="s">
        <v>19</v>
      </c>
      <c r="L69">
        <v>69.89</v>
      </c>
      <c r="M69" s="1">
        <v>45748</v>
      </c>
      <c r="N69" t="s">
        <v>48</v>
      </c>
      <c r="O69">
        <v>1</v>
      </c>
      <c r="P69">
        <v>4</v>
      </c>
      <c r="Q69">
        <v>2</v>
      </c>
      <c r="R69">
        <v>2025</v>
      </c>
    </row>
    <row r="70" spans="1:18">
      <c r="A70">
        <v>130.52000000000001</v>
      </c>
      <c r="B70">
        <v>2</v>
      </c>
      <c r="C70">
        <v>69</v>
      </c>
      <c r="D70" s="2">
        <v>0.82940391203703701</v>
      </c>
      <c r="E70" t="s">
        <v>2567</v>
      </c>
      <c r="F70" t="s">
        <v>2568</v>
      </c>
      <c r="G70" t="s">
        <v>1512</v>
      </c>
      <c r="H70" t="s">
        <v>106</v>
      </c>
      <c r="I70" t="s">
        <v>748</v>
      </c>
      <c r="J70" t="s">
        <v>78</v>
      </c>
      <c r="K70" t="s">
        <v>51</v>
      </c>
      <c r="L70">
        <v>65.260000000000005</v>
      </c>
      <c r="M70" s="1">
        <v>45673</v>
      </c>
      <c r="N70" t="s">
        <v>105</v>
      </c>
      <c r="O70">
        <v>16</v>
      </c>
      <c r="P70">
        <v>1</v>
      </c>
      <c r="Q70">
        <v>1</v>
      </c>
      <c r="R70">
        <v>2025</v>
      </c>
    </row>
    <row r="71" spans="1:18">
      <c r="A71">
        <v>109.35000000000001</v>
      </c>
      <c r="B71">
        <v>5</v>
      </c>
      <c r="C71">
        <v>70</v>
      </c>
      <c r="D71" s="2">
        <v>0.59108030092592589</v>
      </c>
      <c r="E71" t="s">
        <v>1883</v>
      </c>
      <c r="F71" t="s">
        <v>1884</v>
      </c>
      <c r="G71" t="s">
        <v>1885</v>
      </c>
      <c r="H71" t="s">
        <v>1886</v>
      </c>
      <c r="I71" t="s">
        <v>753</v>
      </c>
      <c r="J71" t="s">
        <v>462</v>
      </c>
      <c r="K71" t="s">
        <v>100</v>
      </c>
      <c r="L71">
        <v>21.87</v>
      </c>
      <c r="M71" s="1">
        <v>46130</v>
      </c>
      <c r="N71" t="s">
        <v>14</v>
      </c>
      <c r="O71">
        <v>18</v>
      </c>
      <c r="P71">
        <v>4</v>
      </c>
      <c r="Q71">
        <v>2</v>
      </c>
      <c r="R71">
        <v>2026</v>
      </c>
    </row>
    <row r="72" spans="1:18">
      <c r="A72">
        <v>92.62</v>
      </c>
      <c r="B72">
        <v>2</v>
      </c>
      <c r="C72">
        <v>71</v>
      </c>
      <c r="D72" s="2">
        <v>0.16289748842592591</v>
      </c>
      <c r="E72" t="s">
        <v>1086</v>
      </c>
      <c r="F72" t="s">
        <v>1087</v>
      </c>
      <c r="G72" t="s">
        <v>1088</v>
      </c>
      <c r="H72" t="s">
        <v>1089</v>
      </c>
      <c r="I72" t="s">
        <v>812</v>
      </c>
      <c r="J72" t="s">
        <v>583</v>
      </c>
      <c r="K72" t="s">
        <v>19</v>
      </c>
      <c r="L72">
        <v>46.31</v>
      </c>
      <c r="M72" s="1">
        <v>45864</v>
      </c>
      <c r="N72" t="s">
        <v>14</v>
      </c>
      <c r="O72">
        <v>26</v>
      </c>
      <c r="P72">
        <v>7</v>
      </c>
      <c r="Q72">
        <v>3</v>
      </c>
      <c r="R72">
        <v>2025</v>
      </c>
    </row>
    <row r="73" spans="1:18">
      <c r="A73">
        <v>290.85000000000002</v>
      </c>
      <c r="B73">
        <v>5</v>
      </c>
      <c r="C73">
        <v>72</v>
      </c>
      <c r="D73" s="2">
        <v>0.48810012731481484</v>
      </c>
      <c r="E73" t="s">
        <v>3106</v>
      </c>
      <c r="F73" t="s">
        <v>3107</v>
      </c>
      <c r="G73" t="s">
        <v>2476</v>
      </c>
      <c r="H73" t="s">
        <v>1722</v>
      </c>
      <c r="I73" t="s">
        <v>954</v>
      </c>
      <c r="J73" t="s">
        <v>615</v>
      </c>
      <c r="K73" t="s">
        <v>100</v>
      </c>
      <c r="L73">
        <v>58.17</v>
      </c>
      <c r="M73" s="1">
        <v>45773</v>
      </c>
      <c r="N73" t="s">
        <v>14</v>
      </c>
      <c r="O73">
        <v>26</v>
      </c>
      <c r="P73">
        <v>4</v>
      </c>
      <c r="Q73">
        <v>2</v>
      </c>
      <c r="R73">
        <v>2025</v>
      </c>
    </row>
    <row r="74" spans="1:18">
      <c r="A74">
        <v>243.79999999999998</v>
      </c>
      <c r="B74">
        <v>5</v>
      </c>
      <c r="C74">
        <v>73</v>
      </c>
      <c r="D74" s="2">
        <v>0.38007688657407407</v>
      </c>
      <c r="E74" t="s">
        <v>1075</v>
      </c>
      <c r="F74" t="s">
        <v>1076</v>
      </c>
      <c r="G74" t="s">
        <v>1077</v>
      </c>
      <c r="H74" t="s">
        <v>1078</v>
      </c>
      <c r="I74" t="s">
        <v>781</v>
      </c>
      <c r="J74" t="s">
        <v>567</v>
      </c>
      <c r="K74" t="s">
        <v>100</v>
      </c>
      <c r="L74">
        <v>48.76</v>
      </c>
      <c r="M74" s="1">
        <v>45780</v>
      </c>
      <c r="N74" t="s">
        <v>14</v>
      </c>
      <c r="O74">
        <v>3</v>
      </c>
      <c r="P74">
        <v>5</v>
      </c>
      <c r="Q74">
        <v>2</v>
      </c>
      <c r="R74">
        <v>2025</v>
      </c>
    </row>
    <row r="75" spans="1:18">
      <c r="A75">
        <v>285.77999999999997</v>
      </c>
      <c r="B75">
        <v>2</v>
      </c>
      <c r="C75">
        <v>74</v>
      </c>
      <c r="D75" s="2">
        <v>7.167928240740741E-2</v>
      </c>
      <c r="E75" t="s">
        <v>2149</v>
      </c>
      <c r="F75" t="s">
        <v>2150</v>
      </c>
      <c r="G75" t="s">
        <v>1645</v>
      </c>
      <c r="H75" t="s">
        <v>64</v>
      </c>
      <c r="I75" t="s">
        <v>892</v>
      </c>
      <c r="J75" t="s">
        <v>232</v>
      </c>
      <c r="K75" t="s">
        <v>97</v>
      </c>
      <c r="L75">
        <v>142.88999999999999</v>
      </c>
      <c r="M75" s="1">
        <v>46222</v>
      </c>
      <c r="N75" t="s">
        <v>28</v>
      </c>
      <c r="O75">
        <v>19</v>
      </c>
      <c r="P75">
        <v>7</v>
      </c>
      <c r="Q75">
        <v>3</v>
      </c>
      <c r="R75">
        <v>2026</v>
      </c>
    </row>
    <row r="76" spans="1:18">
      <c r="A76">
        <v>967.92</v>
      </c>
      <c r="B76">
        <v>4</v>
      </c>
      <c r="C76">
        <v>75</v>
      </c>
      <c r="D76" s="2">
        <v>0.25370793981481482</v>
      </c>
      <c r="E76" t="s">
        <v>1804</v>
      </c>
      <c r="F76" t="s">
        <v>1805</v>
      </c>
      <c r="G76" t="s">
        <v>1127</v>
      </c>
      <c r="H76" t="s">
        <v>15</v>
      </c>
      <c r="I76" t="s">
        <v>834</v>
      </c>
      <c r="J76" t="s">
        <v>203</v>
      </c>
      <c r="K76" t="s">
        <v>100</v>
      </c>
      <c r="L76">
        <v>241.98</v>
      </c>
      <c r="M76" s="1">
        <v>45916</v>
      </c>
      <c r="N76" t="s">
        <v>48</v>
      </c>
      <c r="O76">
        <v>16</v>
      </c>
      <c r="P76">
        <v>9</v>
      </c>
      <c r="Q76">
        <v>3</v>
      </c>
      <c r="R76">
        <v>2025</v>
      </c>
    </row>
    <row r="77" spans="1:18">
      <c r="A77">
        <v>137.47</v>
      </c>
      <c r="B77">
        <v>1</v>
      </c>
      <c r="C77">
        <v>76</v>
      </c>
      <c r="D77" s="2">
        <v>0.8914484606481482</v>
      </c>
      <c r="E77" t="s">
        <v>1949</v>
      </c>
      <c r="F77" t="s">
        <v>1950</v>
      </c>
      <c r="G77" t="s">
        <v>1335</v>
      </c>
      <c r="H77" t="s">
        <v>767</v>
      </c>
      <c r="I77" t="s">
        <v>768</v>
      </c>
      <c r="J77" t="s">
        <v>379</v>
      </c>
      <c r="K77" t="s">
        <v>69</v>
      </c>
      <c r="L77">
        <v>137.47</v>
      </c>
      <c r="M77" s="1">
        <v>45567</v>
      </c>
      <c r="N77" t="s">
        <v>34</v>
      </c>
      <c r="O77">
        <v>2</v>
      </c>
      <c r="P77">
        <v>10</v>
      </c>
      <c r="Q77">
        <v>4</v>
      </c>
      <c r="R77">
        <v>2024</v>
      </c>
    </row>
    <row r="78" spans="1:18">
      <c r="A78">
        <v>148.22999999999999</v>
      </c>
      <c r="B78">
        <v>3</v>
      </c>
      <c r="C78">
        <v>77</v>
      </c>
      <c r="D78" s="2">
        <v>0.97560325231481482</v>
      </c>
      <c r="E78" t="s">
        <v>1299</v>
      </c>
      <c r="F78" t="s">
        <v>1300</v>
      </c>
      <c r="G78" t="s">
        <v>1301</v>
      </c>
      <c r="H78" t="s">
        <v>1302</v>
      </c>
      <c r="I78" t="s">
        <v>786</v>
      </c>
      <c r="J78" t="s">
        <v>144</v>
      </c>
      <c r="K78" t="s">
        <v>97</v>
      </c>
      <c r="L78">
        <v>49.41</v>
      </c>
      <c r="M78" s="1">
        <v>46061</v>
      </c>
      <c r="N78" t="s">
        <v>28</v>
      </c>
      <c r="O78">
        <v>8</v>
      </c>
      <c r="P78">
        <v>2</v>
      </c>
      <c r="Q78">
        <v>1</v>
      </c>
      <c r="R78">
        <v>2026</v>
      </c>
    </row>
    <row r="79" spans="1:18">
      <c r="A79">
        <v>471.78</v>
      </c>
      <c r="B79">
        <v>3</v>
      </c>
      <c r="C79">
        <v>78</v>
      </c>
      <c r="D79" s="2">
        <v>0.7523976736111111</v>
      </c>
      <c r="E79" t="s">
        <v>2541</v>
      </c>
      <c r="F79" t="s">
        <v>2542</v>
      </c>
      <c r="G79" t="s">
        <v>1545</v>
      </c>
      <c r="H79" t="s">
        <v>1199</v>
      </c>
      <c r="I79" t="s">
        <v>839</v>
      </c>
      <c r="J79" t="s">
        <v>68</v>
      </c>
      <c r="K79" t="s">
        <v>69</v>
      </c>
      <c r="L79">
        <v>157.26</v>
      </c>
      <c r="M79" s="1">
        <v>45827</v>
      </c>
      <c r="N79" t="s">
        <v>105</v>
      </c>
      <c r="O79">
        <v>19</v>
      </c>
      <c r="P79">
        <v>6</v>
      </c>
      <c r="Q79">
        <v>2</v>
      </c>
      <c r="R79">
        <v>2025</v>
      </c>
    </row>
    <row r="80" spans="1:18">
      <c r="A80">
        <v>101.19</v>
      </c>
      <c r="B80">
        <v>3</v>
      </c>
      <c r="C80">
        <v>79</v>
      </c>
      <c r="D80" s="2">
        <v>8.0565185185185184E-2</v>
      </c>
      <c r="E80" t="s">
        <v>2858</v>
      </c>
      <c r="F80" t="s">
        <v>2859</v>
      </c>
      <c r="G80" t="s">
        <v>1418</v>
      </c>
      <c r="H80" t="s">
        <v>879</v>
      </c>
      <c r="I80" t="s">
        <v>748</v>
      </c>
      <c r="J80" t="s">
        <v>527</v>
      </c>
      <c r="K80" t="s">
        <v>27</v>
      </c>
      <c r="L80">
        <v>33.729999999999997</v>
      </c>
      <c r="M80" s="1">
        <v>45686</v>
      </c>
      <c r="N80" t="s">
        <v>34</v>
      </c>
      <c r="O80">
        <v>29</v>
      </c>
      <c r="P80">
        <v>1</v>
      </c>
      <c r="Q80">
        <v>1</v>
      </c>
      <c r="R80">
        <v>2025</v>
      </c>
    </row>
    <row r="81" spans="1:18">
      <c r="A81">
        <v>153.85</v>
      </c>
      <c r="B81">
        <v>5</v>
      </c>
      <c r="C81">
        <v>80</v>
      </c>
      <c r="D81" s="2">
        <v>0.69327634259259263</v>
      </c>
      <c r="E81" t="s">
        <v>2178</v>
      </c>
      <c r="F81" t="s">
        <v>2179</v>
      </c>
      <c r="G81" t="s">
        <v>2060</v>
      </c>
      <c r="H81" t="s">
        <v>1566</v>
      </c>
      <c r="I81" t="s">
        <v>763</v>
      </c>
      <c r="J81" t="s">
        <v>522</v>
      </c>
      <c r="K81" t="s">
        <v>97</v>
      </c>
      <c r="L81">
        <v>30.77</v>
      </c>
      <c r="M81" s="1">
        <v>45560</v>
      </c>
      <c r="N81" t="s">
        <v>34</v>
      </c>
      <c r="O81">
        <v>25</v>
      </c>
      <c r="P81">
        <v>9</v>
      </c>
      <c r="Q81">
        <v>3</v>
      </c>
      <c r="R81">
        <v>2024</v>
      </c>
    </row>
    <row r="82" spans="1:18">
      <c r="A82">
        <v>287.56</v>
      </c>
      <c r="B82">
        <v>2</v>
      </c>
      <c r="C82">
        <v>81</v>
      </c>
      <c r="D82" s="2">
        <v>0.49499396990740741</v>
      </c>
      <c r="E82" t="s">
        <v>2189</v>
      </c>
      <c r="F82" t="s">
        <v>2190</v>
      </c>
      <c r="G82" t="s">
        <v>2191</v>
      </c>
      <c r="H82" t="s">
        <v>1410</v>
      </c>
      <c r="I82" t="s">
        <v>812</v>
      </c>
      <c r="J82" t="s">
        <v>346</v>
      </c>
      <c r="K82" t="s">
        <v>23</v>
      </c>
      <c r="L82">
        <v>143.78</v>
      </c>
      <c r="M82" s="1">
        <v>45778</v>
      </c>
      <c r="N82" t="s">
        <v>105</v>
      </c>
      <c r="O82">
        <v>1</v>
      </c>
      <c r="P82">
        <v>5</v>
      </c>
      <c r="Q82">
        <v>2</v>
      </c>
      <c r="R82">
        <v>2025</v>
      </c>
    </row>
    <row r="83" spans="1:18">
      <c r="A83">
        <v>247.15</v>
      </c>
      <c r="B83">
        <v>5</v>
      </c>
      <c r="C83">
        <v>82</v>
      </c>
      <c r="D83" s="2">
        <v>0.54262218750000002</v>
      </c>
      <c r="E83" t="s">
        <v>2756</v>
      </c>
      <c r="F83" t="s">
        <v>2757</v>
      </c>
      <c r="G83" t="s">
        <v>868</v>
      </c>
      <c r="H83" t="s">
        <v>829</v>
      </c>
      <c r="I83" t="s">
        <v>830</v>
      </c>
      <c r="J83" t="s">
        <v>347</v>
      </c>
      <c r="K83" t="s">
        <v>69</v>
      </c>
      <c r="L83">
        <v>49.43</v>
      </c>
      <c r="M83" s="1">
        <v>46059</v>
      </c>
      <c r="N83" t="s">
        <v>79</v>
      </c>
      <c r="O83">
        <v>6</v>
      </c>
      <c r="P83">
        <v>2</v>
      </c>
      <c r="Q83">
        <v>1</v>
      </c>
      <c r="R83">
        <v>2026</v>
      </c>
    </row>
    <row r="84" spans="1:18">
      <c r="A84">
        <v>123.13</v>
      </c>
      <c r="B84">
        <v>1</v>
      </c>
      <c r="C84">
        <v>83</v>
      </c>
      <c r="D84" s="2">
        <v>0.32132319444444446</v>
      </c>
      <c r="E84" t="s">
        <v>1099</v>
      </c>
      <c r="F84" t="s">
        <v>1100</v>
      </c>
      <c r="G84" t="s">
        <v>1035</v>
      </c>
      <c r="H84" t="s">
        <v>211</v>
      </c>
      <c r="I84" t="s">
        <v>812</v>
      </c>
      <c r="J84" t="s">
        <v>66</v>
      </c>
      <c r="K84" t="s">
        <v>46</v>
      </c>
      <c r="L84">
        <v>123.13</v>
      </c>
      <c r="M84" s="1">
        <v>45740</v>
      </c>
      <c r="N84" t="s">
        <v>93</v>
      </c>
      <c r="O84">
        <v>24</v>
      </c>
      <c r="P84">
        <v>3</v>
      </c>
      <c r="Q84">
        <v>1</v>
      </c>
      <c r="R84">
        <v>2025</v>
      </c>
    </row>
    <row r="85" spans="1:18">
      <c r="A85">
        <v>370.44</v>
      </c>
      <c r="B85">
        <v>3</v>
      </c>
      <c r="C85">
        <v>84</v>
      </c>
      <c r="D85" s="2">
        <v>0.14652563657407408</v>
      </c>
      <c r="E85" t="s">
        <v>1658</v>
      </c>
      <c r="F85" t="s">
        <v>1659</v>
      </c>
      <c r="G85" t="s">
        <v>1660</v>
      </c>
      <c r="H85" t="s">
        <v>785</v>
      </c>
      <c r="I85" t="s">
        <v>786</v>
      </c>
      <c r="J85" t="s">
        <v>575</v>
      </c>
      <c r="K85" t="s">
        <v>37</v>
      </c>
      <c r="L85">
        <v>123.48</v>
      </c>
      <c r="M85" s="1">
        <v>46236</v>
      </c>
      <c r="N85" t="s">
        <v>28</v>
      </c>
      <c r="O85">
        <v>2</v>
      </c>
      <c r="P85">
        <v>8</v>
      </c>
      <c r="Q85">
        <v>3</v>
      </c>
      <c r="R85">
        <v>2026</v>
      </c>
    </row>
    <row r="86" spans="1:18">
      <c r="A86">
        <v>229.09</v>
      </c>
      <c r="B86">
        <v>1</v>
      </c>
      <c r="C86">
        <v>85</v>
      </c>
      <c r="D86" s="2">
        <v>0.40534116898148148</v>
      </c>
      <c r="E86" t="s">
        <v>1442</v>
      </c>
      <c r="F86" t="s">
        <v>1443</v>
      </c>
      <c r="G86" t="s">
        <v>1444</v>
      </c>
      <c r="H86" t="s">
        <v>380</v>
      </c>
      <c r="I86" t="s">
        <v>896</v>
      </c>
      <c r="J86" t="s">
        <v>622</v>
      </c>
      <c r="K86" t="s">
        <v>37</v>
      </c>
      <c r="L86">
        <v>229.09</v>
      </c>
      <c r="M86" s="1">
        <v>46022</v>
      </c>
      <c r="N86" t="s">
        <v>34</v>
      </c>
      <c r="O86">
        <v>31</v>
      </c>
      <c r="P86">
        <v>12</v>
      </c>
      <c r="Q86">
        <v>4</v>
      </c>
      <c r="R86">
        <v>2025</v>
      </c>
    </row>
    <row r="87" spans="1:18">
      <c r="A87">
        <v>205.95</v>
      </c>
      <c r="B87">
        <v>1</v>
      </c>
      <c r="C87">
        <v>86</v>
      </c>
      <c r="D87" s="2">
        <v>0.64076194444444445</v>
      </c>
      <c r="E87" t="s">
        <v>3373</v>
      </c>
      <c r="F87" t="s">
        <v>3374</v>
      </c>
      <c r="G87" t="s">
        <v>2754</v>
      </c>
      <c r="H87" t="s">
        <v>211</v>
      </c>
      <c r="I87" t="s">
        <v>966</v>
      </c>
      <c r="J87" t="s">
        <v>705</v>
      </c>
      <c r="K87" t="s">
        <v>60</v>
      </c>
      <c r="L87">
        <v>205.95</v>
      </c>
      <c r="M87" s="1">
        <v>45605</v>
      </c>
      <c r="N87" t="s">
        <v>14</v>
      </c>
      <c r="O87">
        <v>9</v>
      </c>
      <c r="P87">
        <v>11</v>
      </c>
      <c r="Q87">
        <v>4</v>
      </c>
      <c r="R87">
        <v>2024</v>
      </c>
    </row>
    <row r="88" spans="1:18">
      <c r="A88">
        <v>92.52</v>
      </c>
      <c r="B88">
        <v>2</v>
      </c>
      <c r="C88">
        <v>87</v>
      </c>
      <c r="D88" s="2">
        <v>0.42540694444444443</v>
      </c>
      <c r="E88" t="s">
        <v>3216</v>
      </c>
      <c r="F88" t="s">
        <v>3217</v>
      </c>
      <c r="G88" t="s">
        <v>2692</v>
      </c>
      <c r="H88" t="s">
        <v>106</v>
      </c>
      <c r="I88" t="s">
        <v>748</v>
      </c>
      <c r="J88" t="s">
        <v>190</v>
      </c>
      <c r="K88" t="s">
        <v>39</v>
      </c>
      <c r="L88">
        <v>46.26</v>
      </c>
      <c r="M88" s="1">
        <v>45730</v>
      </c>
      <c r="N88" t="s">
        <v>79</v>
      </c>
      <c r="O88">
        <v>14</v>
      </c>
      <c r="P88">
        <v>3</v>
      </c>
      <c r="Q88">
        <v>1</v>
      </c>
      <c r="R88">
        <v>2025</v>
      </c>
    </row>
    <row r="89" spans="1:18">
      <c r="A89">
        <v>774.4</v>
      </c>
      <c r="B89">
        <v>5</v>
      </c>
      <c r="C89">
        <v>88</v>
      </c>
      <c r="D89" s="2">
        <v>0.83987333333333336</v>
      </c>
      <c r="E89" t="s">
        <v>1190</v>
      </c>
      <c r="F89" t="s">
        <v>1191</v>
      </c>
      <c r="G89" t="s">
        <v>1192</v>
      </c>
      <c r="H89" t="s">
        <v>1067</v>
      </c>
      <c r="I89" t="s">
        <v>854</v>
      </c>
      <c r="J89" t="s">
        <v>704</v>
      </c>
      <c r="K89" t="s">
        <v>51</v>
      </c>
      <c r="L89">
        <v>154.88</v>
      </c>
      <c r="M89" s="1">
        <v>45847</v>
      </c>
      <c r="N89" t="s">
        <v>34</v>
      </c>
      <c r="O89">
        <v>9</v>
      </c>
      <c r="P89">
        <v>7</v>
      </c>
      <c r="Q89">
        <v>3</v>
      </c>
      <c r="R89">
        <v>2025</v>
      </c>
    </row>
    <row r="90" spans="1:18">
      <c r="A90">
        <v>142.30000000000001</v>
      </c>
      <c r="B90">
        <v>5</v>
      </c>
      <c r="C90">
        <v>89</v>
      </c>
      <c r="D90" s="2">
        <v>0.568383287037037</v>
      </c>
      <c r="E90" t="s">
        <v>3267</v>
      </c>
      <c r="F90" t="s">
        <v>3268</v>
      </c>
      <c r="G90" t="s">
        <v>784</v>
      </c>
      <c r="H90" t="s">
        <v>1600</v>
      </c>
      <c r="I90" t="s">
        <v>768</v>
      </c>
      <c r="J90" t="s">
        <v>250</v>
      </c>
      <c r="K90" t="s">
        <v>19</v>
      </c>
      <c r="L90">
        <v>28.46</v>
      </c>
      <c r="M90" s="1">
        <v>46225</v>
      </c>
      <c r="N90" t="s">
        <v>34</v>
      </c>
      <c r="O90">
        <v>22</v>
      </c>
      <c r="P90">
        <v>7</v>
      </c>
      <c r="Q90">
        <v>3</v>
      </c>
      <c r="R90">
        <v>2026</v>
      </c>
    </row>
    <row r="91" spans="1:18">
      <c r="A91">
        <v>151.96</v>
      </c>
      <c r="B91">
        <v>2</v>
      </c>
      <c r="C91">
        <v>90</v>
      </c>
      <c r="D91" s="2">
        <v>0.60043627314814818</v>
      </c>
      <c r="E91" t="s">
        <v>2995</v>
      </c>
      <c r="F91" t="s">
        <v>2996</v>
      </c>
      <c r="G91" t="s">
        <v>2108</v>
      </c>
      <c r="H91" t="s">
        <v>1039</v>
      </c>
      <c r="I91" t="s">
        <v>758</v>
      </c>
      <c r="J91" t="s">
        <v>313</v>
      </c>
      <c r="K91" t="s">
        <v>31</v>
      </c>
      <c r="L91">
        <v>75.98</v>
      </c>
      <c r="M91" s="1">
        <v>45569</v>
      </c>
      <c r="N91" t="s">
        <v>79</v>
      </c>
      <c r="O91">
        <v>4</v>
      </c>
      <c r="P91">
        <v>10</v>
      </c>
      <c r="Q91">
        <v>4</v>
      </c>
      <c r="R91">
        <v>2024</v>
      </c>
    </row>
    <row r="92" spans="1:18">
      <c r="A92">
        <v>111.13</v>
      </c>
      <c r="B92">
        <v>1</v>
      </c>
      <c r="C92">
        <v>91</v>
      </c>
      <c r="D92" s="2">
        <v>0.76793023148148143</v>
      </c>
      <c r="E92" t="s">
        <v>2807</v>
      </c>
      <c r="F92" t="s">
        <v>2808</v>
      </c>
      <c r="G92" t="s">
        <v>2809</v>
      </c>
      <c r="H92" t="s">
        <v>1607</v>
      </c>
      <c r="I92" t="s">
        <v>839</v>
      </c>
      <c r="J92" t="s">
        <v>269</v>
      </c>
      <c r="K92" t="s">
        <v>60</v>
      </c>
      <c r="L92">
        <v>111.13</v>
      </c>
      <c r="M92" s="1">
        <v>45674</v>
      </c>
      <c r="N92" t="s">
        <v>79</v>
      </c>
      <c r="O92">
        <v>17</v>
      </c>
      <c r="P92">
        <v>1</v>
      </c>
      <c r="Q92">
        <v>1</v>
      </c>
      <c r="R92">
        <v>2025</v>
      </c>
    </row>
    <row r="93" spans="1:18">
      <c r="A93">
        <v>152.89999999999998</v>
      </c>
      <c r="B93">
        <v>5</v>
      </c>
      <c r="C93">
        <v>92</v>
      </c>
      <c r="D93" s="2">
        <v>0.23493848379629628</v>
      </c>
      <c r="E93" t="s">
        <v>1119</v>
      </c>
      <c r="F93" t="s">
        <v>1120</v>
      </c>
      <c r="G93" t="s">
        <v>1121</v>
      </c>
      <c r="H93" t="s">
        <v>211</v>
      </c>
      <c r="I93" t="s">
        <v>812</v>
      </c>
      <c r="J93" t="s">
        <v>574</v>
      </c>
      <c r="K93" t="s">
        <v>19</v>
      </c>
      <c r="L93">
        <v>30.58</v>
      </c>
      <c r="M93" s="1">
        <v>45554</v>
      </c>
      <c r="N93" t="s">
        <v>105</v>
      </c>
      <c r="O93">
        <v>19</v>
      </c>
      <c r="P93">
        <v>9</v>
      </c>
      <c r="Q93">
        <v>3</v>
      </c>
      <c r="R93">
        <v>2024</v>
      </c>
    </row>
    <row r="94" spans="1:18">
      <c r="A94">
        <v>444.52</v>
      </c>
      <c r="B94">
        <v>4</v>
      </c>
      <c r="C94">
        <v>93</v>
      </c>
      <c r="D94" s="2">
        <v>0.65495887731481484</v>
      </c>
      <c r="E94" t="s">
        <v>1926</v>
      </c>
      <c r="F94" t="s">
        <v>1927</v>
      </c>
      <c r="G94" t="s">
        <v>998</v>
      </c>
      <c r="H94" t="s">
        <v>666</v>
      </c>
      <c r="I94" t="s">
        <v>954</v>
      </c>
      <c r="J94" t="s">
        <v>269</v>
      </c>
      <c r="K94" t="s">
        <v>60</v>
      </c>
      <c r="L94">
        <v>111.13</v>
      </c>
      <c r="M94" s="1">
        <v>45948</v>
      </c>
      <c r="N94" t="s">
        <v>14</v>
      </c>
      <c r="O94">
        <v>18</v>
      </c>
      <c r="P94">
        <v>10</v>
      </c>
      <c r="Q94">
        <v>4</v>
      </c>
      <c r="R94">
        <v>2025</v>
      </c>
    </row>
    <row r="95" spans="1:18">
      <c r="A95">
        <v>313.72000000000003</v>
      </c>
      <c r="B95">
        <v>2</v>
      </c>
      <c r="C95">
        <v>94</v>
      </c>
      <c r="D95" s="2">
        <v>0.5875868865740741</v>
      </c>
      <c r="E95" t="s">
        <v>2976</v>
      </c>
      <c r="F95" t="s">
        <v>2977</v>
      </c>
      <c r="G95" t="s">
        <v>2692</v>
      </c>
      <c r="H95" t="s">
        <v>619</v>
      </c>
      <c r="I95" t="s">
        <v>758</v>
      </c>
      <c r="J95" t="s">
        <v>602</v>
      </c>
      <c r="K95" t="s">
        <v>17</v>
      </c>
      <c r="L95">
        <v>156.86000000000001</v>
      </c>
      <c r="M95" s="1">
        <v>45892</v>
      </c>
      <c r="N95" t="s">
        <v>14</v>
      </c>
      <c r="O95">
        <v>23</v>
      </c>
      <c r="P95">
        <v>8</v>
      </c>
      <c r="Q95">
        <v>3</v>
      </c>
      <c r="R95">
        <v>2025</v>
      </c>
    </row>
    <row r="96" spans="1:18">
      <c r="A96">
        <v>34.47</v>
      </c>
      <c r="B96">
        <v>3</v>
      </c>
      <c r="C96">
        <v>95</v>
      </c>
      <c r="D96" s="2">
        <v>0.15057519675925926</v>
      </c>
      <c r="E96" t="s">
        <v>2783</v>
      </c>
      <c r="F96" t="s">
        <v>2784</v>
      </c>
      <c r="G96" t="s">
        <v>1050</v>
      </c>
      <c r="H96" t="s">
        <v>1107</v>
      </c>
      <c r="I96" t="s">
        <v>763</v>
      </c>
      <c r="J96" t="s">
        <v>736</v>
      </c>
      <c r="K96" t="s">
        <v>122</v>
      </c>
      <c r="L96">
        <v>11.49</v>
      </c>
      <c r="M96" s="1">
        <v>46198</v>
      </c>
      <c r="N96" t="s">
        <v>105</v>
      </c>
      <c r="O96">
        <v>25</v>
      </c>
      <c r="P96">
        <v>6</v>
      </c>
      <c r="Q96">
        <v>2</v>
      </c>
      <c r="R96">
        <v>2026</v>
      </c>
    </row>
    <row r="97" spans="1:18">
      <c r="A97">
        <v>361.84</v>
      </c>
      <c r="B97">
        <v>2</v>
      </c>
      <c r="C97">
        <v>96</v>
      </c>
      <c r="D97" s="2">
        <v>0.77895657407407404</v>
      </c>
      <c r="E97" t="s">
        <v>1780</v>
      </c>
      <c r="F97" t="s">
        <v>1781</v>
      </c>
      <c r="G97" t="s">
        <v>1709</v>
      </c>
      <c r="H97" t="s">
        <v>1054</v>
      </c>
      <c r="I97" t="s">
        <v>892</v>
      </c>
      <c r="J97" t="s">
        <v>324</v>
      </c>
      <c r="K97" t="s">
        <v>17</v>
      </c>
      <c r="L97">
        <v>180.92</v>
      </c>
      <c r="M97" s="1">
        <v>45976</v>
      </c>
      <c r="N97" t="s">
        <v>14</v>
      </c>
      <c r="O97">
        <v>15</v>
      </c>
      <c r="P97">
        <v>11</v>
      </c>
      <c r="Q97">
        <v>4</v>
      </c>
      <c r="R97">
        <v>2025</v>
      </c>
    </row>
    <row r="98" spans="1:18">
      <c r="A98">
        <v>105.23</v>
      </c>
      <c r="B98">
        <v>1</v>
      </c>
      <c r="C98">
        <v>97</v>
      </c>
      <c r="D98" s="2">
        <v>0.79655268518518518</v>
      </c>
      <c r="E98" t="s">
        <v>1756</v>
      </c>
      <c r="F98" t="s">
        <v>1757</v>
      </c>
      <c r="G98" t="s">
        <v>1679</v>
      </c>
      <c r="H98" t="s">
        <v>802</v>
      </c>
      <c r="I98" t="s">
        <v>748</v>
      </c>
      <c r="J98" t="s">
        <v>175</v>
      </c>
      <c r="K98" t="s">
        <v>21</v>
      </c>
      <c r="L98">
        <v>105.23</v>
      </c>
      <c r="M98" s="1">
        <v>46183</v>
      </c>
      <c r="N98" t="s">
        <v>34</v>
      </c>
      <c r="O98">
        <v>10</v>
      </c>
      <c r="P98">
        <v>6</v>
      </c>
      <c r="Q98">
        <v>2</v>
      </c>
      <c r="R98">
        <v>2026</v>
      </c>
    </row>
    <row r="99" spans="1:18">
      <c r="A99">
        <v>233.08</v>
      </c>
      <c r="B99">
        <v>1</v>
      </c>
      <c r="C99">
        <v>98</v>
      </c>
      <c r="D99" s="2">
        <v>4.3081736111111109E-2</v>
      </c>
      <c r="E99" t="s">
        <v>1822</v>
      </c>
      <c r="F99" t="s">
        <v>1823</v>
      </c>
      <c r="G99" t="s">
        <v>1824</v>
      </c>
      <c r="H99" t="s">
        <v>1540</v>
      </c>
      <c r="I99" t="s">
        <v>768</v>
      </c>
      <c r="J99" t="s">
        <v>213</v>
      </c>
      <c r="K99" t="s">
        <v>69</v>
      </c>
      <c r="L99">
        <v>233.08</v>
      </c>
      <c r="M99" s="1">
        <v>46148</v>
      </c>
      <c r="N99" t="s">
        <v>34</v>
      </c>
      <c r="O99">
        <v>6</v>
      </c>
      <c r="P99">
        <v>5</v>
      </c>
      <c r="Q99">
        <v>2</v>
      </c>
      <c r="R99">
        <v>2026</v>
      </c>
    </row>
    <row r="100" spans="1:18">
      <c r="A100">
        <v>216.01</v>
      </c>
      <c r="B100">
        <v>1</v>
      </c>
      <c r="C100">
        <v>99</v>
      </c>
      <c r="D100" s="2">
        <v>0.14087569444444445</v>
      </c>
      <c r="E100" t="s">
        <v>3129</v>
      </c>
      <c r="F100" t="s">
        <v>3130</v>
      </c>
      <c r="G100" t="s">
        <v>1326</v>
      </c>
      <c r="H100" t="s">
        <v>2247</v>
      </c>
      <c r="I100" t="s">
        <v>781</v>
      </c>
      <c r="J100" t="s">
        <v>336</v>
      </c>
      <c r="K100" t="s">
        <v>82</v>
      </c>
      <c r="L100">
        <v>216.01</v>
      </c>
      <c r="M100" s="1">
        <v>46173</v>
      </c>
      <c r="N100" t="s">
        <v>28</v>
      </c>
      <c r="O100">
        <v>31</v>
      </c>
      <c r="P100">
        <v>5</v>
      </c>
      <c r="Q100">
        <v>2</v>
      </c>
      <c r="R100">
        <v>2026</v>
      </c>
    </row>
    <row r="101" spans="1:18">
      <c r="A101">
        <v>162.46</v>
      </c>
      <c r="B101">
        <v>1</v>
      </c>
      <c r="C101">
        <v>100</v>
      </c>
      <c r="D101" s="2">
        <v>0.78641304398148149</v>
      </c>
      <c r="E101" t="s">
        <v>1954</v>
      </c>
      <c r="F101" t="s">
        <v>1955</v>
      </c>
      <c r="G101" t="s">
        <v>1679</v>
      </c>
      <c r="H101" t="s">
        <v>1257</v>
      </c>
      <c r="I101" t="s">
        <v>839</v>
      </c>
      <c r="J101" t="s">
        <v>218</v>
      </c>
      <c r="K101" t="s">
        <v>97</v>
      </c>
      <c r="L101">
        <v>162.46</v>
      </c>
      <c r="M101" s="1">
        <v>46167</v>
      </c>
      <c r="N101" t="s">
        <v>93</v>
      </c>
      <c r="O101">
        <v>25</v>
      </c>
      <c r="P101">
        <v>5</v>
      </c>
      <c r="Q101">
        <v>2</v>
      </c>
      <c r="R101">
        <v>2026</v>
      </c>
    </row>
    <row r="102" spans="1:18">
      <c r="A102">
        <v>1216.1499999999999</v>
      </c>
      <c r="B102">
        <v>5</v>
      </c>
      <c r="C102">
        <v>101</v>
      </c>
      <c r="D102" s="2">
        <v>0.85208449074074077</v>
      </c>
      <c r="E102" t="s">
        <v>2300</v>
      </c>
      <c r="F102" t="s">
        <v>2301</v>
      </c>
      <c r="G102" t="s">
        <v>1962</v>
      </c>
      <c r="H102" t="s">
        <v>1600</v>
      </c>
      <c r="I102" t="s">
        <v>768</v>
      </c>
      <c r="J102" t="s">
        <v>126</v>
      </c>
      <c r="K102" t="s">
        <v>43</v>
      </c>
      <c r="L102">
        <v>243.23</v>
      </c>
      <c r="M102" s="1">
        <v>46141</v>
      </c>
      <c r="N102" t="s">
        <v>34</v>
      </c>
      <c r="O102">
        <v>29</v>
      </c>
      <c r="P102">
        <v>4</v>
      </c>
      <c r="Q102">
        <v>2</v>
      </c>
      <c r="R102">
        <v>2026</v>
      </c>
    </row>
    <row r="103" spans="1:18">
      <c r="A103">
        <v>729.48</v>
      </c>
      <c r="B103">
        <v>4</v>
      </c>
      <c r="C103">
        <v>102</v>
      </c>
      <c r="D103" s="2">
        <v>4.5095717592592593E-2</v>
      </c>
      <c r="E103" t="s">
        <v>2951</v>
      </c>
      <c r="F103" t="s">
        <v>2952</v>
      </c>
      <c r="G103" t="s">
        <v>969</v>
      </c>
      <c r="H103" t="s">
        <v>853</v>
      </c>
      <c r="I103" t="s">
        <v>854</v>
      </c>
      <c r="J103" t="s">
        <v>661</v>
      </c>
      <c r="K103" t="s">
        <v>122</v>
      </c>
      <c r="L103">
        <v>182.37</v>
      </c>
      <c r="M103" s="1">
        <v>45816</v>
      </c>
      <c r="N103" t="s">
        <v>28</v>
      </c>
      <c r="O103">
        <v>8</v>
      </c>
      <c r="P103">
        <v>6</v>
      </c>
      <c r="Q103">
        <v>2</v>
      </c>
      <c r="R103">
        <v>2025</v>
      </c>
    </row>
    <row r="104" spans="1:18">
      <c r="A104">
        <v>707.4</v>
      </c>
      <c r="B104">
        <v>5</v>
      </c>
      <c r="C104">
        <v>103</v>
      </c>
      <c r="D104" s="2">
        <v>0.26727431712962962</v>
      </c>
      <c r="E104" t="s">
        <v>2084</v>
      </c>
      <c r="F104" t="s">
        <v>2085</v>
      </c>
      <c r="G104" t="s">
        <v>2086</v>
      </c>
      <c r="H104" t="s">
        <v>1209</v>
      </c>
      <c r="I104" t="s">
        <v>776</v>
      </c>
      <c r="J104" t="s">
        <v>240</v>
      </c>
      <c r="K104" t="s">
        <v>23</v>
      </c>
      <c r="L104">
        <v>141.47999999999999</v>
      </c>
      <c r="M104" s="1">
        <v>45992</v>
      </c>
      <c r="N104" t="s">
        <v>93</v>
      </c>
      <c r="O104">
        <v>1</v>
      </c>
      <c r="P104">
        <v>12</v>
      </c>
      <c r="Q104">
        <v>4</v>
      </c>
      <c r="R104">
        <v>2025</v>
      </c>
    </row>
    <row r="105" spans="1:18">
      <c r="A105">
        <v>566.04</v>
      </c>
      <c r="B105">
        <v>4</v>
      </c>
      <c r="C105">
        <v>104</v>
      </c>
      <c r="D105" s="2">
        <v>0.92413644675925921</v>
      </c>
      <c r="E105" t="s">
        <v>2144</v>
      </c>
      <c r="F105" t="s">
        <v>2145</v>
      </c>
      <c r="G105" t="s">
        <v>1010</v>
      </c>
      <c r="H105" t="s">
        <v>1032</v>
      </c>
      <c r="I105" t="s">
        <v>839</v>
      </c>
      <c r="J105" t="s">
        <v>437</v>
      </c>
      <c r="K105" t="s">
        <v>122</v>
      </c>
      <c r="L105">
        <v>141.51</v>
      </c>
      <c r="M105" s="1">
        <v>45674</v>
      </c>
      <c r="N105" t="s">
        <v>79</v>
      </c>
      <c r="O105">
        <v>17</v>
      </c>
      <c r="P105">
        <v>1</v>
      </c>
      <c r="Q105">
        <v>1</v>
      </c>
      <c r="R105">
        <v>2025</v>
      </c>
    </row>
    <row r="106" spans="1:18">
      <c r="A106">
        <v>1240.5500000000002</v>
      </c>
      <c r="B106">
        <v>5</v>
      </c>
      <c r="C106">
        <v>105</v>
      </c>
      <c r="D106" s="2">
        <v>0.69712605324074073</v>
      </c>
      <c r="E106" t="s">
        <v>803</v>
      </c>
      <c r="F106" t="s">
        <v>804</v>
      </c>
      <c r="G106" t="s">
        <v>805</v>
      </c>
      <c r="H106" t="s">
        <v>806</v>
      </c>
      <c r="I106" t="s">
        <v>807</v>
      </c>
      <c r="J106" t="s">
        <v>808</v>
      </c>
      <c r="K106" t="s">
        <v>17</v>
      </c>
      <c r="L106">
        <v>248.11</v>
      </c>
      <c r="M106" s="1">
        <v>46258</v>
      </c>
      <c r="N106" t="s">
        <v>93</v>
      </c>
      <c r="O106">
        <v>24</v>
      </c>
      <c r="P106">
        <v>8</v>
      </c>
      <c r="Q106">
        <v>3</v>
      </c>
      <c r="R106">
        <v>2026</v>
      </c>
    </row>
    <row r="107" spans="1:18">
      <c r="A107">
        <v>43.75</v>
      </c>
      <c r="B107">
        <v>1</v>
      </c>
      <c r="C107">
        <v>106</v>
      </c>
      <c r="D107" s="2">
        <v>0.22166328703703703</v>
      </c>
      <c r="E107" t="s">
        <v>2151</v>
      </c>
      <c r="F107" t="s">
        <v>2152</v>
      </c>
      <c r="G107" t="s">
        <v>2153</v>
      </c>
      <c r="H107" t="s">
        <v>2154</v>
      </c>
      <c r="I107" t="s">
        <v>1003</v>
      </c>
      <c r="J107" t="s">
        <v>386</v>
      </c>
      <c r="K107" t="s">
        <v>21</v>
      </c>
      <c r="L107">
        <v>43.75</v>
      </c>
      <c r="M107" s="1">
        <v>45700</v>
      </c>
      <c r="N107" t="s">
        <v>34</v>
      </c>
      <c r="O107">
        <v>12</v>
      </c>
      <c r="P107">
        <v>2</v>
      </c>
      <c r="Q107">
        <v>1</v>
      </c>
      <c r="R107">
        <v>2025</v>
      </c>
    </row>
    <row r="108" spans="1:18">
      <c r="A108">
        <v>6.1</v>
      </c>
      <c r="B108">
        <v>5</v>
      </c>
      <c r="C108">
        <v>107</v>
      </c>
      <c r="D108" s="2">
        <v>0.64301390046296292</v>
      </c>
      <c r="E108" t="s">
        <v>1717</v>
      </c>
      <c r="F108" t="s">
        <v>1718</v>
      </c>
      <c r="G108" t="s">
        <v>1582</v>
      </c>
      <c r="H108" t="s">
        <v>965</v>
      </c>
      <c r="I108" t="s">
        <v>966</v>
      </c>
      <c r="J108" t="s">
        <v>242</v>
      </c>
      <c r="K108" t="s">
        <v>19</v>
      </c>
      <c r="L108">
        <v>1.22</v>
      </c>
      <c r="M108" s="1">
        <v>45621</v>
      </c>
      <c r="N108" t="s">
        <v>93</v>
      </c>
      <c r="O108">
        <v>25</v>
      </c>
      <c r="P108">
        <v>11</v>
      </c>
      <c r="Q108">
        <v>4</v>
      </c>
      <c r="R108">
        <v>2024</v>
      </c>
    </row>
    <row r="109" spans="1:18">
      <c r="A109">
        <v>690.81000000000006</v>
      </c>
      <c r="B109">
        <v>3</v>
      </c>
      <c r="C109">
        <v>108</v>
      </c>
      <c r="D109" s="2">
        <v>0.91444895833333328</v>
      </c>
      <c r="E109" t="s">
        <v>1796</v>
      </c>
      <c r="F109" t="s">
        <v>1797</v>
      </c>
      <c r="G109" t="s">
        <v>1798</v>
      </c>
      <c r="H109" t="s">
        <v>806</v>
      </c>
      <c r="I109" t="s">
        <v>807</v>
      </c>
      <c r="J109" t="s">
        <v>200</v>
      </c>
      <c r="K109" t="s">
        <v>17</v>
      </c>
      <c r="L109">
        <v>230.27</v>
      </c>
      <c r="M109" s="1">
        <v>45573</v>
      </c>
      <c r="N109" t="s">
        <v>48</v>
      </c>
      <c r="O109">
        <v>8</v>
      </c>
      <c r="P109">
        <v>10</v>
      </c>
      <c r="Q109">
        <v>4</v>
      </c>
      <c r="R109">
        <v>2024</v>
      </c>
    </row>
    <row r="110" spans="1:18">
      <c r="A110">
        <v>453.1</v>
      </c>
      <c r="B110">
        <v>5</v>
      </c>
      <c r="C110">
        <v>109</v>
      </c>
      <c r="D110" s="2">
        <v>0.16850526620370371</v>
      </c>
      <c r="E110" t="s">
        <v>1391</v>
      </c>
      <c r="F110" t="s">
        <v>1392</v>
      </c>
      <c r="G110" t="s">
        <v>1231</v>
      </c>
      <c r="H110" t="s">
        <v>757</v>
      </c>
      <c r="I110" t="s">
        <v>758</v>
      </c>
      <c r="J110" t="s">
        <v>686</v>
      </c>
      <c r="K110" t="s">
        <v>82</v>
      </c>
      <c r="L110">
        <v>90.62</v>
      </c>
      <c r="M110" s="1">
        <v>45815</v>
      </c>
      <c r="N110" t="s">
        <v>14</v>
      </c>
      <c r="O110">
        <v>7</v>
      </c>
      <c r="P110">
        <v>6</v>
      </c>
      <c r="Q110">
        <v>2</v>
      </c>
      <c r="R110">
        <v>2025</v>
      </c>
    </row>
    <row r="111" spans="1:18">
      <c r="A111">
        <v>219.31</v>
      </c>
      <c r="B111">
        <v>1</v>
      </c>
      <c r="C111">
        <v>110</v>
      </c>
      <c r="D111" s="2">
        <v>0.97564656250000004</v>
      </c>
      <c r="E111" t="s">
        <v>1488</v>
      </c>
      <c r="F111" t="s">
        <v>1489</v>
      </c>
      <c r="G111" t="s">
        <v>1490</v>
      </c>
      <c r="H111" t="s">
        <v>280</v>
      </c>
      <c r="I111" t="s">
        <v>812</v>
      </c>
      <c r="J111" t="s">
        <v>594</v>
      </c>
      <c r="K111" t="s">
        <v>43</v>
      </c>
      <c r="L111">
        <v>219.31</v>
      </c>
      <c r="M111" s="1">
        <v>45564</v>
      </c>
      <c r="N111" t="s">
        <v>28</v>
      </c>
      <c r="O111">
        <v>29</v>
      </c>
      <c r="P111">
        <v>9</v>
      </c>
      <c r="Q111">
        <v>3</v>
      </c>
      <c r="R111">
        <v>2024</v>
      </c>
    </row>
    <row r="112" spans="1:18">
      <c r="A112">
        <v>91.74</v>
      </c>
      <c r="B112">
        <v>3</v>
      </c>
      <c r="C112">
        <v>111</v>
      </c>
      <c r="D112" s="2">
        <v>0.26811246527777777</v>
      </c>
      <c r="E112" t="s">
        <v>3015</v>
      </c>
      <c r="F112" t="s">
        <v>3016</v>
      </c>
      <c r="G112" t="s">
        <v>2319</v>
      </c>
      <c r="H112" t="s">
        <v>869</v>
      </c>
      <c r="I112" t="s">
        <v>807</v>
      </c>
      <c r="J112" t="s">
        <v>574</v>
      </c>
      <c r="K112" t="s">
        <v>19</v>
      </c>
      <c r="L112">
        <v>30.58</v>
      </c>
      <c r="M112" s="1">
        <v>46053</v>
      </c>
      <c r="N112" t="s">
        <v>14</v>
      </c>
      <c r="O112">
        <v>31</v>
      </c>
      <c r="P112">
        <v>1</v>
      </c>
      <c r="Q112">
        <v>1</v>
      </c>
      <c r="R112">
        <v>2026</v>
      </c>
    </row>
    <row r="113" spans="1:18">
      <c r="A113">
        <v>873.64</v>
      </c>
      <c r="B113">
        <v>4</v>
      </c>
      <c r="C113">
        <v>112</v>
      </c>
      <c r="D113" s="2">
        <v>0.93133560185185182</v>
      </c>
      <c r="E113" t="s">
        <v>1203</v>
      </c>
      <c r="F113" t="s">
        <v>1204</v>
      </c>
      <c r="G113" t="s">
        <v>1205</v>
      </c>
      <c r="H113" t="s">
        <v>1206</v>
      </c>
      <c r="I113" t="s">
        <v>943</v>
      </c>
      <c r="J113" t="s">
        <v>411</v>
      </c>
      <c r="K113" t="s">
        <v>82</v>
      </c>
      <c r="L113">
        <v>218.41</v>
      </c>
      <c r="M113" s="1">
        <v>45916</v>
      </c>
      <c r="N113" t="s">
        <v>48</v>
      </c>
      <c r="O113">
        <v>16</v>
      </c>
      <c r="P113">
        <v>9</v>
      </c>
      <c r="Q113">
        <v>3</v>
      </c>
      <c r="R113">
        <v>2025</v>
      </c>
    </row>
    <row r="114" spans="1:18">
      <c r="A114">
        <v>449.18</v>
      </c>
      <c r="B114">
        <v>2</v>
      </c>
      <c r="C114">
        <v>113</v>
      </c>
      <c r="D114" s="2">
        <v>0.75942554398148143</v>
      </c>
      <c r="E114" t="s">
        <v>1760</v>
      </c>
      <c r="F114" t="s">
        <v>1761</v>
      </c>
      <c r="G114" t="s">
        <v>1603</v>
      </c>
      <c r="H114" t="s">
        <v>380</v>
      </c>
      <c r="I114" t="s">
        <v>896</v>
      </c>
      <c r="J114" t="s">
        <v>121</v>
      </c>
      <c r="K114" t="s">
        <v>122</v>
      </c>
      <c r="L114">
        <v>224.59</v>
      </c>
      <c r="M114" s="1">
        <v>45964</v>
      </c>
      <c r="N114" t="s">
        <v>93</v>
      </c>
      <c r="O114">
        <v>3</v>
      </c>
      <c r="P114">
        <v>11</v>
      </c>
      <c r="Q114">
        <v>4</v>
      </c>
      <c r="R114">
        <v>2025</v>
      </c>
    </row>
    <row r="115" spans="1:18">
      <c r="A115">
        <v>222.84</v>
      </c>
      <c r="B115">
        <v>3</v>
      </c>
      <c r="C115">
        <v>114</v>
      </c>
      <c r="D115" s="2">
        <v>0.19434155092592592</v>
      </c>
      <c r="E115" t="s">
        <v>2408</v>
      </c>
      <c r="F115" t="s">
        <v>2778</v>
      </c>
      <c r="G115" t="s">
        <v>1452</v>
      </c>
      <c r="H115" t="s">
        <v>1550</v>
      </c>
      <c r="I115" t="s">
        <v>776</v>
      </c>
      <c r="J115" t="s">
        <v>54</v>
      </c>
      <c r="K115" t="s">
        <v>55</v>
      </c>
      <c r="L115">
        <v>74.28</v>
      </c>
      <c r="M115" s="1">
        <v>45923</v>
      </c>
      <c r="N115" t="s">
        <v>48</v>
      </c>
      <c r="O115">
        <v>23</v>
      </c>
      <c r="P115">
        <v>9</v>
      </c>
      <c r="Q115">
        <v>3</v>
      </c>
      <c r="R115">
        <v>2025</v>
      </c>
    </row>
    <row r="116" spans="1:18">
      <c r="A116">
        <v>694.92</v>
      </c>
      <c r="B116">
        <v>3</v>
      </c>
      <c r="C116">
        <v>115</v>
      </c>
      <c r="D116" s="2">
        <v>0.61743297453703705</v>
      </c>
      <c r="E116" t="s">
        <v>1995</v>
      </c>
      <c r="F116" t="s">
        <v>1996</v>
      </c>
      <c r="G116" t="s">
        <v>1997</v>
      </c>
      <c r="H116" t="s">
        <v>1061</v>
      </c>
      <c r="I116" t="s">
        <v>821</v>
      </c>
      <c r="J116" t="s">
        <v>658</v>
      </c>
      <c r="K116" t="s">
        <v>69</v>
      </c>
      <c r="L116">
        <v>231.64</v>
      </c>
      <c r="M116" s="1">
        <v>45946</v>
      </c>
      <c r="N116" t="s">
        <v>105</v>
      </c>
      <c r="O116">
        <v>16</v>
      </c>
      <c r="P116">
        <v>10</v>
      </c>
      <c r="Q116">
        <v>4</v>
      </c>
      <c r="R116">
        <v>2025</v>
      </c>
    </row>
    <row r="117" spans="1:18">
      <c r="A117">
        <v>33.17</v>
      </c>
      <c r="B117">
        <v>1</v>
      </c>
      <c r="C117">
        <v>116</v>
      </c>
      <c r="D117" s="2">
        <v>0.59146415509259265</v>
      </c>
      <c r="E117" t="s">
        <v>2921</v>
      </c>
      <c r="F117" t="s">
        <v>2922</v>
      </c>
      <c r="G117" t="s">
        <v>1149</v>
      </c>
      <c r="H117" t="s">
        <v>380</v>
      </c>
      <c r="I117" t="s">
        <v>776</v>
      </c>
      <c r="J117" t="s">
        <v>481</v>
      </c>
      <c r="K117" t="s">
        <v>69</v>
      </c>
      <c r="L117">
        <v>33.17</v>
      </c>
      <c r="M117" s="1">
        <v>46221</v>
      </c>
      <c r="N117" t="s">
        <v>14</v>
      </c>
      <c r="O117">
        <v>18</v>
      </c>
      <c r="P117">
        <v>7</v>
      </c>
      <c r="Q117">
        <v>3</v>
      </c>
      <c r="R117">
        <v>2026</v>
      </c>
    </row>
    <row r="118" spans="1:18">
      <c r="A118">
        <v>43.84</v>
      </c>
      <c r="B118">
        <v>1</v>
      </c>
      <c r="C118">
        <v>117</v>
      </c>
      <c r="D118" s="2">
        <v>0.35010797453703701</v>
      </c>
      <c r="E118" t="s">
        <v>2092</v>
      </c>
      <c r="F118" t="s">
        <v>2093</v>
      </c>
      <c r="G118" t="s">
        <v>1016</v>
      </c>
      <c r="H118" t="s">
        <v>151</v>
      </c>
      <c r="I118" t="s">
        <v>1003</v>
      </c>
      <c r="J118" t="s">
        <v>335</v>
      </c>
      <c r="K118" t="s">
        <v>37</v>
      </c>
      <c r="L118">
        <v>43.84</v>
      </c>
      <c r="M118" s="1">
        <v>46017</v>
      </c>
      <c r="N118" t="s">
        <v>79</v>
      </c>
      <c r="O118">
        <v>26</v>
      </c>
      <c r="P118">
        <v>12</v>
      </c>
      <c r="Q118">
        <v>4</v>
      </c>
      <c r="R118">
        <v>2025</v>
      </c>
    </row>
    <row r="119" spans="1:18">
      <c r="A119">
        <v>35.229999999999997</v>
      </c>
      <c r="B119">
        <v>1</v>
      </c>
      <c r="C119">
        <v>118</v>
      </c>
      <c r="D119" s="2">
        <v>0.87454781250000002</v>
      </c>
      <c r="E119" t="s">
        <v>3058</v>
      </c>
      <c r="F119" t="s">
        <v>3059</v>
      </c>
      <c r="G119" t="s">
        <v>211</v>
      </c>
      <c r="H119" t="s">
        <v>932</v>
      </c>
      <c r="I119" t="s">
        <v>776</v>
      </c>
      <c r="J119" t="s">
        <v>261</v>
      </c>
      <c r="K119" t="s">
        <v>31</v>
      </c>
      <c r="L119">
        <v>35.229999999999997</v>
      </c>
      <c r="M119" s="1">
        <v>45739</v>
      </c>
      <c r="N119" t="s">
        <v>28</v>
      </c>
      <c r="O119">
        <v>23</v>
      </c>
      <c r="P119">
        <v>3</v>
      </c>
      <c r="Q119">
        <v>1</v>
      </c>
      <c r="R119">
        <v>2025</v>
      </c>
    </row>
    <row r="120" spans="1:18">
      <c r="A120">
        <v>481.29</v>
      </c>
      <c r="B120">
        <v>3</v>
      </c>
      <c r="C120">
        <v>119</v>
      </c>
      <c r="D120" s="2">
        <v>0.66711497685185184</v>
      </c>
      <c r="E120" t="s">
        <v>1478</v>
      </c>
      <c r="F120" t="s">
        <v>1479</v>
      </c>
      <c r="G120" t="s">
        <v>1263</v>
      </c>
      <c r="H120" t="s">
        <v>1395</v>
      </c>
      <c r="I120" t="s">
        <v>776</v>
      </c>
      <c r="J120" t="s">
        <v>424</v>
      </c>
      <c r="K120" t="s">
        <v>69</v>
      </c>
      <c r="L120">
        <v>160.43</v>
      </c>
      <c r="M120" s="1">
        <v>45697</v>
      </c>
      <c r="N120" t="s">
        <v>28</v>
      </c>
      <c r="O120">
        <v>9</v>
      </c>
      <c r="P120">
        <v>2</v>
      </c>
      <c r="Q120">
        <v>1</v>
      </c>
      <c r="R120">
        <v>2025</v>
      </c>
    </row>
    <row r="121" spans="1:18">
      <c r="A121">
        <v>113.85</v>
      </c>
      <c r="B121">
        <v>5</v>
      </c>
      <c r="C121">
        <v>120</v>
      </c>
      <c r="D121" s="2">
        <v>1.7810532407407408E-3</v>
      </c>
      <c r="E121" t="s">
        <v>1248</v>
      </c>
      <c r="F121" t="s">
        <v>1249</v>
      </c>
      <c r="G121" t="s">
        <v>861</v>
      </c>
      <c r="H121" t="s">
        <v>1032</v>
      </c>
      <c r="I121" t="s">
        <v>839</v>
      </c>
      <c r="J121" t="s">
        <v>1250</v>
      </c>
      <c r="K121" t="s">
        <v>23</v>
      </c>
      <c r="L121">
        <v>22.77</v>
      </c>
      <c r="M121" s="1">
        <v>46255</v>
      </c>
      <c r="N121" t="s">
        <v>79</v>
      </c>
      <c r="O121">
        <v>21</v>
      </c>
      <c r="P121">
        <v>8</v>
      </c>
      <c r="Q121">
        <v>3</v>
      </c>
      <c r="R121">
        <v>2026</v>
      </c>
    </row>
    <row r="122" spans="1:18">
      <c r="A122">
        <v>42.87</v>
      </c>
      <c r="B122">
        <v>3</v>
      </c>
      <c r="C122">
        <v>121</v>
      </c>
      <c r="D122" s="2">
        <v>0.62928928240740745</v>
      </c>
      <c r="E122" t="s">
        <v>844</v>
      </c>
      <c r="F122" t="s">
        <v>845</v>
      </c>
      <c r="G122" t="s">
        <v>846</v>
      </c>
      <c r="H122" t="s">
        <v>106</v>
      </c>
      <c r="I122" t="s">
        <v>748</v>
      </c>
      <c r="J122" t="s">
        <v>170</v>
      </c>
      <c r="K122" t="s">
        <v>82</v>
      </c>
      <c r="L122">
        <v>14.29</v>
      </c>
      <c r="M122" s="1">
        <v>45820</v>
      </c>
      <c r="N122" t="s">
        <v>105</v>
      </c>
      <c r="O122">
        <v>12</v>
      </c>
      <c r="P122">
        <v>6</v>
      </c>
      <c r="Q122">
        <v>2</v>
      </c>
      <c r="R122">
        <v>2025</v>
      </c>
    </row>
    <row r="123" spans="1:18">
      <c r="A123">
        <v>487.38</v>
      </c>
      <c r="B123">
        <v>3</v>
      </c>
      <c r="C123">
        <v>122</v>
      </c>
      <c r="D123" s="2">
        <v>0.76013421296296302</v>
      </c>
      <c r="E123" t="s">
        <v>1567</v>
      </c>
      <c r="F123" t="s">
        <v>1568</v>
      </c>
      <c r="G123" t="s">
        <v>1569</v>
      </c>
      <c r="H123" t="s">
        <v>322</v>
      </c>
      <c r="I123" t="s">
        <v>795</v>
      </c>
      <c r="J123" t="s">
        <v>218</v>
      </c>
      <c r="K123" t="s">
        <v>97</v>
      </c>
      <c r="L123">
        <v>162.46</v>
      </c>
      <c r="M123" s="1">
        <v>46173</v>
      </c>
      <c r="N123" t="s">
        <v>28</v>
      </c>
      <c r="O123">
        <v>31</v>
      </c>
      <c r="P123">
        <v>5</v>
      </c>
      <c r="Q123">
        <v>2</v>
      </c>
      <c r="R123">
        <v>2026</v>
      </c>
    </row>
    <row r="124" spans="1:18">
      <c r="A124">
        <v>91.68</v>
      </c>
      <c r="B124">
        <v>4</v>
      </c>
      <c r="C124">
        <v>123</v>
      </c>
      <c r="D124" s="2">
        <v>1.0426087962962963E-2</v>
      </c>
      <c r="E124" t="s">
        <v>900</v>
      </c>
      <c r="F124" t="s">
        <v>901</v>
      </c>
      <c r="G124" t="s">
        <v>902</v>
      </c>
      <c r="H124" t="s">
        <v>903</v>
      </c>
      <c r="I124" t="s">
        <v>786</v>
      </c>
      <c r="J124" t="s">
        <v>167</v>
      </c>
      <c r="K124" t="s">
        <v>23</v>
      </c>
      <c r="L124">
        <v>22.92</v>
      </c>
      <c r="M124" s="1">
        <v>45666</v>
      </c>
      <c r="N124" t="s">
        <v>105</v>
      </c>
      <c r="O124">
        <v>9</v>
      </c>
      <c r="P124">
        <v>1</v>
      </c>
      <c r="Q124">
        <v>1</v>
      </c>
      <c r="R124">
        <v>2025</v>
      </c>
    </row>
    <row r="125" spans="1:18">
      <c r="A125">
        <v>254.28000000000003</v>
      </c>
      <c r="B125">
        <v>3</v>
      </c>
      <c r="C125">
        <v>124</v>
      </c>
      <c r="D125" s="2">
        <v>0.74459185185185184</v>
      </c>
      <c r="E125" t="s">
        <v>1223</v>
      </c>
      <c r="F125" t="s">
        <v>1224</v>
      </c>
      <c r="G125" t="s">
        <v>1225</v>
      </c>
      <c r="H125" t="s">
        <v>644</v>
      </c>
      <c r="I125" t="s">
        <v>748</v>
      </c>
      <c r="J125" t="s">
        <v>363</v>
      </c>
      <c r="K125" t="s">
        <v>100</v>
      </c>
      <c r="L125">
        <v>84.76</v>
      </c>
      <c r="M125" s="1">
        <v>45806</v>
      </c>
      <c r="N125" t="s">
        <v>105</v>
      </c>
      <c r="O125">
        <v>29</v>
      </c>
      <c r="P125">
        <v>5</v>
      </c>
      <c r="Q125">
        <v>2</v>
      </c>
      <c r="R125">
        <v>2025</v>
      </c>
    </row>
    <row r="126" spans="1:18">
      <c r="A126">
        <v>326.3</v>
      </c>
      <c r="B126">
        <v>5</v>
      </c>
      <c r="C126">
        <v>125</v>
      </c>
      <c r="D126" s="2">
        <v>0.31660478009259257</v>
      </c>
      <c r="E126" t="s">
        <v>3142</v>
      </c>
      <c r="F126" t="s">
        <v>3428</v>
      </c>
      <c r="G126" t="s">
        <v>1532</v>
      </c>
      <c r="H126" t="s">
        <v>1156</v>
      </c>
      <c r="I126" t="s">
        <v>821</v>
      </c>
      <c r="J126" t="s">
        <v>78</v>
      </c>
      <c r="K126" t="s">
        <v>51</v>
      </c>
      <c r="L126">
        <v>65.260000000000005</v>
      </c>
      <c r="M126" s="1">
        <v>46031</v>
      </c>
      <c r="N126" t="s">
        <v>79</v>
      </c>
      <c r="O126">
        <v>9</v>
      </c>
      <c r="P126">
        <v>1</v>
      </c>
      <c r="Q126">
        <v>1</v>
      </c>
      <c r="R126">
        <v>2026</v>
      </c>
    </row>
    <row r="127" spans="1:18">
      <c r="A127">
        <v>42.56</v>
      </c>
      <c r="B127">
        <v>2</v>
      </c>
      <c r="C127">
        <v>126</v>
      </c>
      <c r="D127" s="2">
        <v>0.58831368055555555</v>
      </c>
      <c r="E127" t="s">
        <v>2255</v>
      </c>
      <c r="F127" t="s">
        <v>2177</v>
      </c>
      <c r="G127" t="s">
        <v>766</v>
      </c>
      <c r="H127" t="s">
        <v>49</v>
      </c>
      <c r="I127" t="s">
        <v>892</v>
      </c>
      <c r="J127" t="s">
        <v>317</v>
      </c>
      <c r="K127" t="s">
        <v>100</v>
      </c>
      <c r="L127">
        <v>21.28</v>
      </c>
      <c r="M127" s="1">
        <v>45577</v>
      </c>
      <c r="N127" t="s">
        <v>14</v>
      </c>
      <c r="O127">
        <v>12</v>
      </c>
      <c r="P127">
        <v>10</v>
      </c>
      <c r="Q127">
        <v>4</v>
      </c>
      <c r="R127">
        <v>2024</v>
      </c>
    </row>
    <row r="128" spans="1:18">
      <c r="A128">
        <v>983.16</v>
      </c>
      <c r="B128">
        <v>4</v>
      </c>
      <c r="C128">
        <v>127</v>
      </c>
      <c r="D128" s="2">
        <v>0.10331954861111112</v>
      </c>
      <c r="E128" t="s">
        <v>2242</v>
      </c>
      <c r="F128" t="s">
        <v>2243</v>
      </c>
      <c r="G128" t="s">
        <v>1124</v>
      </c>
      <c r="H128" t="s">
        <v>1626</v>
      </c>
      <c r="I128" t="s">
        <v>812</v>
      </c>
      <c r="J128" t="s">
        <v>344</v>
      </c>
      <c r="K128" t="s">
        <v>19</v>
      </c>
      <c r="L128">
        <v>245.79</v>
      </c>
      <c r="M128" s="1">
        <v>45886</v>
      </c>
      <c r="N128" t="s">
        <v>28</v>
      </c>
      <c r="O128">
        <v>17</v>
      </c>
      <c r="P128">
        <v>8</v>
      </c>
      <c r="Q128">
        <v>3</v>
      </c>
      <c r="R128">
        <v>2025</v>
      </c>
    </row>
    <row r="129" spans="1:18">
      <c r="A129">
        <v>52.39</v>
      </c>
      <c r="B129">
        <v>1</v>
      </c>
      <c r="C129">
        <v>128</v>
      </c>
      <c r="D129" s="2">
        <v>0.79012483796296296</v>
      </c>
      <c r="E129" t="s">
        <v>2163</v>
      </c>
      <c r="F129" t="s">
        <v>2164</v>
      </c>
      <c r="G129" t="s">
        <v>2153</v>
      </c>
      <c r="H129" t="s">
        <v>478</v>
      </c>
      <c r="I129" t="s">
        <v>781</v>
      </c>
      <c r="J129" t="s">
        <v>358</v>
      </c>
      <c r="K129" t="s">
        <v>37</v>
      </c>
      <c r="L129">
        <v>52.39</v>
      </c>
      <c r="M129" s="1">
        <v>46172</v>
      </c>
      <c r="N129" t="s">
        <v>14</v>
      </c>
      <c r="O129">
        <v>30</v>
      </c>
      <c r="P129">
        <v>5</v>
      </c>
      <c r="Q129">
        <v>2</v>
      </c>
      <c r="R129">
        <v>2026</v>
      </c>
    </row>
    <row r="130" spans="1:18">
      <c r="A130">
        <v>473.22</v>
      </c>
      <c r="B130">
        <v>2</v>
      </c>
      <c r="C130">
        <v>129</v>
      </c>
      <c r="D130" s="2">
        <v>0.32054104166666669</v>
      </c>
      <c r="E130" t="s">
        <v>1122</v>
      </c>
      <c r="F130" t="s">
        <v>1123</v>
      </c>
      <c r="G130" t="s">
        <v>1124</v>
      </c>
      <c r="H130" t="s">
        <v>15</v>
      </c>
      <c r="I130" t="s">
        <v>834</v>
      </c>
      <c r="J130" t="s">
        <v>235</v>
      </c>
      <c r="K130" t="s">
        <v>19</v>
      </c>
      <c r="L130">
        <v>236.61</v>
      </c>
      <c r="M130" s="1">
        <v>45843</v>
      </c>
      <c r="N130" t="s">
        <v>14</v>
      </c>
      <c r="O130">
        <v>5</v>
      </c>
      <c r="P130">
        <v>7</v>
      </c>
      <c r="Q130">
        <v>3</v>
      </c>
      <c r="R130">
        <v>2025</v>
      </c>
    </row>
    <row r="131" spans="1:18">
      <c r="A131">
        <v>52.39</v>
      </c>
      <c r="B131">
        <v>1</v>
      </c>
      <c r="C131">
        <v>130</v>
      </c>
      <c r="D131" s="2">
        <v>0.54279476851851849</v>
      </c>
      <c r="E131" t="s">
        <v>992</v>
      </c>
      <c r="F131" t="s">
        <v>993</v>
      </c>
      <c r="G131" t="s">
        <v>994</v>
      </c>
      <c r="H131" t="s">
        <v>995</v>
      </c>
      <c r="I131" t="s">
        <v>781</v>
      </c>
      <c r="J131" t="s">
        <v>358</v>
      </c>
      <c r="K131" t="s">
        <v>37</v>
      </c>
      <c r="L131">
        <v>52.39</v>
      </c>
      <c r="M131" s="1">
        <v>46177</v>
      </c>
      <c r="N131" t="s">
        <v>105</v>
      </c>
      <c r="O131">
        <v>4</v>
      </c>
      <c r="P131">
        <v>6</v>
      </c>
      <c r="Q131">
        <v>2</v>
      </c>
      <c r="R131">
        <v>2026</v>
      </c>
    </row>
    <row r="132" spans="1:18">
      <c r="A132">
        <v>980.88</v>
      </c>
      <c r="B132">
        <v>4</v>
      </c>
      <c r="C132">
        <v>131</v>
      </c>
      <c r="D132" s="2">
        <v>0.32556468750000001</v>
      </c>
      <c r="E132" t="s">
        <v>2320</v>
      </c>
      <c r="F132" t="s">
        <v>2321</v>
      </c>
      <c r="G132" t="s">
        <v>1657</v>
      </c>
      <c r="H132" t="s">
        <v>113</v>
      </c>
      <c r="I132" t="s">
        <v>854</v>
      </c>
      <c r="J132" t="s">
        <v>168</v>
      </c>
      <c r="K132" t="s">
        <v>46</v>
      </c>
      <c r="L132">
        <v>245.22</v>
      </c>
      <c r="M132" s="1">
        <v>45822</v>
      </c>
      <c r="N132" t="s">
        <v>14</v>
      </c>
      <c r="O132">
        <v>14</v>
      </c>
      <c r="P132">
        <v>6</v>
      </c>
      <c r="Q132">
        <v>2</v>
      </c>
      <c r="R132">
        <v>2025</v>
      </c>
    </row>
    <row r="133" spans="1:18">
      <c r="A133">
        <v>173.27</v>
      </c>
      <c r="B133">
        <v>1</v>
      </c>
      <c r="C133">
        <v>132</v>
      </c>
      <c r="D133" s="2">
        <v>0.25121457175925926</v>
      </c>
      <c r="E133" t="s">
        <v>1108</v>
      </c>
      <c r="F133" t="s">
        <v>1109</v>
      </c>
      <c r="G133" t="s">
        <v>1110</v>
      </c>
      <c r="H133" t="s">
        <v>1111</v>
      </c>
      <c r="I133" t="s">
        <v>981</v>
      </c>
      <c r="J133" t="s">
        <v>185</v>
      </c>
      <c r="K133" t="s">
        <v>57</v>
      </c>
      <c r="L133">
        <v>173.27</v>
      </c>
      <c r="M133" s="1">
        <v>45792</v>
      </c>
      <c r="N133" t="s">
        <v>105</v>
      </c>
      <c r="O133">
        <v>15</v>
      </c>
      <c r="P133">
        <v>5</v>
      </c>
      <c r="Q133">
        <v>2</v>
      </c>
      <c r="R133">
        <v>2025</v>
      </c>
    </row>
    <row r="134" spans="1:18">
      <c r="A134">
        <v>97.02</v>
      </c>
      <c r="B134">
        <v>2</v>
      </c>
      <c r="C134">
        <v>133</v>
      </c>
      <c r="D134" s="2">
        <v>0.30216560185185187</v>
      </c>
      <c r="E134" t="s">
        <v>1891</v>
      </c>
      <c r="F134" t="s">
        <v>1892</v>
      </c>
      <c r="G134" t="s">
        <v>1893</v>
      </c>
      <c r="H134" t="s">
        <v>806</v>
      </c>
      <c r="I134" t="s">
        <v>807</v>
      </c>
      <c r="J134" t="s">
        <v>243</v>
      </c>
      <c r="K134" t="s">
        <v>57</v>
      </c>
      <c r="L134">
        <v>48.51</v>
      </c>
      <c r="M134" s="1">
        <v>45757</v>
      </c>
      <c r="N134" t="s">
        <v>105</v>
      </c>
      <c r="O134">
        <v>10</v>
      </c>
      <c r="P134">
        <v>4</v>
      </c>
      <c r="Q134">
        <v>2</v>
      </c>
      <c r="R134">
        <v>2025</v>
      </c>
    </row>
    <row r="135" spans="1:18">
      <c r="A135">
        <v>115.42</v>
      </c>
      <c r="B135">
        <v>1</v>
      </c>
      <c r="C135">
        <v>134</v>
      </c>
      <c r="D135" s="2">
        <v>0.31143759259259257</v>
      </c>
      <c r="E135" t="s">
        <v>2496</v>
      </c>
      <c r="F135" t="s">
        <v>2497</v>
      </c>
      <c r="G135" t="s">
        <v>2498</v>
      </c>
      <c r="H135" t="s">
        <v>1302</v>
      </c>
      <c r="I135" t="s">
        <v>786</v>
      </c>
      <c r="J135" t="s">
        <v>598</v>
      </c>
      <c r="K135" t="s">
        <v>31</v>
      </c>
      <c r="L135">
        <v>115.42</v>
      </c>
      <c r="M135" s="1">
        <v>45955</v>
      </c>
      <c r="N135" t="s">
        <v>14</v>
      </c>
      <c r="O135">
        <v>25</v>
      </c>
      <c r="P135">
        <v>10</v>
      </c>
      <c r="Q135">
        <v>4</v>
      </c>
      <c r="R135">
        <v>2025</v>
      </c>
    </row>
    <row r="136" spans="1:18">
      <c r="A136">
        <v>696.42</v>
      </c>
      <c r="B136">
        <v>3</v>
      </c>
      <c r="C136">
        <v>135</v>
      </c>
      <c r="D136" s="2">
        <v>0.65929354166666665</v>
      </c>
      <c r="E136" t="s">
        <v>2146</v>
      </c>
      <c r="F136" t="s">
        <v>2147</v>
      </c>
      <c r="G136" t="s">
        <v>2148</v>
      </c>
      <c r="H136" t="s">
        <v>1525</v>
      </c>
      <c r="I136" t="s">
        <v>763</v>
      </c>
      <c r="J136" t="s">
        <v>439</v>
      </c>
      <c r="K136" t="s">
        <v>21</v>
      </c>
      <c r="L136">
        <v>232.14</v>
      </c>
      <c r="M136" s="1">
        <v>45785</v>
      </c>
      <c r="N136" t="s">
        <v>105</v>
      </c>
      <c r="O136">
        <v>8</v>
      </c>
      <c r="P136">
        <v>5</v>
      </c>
      <c r="Q136">
        <v>2</v>
      </c>
      <c r="R136">
        <v>2025</v>
      </c>
    </row>
    <row r="137" spans="1:18">
      <c r="A137">
        <v>81.8</v>
      </c>
      <c r="B137">
        <v>5</v>
      </c>
      <c r="C137">
        <v>136</v>
      </c>
      <c r="D137" s="2">
        <v>4.2005925925925926E-2</v>
      </c>
      <c r="E137" t="s">
        <v>2018</v>
      </c>
      <c r="F137" t="s">
        <v>2019</v>
      </c>
      <c r="G137" t="s">
        <v>2020</v>
      </c>
      <c r="H137" t="s">
        <v>635</v>
      </c>
      <c r="I137" t="s">
        <v>768</v>
      </c>
      <c r="J137" t="s">
        <v>1183</v>
      </c>
      <c r="K137" t="s">
        <v>100</v>
      </c>
      <c r="L137">
        <v>16.36</v>
      </c>
      <c r="M137" s="1">
        <v>46030</v>
      </c>
      <c r="N137" t="s">
        <v>105</v>
      </c>
      <c r="O137">
        <v>8</v>
      </c>
      <c r="P137">
        <v>1</v>
      </c>
      <c r="Q137">
        <v>1</v>
      </c>
      <c r="R137">
        <v>2026</v>
      </c>
    </row>
    <row r="138" spans="1:18">
      <c r="A138">
        <v>583.32000000000005</v>
      </c>
      <c r="B138">
        <v>4</v>
      </c>
      <c r="C138">
        <v>137</v>
      </c>
      <c r="D138" s="2">
        <v>0.80170424768518522</v>
      </c>
      <c r="E138" t="s">
        <v>2379</v>
      </c>
      <c r="F138" t="s">
        <v>2380</v>
      </c>
      <c r="G138" t="s">
        <v>820</v>
      </c>
      <c r="H138" t="s">
        <v>995</v>
      </c>
      <c r="I138" t="s">
        <v>781</v>
      </c>
      <c r="J138" t="s">
        <v>171</v>
      </c>
      <c r="K138" t="s">
        <v>46</v>
      </c>
      <c r="L138">
        <v>145.83000000000001</v>
      </c>
      <c r="M138" s="1">
        <v>45609</v>
      </c>
      <c r="N138" t="s">
        <v>34</v>
      </c>
      <c r="O138">
        <v>13</v>
      </c>
      <c r="P138">
        <v>11</v>
      </c>
      <c r="Q138">
        <v>4</v>
      </c>
      <c r="R138">
        <v>2024</v>
      </c>
    </row>
    <row r="139" spans="1:18">
      <c r="A139">
        <v>208.36</v>
      </c>
      <c r="B139">
        <v>1</v>
      </c>
      <c r="C139">
        <v>138</v>
      </c>
      <c r="D139" s="2">
        <v>0.27069688657407409</v>
      </c>
      <c r="E139" t="s">
        <v>1405</v>
      </c>
      <c r="F139" t="s">
        <v>1406</v>
      </c>
      <c r="G139" t="s">
        <v>846</v>
      </c>
      <c r="H139" t="s">
        <v>1371</v>
      </c>
      <c r="I139" t="s">
        <v>786</v>
      </c>
      <c r="J139" t="s">
        <v>545</v>
      </c>
      <c r="K139" t="s">
        <v>60</v>
      </c>
      <c r="L139">
        <v>208.36</v>
      </c>
      <c r="M139" s="1">
        <v>45565</v>
      </c>
      <c r="N139" t="s">
        <v>93</v>
      </c>
      <c r="O139">
        <v>30</v>
      </c>
      <c r="P139">
        <v>9</v>
      </c>
      <c r="Q139">
        <v>3</v>
      </c>
      <c r="R139">
        <v>2024</v>
      </c>
    </row>
    <row r="140" spans="1:18">
      <c r="A140">
        <v>144.47999999999999</v>
      </c>
      <c r="B140">
        <v>1</v>
      </c>
      <c r="C140">
        <v>139</v>
      </c>
      <c r="D140" s="2">
        <v>0.97459396990740743</v>
      </c>
      <c r="E140" t="s">
        <v>1196</v>
      </c>
      <c r="F140" t="s">
        <v>1197</v>
      </c>
      <c r="G140" t="s">
        <v>1198</v>
      </c>
      <c r="H140" t="s">
        <v>1199</v>
      </c>
      <c r="I140" t="s">
        <v>839</v>
      </c>
      <c r="J140" t="s">
        <v>1441</v>
      </c>
      <c r="K140" t="s">
        <v>19</v>
      </c>
      <c r="L140">
        <v>144.47999999999999</v>
      </c>
      <c r="M140" s="1">
        <v>45820</v>
      </c>
      <c r="N140" t="s">
        <v>105</v>
      </c>
      <c r="O140">
        <v>12</v>
      </c>
      <c r="P140">
        <v>6</v>
      </c>
      <c r="Q140">
        <v>2</v>
      </c>
      <c r="R140">
        <v>2025</v>
      </c>
    </row>
    <row r="141" spans="1:18">
      <c r="A141">
        <v>79.680000000000007</v>
      </c>
      <c r="B141">
        <v>1</v>
      </c>
      <c r="C141">
        <v>140</v>
      </c>
      <c r="D141" s="2">
        <v>0.19644832175925925</v>
      </c>
      <c r="E141" t="s">
        <v>1534</v>
      </c>
      <c r="F141" t="s">
        <v>1535</v>
      </c>
      <c r="G141" t="s">
        <v>1536</v>
      </c>
      <c r="H141" t="s">
        <v>995</v>
      </c>
      <c r="I141" t="s">
        <v>781</v>
      </c>
      <c r="J141" t="s">
        <v>565</v>
      </c>
      <c r="K141" t="s">
        <v>17</v>
      </c>
      <c r="L141">
        <v>79.680000000000007</v>
      </c>
      <c r="M141" s="1">
        <v>46143</v>
      </c>
      <c r="N141" t="s">
        <v>79</v>
      </c>
      <c r="O141">
        <v>1</v>
      </c>
      <c r="P141">
        <v>5</v>
      </c>
      <c r="Q141">
        <v>2</v>
      </c>
      <c r="R141">
        <v>2026</v>
      </c>
    </row>
    <row r="142" spans="1:18">
      <c r="A142">
        <v>166.26</v>
      </c>
      <c r="B142">
        <v>1</v>
      </c>
      <c r="C142">
        <v>141</v>
      </c>
      <c r="D142" s="2">
        <v>0.15733005787037038</v>
      </c>
      <c r="E142" t="s">
        <v>3195</v>
      </c>
      <c r="F142" t="s">
        <v>3196</v>
      </c>
      <c r="G142" t="s">
        <v>2004</v>
      </c>
      <c r="H142" t="s">
        <v>713</v>
      </c>
      <c r="I142" t="s">
        <v>908</v>
      </c>
      <c r="J142" t="s">
        <v>72</v>
      </c>
      <c r="K142" t="s">
        <v>37</v>
      </c>
      <c r="L142">
        <v>166.26</v>
      </c>
      <c r="M142" s="1">
        <v>46119</v>
      </c>
      <c r="N142" t="s">
        <v>48</v>
      </c>
      <c r="O142">
        <v>7</v>
      </c>
      <c r="P142">
        <v>4</v>
      </c>
      <c r="Q142">
        <v>2</v>
      </c>
      <c r="R142">
        <v>2026</v>
      </c>
    </row>
    <row r="143" spans="1:18">
      <c r="A143">
        <v>35.270000000000003</v>
      </c>
      <c r="B143">
        <v>1</v>
      </c>
      <c r="C143">
        <v>142</v>
      </c>
      <c r="D143" s="2">
        <v>0.79025118055555554</v>
      </c>
      <c r="E143" t="s">
        <v>1163</v>
      </c>
      <c r="F143" t="s">
        <v>1164</v>
      </c>
      <c r="G143" t="s">
        <v>1165</v>
      </c>
      <c r="H143" t="s">
        <v>464</v>
      </c>
      <c r="I143" t="s">
        <v>896</v>
      </c>
      <c r="J143" t="s">
        <v>33</v>
      </c>
      <c r="K143" t="s">
        <v>19</v>
      </c>
      <c r="L143">
        <v>35.270000000000003</v>
      </c>
      <c r="M143" s="1">
        <v>45703</v>
      </c>
      <c r="N143" t="s">
        <v>14</v>
      </c>
      <c r="O143">
        <v>15</v>
      </c>
      <c r="P143">
        <v>2</v>
      </c>
      <c r="Q143">
        <v>1</v>
      </c>
      <c r="R143">
        <v>2025</v>
      </c>
    </row>
    <row r="144" spans="1:18">
      <c r="A144">
        <v>78.900000000000006</v>
      </c>
      <c r="B144">
        <v>2</v>
      </c>
      <c r="C144">
        <v>143</v>
      </c>
      <c r="D144" s="2">
        <v>0.44116875</v>
      </c>
      <c r="E144" t="s">
        <v>822</v>
      </c>
      <c r="F144" t="s">
        <v>823</v>
      </c>
      <c r="G144" t="s">
        <v>824</v>
      </c>
      <c r="H144" t="s">
        <v>825</v>
      </c>
      <c r="I144" t="s">
        <v>781</v>
      </c>
      <c r="J144" t="s">
        <v>668</v>
      </c>
      <c r="K144" t="s">
        <v>46</v>
      </c>
      <c r="L144">
        <v>39.450000000000003</v>
      </c>
      <c r="M144" s="1">
        <v>46185</v>
      </c>
      <c r="N144" t="s">
        <v>79</v>
      </c>
      <c r="O144">
        <v>12</v>
      </c>
      <c r="P144">
        <v>6</v>
      </c>
      <c r="Q144">
        <v>2</v>
      </c>
      <c r="R144">
        <v>2026</v>
      </c>
    </row>
    <row r="145" spans="1:18">
      <c r="A145">
        <v>191.96</v>
      </c>
      <c r="B145">
        <v>1</v>
      </c>
      <c r="C145">
        <v>144</v>
      </c>
      <c r="D145" s="2">
        <v>0.57168567129629633</v>
      </c>
      <c r="E145" t="s">
        <v>1543</v>
      </c>
      <c r="F145" t="s">
        <v>1544</v>
      </c>
      <c r="G145" t="s">
        <v>1545</v>
      </c>
      <c r="H145" t="s">
        <v>29</v>
      </c>
      <c r="I145" t="s">
        <v>763</v>
      </c>
      <c r="J145" t="s">
        <v>231</v>
      </c>
      <c r="K145" t="s">
        <v>37</v>
      </c>
      <c r="L145">
        <v>191.96</v>
      </c>
      <c r="M145" s="1">
        <v>46269</v>
      </c>
      <c r="N145" t="s">
        <v>79</v>
      </c>
      <c r="O145">
        <v>4</v>
      </c>
      <c r="P145">
        <v>9</v>
      </c>
      <c r="Q145">
        <v>3</v>
      </c>
      <c r="R145">
        <v>2026</v>
      </c>
    </row>
    <row r="146" spans="1:18">
      <c r="A146">
        <v>234.78</v>
      </c>
      <c r="B146">
        <v>1</v>
      </c>
      <c r="C146">
        <v>145</v>
      </c>
      <c r="D146" s="2">
        <v>0.20622559027777779</v>
      </c>
      <c r="E146" t="s">
        <v>1138</v>
      </c>
      <c r="F146" t="s">
        <v>1139</v>
      </c>
      <c r="G146" t="s">
        <v>1140</v>
      </c>
      <c r="H146" t="s">
        <v>666</v>
      </c>
      <c r="I146" t="s">
        <v>954</v>
      </c>
      <c r="J146" t="s">
        <v>45</v>
      </c>
      <c r="K146" t="s">
        <v>46</v>
      </c>
      <c r="L146">
        <v>234.78</v>
      </c>
      <c r="M146" s="1">
        <v>45628</v>
      </c>
      <c r="N146" t="s">
        <v>93</v>
      </c>
      <c r="O146">
        <v>2</v>
      </c>
      <c r="P146">
        <v>12</v>
      </c>
      <c r="Q146">
        <v>4</v>
      </c>
      <c r="R146">
        <v>2024</v>
      </c>
    </row>
    <row r="147" spans="1:18">
      <c r="A147">
        <v>438.1</v>
      </c>
      <c r="B147">
        <v>5</v>
      </c>
      <c r="C147">
        <v>146</v>
      </c>
      <c r="D147" s="2">
        <v>0.30094468749999997</v>
      </c>
      <c r="E147" t="s">
        <v>3032</v>
      </c>
      <c r="F147" t="s">
        <v>3033</v>
      </c>
      <c r="G147" t="s">
        <v>1768</v>
      </c>
      <c r="H147" t="s">
        <v>1670</v>
      </c>
      <c r="I147" t="s">
        <v>1247</v>
      </c>
      <c r="J147" t="s">
        <v>59</v>
      </c>
      <c r="K147" t="s">
        <v>60</v>
      </c>
      <c r="L147">
        <v>87.62</v>
      </c>
      <c r="M147" s="1">
        <v>46180</v>
      </c>
      <c r="N147" t="s">
        <v>28</v>
      </c>
      <c r="O147">
        <v>7</v>
      </c>
      <c r="P147">
        <v>6</v>
      </c>
      <c r="Q147">
        <v>2</v>
      </c>
      <c r="R147">
        <v>2026</v>
      </c>
    </row>
    <row r="148" spans="1:18">
      <c r="A148">
        <v>274.36</v>
      </c>
      <c r="B148">
        <v>2</v>
      </c>
      <c r="C148">
        <v>147</v>
      </c>
      <c r="D148" s="2">
        <v>0.23641255787037038</v>
      </c>
      <c r="E148" t="s">
        <v>950</v>
      </c>
      <c r="F148" t="s">
        <v>951</v>
      </c>
      <c r="G148" t="s">
        <v>952</v>
      </c>
      <c r="H148" t="s">
        <v>953</v>
      </c>
      <c r="I148" t="s">
        <v>954</v>
      </c>
      <c r="J148" t="s">
        <v>219</v>
      </c>
      <c r="K148" t="s">
        <v>39</v>
      </c>
      <c r="L148">
        <v>137.18</v>
      </c>
      <c r="M148" s="1">
        <v>46241</v>
      </c>
      <c r="N148" t="s">
        <v>79</v>
      </c>
      <c r="O148">
        <v>7</v>
      </c>
      <c r="P148">
        <v>8</v>
      </c>
      <c r="Q148">
        <v>3</v>
      </c>
      <c r="R148">
        <v>2026</v>
      </c>
    </row>
    <row r="149" spans="1:18">
      <c r="A149">
        <v>182.26</v>
      </c>
      <c r="B149">
        <v>1</v>
      </c>
      <c r="C149">
        <v>148</v>
      </c>
      <c r="D149" s="2">
        <v>0.46235751157407406</v>
      </c>
      <c r="E149" t="s">
        <v>863</v>
      </c>
      <c r="F149" t="s">
        <v>864</v>
      </c>
      <c r="G149" t="s">
        <v>865</v>
      </c>
      <c r="H149" t="s">
        <v>708</v>
      </c>
      <c r="I149" t="s">
        <v>834</v>
      </c>
      <c r="J149" t="s">
        <v>378</v>
      </c>
      <c r="K149" t="s">
        <v>57</v>
      </c>
      <c r="L149">
        <v>182.26</v>
      </c>
      <c r="M149" s="1">
        <v>45642</v>
      </c>
      <c r="N149" t="s">
        <v>93</v>
      </c>
      <c r="O149">
        <v>16</v>
      </c>
      <c r="P149">
        <v>12</v>
      </c>
      <c r="Q149">
        <v>4</v>
      </c>
      <c r="R149">
        <v>2024</v>
      </c>
    </row>
    <row r="150" spans="1:18">
      <c r="A150">
        <v>84.81</v>
      </c>
      <c r="B150">
        <v>3</v>
      </c>
      <c r="C150">
        <v>149</v>
      </c>
      <c r="D150" s="2">
        <v>0.45739878472222223</v>
      </c>
      <c r="E150" t="s">
        <v>1221</v>
      </c>
      <c r="F150" t="s">
        <v>1222</v>
      </c>
      <c r="G150" t="s">
        <v>1098</v>
      </c>
      <c r="H150" t="s">
        <v>802</v>
      </c>
      <c r="I150" t="s">
        <v>748</v>
      </c>
      <c r="J150" t="s">
        <v>184</v>
      </c>
      <c r="K150" t="s">
        <v>31</v>
      </c>
      <c r="L150">
        <v>28.27</v>
      </c>
      <c r="M150" s="1">
        <v>46192</v>
      </c>
      <c r="N150" t="s">
        <v>79</v>
      </c>
      <c r="O150">
        <v>19</v>
      </c>
      <c r="P150">
        <v>6</v>
      </c>
      <c r="Q150">
        <v>2</v>
      </c>
      <c r="R150">
        <v>2026</v>
      </c>
    </row>
    <row r="151" spans="1:18">
      <c r="A151">
        <v>209.84</v>
      </c>
      <c r="B151">
        <v>2</v>
      </c>
      <c r="C151">
        <v>150</v>
      </c>
      <c r="D151" s="2">
        <v>0.59910641203703707</v>
      </c>
      <c r="E151" t="s">
        <v>3112</v>
      </c>
      <c r="F151" t="s">
        <v>3113</v>
      </c>
      <c r="G151" t="s">
        <v>3114</v>
      </c>
      <c r="H151" t="s">
        <v>1107</v>
      </c>
      <c r="I151" t="s">
        <v>763</v>
      </c>
      <c r="J151" t="s">
        <v>351</v>
      </c>
      <c r="K151" t="s">
        <v>57</v>
      </c>
      <c r="L151">
        <v>104.92</v>
      </c>
      <c r="M151" s="1">
        <v>45668</v>
      </c>
      <c r="N151" t="s">
        <v>14</v>
      </c>
      <c r="O151">
        <v>11</v>
      </c>
      <c r="P151">
        <v>1</v>
      </c>
      <c r="Q151">
        <v>1</v>
      </c>
      <c r="R151">
        <v>2025</v>
      </c>
    </row>
    <row r="152" spans="1:18">
      <c r="A152">
        <v>261.32</v>
      </c>
      <c r="B152">
        <v>4</v>
      </c>
      <c r="C152">
        <v>151</v>
      </c>
      <c r="D152" s="2">
        <v>0.18037081018518519</v>
      </c>
      <c r="E152" t="s">
        <v>1021</v>
      </c>
      <c r="F152" t="s">
        <v>1022</v>
      </c>
      <c r="G152" t="s">
        <v>984</v>
      </c>
      <c r="H152" t="s">
        <v>929</v>
      </c>
      <c r="I152" t="s">
        <v>830</v>
      </c>
      <c r="J152" t="s">
        <v>189</v>
      </c>
      <c r="K152" t="s">
        <v>43</v>
      </c>
      <c r="L152">
        <v>65.33</v>
      </c>
      <c r="M152" s="1">
        <v>45822</v>
      </c>
      <c r="N152" t="s">
        <v>14</v>
      </c>
      <c r="O152">
        <v>14</v>
      </c>
      <c r="P152">
        <v>6</v>
      </c>
      <c r="Q152">
        <v>2</v>
      </c>
      <c r="R152">
        <v>2025</v>
      </c>
    </row>
    <row r="153" spans="1:18">
      <c r="A153">
        <v>148.29</v>
      </c>
      <c r="B153">
        <v>3</v>
      </c>
      <c r="C153">
        <v>152</v>
      </c>
      <c r="D153" s="2">
        <v>0.48076599537037035</v>
      </c>
      <c r="E153" t="s">
        <v>1284</v>
      </c>
      <c r="F153" t="s">
        <v>1285</v>
      </c>
      <c r="G153" t="s">
        <v>1286</v>
      </c>
      <c r="H153" t="s">
        <v>199</v>
      </c>
      <c r="I153" t="s">
        <v>781</v>
      </c>
      <c r="J153" t="s">
        <v>347</v>
      </c>
      <c r="K153" t="s">
        <v>69</v>
      </c>
      <c r="L153">
        <v>49.43</v>
      </c>
      <c r="M153" s="1">
        <v>46097</v>
      </c>
      <c r="N153" t="s">
        <v>93</v>
      </c>
      <c r="O153">
        <v>16</v>
      </c>
      <c r="P153">
        <v>3</v>
      </c>
      <c r="Q153">
        <v>1</v>
      </c>
      <c r="R153">
        <v>2026</v>
      </c>
    </row>
    <row r="154" spans="1:18">
      <c r="A154">
        <v>1174.8999999999999</v>
      </c>
      <c r="B154">
        <v>5</v>
      </c>
      <c r="C154">
        <v>153</v>
      </c>
      <c r="D154" s="2">
        <v>0.66208390046296295</v>
      </c>
      <c r="E154" t="s">
        <v>2217</v>
      </c>
      <c r="F154" t="s">
        <v>2218</v>
      </c>
      <c r="G154" t="s">
        <v>1771</v>
      </c>
      <c r="H154" t="s">
        <v>380</v>
      </c>
      <c r="I154" t="s">
        <v>954</v>
      </c>
      <c r="J154" t="s">
        <v>333</v>
      </c>
      <c r="K154" t="s">
        <v>37</v>
      </c>
      <c r="L154">
        <v>234.98</v>
      </c>
      <c r="M154" s="1">
        <v>45818</v>
      </c>
      <c r="N154" t="s">
        <v>48</v>
      </c>
      <c r="O154">
        <v>10</v>
      </c>
      <c r="P154">
        <v>6</v>
      </c>
      <c r="Q154">
        <v>2</v>
      </c>
      <c r="R154">
        <v>2025</v>
      </c>
    </row>
    <row r="155" spans="1:18">
      <c r="A155">
        <v>833.44</v>
      </c>
      <c r="B155">
        <v>4</v>
      </c>
      <c r="C155">
        <v>154</v>
      </c>
      <c r="D155" s="2">
        <v>0.8577002777777778</v>
      </c>
      <c r="E155" t="s">
        <v>1150</v>
      </c>
      <c r="F155" t="s">
        <v>1151</v>
      </c>
      <c r="G155" t="s">
        <v>1152</v>
      </c>
      <c r="H155" t="s">
        <v>843</v>
      </c>
      <c r="I155" t="s">
        <v>753</v>
      </c>
      <c r="J155" t="s">
        <v>545</v>
      </c>
      <c r="K155" t="s">
        <v>60</v>
      </c>
      <c r="L155">
        <v>208.36</v>
      </c>
      <c r="M155" s="1">
        <v>45877</v>
      </c>
      <c r="N155" t="s">
        <v>79</v>
      </c>
      <c r="O155">
        <v>8</v>
      </c>
      <c r="P155">
        <v>8</v>
      </c>
      <c r="Q155">
        <v>3</v>
      </c>
      <c r="R155">
        <v>2025</v>
      </c>
    </row>
    <row r="156" spans="1:18">
      <c r="A156">
        <v>43.74</v>
      </c>
      <c r="B156">
        <v>2</v>
      </c>
      <c r="C156">
        <v>155</v>
      </c>
      <c r="D156" s="2">
        <v>0.38651472222222222</v>
      </c>
      <c r="E156" t="s">
        <v>3199</v>
      </c>
      <c r="F156" t="s">
        <v>3200</v>
      </c>
      <c r="G156" t="s">
        <v>1212</v>
      </c>
      <c r="H156" t="s">
        <v>619</v>
      </c>
      <c r="I156" t="s">
        <v>758</v>
      </c>
      <c r="J156" t="s">
        <v>462</v>
      </c>
      <c r="K156" t="s">
        <v>100</v>
      </c>
      <c r="L156">
        <v>21.87</v>
      </c>
      <c r="M156" s="1">
        <v>45753</v>
      </c>
      <c r="N156" t="s">
        <v>28</v>
      </c>
      <c r="O156">
        <v>6</v>
      </c>
      <c r="P156">
        <v>4</v>
      </c>
      <c r="Q156">
        <v>2</v>
      </c>
      <c r="R156">
        <v>2025</v>
      </c>
    </row>
    <row r="157" spans="1:18">
      <c r="A157">
        <v>5.15</v>
      </c>
      <c r="B157">
        <v>5</v>
      </c>
      <c r="C157">
        <v>156</v>
      </c>
      <c r="D157" s="2">
        <v>8.3095486111111113E-3</v>
      </c>
      <c r="E157" t="s">
        <v>3129</v>
      </c>
      <c r="F157" t="s">
        <v>3130</v>
      </c>
      <c r="G157" t="s">
        <v>1326</v>
      </c>
      <c r="H157" t="s">
        <v>2247</v>
      </c>
      <c r="I157" t="s">
        <v>781</v>
      </c>
      <c r="J157" t="s">
        <v>711</v>
      </c>
      <c r="K157" t="s">
        <v>122</v>
      </c>
      <c r="L157">
        <v>1.03</v>
      </c>
      <c r="M157" s="1">
        <v>45916</v>
      </c>
      <c r="N157" t="s">
        <v>48</v>
      </c>
      <c r="O157">
        <v>16</v>
      </c>
      <c r="P157">
        <v>9</v>
      </c>
      <c r="Q157">
        <v>3</v>
      </c>
      <c r="R157">
        <v>2025</v>
      </c>
    </row>
    <row r="158" spans="1:18">
      <c r="A158">
        <v>33.840000000000003</v>
      </c>
      <c r="B158">
        <v>1</v>
      </c>
      <c r="C158">
        <v>157</v>
      </c>
      <c r="D158" s="2">
        <v>0.78727684027777778</v>
      </c>
      <c r="E158" t="s">
        <v>1702</v>
      </c>
      <c r="F158" t="s">
        <v>1703</v>
      </c>
      <c r="G158" t="s">
        <v>1324</v>
      </c>
      <c r="H158" t="s">
        <v>1026</v>
      </c>
      <c r="I158" t="s">
        <v>896</v>
      </c>
      <c r="J158" t="s">
        <v>692</v>
      </c>
      <c r="K158" t="s">
        <v>69</v>
      </c>
      <c r="L158">
        <v>33.840000000000003</v>
      </c>
      <c r="M158" s="1">
        <v>45788</v>
      </c>
      <c r="N158" t="s">
        <v>28</v>
      </c>
      <c r="O158">
        <v>11</v>
      </c>
      <c r="P158">
        <v>5</v>
      </c>
      <c r="Q158">
        <v>2</v>
      </c>
      <c r="R158">
        <v>2025</v>
      </c>
    </row>
    <row r="159" spans="1:18">
      <c r="A159">
        <v>81.03</v>
      </c>
      <c r="B159">
        <v>3</v>
      </c>
      <c r="C159">
        <v>158</v>
      </c>
      <c r="D159" s="2">
        <v>0.55406126157407409</v>
      </c>
      <c r="E159" t="s">
        <v>982</v>
      </c>
      <c r="F159" t="s">
        <v>983</v>
      </c>
      <c r="G159" t="s">
        <v>984</v>
      </c>
      <c r="H159" t="s">
        <v>985</v>
      </c>
      <c r="I159" t="s">
        <v>817</v>
      </c>
      <c r="J159" t="s">
        <v>117</v>
      </c>
      <c r="K159" t="s">
        <v>55</v>
      </c>
      <c r="L159">
        <v>27.01</v>
      </c>
      <c r="M159" s="1">
        <v>45688</v>
      </c>
      <c r="N159" t="s">
        <v>79</v>
      </c>
      <c r="O159">
        <v>31</v>
      </c>
      <c r="P159">
        <v>1</v>
      </c>
      <c r="Q159">
        <v>1</v>
      </c>
      <c r="R159">
        <v>2025</v>
      </c>
    </row>
    <row r="160" spans="1:18">
      <c r="A160">
        <v>137.47</v>
      </c>
      <c r="B160">
        <v>1</v>
      </c>
      <c r="C160">
        <v>159</v>
      </c>
      <c r="D160" s="2">
        <v>0.72544593749999997</v>
      </c>
      <c r="E160" t="s">
        <v>2575</v>
      </c>
      <c r="F160" t="s">
        <v>2576</v>
      </c>
      <c r="G160" t="s">
        <v>875</v>
      </c>
      <c r="H160" t="s">
        <v>907</v>
      </c>
      <c r="I160" t="s">
        <v>908</v>
      </c>
      <c r="J160" t="s">
        <v>379</v>
      </c>
      <c r="K160" t="s">
        <v>69</v>
      </c>
      <c r="L160">
        <v>137.47</v>
      </c>
      <c r="M160" s="1">
        <v>45871</v>
      </c>
      <c r="N160" t="s">
        <v>14</v>
      </c>
      <c r="O160">
        <v>2</v>
      </c>
      <c r="P160">
        <v>8</v>
      </c>
      <c r="Q160">
        <v>3</v>
      </c>
      <c r="R160">
        <v>2025</v>
      </c>
    </row>
    <row r="161" spans="1:18">
      <c r="A161">
        <v>2.44</v>
      </c>
      <c r="B161">
        <v>2</v>
      </c>
      <c r="C161">
        <v>160</v>
      </c>
      <c r="D161" s="2">
        <v>0.55848305555555555</v>
      </c>
      <c r="E161" t="s">
        <v>933</v>
      </c>
      <c r="F161" t="s">
        <v>934</v>
      </c>
      <c r="G161" t="s">
        <v>935</v>
      </c>
      <c r="H161" t="s">
        <v>322</v>
      </c>
      <c r="I161" t="s">
        <v>795</v>
      </c>
      <c r="J161" t="s">
        <v>242</v>
      </c>
      <c r="K161" t="s">
        <v>19</v>
      </c>
      <c r="L161">
        <v>1.22</v>
      </c>
      <c r="M161" s="1">
        <v>46148</v>
      </c>
      <c r="N161" t="s">
        <v>34</v>
      </c>
      <c r="O161">
        <v>6</v>
      </c>
      <c r="P161">
        <v>5</v>
      </c>
      <c r="Q161">
        <v>2</v>
      </c>
      <c r="R161">
        <v>2026</v>
      </c>
    </row>
    <row r="162" spans="1:18">
      <c r="A162">
        <v>22.41</v>
      </c>
      <c r="B162">
        <v>1</v>
      </c>
      <c r="C162">
        <v>161</v>
      </c>
      <c r="D162" s="2">
        <v>8.1940891203703708E-2</v>
      </c>
      <c r="E162" t="s">
        <v>2801</v>
      </c>
      <c r="F162" t="s">
        <v>2802</v>
      </c>
      <c r="G162" t="s">
        <v>2535</v>
      </c>
      <c r="H162" t="s">
        <v>713</v>
      </c>
      <c r="I162" t="s">
        <v>908</v>
      </c>
      <c r="J162" t="s">
        <v>484</v>
      </c>
      <c r="K162" t="s">
        <v>25</v>
      </c>
      <c r="L162">
        <v>22.41</v>
      </c>
      <c r="M162" s="1">
        <v>46070</v>
      </c>
      <c r="N162" t="s">
        <v>48</v>
      </c>
      <c r="O162">
        <v>17</v>
      </c>
      <c r="P162">
        <v>2</v>
      </c>
      <c r="Q162">
        <v>1</v>
      </c>
      <c r="R162">
        <v>2026</v>
      </c>
    </row>
    <row r="163" spans="1:18">
      <c r="A163">
        <v>371.9</v>
      </c>
      <c r="B163">
        <v>2</v>
      </c>
      <c r="C163">
        <v>162</v>
      </c>
      <c r="D163" s="2">
        <v>0.12289561342592592</v>
      </c>
      <c r="E163" t="s">
        <v>2636</v>
      </c>
      <c r="F163" t="s">
        <v>2637</v>
      </c>
      <c r="G163" t="s">
        <v>1006</v>
      </c>
      <c r="H163" t="s">
        <v>199</v>
      </c>
      <c r="I163" t="s">
        <v>781</v>
      </c>
      <c r="J163" t="s">
        <v>556</v>
      </c>
      <c r="K163" t="s">
        <v>55</v>
      </c>
      <c r="L163">
        <v>185.95</v>
      </c>
      <c r="M163" s="1">
        <v>46006</v>
      </c>
      <c r="N163" t="s">
        <v>93</v>
      </c>
      <c r="O163">
        <v>15</v>
      </c>
      <c r="P163">
        <v>12</v>
      </c>
      <c r="Q163">
        <v>4</v>
      </c>
      <c r="R163">
        <v>2025</v>
      </c>
    </row>
    <row r="164" spans="1:18">
      <c r="A164">
        <v>168.27</v>
      </c>
      <c r="B164">
        <v>1</v>
      </c>
      <c r="C164">
        <v>163</v>
      </c>
      <c r="D164" s="2">
        <v>0.81354428240740739</v>
      </c>
      <c r="E164" t="s">
        <v>2713</v>
      </c>
      <c r="F164" t="s">
        <v>2714</v>
      </c>
      <c r="G164" t="s">
        <v>2365</v>
      </c>
      <c r="H164" t="s">
        <v>1682</v>
      </c>
      <c r="I164" t="s">
        <v>892</v>
      </c>
      <c r="J164" t="s">
        <v>591</v>
      </c>
      <c r="K164" t="s">
        <v>82</v>
      </c>
      <c r="L164">
        <v>168.27</v>
      </c>
      <c r="M164" s="1">
        <v>45850</v>
      </c>
      <c r="N164" t="s">
        <v>14</v>
      </c>
      <c r="O164">
        <v>12</v>
      </c>
      <c r="P164">
        <v>7</v>
      </c>
      <c r="Q164">
        <v>3</v>
      </c>
      <c r="R164">
        <v>2025</v>
      </c>
    </row>
    <row r="165" spans="1:18">
      <c r="A165">
        <v>290.85000000000002</v>
      </c>
      <c r="B165">
        <v>5</v>
      </c>
      <c r="C165">
        <v>164</v>
      </c>
      <c r="D165" s="2">
        <v>0.39266061342592595</v>
      </c>
      <c r="E165" t="s">
        <v>3046</v>
      </c>
      <c r="F165" t="s">
        <v>3047</v>
      </c>
      <c r="G165" t="s">
        <v>2513</v>
      </c>
      <c r="H165" t="s">
        <v>829</v>
      </c>
      <c r="I165" t="s">
        <v>830</v>
      </c>
      <c r="J165" t="s">
        <v>615</v>
      </c>
      <c r="K165" t="s">
        <v>100</v>
      </c>
      <c r="L165">
        <v>58.17</v>
      </c>
      <c r="M165" s="1">
        <v>45947</v>
      </c>
      <c r="N165" t="s">
        <v>79</v>
      </c>
      <c r="O165">
        <v>17</v>
      </c>
      <c r="P165">
        <v>10</v>
      </c>
      <c r="Q165">
        <v>4</v>
      </c>
      <c r="R165">
        <v>2025</v>
      </c>
    </row>
    <row r="166" spans="1:18">
      <c r="A166">
        <v>71.449999999999989</v>
      </c>
      <c r="B166">
        <v>5</v>
      </c>
      <c r="C166">
        <v>165</v>
      </c>
      <c r="D166" s="2">
        <v>0.53843571759259257</v>
      </c>
      <c r="E166" t="s">
        <v>3127</v>
      </c>
      <c r="F166" t="s">
        <v>3128</v>
      </c>
      <c r="G166" t="s">
        <v>1159</v>
      </c>
      <c r="H166" t="s">
        <v>1092</v>
      </c>
      <c r="I166" t="s">
        <v>763</v>
      </c>
      <c r="J166" t="s">
        <v>170</v>
      </c>
      <c r="K166" t="s">
        <v>82</v>
      </c>
      <c r="L166">
        <v>14.29</v>
      </c>
      <c r="M166" s="1">
        <v>46014</v>
      </c>
      <c r="N166" t="s">
        <v>48</v>
      </c>
      <c r="O166">
        <v>23</v>
      </c>
      <c r="P166">
        <v>12</v>
      </c>
      <c r="Q166">
        <v>4</v>
      </c>
      <c r="R166">
        <v>2025</v>
      </c>
    </row>
    <row r="167" spans="1:18">
      <c r="A167">
        <v>489.15</v>
      </c>
      <c r="B167">
        <v>5</v>
      </c>
      <c r="C167">
        <v>166</v>
      </c>
      <c r="D167" s="2">
        <v>0.33232575231481482</v>
      </c>
      <c r="E167" t="s">
        <v>1360</v>
      </c>
      <c r="F167" t="s">
        <v>1361</v>
      </c>
      <c r="G167" t="s">
        <v>932</v>
      </c>
      <c r="H167" t="s">
        <v>1362</v>
      </c>
      <c r="I167" t="s">
        <v>896</v>
      </c>
      <c r="J167" t="s">
        <v>135</v>
      </c>
      <c r="K167" t="s">
        <v>122</v>
      </c>
      <c r="L167">
        <v>97.83</v>
      </c>
      <c r="M167" s="1">
        <v>45831</v>
      </c>
      <c r="N167" t="s">
        <v>93</v>
      </c>
      <c r="O167">
        <v>23</v>
      </c>
      <c r="P167">
        <v>6</v>
      </c>
      <c r="Q167">
        <v>2</v>
      </c>
      <c r="R167">
        <v>2025</v>
      </c>
    </row>
    <row r="168" spans="1:18">
      <c r="A168">
        <v>45.94</v>
      </c>
      <c r="B168">
        <v>2</v>
      </c>
      <c r="C168">
        <v>167</v>
      </c>
      <c r="D168" s="2">
        <v>8.6870324074074079E-2</v>
      </c>
      <c r="E168" t="s">
        <v>2276</v>
      </c>
      <c r="F168" t="s">
        <v>2277</v>
      </c>
      <c r="G168" t="s">
        <v>2004</v>
      </c>
      <c r="H168" t="s">
        <v>322</v>
      </c>
      <c r="I168" t="s">
        <v>795</v>
      </c>
      <c r="J168" t="s">
        <v>90</v>
      </c>
      <c r="K168" t="s">
        <v>23</v>
      </c>
      <c r="L168">
        <v>22.97</v>
      </c>
      <c r="M168" s="1">
        <v>45573</v>
      </c>
      <c r="N168" t="s">
        <v>48</v>
      </c>
      <c r="O168">
        <v>8</v>
      </c>
      <c r="P168">
        <v>10</v>
      </c>
      <c r="Q168">
        <v>4</v>
      </c>
      <c r="R168">
        <v>2024</v>
      </c>
    </row>
    <row r="169" spans="1:18">
      <c r="A169">
        <v>274.36</v>
      </c>
      <c r="B169">
        <v>2</v>
      </c>
      <c r="C169">
        <v>168</v>
      </c>
      <c r="D169" s="2">
        <v>0.82302946759259255</v>
      </c>
      <c r="E169" t="s">
        <v>2814</v>
      </c>
      <c r="F169" t="s">
        <v>3231</v>
      </c>
      <c r="G169" t="s">
        <v>902</v>
      </c>
      <c r="H169" t="s">
        <v>1280</v>
      </c>
      <c r="I169" t="s">
        <v>908</v>
      </c>
      <c r="J169" t="s">
        <v>219</v>
      </c>
      <c r="K169" t="s">
        <v>39</v>
      </c>
      <c r="L169">
        <v>137.18</v>
      </c>
      <c r="M169" s="1">
        <v>46237</v>
      </c>
      <c r="N169" t="s">
        <v>93</v>
      </c>
      <c r="O169">
        <v>3</v>
      </c>
      <c r="P169">
        <v>8</v>
      </c>
      <c r="Q169">
        <v>3</v>
      </c>
      <c r="R169">
        <v>2026</v>
      </c>
    </row>
    <row r="170" spans="1:18">
      <c r="A170">
        <v>328.54</v>
      </c>
      <c r="B170">
        <v>2</v>
      </c>
      <c r="C170">
        <v>169</v>
      </c>
      <c r="D170" s="2">
        <v>0.25559909722222224</v>
      </c>
      <c r="E170" t="s">
        <v>840</v>
      </c>
      <c r="F170" t="s">
        <v>841</v>
      </c>
      <c r="G170" t="s">
        <v>842</v>
      </c>
      <c r="H170" t="s">
        <v>843</v>
      </c>
      <c r="I170" t="s">
        <v>753</v>
      </c>
      <c r="J170" t="s">
        <v>127</v>
      </c>
      <c r="K170" t="s">
        <v>21</v>
      </c>
      <c r="L170">
        <v>164.27</v>
      </c>
      <c r="M170" s="1">
        <v>45723</v>
      </c>
      <c r="N170" t="s">
        <v>79</v>
      </c>
      <c r="O170">
        <v>7</v>
      </c>
      <c r="P170">
        <v>3</v>
      </c>
      <c r="Q170">
        <v>1</v>
      </c>
      <c r="R170">
        <v>2025</v>
      </c>
    </row>
    <row r="171" spans="1:18">
      <c r="A171">
        <v>45.54</v>
      </c>
      <c r="B171">
        <v>2</v>
      </c>
      <c r="C171">
        <v>170</v>
      </c>
      <c r="D171" s="2">
        <v>0.10810819444444444</v>
      </c>
      <c r="E171" t="s">
        <v>2205</v>
      </c>
      <c r="F171" t="s">
        <v>2206</v>
      </c>
      <c r="G171" t="s">
        <v>1114</v>
      </c>
      <c r="H171" t="s">
        <v>635</v>
      </c>
      <c r="I171" t="s">
        <v>768</v>
      </c>
      <c r="J171" t="s">
        <v>1250</v>
      </c>
      <c r="K171" t="s">
        <v>23</v>
      </c>
      <c r="L171">
        <v>22.77</v>
      </c>
      <c r="M171" s="1">
        <v>45786</v>
      </c>
      <c r="N171" t="s">
        <v>79</v>
      </c>
      <c r="O171">
        <v>9</v>
      </c>
      <c r="P171">
        <v>5</v>
      </c>
      <c r="Q171">
        <v>2</v>
      </c>
      <c r="R171">
        <v>2025</v>
      </c>
    </row>
    <row r="172" spans="1:18">
      <c r="A172">
        <v>145.83000000000001</v>
      </c>
      <c r="B172">
        <v>1</v>
      </c>
      <c r="C172">
        <v>171</v>
      </c>
      <c r="D172" s="2">
        <v>0.61541155092592592</v>
      </c>
      <c r="E172" t="s">
        <v>1144</v>
      </c>
      <c r="F172" t="s">
        <v>1145</v>
      </c>
      <c r="G172" t="s">
        <v>1146</v>
      </c>
      <c r="H172" t="s">
        <v>1128</v>
      </c>
      <c r="I172" t="s">
        <v>954</v>
      </c>
      <c r="J172" t="s">
        <v>171</v>
      </c>
      <c r="K172" t="s">
        <v>46</v>
      </c>
      <c r="L172">
        <v>145.83000000000001</v>
      </c>
      <c r="M172" s="1">
        <v>45995</v>
      </c>
      <c r="N172" t="s">
        <v>105</v>
      </c>
      <c r="O172">
        <v>4</v>
      </c>
      <c r="P172">
        <v>12</v>
      </c>
      <c r="Q172">
        <v>4</v>
      </c>
      <c r="R172">
        <v>2025</v>
      </c>
    </row>
    <row r="173" spans="1:18">
      <c r="A173">
        <v>873.85</v>
      </c>
      <c r="B173">
        <v>5</v>
      </c>
      <c r="C173">
        <v>172</v>
      </c>
      <c r="D173" s="2">
        <v>0.29764895833333332</v>
      </c>
      <c r="E173" t="s">
        <v>2634</v>
      </c>
      <c r="F173" t="s">
        <v>2635</v>
      </c>
      <c r="G173" t="s">
        <v>1490</v>
      </c>
      <c r="H173" t="s">
        <v>816</v>
      </c>
      <c r="I173" t="s">
        <v>817</v>
      </c>
      <c r="J173" t="s">
        <v>483</v>
      </c>
      <c r="K173" t="s">
        <v>100</v>
      </c>
      <c r="L173">
        <v>174.77</v>
      </c>
      <c r="M173" s="1">
        <v>45948</v>
      </c>
      <c r="N173" t="s">
        <v>14</v>
      </c>
      <c r="O173">
        <v>18</v>
      </c>
      <c r="P173">
        <v>10</v>
      </c>
      <c r="Q173">
        <v>4</v>
      </c>
      <c r="R173">
        <v>2025</v>
      </c>
    </row>
    <row r="174" spans="1:18">
      <c r="A174">
        <v>190.61</v>
      </c>
      <c r="B174">
        <v>1</v>
      </c>
      <c r="C174">
        <v>173</v>
      </c>
      <c r="D174" s="2">
        <v>0.27447920138888887</v>
      </c>
      <c r="E174" t="s">
        <v>1778</v>
      </c>
      <c r="F174" t="s">
        <v>1779</v>
      </c>
      <c r="G174" t="s">
        <v>1220</v>
      </c>
      <c r="H174" t="s">
        <v>919</v>
      </c>
      <c r="I174" t="s">
        <v>786</v>
      </c>
      <c r="J174" t="s">
        <v>156</v>
      </c>
      <c r="K174" t="s">
        <v>57</v>
      </c>
      <c r="L174">
        <v>190.61</v>
      </c>
      <c r="M174" s="1">
        <v>45936</v>
      </c>
      <c r="N174" t="s">
        <v>93</v>
      </c>
      <c r="O174">
        <v>6</v>
      </c>
      <c r="P174">
        <v>10</v>
      </c>
      <c r="Q174">
        <v>4</v>
      </c>
      <c r="R174">
        <v>2025</v>
      </c>
    </row>
    <row r="175" spans="1:18">
      <c r="A175">
        <v>182.64</v>
      </c>
      <c r="B175">
        <v>1</v>
      </c>
      <c r="C175">
        <v>174</v>
      </c>
      <c r="D175" s="2">
        <v>0.37269906250000001</v>
      </c>
      <c r="E175" t="s">
        <v>1048</v>
      </c>
      <c r="F175" t="s">
        <v>1049</v>
      </c>
      <c r="G175" t="s">
        <v>1050</v>
      </c>
      <c r="H175" t="s">
        <v>29</v>
      </c>
      <c r="I175" t="s">
        <v>763</v>
      </c>
      <c r="J175" t="s">
        <v>505</v>
      </c>
      <c r="K175" t="s">
        <v>100</v>
      </c>
      <c r="L175">
        <v>182.64</v>
      </c>
      <c r="M175" s="1">
        <v>45752</v>
      </c>
      <c r="N175" t="s">
        <v>14</v>
      </c>
      <c r="O175">
        <v>5</v>
      </c>
      <c r="P175">
        <v>4</v>
      </c>
      <c r="Q175">
        <v>2</v>
      </c>
      <c r="R175">
        <v>2025</v>
      </c>
    </row>
    <row r="176" spans="1:18">
      <c r="A176">
        <v>209.12</v>
      </c>
      <c r="B176">
        <v>4</v>
      </c>
      <c r="C176">
        <v>175</v>
      </c>
      <c r="D176" s="2">
        <v>0.82432076388888886</v>
      </c>
      <c r="E176" t="s">
        <v>2722</v>
      </c>
      <c r="F176" t="s">
        <v>2723</v>
      </c>
      <c r="G176" t="s">
        <v>1440</v>
      </c>
      <c r="H176" t="s">
        <v>380</v>
      </c>
      <c r="I176" t="s">
        <v>776</v>
      </c>
      <c r="J176" t="s">
        <v>412</v>
      </c>
      <c r="K176" t="s">
        <v>27</v>
      </c>
      <c r="L176">
        <v>52.28</v>
      </c>
      <c r="M176" s="1">
        <v>45659</v>
      </c>
      <c r="N176" t="s">
        <v>105</v>
      </c>
      <c r="O176">
        <v>2</v>
      </c>
      <c r="P176">
        <v>1</v>
      </c>
      <c r="Q176">
        <v>1</v>
      </c>
      <c r="R176">
        <v>2025</v>
      </c>
    </row>
    <row r="177" spans="1:18">
      <c r="A177">
        <v>111.51</v>
      </c>
      <c r="B177">
        <v>1</v>
      </c>
      <c r="C177">
        <v>176</v>
      </c>
      <c r="D177" s="2">
        <v>1.1874953703703704E-2</v>
      </c>
      <c r="E177" t="s">
        <v>1516</v>
      </c>
      <c r="F177" t="s">
        <v>1517</v>
      </c>
      <c r="G177" t="s">
        <v>1518</v>
      </c>
      <c r="H177" t="s">
        <v>752</v>
      </c>
      <c r="I177" t="s">
        <v>753</v>
      </c>
      <c r="J177" t="s">
        <v>416</v>
      </c>
      <c r="K177" t="s">
        <v>57</v>
      </c>
      <c r="L177">
        <v>111.51</v>
      </c>
      <c r="M177" s="1">
        <v>45697</v>
      </c>
      <c r="N177" t="s">
        <v>28</v>
      </c>
      <c r="O177">
        <v>9</v>
      </c>
      <c r="P177">
        <v>2</v>
      </c>
      <c r="Q177">
        <v>1</v>
      </c>
      <c r="R177">
        <v>2025</v>
      </c>
    </row>
    <row r="178" spans="1:18">
      <c r="A178">
        <v>434.72</v>
      </c>
      <c r="B178">
        <v>2</v>
      </c>
      <c r="C178">
        <v>177</v>
      </c>
      <c r="D178" s="2">
        <v>0.39205311342592591</v>
      </c>
      <c r="E178" t="s">
        <v>1940</v>
      </c>
      <c r="F178" t="s">
        <v>1941</v>
      </c>
      <c r="G178" t="s">
        <v>1370</v>
      </c>
      <c r="H178" t="s">
        <v>1061</v>
      </c>
      <c r="I178" t="s">
        <v>812</v>
      </c>
      <c r="J178" t="s">
        <v>582</v>
      </c>
      <c r="K178" t="s">
        <v>97</v>
      </c>
      <c r="L178">
        <v>217.36</v>
      </c>
      <c r="M178" s="1">
        <v>45748</v>
      </c>
      <c r="N178" t="s">
        <v>48</v>
      </c>
      <c r="O178">
        <v>1</v>
      </c>
      <c r="P178">
        <v>4</v>
      </c>
      <c r="Q178">
        <v>2</v>
      </c>
      <c r="R178">
        <v>2025</v>
      </c>
    </row>
    <row r="179" spans="1:18">
      <c r="A179">
        <v>695.52</v>
      </c>
      <c r="B179">
        <v>3</v>
      </c>
      <c r="C179">
        <v>178</v>
      </c>
      <c r="D179" s="2">
        <v>0.44015489583333334</v>
      </c>
      <c r="E179" t="s">
        <v>1486</v>
      </c>
      <c r="F179" t="s">
        <v>1487</v>
      </c>
      <c r="G179" t="s">
        <v>1042</v>
      </c>
      <c r="H179" t="s">
        <v>196</v>
      </c>
      <c r="I179" t="s">
        <v>830</v>
      </c>
      <c r="J179" t="s">
        <v>626</v>
      </c>
      <c r="K179" t="s">
        <v>17</v>
      </c>
      <c r="L179">
        <v>231.84</v>
      </c>
      <c r="M179" s="1">
        <v>46268</v>
      </c>
      <c r="N179" t="s">
        <v>105</v>
      </c>
      <c r="O179">
        <v>3</v>
      </c>
      <c r="P179">
        <v>9</v>
      </c>
      <c r="Q179">
        <v>3</v>
      </c>
      <c r="R179">
        <v>2026</v>
      </c>
    </row>
    <row r="180" spans="1:18">
      <c r="A180">
        <v>94.050000000000011</v>
      </c>
      <c r="B180">
        <v>3</v>
      </c>
      <c r="C180">
        <v>179</v>
      </c>
      <c r="D180" s="2">
        <v>0.73778027777777777</v>
      </c>
      <c r="E180" t="s">
        <v>2391</v>
      </c>
      <c r="F180" t="s">
        <v>2392</v>
      </c>
      <c r="G180" t="s">
        <v>1374</v>
      </c>
      <c r="H180" t="s">
        <v>1755</v>
      </c>
      <c r="I180" t="s">
        <v>786</v>
      </c>
      <c r="J180" t="s">
        <v>557</v>
      </c>
      <c r="K180" t="s">
        <v>46</v>
      </c>
      <c r="L180">
        <v>31.35</v>
      </c>
      <c r="M180" s="1">
        <v>46014</v>
      </c>
      <c r="N180" t="s">
        <v>48</v>
      </c>
      <c r="O180">
        <v>23</v>
      </c>
      <c r="P180">
        <v>12</v>
      </c>
      <c r="Q180">
        <v>4</v>
      </c>
      <c r="R180">
        <v>2025</v>
      </c>
    </row>
    <row r="181" spans="1:18">
      <c r="A181">
        <v>848.85</v>
      </c>
      <c r="B181">
        <v>5</v>
      </c>
      <c r="C181">
        <v>180</v>
      </c>
      <c r="D181" s="2">
        <v>0.1629246412037037</v>
      </c>
      <c r="E181" t="s">
        <v>1730</v>
      </c>
      <c r="F181" t="s">
        <v>1731</v>
      </c>
      <c r="G181" t="s">
        <v>1143</v>
      </c>
      <c r="H181" t="s">
        <v>1327</v>
      </c>
      <c r="I181" t="s">
        <v>795</v>
      </c>
      <c r="J181" t="s">
        <v>300</v>
      </c>
      <c r="K181" t="s">
        <v>55</v>
      </c>
      <c r="L181">
        <v>169.77</v>
      </c>
      <c r="M181" s="1">
        <v>45608</v>
      </c>
      <c r="N181" t="s">
        <v>48</v>
      </c>
      <c r="O181">
        <v>12</v>
      </c>
      <c r="P181">
        <v>11</v>
      </c>
      <c r="Q181">
        <v>4</v>
      </c>
      <c r="R181">
        <v>2024</v>
      </c>
    </row>
    <row r="182" spans="1:18">
      <c r="A182">
        <v>154.94</v>
      </c>
      <c r="B182">
        <v>2</v>
      </c>
      <c r="C182">
        <v>181</v>
      </c>
      <c r="D182" s="2">
        <v>0.69079516203703706</v>
      </c>
      <c r="E182" t="s">
        <v>3276</v>
      </c>
      <c r="F182" t="s">
        <v>3277</v>
      </c>
      <c r="G182" t="s">
        <v>1348</v>
      </c>
      <c r="H182" t="s">
        <v>380</v>
      </c>
      <c r="I182" t="s">
        <v>896</v>
      </c>
      <c r="J182" t="s">
        <v>638</v>
      </c>
      <c r="K182" t="s">
        <v>100</v>
      </c>
      <c r="L182">
        <v>77.47</v>
      </c>
      <c r="M182" s="1">
        <v>46207</v>
      </c>
      <c r="N182" t="s">
        <v>14</v>
      </c>
      <c r="O182">
        <v>4</v>
      </c>
      <c r="P182">
        <v>7</v>
      </c>
      <c r="Q182">
        <v>3</v>
      </c>
      <c r="R182">
        <v>2026</v>
      </c>
    </row>
    <row r="183" spans="1:18">
      <c r="A183">
        <v>122.32</v>
      </c>
      <c r="B183">
        <v>4</v>
      </c>
      <c r="C183">
        <v>182</v>
      </c>
      <c r="D183" s="2">
        <v>0.18290067129629631</v>
      </c>
      <c r="E183" t="s">
        <v>2558</v>
      </c>
      <c r="F183" t="s">
        <v>2559</v>
      </c>
      <c r="G183" t="s">
        <v>2560</v>
      </c>
      <c r="H183" t="s">
        <v>1302</v>
      </c>
      <c r="I183" t="s">
        <v>786</v>
      </c>
      <c r="J183" t="s">
        <v>574</v>
      </c>
      <c r="K183" t="s">
        <v>19</v>
      </c>
      <c r="L183">
        <v>30.58</v>
      </c>
      <c r="M183" s="1">
        <v>45945</v>
      </c>
      <c r="N183" t="s">
        <v>34</v>
      </c>
      <c r="O183">
        <v>15</v>
      </c>
      <c r="P183">
        <v>10</v>
      </c>
      <c r="Q183">
        <v>4</v>
      </c>
      <c r="R183">
        <v>2025</v>
      </c>
    </row>
    <row r="184" spans="1:18">
      <c r="A184">
        <v>5.15</v>
      </c>
      <c r="B184">
        <v>5</v>
      </c>
      <c r="C184">
        <v>183</v>
      </c>
      <c r="D184" s="2">
        <v>0.61078275462962961</v>
      </c>
      <c r="E184" t="s">
        <v>3510</v>
      </c>
      <c r="F184" t="s">
        <v>3388</v>
      </c>
      <c r="G184" t="s">
        <v>3511</v>
      </c>
      <c r="H184" t="s">
        <v>1533</v>
      </c>
      <c r="I184" t="s">
        <v>781</v>
      </c>
      <c r="J184" t="s">
        <v>711</v>
      </c>
      <c r="K184" t="s">
        <v>122</v>
      </c>
      <c r="L184">
        <v>1.03</v>
      </c>
      <c r="M184" s="1">
        <v>46269</v>
      </c>
      <c r="N184" t="s">
        <v>79</v>
      </c>
      <c r="O184">
        <v>4</v>
      </c>
      <c r="P184">
        <v>9</v>
      </c>
      <c r="Q184">
        <v>3</v>
      </c>
      <c r="R184">
        <v>2026</v>
      </c>
    </row>
    <row r="185" spans="1:18">
      <c r="A185">
        <v>64.290000000000006</v>
      </c>
      <c r="B185">
        <v>1</v>
      </c>
      <c r="C185">
        <v>184</v>
      </c>
      <c r="D185" s="2">
        <v>0.78871693287037037</v>
      </c>
      <c r="E185" t="s">
        <v>1671</v>
      </c>
      <c r="F185" t="s">
        <v>1672</v>
      </c>
      <c r="G185" t="s">
        <v>1013</v>
      </c>
      <c r="H185" t="s">
        <v>1673</v>
      </c>
      <c r="I185" t="s">
        <v>821</v>
      </c>
      <c r="J185" t="s">
        <v>461</v>
      </c>
      <c r="K185" t="s">
        <v>60</v>
      </c>
      <c r="L185">
        <v>64.290000000000006</v>
      </c>
      <c r="M185" s="1">
        <v>45631</v>
      </c>
      <c r="N185" t="s">
        <v>105</v>
      </c>
      <c r="O185">
        <v>5</v>
      </c>
      <c r="P185">
        <v>12</v>
      </c>
      <c r="Q185">
        <v>4</v>
      </c>
      <c r="R185">
        <v>2024</v>
      </c>
    </row>
    <row r="186" spans="1:18">
      <c r="A186">
        <v>701.73</v>
      </c>
      <c r="B186">
        <v>3</v>
      </c>
      <c r="C186">
        <v>185</v>
      </c>
      <c r="D186" s="2">
        <v>0.50127106481481476</v>
      </c>
      <c r="E186" t="s">
        <v>1190</v>
      </c>
      <c r="F186" t="s">
        <v>1191</v>
      </c>
      <c r="G186" t="s">
        <v>1192</v>
      </c>
      <c r="H186" t="s">
        <v>1067</v>
      </c>
      <c r="I186" t="s">
        <v>854</v>
      </c>
      <c r="J186" t="s">
        <v>272</v>
      </c>
      <c r="K186" t="s">
        <v>55</v>
      </c>
      <c r="L186">
        <v>233.91</v>
      </c>
      <c r="M186" s="1">
        <v>46214</v>
      </c>
      <c r="N186" t="s">
        <v>14</v>
      </c>
      <c r="O186">
        <v>11</v>
      </c>
      <c r="P186">
        <v>7</v>
      </c>
      <c r="Q186">
        <v>3</v>
      </c>
      <c r="R186">
        <v>2026</v>
      </c>
    </row>
    <row r="187" spans="1:18">
      <c r="A187">
        <v>428.66999999999996</v>
      </c>
      <c r="B187">
        <v>3</v>
      </c>
      <c r="C187">
        <v>186</v>
      </c>
      <c r="D187" s="2">
        <v>0.91302890046296292</v>
      </c>
      <c r="E187" t="s">
        <v>1499</v>
      </c>
      <c r="F187" t="s">
        <v>1500</v>
      </c>
      <c r="G187" t="s">
        <v>1501</v>
      </c>
      <c r="H187" t="s">
        <v>1502</v>
      </c>
      <c r="I187" t="s">
        <v>817</v>
      </c>
      <c r="J187" t="s">
        <v>232</v>
      </c>
      <c r="K187" t="s">
        <v>97</v>
      </c>
      <c r="L187">
        <v>142.88999999999999</v>
      </c>
      <c r="M187" s="1">
        <v>46139</v>
      </c>
      <c r="N187" t="s">
        <v>93</v>
      </c>
      <c r="O187">
        <v>27</v>
      </c>
      <c r="P187">
        <v>4</v>
      </c>
      <c r="Q187">
        <v>2</v>
      </c>
      <c r="R187">
        <v>2026</v>
      </c>
    </row>
    <row r="188" spans="1:18">
      <c r="A188">
        <v>717.30000000000007</v>
      </c>
      <c r="B188">
        <v>5</v>
      </c>
      <c r="C188">
        <v>187</v>
      </c>
      <c r="D188" s="2">
        <v>0.62619804398148149</v>
      </c>
      <c r="E188" t="s">
        <v>2273</v>
      </c>
      <c r="F188" t="s">
        <v>2274</v>
      </c>
      <c r="G188" t="s">
        <v>2275</v>
      </c>
      <c r="H188" t="s">
        <v>1339</v>
      </c>
      <c r="I188" t="s">
        <v>1247</v>
      </c>
      <c r="J188" t="s">
        <v>299</v>
      </c>
      <c r="K188" t="s">
        <v>57</v>
      </c>
      <c r="L188">
        <v>143.46</v>
      </c>
      <c r="M188" s="1">
        <v>45700</v>
      </c>
      <c r="N188" t="s">
        <v>34</v>
      </c>
      <c r="O188">
        <v>12</v>
      </c>
      <c r="P188">
        <v>2</v>
      </c>
      <c r="Q188">
        <v>1</v>
      </c>
      <c r="R188">
        <v>2025</v>
      </c>
    </row>
    <row r="189" spans="1:18">
      <c r="A189">
        <v>47.62</v>
      </c>
      <c r="B189">
        <v>1</v>
      </c>
      <c r="C189">
        <v>188</v>
      </c>
      <c r="D189" s="2">
        <v>0.60003116898148146</v>
      </c>
      <c r="E189" t="s">
        <v>1277</v>
      </c>
      <c r="F189" t="s">
        <v>1278</v>
      </c>
      <c r="G189" t="s">
        <v>1279</v>
      </c>
      <c r="H189" t="s">
        <v>1280</v>
      </c>
      <c r="I189" t="s">
        <v>908</v>
      </c>
      <c r="J189" t="s">
        <v>508</v>
      </c>
      <c r="K189" t="s">
        <v>43</v>
      </c>
      <c r="L189">
        <v>47.62</v>
      </c>
      <c r="M189" s="1">
        <v>45914</v>
      </c>
      <c r="N189" t="s">
        <v>28</v>
      </c>
      <c r="O189">
        <v>14</v>
      </c>
      <c r="P189">
        <v>9</v>
      </c>
      <c r="Q189">
        <v>3</v>
      </c>
      <c r="R189">
        <v>2025</v>
      </c>
    </row>
    <row r="190" spans="1:18">
      <c r="A190">
        <v>25.25</v>
      </c>
      <c r="B190">
        <v>5</v>
      </c>
      <c r="C190">
        <v>189</v>
      </c>
      <c r="D190" s="2">
        <v>0.89305766203703707</v>
      </c>
      <c r="E190" t="s">
        <v>3451</v>
      </c>
      <c r="F190" t="s">
        <v>3452</v>
      </c>
      <c r="G190" t="s">
        <v>935</v>
      </c>
      <c r="H190" t="s">
        <v>113</v>
      </c>
      <c r="I190" t="s">
        <v>854</v>
      </c>
      <c r="J190" t="s">
        <v>182</v>
      </c>
      <c r="K190" t="s">
        <v>39</v>
      </c>
      <c r="L190">
        <v>5.05</v>
      </c>
      <c r="M190" s="1">
        <v>46251</v>
      </c>
      <c r="N190" t="s">
        <v>93</v>
      </c>
      <c r="O190">
        <v>17</v>
      </c>
      <c r="P190">
        <v>8</v>
      </c>
      <c r="Q190">
        <v>3</v>
      </c>
      <c r="R190">
        <v>2026</v>
      </c>
    </row>
    <row r="191" spans="1:18">
      <c r="A191">
        <v>22.259999999999998</v>
      </c>
      <c r="B191">
        <v>3</v>
      </c>
      <c r="C191">
        <v>190</v>
      </c>
      <c r="D191" s="2">
        <v>0.21523259259259259</v>
      </c>
      <c r="E191" t="s">
        <v>3227</v>
      </c>
      <c r="F191" t="s">
        <v>3228</v>
      </c>
      <c r="G191" t="s">
        <v>865</v>
      </c>
      <c r="H191" t="s">
        <v>802</v>
      </c>
      <c r="I191" t="s">
        <v>748</v>
      </c>
      <c r="J191" t="s">
        <v>194</v>
      </c>
      <c r="K191" t="s">
        <v>39</v>
      </c>
      <c r="L191">
        <v>7.42</v>
      </c>
      <c r="M191" s="1">
        <v>46136</v>
      </c>
      <c r="N191" t="s">
        <v>79</v>
      </c>
      <c r="O191">
        <v>24</v>
      </c>
      <c r="P191">
        <v>4</v>
      </c>
      <c r="Q191">
        <v>2</v>
      </c>
      <c r="R191">
        <v>2026</v>
      </c>
    </row>
    <row r="192" spans="1:18">
      <c r="A192">
        <v>44.01</v>
      </c>
      <c r="B192">
        <v>1</v>
      </c>
      <c r="C192">
        <v>191</v>
      </c>
      <c r="D192" s="2">
        <v>0.39775777777777777</v>
      </c>
      <c r="E192" t="s">
        <v>1478</v>
      </c>
      <c r="F192" t="s">
        <v>1479</v>
      </c>
      <c r="G192" t="s">
        <v>1263</v>
      </c>
      <c r="H192" t="s">
        <v>1395</v>
      </c>
      <c r="I192" t="s">
        <v>776</v>
      </c>
      <c r="J192" t="s">
        <v>689</v>
      </c>
      <c r="K192" t="s">
        <v>55</v>
      </c>
      <c r="L192">
        <v>44.01</v>
      </c>
      <c r="M192" s="1">
        <v>46129</v>
      </c>
      <c r="N192" t="s">
        <v>79</v>
      </c>
      <c r="O192">
        <v>17</v>
      </c>
      <c r="P192">
        <v>4</v>
      </c>
      <c r="Q192">
        <v>2</v>
      </c>
      <c r="R192">
        <v>2026</v>
      </c>
    </row>
    <row r="193" spans="1:18">
      <c r="A193">
        <v>204.25</v>
      </c>
      <c r="B193">
        <v>1</v>
      </c>
      <c r="C193">
        <v>192</v>
      </c>
      <c r="D193" s="2">
        <v>0.86175138888888891</v>
      </c>
      <c r="E193" t="s">
        <v>2564</v>
      </c>
      <c r="F193" t="s">
        <v>2565</v>
      </c>
      <c r="G193" t="s">
        <v>2566</v>
      </c>
      <c r="H193" t="s">
        <v>280</v>
      </c>
      <c r="I193" t="s">
        <v>812</v>
      </c>
      <c r="J193" t="s">
        <v>341</v>
      </c>
      <c r="K193" t="s">
        <v>21</v>
      </c>
      <c r="L193">
        <v>204.25</v>
      </c>
      <c r="M193" s="1">
        <v>45674</v>
      </c>
      <c r="N193" t="s">
        <v>79</v>
      </c>
      <c r="O193">
        <v>17</v>
      </c>
      <c r="P193">
        <v>1</v>
      </c>
      <c r="Q193">
        <v>1</v>
      </c>
      <c r="R193">
        <v>2025</v>
      </c>
    </row>
    <row r="194" spans="1:18">
      <c r="A194">
        <v>613.45000000000005</v>
      </c>
      <c r="B194">
        <v>5</v>
      </c>
      <c r="C194">
        <v>193</v>
      </c>
      <c r="D194" s="2">
        <v>0.2236613425925926</v>
      </c>
      <c r="E194" t="s">
        <v>1196</v>
      </c>
      <c r="F194" t="s">
        <v>1197</v>
      </c>
      <c r="G194" t="s">
        <v>1198</v>
      </c>
      <c r="H194" t="s">
        <v>1199</v>
      </c>
      <c r="I194" t="s">
        <v>839</v>
      </c>
      <c r="J194" t="s">
        <v>134</v>
      </c>
      <c r="K194" t="s">
        <v>100</v>
      </c>
      <c r="L194">
        <v>122.69</v>
      </c>
      <c r="M194" s="1">
        <v>45981</v>
      </c>
      <c r="N194" t="s">
        <v>105</v>
      </c>
      <c r="O194">
        <v>20</v>
      </c>
      <c r="P194">
        <v>11</v>
      </c>
      <c r="Q194">
        <v>4</v>
      </c>
      <c r="R194">
        <v>2025</v>
      </c>
    </row>
    <row r="195" spans="1:18">
      <c r="A195">
        <v>309.48</v>
      </c>
      <c r="B195">
        <v>2</v>
      </c>
      <c r="C195">
        <v>194</v>
      </c>
      <c r="D195" s="2">
        <v>0.19585063657407406</v>
      </c>
      <c r="E195" t="s">
        <v>1990</v>
      </c>
      <c r="F195" t="s">
        <v>1991</v>
      </c>
      <c r="G195" t="s">
        <v>779</v>
      </c>
      <c r="H195" t="s">
        <v>562</v>
      </c>
      <c r="I195" t="s">
        <v>753</v>
      </c>
      <c r="J195" t="s">
        <v>547</v>
      </c>
      <c r="K195" t="s">
        <v>97</v>
      </c>
      <c r="L195">
        <v>154.74</v>
      </c>
      <c r="M195" s="1">
        <v>45584</v>
      </c>
      <c r="N195" t="s">
        <v>14</v>
      </c>
      <c r="O195">
        <v>19</v>
      </c>
      <c r="P195">
        <v>10</v>
      </c>
      <c r="Q195">
        <v>4</v>
      </c>
      <c r="R195">
        <v>2024</v>
      </c>
    </row>
    <row r="196" spans="1:18">
      <c r="A196">
        <v>104.96</v>
      </c>
      <c r="B196">
        <v>1</v>
      </c>
      <c r="C196">
        <v>195</v>
      </c>
      <c r="D196" s="2">
        <v>0.6634973842592593</v>
      </c>
      <c r="E196" t="s">
        <v>2682</v>
      </c>
      <c r="F196" t="s">
        <v>2683</v>
      </c>
      <c r="G196" t="s">
        <v>1648</v>
      </c>
      <c r="H196" t="s">
        <v>932</v>
      </c>
      <c r="I196" t="s">
        <v>776</v>
      </c>
      <c r="J196" t="s">
        <v>225</v>
      </c>
      <c r="K196" t="s">
        <v>21</v>
      </c>
      <c r="L196">
        <v>104.96</v>
      </c>
      <c r="M196" s="1">
        <v>45554</v>
      </c>
      <c r="N196" t="s">
        <v>105</v>
      </c>
      <c r="O196">
        <v>19</v>
      </c>
      <c r="P196">
        <v>9</v>
      </c>
      <c r="Q196">
        <v>3</v>
      </c>
      <c r="R196">
        <v>2024</v>
      </c>
    </row>
    <row r="197" spans="1:18">
      <c r="A197">
        <v>965.15</v>
      </c>
      <c r="B197">
        <v>5</v>
      </c>
      <c r="C197">
        <v>196</v>
      </c>
      <c r="D197" s="2">
        <v>7.0539351851851853E-2</v>
      </c>
      <c r="E197" t="s">
        <v>749</v>
      </c>
      <c r="F197" t="s">
        <v>750</v>
      </c>
      <c r="G197" t="s">
        <v>751</v>
      </c>
      <c r="H197" t="s">
        <v>752</v>
      </c>
      <c r="I197" t="s">
        <v>753</v>
      </c>
      <c r="J197" t="s">
        <v>420</v>
      </c>
      <c r="K197" t="s">
        <v>25</v>
      </c>
      <c r="L197">
        <v>193.03</v>
      </c>
      <c r="M197" s="1">
        <v>46072</v>
      </c>
      <c r="N197" t="s">
        <v>105</v>
      </c>
      <c r="O197">
        <v>19</v>
      </c>
      <c r="P197">
        <v>2</v>
      </c>
      <c r="Q197">
        <v>1</v>
      </c>
      <c r="R197">
        <v>2026</v>
      </c>
    </row>
    <row r="198" spans="1:18">
      <c r="A198">
        <v>71.75</v>
      </c>
      <c r="B198">
        <v>1</v>
      </c>
      <c r="C198">
        <v>197</v>
      </c>
      <c r="D198" s="2">
        <v>0.8911279861111111</v>
      </c>
      <c r="E198" t="s">
        <v>1134</v>
      </c>
      <c r="F198" t="s">
        <v>1135</v>
      </c>
      <c r="G198" t="s">
        <v>1136</v>
      </c>
      <c r="H198" t="s">
        <v>1137</v>
      </c>
      <c r="I198" t="s">
        <v>748</v>
      </c>
      <c r="J198" t="s">
        <v>645</v>
      </c>
      <c r="K198" t="s">
        <v>51</v>
      </c>
      <c r="L198">
        <v>71.75</v>
      </c>
      <c r="M198" s="1">
        <v>45703</v>
      </c>
      <c r="N198" t="s">
        <v>14</v>
      </c>
      <c r="O198">
        <v>15</v>
      </c>
      <c r="P198">
        <v>2</v>
      </c>
      <c r="Q198">
        <v>1</v>
      </c>
      <c r="R198">
        <v>2025</v>
      </c>
    </row>
    <row r="199" spans="1:18">
      <c r="A199">
        <v>749.36</v>
      </c>
      <c r="B199">
        <v>4</v>
      </c>
      <c r="C199">
        <v>198</v>
      </c>
      <c r="D199" s="2">
        <v>0.23161660879629631</v>
      </c>
      <c r="E199" t="s">
        <v>1218</v>
      </c>
      <c r="F199" t="s">
        <v>1219</v>
      </c>
      <c r="G199" t="s">
        <v>1220</v>
      </c>
      <c r="H199" t="s">
        <v>1206</v>
      </c>
      <c r="I199" t="s">
        <v>943</v>
      </c>
      <c r="J199" t="s">
        <v>241</v>
      </c>
      <c r="K199" t="s">
        <v>31</v>
      </c>
      <c r="L199">
        <v>187.34</v>
      </c>
      <c r="M199" s="1">
        <v>45588</v>
      </c>
      <c r="N199" t="s">
        <v>34</v>
      </c>
      <c r="O199">
        <v>23</v>
      </c>
      <c r="P199">
        <v>10</v>
      </c>
      <c r="Q199">
        <v>4</v>
      </c>
      <c r="R199">
        <v>2024</v>
      </c>
    </row>
    <row r="200" spans="1:18">
      <c r="A200">
        <v>21.18</v>
      </c>
      <c r="B200">
        <v>1</v>
      </c>
      <c r="C200">
        <v>199</v>
      </c>
      <c r="D200" s="2">
        <v>0.38936160879629628</v>
      </c>
      <c r="E200" t="s">
        <v>870</v>
      </c>
      <c r="F200" t="s">
        <v>871</v>
      </c>
      <c r="G200" t="s">
        <v>872</v>
      </c>
      <c r="H200" t="s">
        <v>869</v>
      </c>
      <c r="I200" t="s">
        <v>807</v>
      </c>
      <c r="J200" t="s">
        <v>530</v>
      </c>
      <c r="K200" t="s">
        <v>37</v>
      </c>
      <c r="L200">
        <v>21.18</v>
      </c>
      <c r="M200" s="1">
        <v>45833</v>
      </c>
      <c r="N200" t="s">
        <v>34</v>
      </c>
      <c r="O200">
        <v>25</v>
      </c>
      <c r="P200">
        <v>6</v>
      </c>
      <c r="Q200">
        <v>2</v>
      </c>
      <c r="R200">
        <v>2025</v>
      </c>
    </row>
    <row r="201" spans="1:18">
      <c r="A201">
        <v>111.21</v>
      </c>
      <c r="B201">
        <v>1</v>
      </c>
      <c r="C201">
        <v>200</v>
      </c>
      <c r="D201" s="2">
        <v>0.65364322916666662</v>
      </c>
      <c r="E201" t="s">
        <v>1315</v>
      </c>
      <c r="F201" t="s">
        <v>1316</v>
      </c>
      <c r="G201" t="s">
        <v>1317</v>
      </c>
      <c r="H201" t="s">
        <v>1318</v>
      </c>
      <c r="I201" t="s">
        <v>807</v>
      </c>
      <c r="J201" t="s">
        <v>254</v>
      </c>
      <c r="K201" t="s">
        <v>51</v>
      </c>
      <c r="L201">
        <v>111.21</v>
      </c>
      <c r="M201" s="1">
        <v>45816</v>
      </c>
      <c r="N201" t="s">
        <v>28</v>
      </c>
      <c r="O201">
        <v>8</v>
      </c>
      <c r="P201">
        <v>6</v>
      </c>
      <c r="Q201">
        <v>2</v>
      </c>
      <c r="R201">
        <v>2025</v>
      </c>
    </row>
    <row r="202" spans="1:18">
      <c r="A202">
        <v>103.42</v>
      </c>
      <c r="B202">
        <v>2</v>
      </c>
      <c r="C202">
        <v>201</v>
      </c>
      <c r="D202" s="2">
        <v>0.20233428240740742</v>
      </c>
      <c r="E202" t="s">
        <v>1011</v>
      </c>
      <c r="F202" t="s">
        <v>1012</v>
      </c>
      <c r="G202" t="s">
        <v>1013</v>
      </c>
      <c r="H202" t="s">
        <v>883</v>
      </c>
      <c r="I202" t="s">
        <v>807</v>
      </c>
      <c r="J202" t="s">
        <v>26</v>
      </c>
      <c r="K202" t="s">
        <v>27</v>
      </c>
      <c r="L202">
        <v>51.71</v>
      </c>
      <c r="M202" s="1">
        <v>45601</v>
      </c>
      <c r="N202" t="s">
        <v>48</v>
      </c>
      <c r="O202">
        <v>5</v>
      </c>
      <c r="P202">
        <v>11</v>
      </c>
      <c r="Q202">
        <v>4</v>
      </c>
      <c r="R202">
        <v>2024</v>
      </c>
    </row>
    <row r="203" spans="1:18">
      <c r="A203">
        <v>913.04</v>
      </c>
      <c r="B203">
        <v>4</v>
      </c>
      <c r="C203">
        <v>202</v>
      </c>
      <c r="D203" s="2">
        <v>0.39976158564814812</v>
      </c>
      <c r="E203" t="s">
        <v>2376</v>
      </c>
      <c r="F203" t="s">
        <v>2377</v>
      </c>
      <c r="G203" t="s">
        <v>2378</v>
      </c>
      <c r="H203" t="s">
        <v>151</v>
      </c>
      <c r="I203" t="s">
        <v>1003</v>
      </c>
      <c r="J203" t="s">
        <v>268</v>
      </c>
      <c r="K203" t="s">
        <v>97</v>
      </c>
      <c r="L203">
        <v>228.26</v>
      </c>
      <c r="M203" s="1">
        <v>45873</v>
      </c>
      <c r="N203" t="s">
        <v>93</v>
      </c>
      <c r="O203">
        <v>4</v>
      </c>
      <c r="P203">
        <v>8</v>
      </c>
      <c r="Q203">
        <v>3</v>
      </c>
      <c r="R203">
        <v>2025</v>
      </c>
    </row>
    <row r="204" spans="1:18">
      <c r="A204">
        <v>130.97999999999999</v>
      </c>
      <c r="B204">
        <v>3</v>
      </c>
      <c r="C204">
        <v>203</v>
      </c>
      <c r="D204" s="2">
        <v>0.58728944444444442</v>
      </c>
      <c r="E204" t="s">
        <v>2641</v>
      </c>
      <c r="F204" t="s">
        <v>2642</v>
      </c>
      <c r="G204" t="s">
        <v>2643</v>
      </c>
      <c r="H204" t="s">
        <v>785</v>
      </c>
      <c r="I204" t="s">
        <v>786</v>
      </c>
      <c r="J204" t="s">
        <v>675</v>
      </c>
      <c r="K204" t="s">
        <v>97</v>
      </c>
      <c r="L204">
        <v>43.66</v>
      </c>
      <c r="M204" s="1">
        <v>45607</v>
      </c>
      <c r="N204" t="s">
        <v>93</v>
      </c>
      <c r="O204">
        <v>11</v>
      </c>
      <c r="P204">
        <v>11</v>
      </c>
      <c r="Q204">
        <v>4</v>
      </c>
      <c r="R204">
        <v>2024</v>
      </c>
    </row>
    <row r="205" spans="1:18">
      <c r="A205">
        <v>81.03</v>
      </c>
      <c r="B205">
        <v>3</v>
      </c>
      <c r="C205">
        <v>204</v>
      </c>
      <c r="D205" s="2">
        <v>0.22240398148148149</v>
      </c>
      <c r="E205" t="s">
        <v>1879</v>
      </c>
      <c r="F205" t="s">
        <v>1880</v>
      </c>
      <c r="G205" t="s">
        <v>1881</v>
      </c>
      <c r="H205" t="s">
        <v>1882</v>
      </c>
      <c r="I205" t="s">
        <v>795</v>
      </c>
      <c r="J205" t="s">
        <v>117</v>
      </c>
      <c r="K205" t="s">
        <v>55</v>
      </c>
      <c r="L205">
        <v>27.01</v>
      </c>
      <c r="M205" s="1">
        <v>45841</v>
      </c>
      <c r="N205" t="s">
        <v>105</v>
      </c>
      <c r="O205">
        <v>3</v>
      </c>
      <c r="P205">
        <v>7</v>
      </c>
      <c r="Q205">
        <v>3</v>
      </c>
      <c r="R205">
        <v>2025</v>
      </c>
    </row>
    <row r="206" spans="1:18">
      <c r="A206">
        <v>133.47999999999999</v>
      </c>
      <c r="B206">
        <v>4</v>
      </c>
      <c r="C206">
        <v>205</v>
      </c>
      <c r="D206" s="2">
        <v>0.46666136574074074</v>
      </c>
      <c r="E206" t="s">
        <v>847</v>
      </c>
      <c r="F206" t="s">
        <v>848</v>
      </c>
      <c r="G206" t="s">
        <v>849</v>
      </c>
      <c r="H206" t="s">
        <v>387</v>
      </c>
      <c r="I206" t="s">
        <v>821</v>
      </c>
      <c r="J206" t="s">
        <v>388</v>
      </c>
      <c r="K206" t="s">
        <v>46</v>
      </c>
      <c r="L206">
        <v>33.369999999999997</v>
      </c>
      <c r="M206" s="1">
        <v>46195</v>
      </c>
      <c r="N206" t="s">
        <v>93</v>
      </c>
      <c r="O206">
        <v>22</v>
      </c>
      <c r="P206">
        <v>6</v>
      </c>
      <c r="Q206">
        <v>2</v>
      </c>
      <c r="R206">
        <v>2026</v>
      </c>
    </row>
    <row r="207" spans="1:18">
      <c r="A207">
        <v>411.9</v>
      </c>
      <c r="B207">
        <v>2</v>
      </c>
      <c r="C207">
        <v>206</v>
      </c>
      <c r="D207" s="2">
        <v>0.43668740740740741</v>
      </c>
      <c r="E207" t="s">
        <v>1456</v>
      </c>
      <c r="F207" t="s">
        <v>1457</v>
      </c>
      <c r="G207" t="s">
        <v>779</v>
      </c>
      <c r="H207" t="s">
        <v>1032</v>
      </c>
      <c r="I207" t="s">
        <v>839</v>
      </c>
      <c r="J207" t="s">
        <v>705</v>
      </c>
      <c r="K207" t="s">
        <v>60</v>
      </c>
      <c r="L207">
        <v>205.95</v>
      </c>
      <c r="M207" s="1">
        <v>45841</v>
      </c>
      <c r="N207" t="s">
        <v>105</v>
      </c>
      <c r="O207">
        <v>3</v>
      </c>
      <c r="P207">
        <v>7</v>
      </c>
      <c r="Q207">
        <v>3</v>
      </c>
      <c r="R207">
        <v>2025</v>
      </c>
    </row>
    <row r="208" spans="1:18">
      <c r="A208">
        <v>473.22</v>
      </c>
      <c r="B208">
        <v>2</v>
      </c>
      <c r="C208">
        <v>207</v>
      </c>
      <c r="D208" s="2">
        <v>2.1800949074074073E-2</v>
      </c>
      <c r="E208" t="s">
        <v>2814</v>
      </c>
      <c r="F208" t="s">
        <v>3231</v>
      </c>
      <c r="G208" t="s">
        <v>902</v>
      </c>
      <c r="H208" t="s">
        <v>1280</v>
      </c>
      <c r="I208" t="s">
        <v>908</v>
      </c>
      <c r="J208" t="s">
        <v>235</v>
      </c>
      <c r="K208" t="s">
        <v>19</v>
      </c>
      <c r="L208">
        <v>236.61</v>
      </c>
      <c r="M208" s="1">
        <v>45607</v>
      </c>
      <c r="N208" t="s">
        <v>93</v>
      </c>
      <c r="O208">
        <v>11</v>
      </c>
      <c r="P208">
        <v>11</v>
      </c>
      <c r="Q208">
        <v>4</v>
      </c>
      <c r="R208">
        <v>2024</v>
      </c>
    </row>
    <row r="209" spans="1:18">
      <c r="A209">
        <v>105.9</v>
      </c>
      <c r="B209">
        <v>5</v>
      </c>
      <c r="C209">
        <v>208</v>
      </c>
      <c r="D209" s="2">
        <v>0.83042765046296296</v>
      </c>
      <c r="E209" t="s">
        <v>2283</v>
      </c>
      <c r="F209" t="s">
        <v>2284</v>
      </c>
      <c r="G209" t="s">
        <v>2285</v>
      </c>
      <c r="H209" t="s">
        <v>862</v>
      </c>
      <c r="I209" t="s">
        <v>908</v>
      </c>
      <c r="J209" t="s">
        <v>530</v>
      </c>
      <c r="K209" t="s">
        <v>37</v>
      </c>
      <c r="L209">
        <v>21.18</v>
      </c>
      <c r="M209" s="1">
        <v>45915</v>
      </c>
      <c r="N209" t="s">
        <v>93</v>
      </c>
      <c r="O209">
        <v>15</v>
      </c>
      <c r="P209">
        <v>9</v>
      </c>
      <c r="Q209">
        <v>3</v>
      </c>
      <c r="R209">
        <v>2025</v>
      </c>
    </row>
    <row r="210" spans="1:18">
      <c r="A210">
        <v>70.41</v>
      </c>
      <c r="B210">
        <v>3</v>
      </c>
      <c r="C210">
        <v>209</v>
      </c>
      <c r="D210" s="2">
        <v>0.82013178240740736</v>
      </c>
      <c r="E210" t="s">
        <v>1728</v>
      </c>
      <c r="F210" t="s">
        <v>1729</v>
      </c>
      <c r="G210" t="s">
        <v>1140</v>
      </c>
      <c r="H210" t="s">
        <v>1525</v>
      </c>
      <c r="I210" t="s">
        <v>763</v>
      </c>
      <c r="J210" t="s">
        <v>492</v>
      </c>
      <c r="K210" t="s">
        <v>21</v>
      </c>
      <c r="L210">
        <v>23.47</v>
      </c>
      <c r="M210" s="1">
        <v>46102</v>
      </c>
      <c r="N210" t="s">
        <v>14</v>
      </c>
      <c r="O210">
        <v>21</v>
      </c>
      <c r="P210">
        <v>3</v>
      </c>
      <c r="Q210">
        <v>1</v>
      </c>
      <c r="R210">
        <v>2026</v>
      </c>
    </row>
    <row r="211" spans="1:18">
      <c r="A211">
        <v>22.48</v>
      </c>
      <c r="B211">
        <v>1</v>
      </c>
      <c r="C211">
        <v>210</v>
      </c>
      <c r="D211" s="2">
        <v>0.84550189814814813</v>
      </c>
      <c r="E211" t="s">
        <v>916</v>
      </c>
      <c r="F211" t="s">
        <v>917</v>
      </c>
      <c r="G211" t="s">
        <v>918</v>
      </c>
      <c r="H211" t="s">
        <v>919</v>
      </c>
      <c r="I211" t="s">
        <v>786</v>
      </c>
      <c r="J211" t="s">
        <v>41</v>
      </c>
      <c r="K211" t="s">
        <v>39</v>
      </c>
      <c r="L211">
        <v>22.48</v>
      </c>
      <c r="M211" s="1">
        <v>46015</v>
      </c>
      <c r="N211" t="s">
        <v>34</v>
      </c>
      <c r="O211">
        <v>24</v>
      </c>
      <c r="P211">
        <v>12</v>
      </c>
      <c r="Q211">
        <v>4</v>
      </c>
      <c r="R211">
        <v>2025</v>
      </c>
    </row>
    <row r="212" spans="1:18">
      <c r="A212">
        <v>240.58</v>
      </c>
      <c r="B212">
        <v>2</v>
      </c>
      <c r="C212">
        <v>211</v>
      </c>
      <c r="D212" s="2">
        <v>0.5521125925925926</v>
      </c>
      <c r="E212" t="s">
        <v>1141</v>
      </c>
      <c r="F212" t="s">
        <v>1142</v>
      </c>
      <c r="G212" t="s">
        <v>1143</v>
      </c>
      <c r="H212" t="s">
        <v>862</v>
      </c>
      <c r="I212" t="s">
        <v>908</v>
      </c>
      <c r="J212" t="s">
        <v>290</v>
      </c>
      <c r="K212" t="s">
        <v>17</v>
      </c>
      <c r="L212">
        <v>120.29</v>
      </c>
      <c r="M212" s="1">
        <v>45850</v>
      </c>
      <c r="N212" t="s">
        <v>14</v>
      </c>
      <c r="O212">
        <v>12</v>
      </c>
      <c r="P212">
        <v>7</v>
      </c>
      <c r="Q212">
        <v>3</v>
      </c>
      <c r="R212">
        <v>2025</v>
      </c>
    </row>
    <row r="213" spans="1:18">
      <c r="A213">
        <v>749.36</v>
      </c>
      <c r="B213">
        <v>4</v>
      </c>
      <c r="C213">
        <v>212</v>
      </c>
      <c r="D213" s="2">
        <v>0.55191892361111106</v>
      </c>
      <c r="E213" t="s">
        <v>944</v>
      </c>
      <c r="F213" t="s">
        <v>945</v>
      </c>
      <c r="G213" t="s">
        <v>946</v>
      </c>
      <c r="H213" t="s">
        <v>199</v>
      </c>
      <c r="I213" t="s">
        <v>781</v>
      </c>
      <c r="J213" t="s">
        <v>241</v>
      </c>
      <c r="K213" t="s">
        <v>31</v>
      </c>
      <c r="L213">
        <v>187.34</v>
      </c>
      <c r="M213" s="1">
        <v>45821</v>
      </c>
      <c r="N213" t="s">
        <v>79</v>
      </c>
      <c r="O213">
        <v>13</v>
      </c>
      <c r="P213">
        <v>6</v>
      </c>
      <c r="Q213">
        <v>2</v>
      </c>
      <c r="R213">
        <v>2025</v>
      </c>
    </row>
    <row r="214" spans="1:18">
      <c r="A214">
        <v>934.24</v>
      </c>
      <c r="B214">
        <v>4</v>
      </c>
      <c r="C214">
        <v>213</v>
      </c>
      <c r="D214" s="2">
        <v>0.96999335648148144</v>
      </c>
      <c r="E214" t="s">
        <v>1147</v>
      </c>
      <c r="F214" t="s">
        <v>1148</v>
      </c>
      <c r="G214" t="s">
        <v>1149</v>
      </c>
      <c r="H214" t="s">
        <v>1071</v>
      </c>
      <c r="I214" t="s">
        <v>817</v>
      </c>
      <c r="J214" t="s">
        <v>247</v>
      </c>
      <c r="K214" t="s">
        <v>55</v>
      </c>
      <c r="L214">
        <v>233.56</v>
      </c>
      <c r="M214" s="1">
        <v>45788</v>
      </c>
      <c r="N214" t="s">
        <v>28</v>
      </c>
      <c r="O214">
        <v>11</v>
      </c>
      <c r="P214">
        <v>5</v>
      </c>
      <c r="Q214">
        <v>2</v>
      </c>
      <c r="R214">
        <v>2025</v>
      </c>
    </row>
    <row r="215" spans="1:18">
      <c r="A215">
        <v>288.08</v>
      </c>
      <c r="B215">
        <v>4</v>
      </c>
      <c r="C215">
        <v>214</v>
      </c>
      <c r="D215" s="2">
        <v>0.29159074074074076</v>
      </c>
      <c r="E215" t="s">
        <v>2627</v>
      </c>
      <c r="F215" t="s">
        <v>2628</v>
      </c>
      <c r="G215" t="s">
        <v>2629</v>
      </c>
      <c r="H215" t="s">
        <v>2332</v>
      </c>
      <c r="I215" t="s">
        <v>1003</v>
      </c>
      <c r="J215" t="s">
        <v>108</v>
      </c>
      <c r="K215" t="s">
        <v>51</v>
      </c>
      <c r="L215">
        <v>72.02</v>
      </c>
      <c r="M215" s="1">
        <v>46158</v>
      </c>
      <c r="N215" t="s">
        <v>14</v>
      </c>
      <c r="O215">
        <v>16</v>
      </c>
      <c r="P215">
        <v>5</v>
      </c>
      <c r="Q215">
        <v>2</v>
      </c>
      <c r="R215">
        <v>2026</v>
      </c>
    </row>
    <row r="216" spans="1:18">
      <c r="A216">
        <v>309.76</v>
      </c>
      <c r="B216">
        <v>2</v>
      </c>
      <c r="C216">
        <v>215</v>
      </c>
      <c r="D216" s="2">
        <v>0.98604511574074072</v>
      </c>
      <c r="E216" t="s">
        <v>2819</v>
      </c>
      <c r="F216" t="s">
        <v>2820</v>
      </c>
      <c r="G216" t="s">
        <v>1619</v>
      </c>
      <c r="H216" t="s">
        <v>1032</v>
      </c>
      <c r="I216" t="s">
        <v>839</v>
      </c>
      <c r="J216" t="s">
        <v>704</v>
      </c>
      <c r="K216" t="s">
        <v>51</v>
      </c>
      <c r="L216">
        <v>154.88</v>
      </c>
      <c r="M216" s="1">
        <v>45702</v>
      </c>
      <c r="N216" t="s">
        <v>79</v>
      </c>
      <c r="O216">
        <v>14</v>
      </c>
      <c r="P216">
        <v>2</v>
      </c>
      <c r="Q216">
        <v>1</v>
      </c>
      <c r="R216">
        <v>2025</v>
      </c>
    </row>
    <row r="217" spans="1:18">
      <c r="A217">
        <v>722.4</v>
      </c>
      <c r="B217">
        <v>5</v>
      </c>
      <c r="C217">
        <v>216</v>
      </c>
      <c r="D217" s="2">
        <v>0.92172418981481485</v>
      </c>
      <c r="E217" t="s">
        <v>2318</v>
      </c>
      <c r="F217" t="s">
        <v>1094</v>
      </c>
      <c r="G217" t="s">
        <v>2319</v>
      </c>
      <c r="H217" t="s">
        <v>829</v>
      </c>
      <c r="I217" t="s">
        <v>830</v>
      </c>
      <c r="J217" t="s">
        <v>1441</v>
      </c>
      <c r="K217" t="s">
        <v>19</v>
      </c>
      <c r="L217">
        <v>144.47999999999999</v>
      </c>
      <c r="M217" s="1">
        <v>46210</v>
      </c>
      <c r="N217" t="s">
        <v>48</v>
      </c>
      <c r="O217">
        <v>7</v>
      </c>
      <c r="P217">
        <v>7</v>
      </c>
      <c r="Q217">
        <v>3</v>
      </c>
      <c r="R217">
        <v>2026</v>
      </c>
    </row>
    <row r="218" spans="1:18">
      <c r="A218">
        <v>349.54</v>
      </c>
      <c r="B218">
        <v>2</v>
      </c>
      <c r="C218">
        <v>217</v>
      </c>
      <c r="D218" s="2">
        <v>6.3686655092592595E-2</v>
      </c>
      <c r="E218" t="s">
        <v>3102</v>
      </c>
      <c r="F218" t="s">
        <v>3103</v>
      </c>
      <c r="G218" t="s">
        <v>2191</v>
      </c>
      <c r="H218" t="s">
        <v>199</v>
      </c>
      <c r="I218" t="s">
        <v>781</v>
      </c>
      <c r="J218" t="s">
        <v>483</v>
      </c>
      <c r="K218" t="s">
        <v>100</v>
      </c>
      <c r="L218">
        <v>174.77</v>
      </c>
      <c r="M218" s="1">
        <v>45732</v>
      </c>
      <c r="N218" t="s">
        <v>28</v>
      </c>
      <c r="O218">
        <v>16</v>
      </c>
      <c r="P218">
        <v>3</v>
      </c>
      <c r="Q218">
        <v>1</v>
      </c>
      <c r="R218">
        <v>2025</v>
      </c>
    </row>
    <row r="219" spans="1:18">
      <c r="A219">
        <v>675.08</v>
      </c>
      <c r="B219">
        <v>4</v>
      </c>
      <c r="C219">
        <v>218</v>
      </c>
      <c r="D219" s="2">
        <v>0.22100399305555554</v>
      </c>
      <c r="E219" t="s">
        <v>2096</v>
      </c>
      <c r="F219" t="s">
        <v>2097</v>
      </c>
      <c r="G219" t="s">
        <v>2098</v>
      </c>
      <c r="H219" t="s">
        <v>464</v>
      </c>
      <c r="I219" t="s">
        <v>896</v>
      </c>
      <c r="J219" t="s">
        <v>287</v>
      </c>
      <c r="K219" t="s">
        <v>46</v>
      </c>
      <c r="L219">
        <v>168.77</v>
      </c>
      <c r="M219" s="1">
        <v>45596</v>
      </c>
      <c r="N219" t="s">
        <v>105</v>
      </c>
      <c r="O219">
        <v>31</v>
      </c>
      <c r="P219">
        <v>10</v>
      </c>
      <c r="Q219">
        <v>4</v>
      </c>
      <c r="R219">
        <v>2024</v>
      </c>
    </row>
    <row r="220" spans="1:18">
      <c r="A220">
        <v>42.150000000000006</v>
      </c>
      <c r="B220">
        <v>3</v>
      </c>
      <c r="C220">
        <v>219</v>
      </c>
      <c r="D220" s="2">
        <v>0.26006541666666666</v>
      </c>
      <c r="E220" t="s">
        <v>2893</v>
      </c>
      <c r="F220" t="s">
        <v>2894</v>
      </c>
      <c r="G220" t="s">
        <v>2141</v>
      </c>
      <c r="H220" t="s">
        <v>1302</v>
      </c>
      <c r="I220" t="s">
        <v>786</v>
      </c>
      <c r="J220" t="s">
        <v>435</v>
      </c>
      <c r="K220" t="s">
        <v>51</v>
      </c>
      <c r="L220">
        <v>14.05</v>
      </c>
      <c r="M220" s="1">
        <v>45848</v>
      </c>
      <c r="N220" t="s">
        <v>105</v>
      </c>
      <c r="O220">
        <v>10</v>
      </c>
      <c r="P220">
        <v>7</v>
      </c>
      <c r="Q220">
        <v>3</v>
      </c>
      <c r="R220">
        <v>2025</v>
      </c>
    </row>
    <row r="221" spans="1:18">
      <c r="A221">
        <v>112.04</v>
      </c>
      <c r="B221">
        <v>4</v>
      </c>
      <c r="C221">
        <v>220</v>
      </c>
      <c r="D221" s="2">
        <v>0.19016732638888889</v>
      </c>
      <c r="E221" t="s">
        <v>2680</v>
      </c>
      <c r="F221" t="s">
        <v>2681</v>
      </c>
      <c r="G221" t="s">
        <v>1260</v>
      </c>
      <c r="H221" t="s">
        <v>825</v>
      </c>
      <c r="I221" t="s">
        <v>781</v>
      </c>
      <c r="J221" t="s">
        <v>463</v>
      </c>
      <c r="K221" t="s">
        <v>43</v>
      </c>
      <c r="L221">
        <v>28.01</v>
      </c>
      <c r="M221" s="1">
        <v>46060</v>
      </c>
      <c r="N221" t="s">
        <v>14</v>
      </c>
      <c r="O221">
        <v>7</v>
      </c>
      <c r="P221">
        <v>2</v>
      </c>
      <c r="Q221">
        <v>1</v>
      </c>
      <c r="R221">
        <v>2026</v>
      </c>
    </row>
    <row r="222" spans="1:18">
      <c r="A222">
        <v>181.47</v>
      </c>
      <c r="B222">
        <v>3</v>
      </c>
      <c r="C222">
        <v>221</v>
      </c>
      <c r="D222" s="2">
        <v>0.95266684027777782</v>
      </c>
      <c r="E222" t="s">
        <v>1982</v>
      </c>
      <c r="F222" t="s">
        <v>1983</v>
      </c>
      <c r="G222" t="s">
        <v>1429</v>
      </c>
      <c r="H222" t="s">
        <v>1984</v>
      </c>
      <c r="I222" t="s">
        <v>768</v>
      </c>
      <c r="J222" t="s">
        <v>558</v>
      </c>
      <c r="K222" t="s">
        <v>43</v>
      </c>
      <c r="L222">
        <v>60.49</v>
      </c>
      <c r="M222" s="1">
        <v>45891</v>
      </c>
      <c r="N222" t="s">
        <v>79</v>
      </c>
      <c r="O222">
        <v>22</v>
      </c>
      <c r="P222">
        <v>8</v>
      </c>
      <c r="Q222">
        <v>3</v>
      </c>
      <c r="R222">
        <v>2025</v>
      </c>
    </row>
    <row r="223" spans="1:18">
      <c r="A223">
        <v>143.24</v>
      </c>
      <c r="B223">
        <v>2</v>
      </c>
      <c r="C223">
        <v>222</v>
      </c>
      <c r="D223" s="2">
        <v>0.28193847222222224</v>
      </c>
      <c r="E223" t="s">
        <v>2276</v>
      </c>
      <c r="F223" t="s">
        <v>2277</v>
      </c>
      <c r="G223" t="s">
        <v>2004</v>
      </c>
      <c r="H223" t="s">
        <v>322</v>
      </c>
      <c r="I223" t="s">
        <v>795</v>
      </c>
      <c r="J223" t="s">
        <v>680</v>
      </c>
      <c r="K223" t="s">
        <v>69</v>
      </c>
      <c r="L223">
        <v>71.62</v>
      </c>
      <c r="M223" s="1">
        <v>46213</v>
      </c>
      <c r="N223" t="s">
        <v>79</v>
      </c>
      <c r="O223">
        <v>10</v>
      </c>
      <c r="P223">
        <v>7</v>
      </c>
      <c r="Q223">
        <v>3</v>
      </c>
      <c r="R223">
        <v>2026</v>
      </c>
    </row>
    <row r="224" spans="1:18">
      <c r="A224">
        <v>873.85</v>
      </c>
      <c r="B224">
        <v>5</v>
      </c>
      <c r="C224">
        <v>223</v>
      </c>
      <c r="D224" s="2">
        <v>0.65691894675925921</v>
      </c>
      <c r="E224" t="s">
        <v>2625</v>
      </c>
      <c r="F224" t="s">
        <v>2626</v>
      </c>
      <c r="G224" t="s">
        <v>1383</v>
      </c>
      <c r="H224" t="s">
        <v>106</v>
      </c>
      <c r="I224" t="s">
        <v>748</v>
      </c>
      <c r="J224" t="s">
        <v>483</v>
      </c>
      <c r="K224" t="s">
        <v>100</v>
      </c>
      <c r="L224">
        <v>174.77</v>
      </c>
      <c r="M224" s="1">
        <v>45643</v>
      </c>
      <c r="N224" t="s">
        <v>48</v>
      </c>
      <c r="O224">
        <v>17</v>
      </c>
      <c r="P224">
        <v>12</v>
      </c>
      <c r="Q224">
        <v>4</v>
      </c>
      <c r="R224">
        <v>2024</v>
      </c>
    </row>
    <row r="225" spans="1:18">
      <c r="A225">
        <v>263.09999999999997</v>
      </c>
      <c r="B225">
        <v>5</v>
      </c>
      <c r="C225">
        <v>224</v>
      </c>
      <c r="D225" s="2">
        <v>0.43167891203703701</v>
      </c>
      <c r="E225" t="s">
        <v>2273</v>
      </c>
      <c r="F225" t="s">
        <v>2274</v>
      </c>
      <c r="G225" t="s">
        <v>2275</v>
      </c>
      <c r="H225" t="s">
        <v>1339</v>
      </c>
      <c r="I225" t="s">
        <v>1247</v>
      </c>
      <c r="J225" t="s">
        <v>270</v>
      </c>
      <c r="K225" t="s">
        <v>55</v>
      </c>
      <c r="L225">
        <v>52.62</v>
      </c>
      <c r="M225" s="1">
        <v>45919</v>
      </c>
      <c r="N225" t="s">
        <v>79</v>
      </c>
      <c r="O225">
        <v>19</v>
      </c>
      <c r="P225">
        <v>9</v>
      </c>
      <c r="Q225">
        <v>3</v>
      </c>
      <c r="R225">
        <v>2025</v>
      </c>
    </row>
    <row r="226" spans="1:18">
      <c r="A226">
        <v>215.16</v>
      </c>
      <c r="B226">
        <v>3</v>
      </c>
      <c r="C226">
        <v>225</v>
      </c>
      <c r="D226" s="2">
        <v>0.24500877314814815</v>
      </c>
      <c r="E226" t="s">
        <v>2934</v>
      </c>
      <c r="F226" t="s">
        <v>2935</v>
      </c>
      <c r="G226" t="s">
        <v>2043</v>
      </c>
      <c r="H226" t="s">
        <v>1509</v>
      </c>
      <c r="I226" t="s">
        <v>821</v>
      </c>
      <c r="J226" t="s">
        <v>141</v>
      </c>
      <c r="K226" t="s">
        <v>46</v>
      </c>
      <c r="L226">
        <v>71.72</v>
      </c>
      <c r="M226" s="1">
        <v>45763</v>
      </c>
      <c r="N226" t="s">
        <v>34</v>
      </c>
      <c r="O226">
        <v>16</v>
      </c>
      <c r="P226">
        <v>4</v>
      </c>
      <c r="Q226">
        <v>2</v>
      </c>
      <c r="R226">
        <v>2025</v>
      </c>
    </row>
    <row r="227" spans="1:18">
      <c r="A227">
        <v>465.68</v>
      </c>
      <c r="B227">
        <v>4</v>
      </c>
      <c r="C227">
        <v>226</v>
      </c>
      <c r="D227" s="2">
        <v>8.0925115740740738E-2</v>
      </c>
      <c r="E227" t="s">
        <v>1554</v>
      </c>
      <c r="F227" t="s">
        <v>1555</v>
      </c>
      <c r="G227" t="s">
        <v>1556</v>
      </c>
      <c r="H227" t="s">
        <v>49</v>
      </c>
      <c r="I227" t="s">
        <v>807</v>
      </c>
      <c r="J227" t="s">
        <v>91</v>
      </c>
      <c r="K227" t="s">
        <v>55</v>
      </c>
      <c r="L227">
        <v>116.42</v>
      </c>
      <c r="M227" s="1">
        <v>45891</v>
      </c>
      <c r="N227" t="s">
        <v>79</v>
      </c>
      <c r="O227">
        <v>22</v>
      </c>
      <c r="P227">
        <v>8</v>
      </c>
      <c r="Q227">
        <v>3</v>
      </c>
      <c r="R227">
        <v>2025</v>
      </c>
    </row>
    <row r="228" spans="1:18">
      <c r="A228">
        <v>940.76</v>
      </c>
      <c r="B228">
        <v>4</v>
      </c>
      <c r="C228">
        <v>227</v>
      </c>
      <c r="D228" s="2">
        <v>0.82700033564814812</v>
      </c>
      <c r="E228" t="s">
        <v>1366</v>
      </c>
      <c r="F228" t="s">
        <v>1367</v>
      </c>
      <c r="G228" t="s">
        <v>1020</v>
      </c>
      <c r="H228" t="s">
        <v>136</v>
      </c>
      <c r="I228" t="s">
        <v>954</v>
      </c>
      <c r="J228" t="s">
        <v>396</v>
      </c>
      <c r="K228" t="s">
        <v>122</v>
      </c>
      <c r="L228">
        <v>235.19</v>
      </c>
      <c r="M228" s="1">
        <v>45990</v>
      </c>
      <c r="N228" t="s">
        <v>14</v>
      </c>
      <c r="O228">
        <v>29</v>
      </c>
      <c r="P228">
        <v>11</v>
      </c>
      <c r="Q228">
        <v>4</v>
      </c>
      <c r="R228">
        <v>2025</v>
      </c>
    </row>
    <row r="229" spans="1:18">
      <c r="A229">
        <v>202.23</v>
      </c>
      <c r="B229">
        <v>1</v>
      </c>
      <c r="C229">
        <v>228</v>
      </c>
      <c r="D229" s="2">
        <v>0.31779552083333334</v>
      </c>
      <c r="E229" t="s">
        <v>1309</v>
      </c>
      <c r="F229" t="s">
        <v>1310</v>
      </c>
      <c r="G229" t="s">
        <v>1311</v>
      </c>
      <c r="H229" t="s">
        <v>49</v>
      </c>
      <c r="I229" t="s">
        <v>807</v>
      </c>
      <c r="J229" t="s">
        <v>321</v>
      </c>
      <c r="K229" t="s">
        <v>17</v>
      </c>
      <c r="L229">
        <v>202.23</v>
      </c>
      <c r="M229" s="1">
        <v>45749</v>
      </c>
      <c r="N229" t="s">
        <v>34</v>
      </c>
      <c r="O229">
        <v>2</v>
      </c>
      <c r="P229">
        <v>4</v>
      </c>
      <c r="Q229">
        <v>2</v>
      </c>
      <c r="R229">
        <v>2025</v>
      </c>
    </row>
    <row r="230" spans="1:18">
      <c r="A230">
        <v>934.9</v>
      </c>
      <c r="B230">
        <v>5</v>
      </c>
      <c r="C230">
        <v>229</v>
      </c>
      <c r="D230" s="2">
        <v>0.25072089120370372</v>
      </c>
      <c r="E230" t="s">
        <v>2849</v>
      </c>
      <c r="F230" t="s">
        <v>2850</v>
      </c>
      <c r="G230" t="s">
        <v>1821</v>
      </c>
      <c r="H230" t="s">
        <v>1067</v>
      </c>
      <c r="I230" t="s">
        <v>854</v>
      </c>
      <c r="J230" t="s">
        <v>139</v>
      </c>
      <c r="K230" t="s">
        <v>122</v>
      </c>
      <c r="L230">
        <v>186.98</v>
      </c>
      <c r="M230" s="1">
        <v>46254</v>
      </c>
      <c r="N230" t="s">
        <v>105</v>
      </c>
      <c r="O230">
        <v>20</v>
      </c>
      <c r="P230">
        <v>8</v>
      </c>
      <c r="Q230">
        <v>3</v>
      </c>
      <c r="R230">
        <v>2026</v>
      </c>
    </row>
    <row r="231" spans="1:18">
      <c r="A231">
        <v>454.35</v>
      </c>
      <c r="B231">
        <v>5</v>
      </c>
      <c r="C231">
        <v>230</v>
      </c>
      <c r="D231" s="2">
        <v>0.97079057870370367</v>
      </c>
      <c r="E231" t="s">
        <v>2608</v>
      </c>
      <c r="F231" t="s">
        <v>2609</v>
      </c>
      <c r="G231" t="s">
        <v>2610</v>
      </c>
      <c r="H231" t="s">
        <v>464</v>
      </c>
      <c r="I231" t="s">
        <v>896</v>
      </c>
      <c r="J231" t="s">
        <v>470</v>
      </c>
      <c r="K231" t="s">
        <v>39</v>
      </c>
      <c r="L231">
        <v>90.87</v>
      </c>
      <c r="M231" s="1">
        <v>45620</v>
      </c>
      <c r="N231" t="s">
        <v>28</v>
      </c>
      <c r="O231">
        <v>24</v>
      </c>
      <c r="P231">
        <v>11</v>
      </c>
      <c r="Q231">
        <v>4</v>
      </c>
      <c r="R231">
        <v>2024</v>
      </c>
    </row>
    <row r="232" spans="1:18">
      <c r="A232">
        <v>755.65</v>
      </c>
      <c r="B232">
        <v>5</v>
      </c>
      <c r="C232">
        <v>231</v>
      </c>
      <c r="D232" s="2">
        <v>0.29205305555555555</v>
      </c>
      <c r="E232" t="s">
        <v>1267</v>
      </c>
      <c r="F232" t="s">
        <v>1268</v>
      </c>
      <c r="G232" t="s">
        <v>935</v>
      </c>
      <c r="H232" t="s">
        <v>380</v>
      </c>
      <c r="I232" t="s">
        <v>896</v>
      </c>
      <c r="J232" t="s">
        <v>655</v>
      </c>
      <c r="K232" t="s">
        <v>82</v>
      </c>
      <c r="L232">
        <v>151.13</v>
      </c>
      <c r="M232" s="1">
        <v>45667</v>
      </c>
      <c r="N232" t="s">
        <v>79</v>
      </c>
      <c r="O232">
        <v>10</v>
      </c>
      <c r="P232">
        <v>1</v>
      </c>
      <c r="Q232">
        <v>1</v>
      </c>
      <c r="R232">
        <v>2025</v>
      </c>
    </row>
    <row r="233" spans="1:18">
      <c r="A233">
        <v>901.56</v>
      </c>
      <c r="B233">
        <v>4</v>
      </c>
      <c r="C233">
        <v>232</v>
      </c>
      <c r="D233" s="2">
        <v>0.18618100694444445</v>
      </c>
      <c r="E233" t="s">
        <v>2344</v>
      </c>
      <c r="F233" t="s">
        <v>2345</v>
      </c>
      <c r="G233" t="s">
        <v>2346</v>
      </c>
      <c r="H233" t="s">
        <v>2154</v>
      </c>
      <c r="I233" t="s">
        <v>1003</v>
      </c>
      <c r="J233" t="s">
        <v>152</v>
      </c>
      <c r="K233" t="s">
        <v>19</v>
      </c>
      <c r="L233">
        <v>225.39</v>
      </c>
      <c r="M233" s="1">
        <v>45579</v>
      </c>
      <c r="N233" t="s">
        <v>93</v>
      </c>
      <c r="O233">
        <v>14</v>
      </c>
      <c r="P233">
        <v>10</v>
      </c>
      <c r="Q233">
        <v>4</v>
      </c>
      <c r="R233">
        <v>2024</v>
      </c>
    </row>
    <row r="234" spans="1:18">
      <c r="A234">
        <v>346.26</v>
      </c>
      <c r="B234">
        <v>3</v>
      </c>
      <c r="C234">
        <v>233</v>
      </c>
      <c r="D234" s="2">
        <v>0.17333218750000001</v>
      </c>
      <c r="E234" t="s">
        <v>996</v>
      </c>
      <c r="F234" t="s">
        <v>997</v>
      </c>
      <c r="G234" t="s">
        <v>998</v>
      </c>
      <c r="H234" t="s">
        <v>762</v>
      </c>
      <c r="I234" t="s">
        <v>763</v>
      </c>
      <c r="J234" t="s">
        <v>598</v>
      </c>
      <c r="K234" t="s">
        <v>31</v>
      </c>
      <c r="L234">
        <v>115.42</v>
      </c>
      <c r="M234" s="1">
        <v>46018</v>
      </c>
      <c r="N234" t="s">
        <v>14</v>
      </c>
      <c r="O234">
        <v>27</v>
      </c>
      <c r="P234">
        <v>12</v>
      </c>
      <c r="Q234">
        <v>4</v>
      </c>
      <c r="R234">
        <v>2025</v>
      </c>
    </row>
    <row r="235" spans="1:18">
      <c r="A235">
        <v>244.36</v>
      </c>
      <c r="B235">
        <v>2</v>
      </c>
      <c r="C235">
        <v>234</v>
      </c>
      <c r="D235" s="2">
        <v>0.11779804398148148</v>
      </c>
      <c r="E235" t="s">
        <v>1510</v>
      </c>
      <c r="F235" t="s">
        <v>1511</v>
      </c>
      <c r="G235" t="s">
        <v>1512</v>
      </c>
      <c r="H235" t="s">
        <v>1395</v>
      </c>
      <c r="I235" t="s">
        <v>776</v>
      </c>
      <c r="J235" t="s">
        <v>433</v>
      </c>
      <c r="K235" t="s">
        <v>100</v>
      </c>
      <c r="L235">
        <v>122.18</v>
      </c>
      <c r="M235" s="1">
        <v>45836</v>
      </c>
      <c r="N235" t="s">
        <v>14</v>
      </c>
      <c r="O235">
        <v>28</v>
      </c>
      <c r="P235">
        <v>6</v>
      </c>
      <c r="Q235">
        <v>2</v>
      </c>
      <c r="R235">
        <v>2025</v>
      </c>
    </row>
    <row r="236" spans="1:18">
      <c r="A236">
        <v>19.11</v>
      </c>
      <c r="B236">
        <v>1</v>
      </c>
      <c r="C236">
        <v>235</v>
      </c>
      <c r="D236" s="2">
        <v>0.52085314814814809</v>
      </c>
      <c r="E236" t="s">
        <v>3212</v>
      </c>
      <c r="F236" t="s">
        <v>3213</v>
      </c>
      <c r="G236" t="s">
        <v>2013</v>
      </c>
      <c r="H236" t="s">
        <v>1111</v>
      </c>
      <c r="I236" t="s">
        <v>981</v>
      </c>
      <c r="J236" t="s">
        <v>410</v>
      </c>
      <c r="K236" t="s">
        <v>97</v>
      </c>
      <c r="L236">
        <v>19.11</v>
      </c>
      <c r="M236" s="1">
        <v>46179</v>
      </c>
      <c r="N236" t="s">
        <v>14</v>
      </c>
      <c r="O236">
        <v>6</v>
      </c>
      <c r="P236">
        <v>6</v>
      </c>
      <c r="Q236">
        <v>2</v>
      </c>
      <c r="R236">
        <v>2026</v>
      </c>
    </row>
    <row r="237" spans="1:18">
      <c r="A237">
        <v>98.42</v>
      </c>
      <c r="B237">
        <v>2</v>
      </c>
      <c r="C237">
        <v>236</v>
      </c>
      <c r="D237" s="2">
        <v>0.66423846064814818</v>
      </c>
      <c r="E237" t="s">
        <v>1131</v>
      </c>
      <c r="F237" t="s">
        <v>1132</v>
      </c>
      <c r="G237" t="s">
        <v>1133</v>
      </c>
      <c r="H237" t="s">
        <v>1107</v>
      </c>
      <c r="I237" t="s">
        <v>763</v>
      </c>
      <c r="J237" t="s">
        <v>717</v>
      </c>
      <c r="K237" t="s">
        <v>17</v>
      </c>
      <c r="L237">
        <v>49.21</v>
      </c>
      <c r="M237" s="1">
        <v>45725</v>
      </c>
      <c r="N237" t="s">
        <v>28</v>
      </c>
      <c r="O237">
        <v>9</v>
      </c>
      <c r="P237">
        <v>3</v>
      </c>
      <c r="Q237">
        <v>1</v>
      </c>
      <c r="R237">
        <v>2025</v>
      </c>
    </row>
    <row r="238" spans="1:18">
      <c r="A238">
        <v>728.43000000000006</v>
      </c>
      <c r="B238">
        <v>3</v>
      </c>
      <c r="C238">
        <v>237</v>
      </c>
      <c r="D238" s="2">
        <v>0.83586998842592597</v>
      </c>
      <c r="E238" t="s">
        <v>1819</v>
      </c>
      <c r="F238" t="s">
        <v>1820</v>
      </c>
      <c r="G238" t="s">
        <v>1821</v>
      </c>
      <c r="H238" t="s">
        <v>1199</v>
      </c>
      <c r="I238" t="s">
        <v>839</v>
      </c>
      <c r="J238" t="s">
        <v>329</v>
      </c>
      <c r="K238" t="s">
        <v>82</v>
      </c>
      <c r="L238">
        <v>242.81</v>
      </c>
      <c r="M238" s="1">
        <v>46041</v>
      </c>
      <c r="N238" t="s">
        <v>93</v>
      </c>
      <c r="O238">
        <v>19</v>
      </c>
      <c r="P238">
        <v>1</v>
      </c>
      <c r="Q238">
        <v>1</v>
      </c>
      <c r="R238">
        <v>2026</v>
      </c>
    </row>
    <row r="239" spans="1:18">
      <c r="A239">
        <v>972.45</v>
      </c>
      <c r="B239">
        <v>5</v>
      </c>
      <c r="C239">
        <v>238</v>
      </c>
      <c r="D239" s="2">
        <v>0.29498671296296297</v>
      </c>
      <c r="E239" t="s">
        <v>2758</v>
      </c>
      <c r="F239" t="s">
        <v>2759</v>
      </c>
      <c r="G239" t="s">
        <v>1903</v>
      </c>
      <c r="H239" t="s">
        <v>387</v>
      </c>
      <c r="I239" t="s">
        <v>821</v>
      </c>
      <c r="J239" t="s">
        <v>560</v>
      </c>
      <c r="K239" t="s">
        <v>122</v>
      </c>
      <c r="L239">
        <v>194.49</v>
      </c>
      <c r="M239" s="1">
        <v>45935</v>
      </c>
      <c r="N239" t="s">
        <v>28</v>
      </c>
      <c r="O239">
        <v>5</v>
      </c>
      <c r="P239">
        <v>10</v>
      </c>
      <c r="Q239">
        <v>4</v>
      </c>
      <c r="R239">
        <v>2025</v>
      </c>
    </row>
    <row r="240" spans="1:18">
      <c r="A240">
        <v>12.44</v>
      </c>
      <c r="B240">
        <v>1</v>
      </c>
      <c r="C240">
        <v>239</v>
      </c>
      <c r="D240" s="2">
        <v>0.26897920138888887</v>
      </c>
      <c r="E240" t="s">
        <v>2366</v>
      </c>
      <c r="F240" t="s">
        <v>2367</v>
      </c>
      <c r="G240" t="s">
        <v>2098</v>
      </c>
      <c r="H240" t="s">
        <v>211</v>
      </c>
      <c r="I240" t="s">
        <v>966</v>
      </c>
      <c r="J240" t="s">
        <v>310</v>
      </c>
      <c r="K240" t="s">
        <v>60</v>
      </c>
      <c r="L240">
        <v>12.44</v>
      </c>
      <c r="M240" s="1">
        <v>45818</v>
      </c>
      <c r="N240" t="s">
        <v>48</v>
      </c>
      <c r="O240">
        <v>10</v>
      </c>
      <c r="P240">
        <v>6</v>
      </c>
      <c r="Q240">
        <v>2</v>
      </c>
      <c r="R240">
        <v>2025</v>
      </c>
    </row>
    <row r="241" spans="1:18">
      <c r="A241">
        <v>863.34999999999991</v>
      </c>
      <c r="B241">
        <v>5</v>
      </c>
      <c r="C241">
        <v>240</v>
      </c>
      <c r="D241" s="2">
        <v>5.4768368055555558E-2</v>
      </c>
      <c r="E241" t="s">
        <v>2827</v>
      </c>
      <c r="F241" t="s">
        <v>2828</v>
      </c>
      <c r="G241" t="s">
        <v>991</v>
      </c>
      <c r="H241" t="s">
        <v>1213</v>
      </c>
      <c r="I241" t="s">
        <v>839</v>
      </c>
      <c r="J241" t="s">
        <v>551</v>
      </c>
      <c r="K241" t="s">
        <v>122</v>
      </c>
      <c r="L241">
        <v>172.67</v>
      </c>
      <c r="M241" s="1">
        <v>46207</v>
      </c>
      <c r="N241" t="s">
        <v>14</v>
      </c>
      <c r="O241">
        <v>4</v>
      </c>
      <c r="P241">
        <v>7</v>
      </c>
      <c r="Q241">
        <v>3</v>
      </c>
      <c r="R241">
        <v>2026</v>
      </c>
    </row>
    <row r="242" spans="1:18">
      <c r="A242">
        <v>27.4</v>
      </c>
      <c r="B242">
        <v>4</v>
      </c>
      <c r="C242">
        <v>241</v>
      </c>
      <c r="D242" s="2">
        <v>0.93341903935185189</v>
      </c>
      <c r="E242" t="s">
        <v>3001</v>
      </c>
      <c r="F242" t="s">
        <v>3002</v>
      </c>
      <c r="G242" t="s">
        <v>1231</v>
      </c>
      <c r="H242" t="s">
        <v>1302</v>
      </c>
      <c r="I242" t="s">
        <v>786</v>
      </c>
      <c r="J242" t="s">
        <v>673</v>
      </c>
      <c r="K242" t="s">
        <v>100</v>
      </c>
      <c r="L242">
        <v>6.85</v>
      </c>
      <c r="M242" s="1">
        <v>45805</v>
      </c>
      <c r="N242" t="s">
        <v>34</v>
      </c>
      <c r="O242">
        <v>28</v>
      </c>
      <c r="P242">
        <v>5</v>
      </c>
      <c r="Q242">
        <v>2</v>
      </c>
      <c r="R242">
        <v>2025</v>
      </c>
    </row>
    <row r="243" spans="1:18">
      <c r="A243">
        <v>686.22</v>
      </c>
      <c r="B243">
        <v>3</v>
      </c>
      <c r="C243">
        <v>242</v>
      </c>
      <c r="D243" s="2">
        <v>0.42144946759259261</v>
      </c>
      <c r="E243" t="s">
        <v>2988</v>
      </c>
      <c r="F243" t="s">
        <v>2989</v>
      </c>
      <c r="G243" t="s">
        <v>2362</v>
      </c>
      <c r="H243" t="s">
        <v>1415</v>
      </c>
      <c r="I243" t="s">
        <v>812</v>
      </c>
      <c r="J243" t="s">
        <v>566</v>
      </c>
      <c r="K243" t="s">
        <v>69</v>
      </c>
      <c r="L243">
        <v>228.74</v>
      </c>
      <c r="M243" s="1">
        <v>46146</v>
      </c>
      <c r="N243" t="s">
        <v>93</v>
      </c>
      <c r="O243">
        <v>4</v>
      </c>
      <c r="P243">
        <v>5</v>
      </c>
      <c r="Q243">
        <v>2</v>
      </c>
      <c r="R243">
        <v>2026</v>
      </c>
    </row>
    <row r="244" spans="1:18">
      <c r="A244">
        <v>916.1</v>
      </c>
      <c r="B244">
        <v>5</v>
      </c>
      <c r="C244">
        <v>243</v>
      </c>
      <c r="D244" s="2">
        <v>0.10510520833333334</v>
      </c>
      <c r="E244" t="s">
        <v>1186</v>
      </c>
      <c r="F244" t="s">
        <v>1187</v>
      </c>
      <c r="G244" t="s">
        <v>1188</v>
      </c>
      <c r="H244" t="s">
        <v>1189</v>
      </c>
      <c r="I244" t="s">
        <v>892</v>
      </c>
      <c r="J244" t="s">
        <v>491</v>
      </c>
      <c r="K244" t="s">
        <v>25</v>
      </c>
      <c r="L244">
        <v>183.22</v>
      </c>
      <c r="M244" s="1">
        <v>46202</v>
      </c>
      <c r="N244" t="s">
        <v>93</v>
      </c>
      <c r="O244">
        <v>29</v>
      </c>
      <c r="P244">
        <v>6</v>
      </c>
      <c r="Q244">
        <v>2</v>
      </c>
      <c r="R244">
        <v>2026</v>
      </c>
    </row>
    <row r="245" spans="1:18">
      <c r="A245">
        <v>70.319999999999993</v>
      </c>
      <c r="B245">
        <v>4</v>
      </c>
      <c r="C245">
        <v>244</v>
      </c>
      <c r="D245" s="2">
        <v>0.5216000462962963</v>
      </c>
      <c r="E245" t="s">
        <v>2169</v>
      </c>
      <c r="F245" t="s">
        <v>2170</v>
      </c>
      <c r="G245" t="s">
        <v>1279</v>
      </c>
      <c r="H245" t="s">
        <v>64</v>
      </c>
      <c r="I245" t="s">
        <v>892</v>
      </c>
      <c r="J245" t="s">
        <v>469</v>
      </c>
      <c r="K245" t="s">
        <v>46</v>
      </c>
      <c r="L245">
        <v>17.579999999999998</v>
      </c>
      <c r="M245" s="1">
        <v>46186</v>
      </c>
      <c r="N245" t="s">
        <v>14</v>
      </c>
      <c r="O245">
        <v>13</v>
      </c>
      <c r="P245">
        <v>6</v>
      </c>
      <c r="Q245">
        <v>2</v>
      </c>
      <c r="R245">
        <v>2026</v>
      </c>
    </row>
    <row r="246" spans="1:18">
      <c r="A246">
        <v>520.43999999999994</v>
      </c>
      <c r="B246">
        <v>3</v>
      </c>
      <c r="C246">
        <v>245</v>
      </c>
      <c r="D246" s="2">
        <v>0.77927517361111109</v>
      </c>
      <c r="E246" t="s">
        <v>2325</v>
      </c>
      <c r="F246" t="s">
        <v>2326</v>
      </c>
      <c r="G246" t="s">
        <v>2117</v>
      </c>
      <c r="H246" t="s">
        <v>548</v>
      </c>
      <c r="I246" t="s">
        <v>790</v>
      </c>
      <c r="J246" t="s">
        <v>728</v>
      </c>
      <c r="K246" t="s">
        <v>46</v>
      </c>
      <c r="L246">
        <v>173.48</v>
      </c>
      <c r="M246" s="1">
        <v>45828</v>
      </c>
      <c r="N246" t="s">
        <v>79</v>
      </c>
      <c r="O246">
        <v>20</v>
      </c>
      <c r="P246">
        <v>6</v>
      </c>
      <c r="Q246">
        <v>2</v>
      </c>
      <c r="R246">
        <v>2025</v>
      </c>
    </row>
    <row r="247" spans="1:18">
      <c r="A247">
        <v>462.45000000000005</v>
      </c>
      <c r="B247">
        <v>3</v>
      </c>
      <c r="C247">
        <v>246</v>
      </c>
      <c r="D247" s="2">
        <v>0.66732682870370374</v>
      </c>
      <c r="E247" t="s">
        <v>2349</v>
      </c>
      <c r="F247" t="s">
        <v>1571</v>
      </c>
      <c r="G247" t="s">
        <v>1045</v>
      </c>
      <c r="H247" t="s">
        <v>919</v>
      </c>
      <c r="I247" t="s">
        <v>786</v>
      </c>
      <c r="J247" t="s">
        <v>599</v>
      </c>
      <c r="K247" t="s">
        <v>27</v>
      </c>
      <c r="L247">
        <v>154.15</v>
      </c>
      <c r="M247" s="1">
        <v>45593</v>
      </c>
      <c r="N247" t="s">
        <v>93</v>
      </c>
      <c r="O247">
        <v>28</v>
      </c>
      <c r="P247">
        <v>10</v>
      </c>
      <c r="Q247">
        <v>4</v>
      </c>
      <c r="R247">
        <v>2024</v>
      </c>
    </row>
    <row r="248" spans="1:18">
      <c r="A248">
        <v>461.84999999999997</v>
      </c>
      <c r="B248">
        <v>3</v>
      </c>
      <c r="C248">
        <v>247</v>
      </c>
      <c r="D248" s="2">
        <v>0.81178917824074071</v>
      </c>
      <c r="E248" t="s">
        <v>2099</v>
      </c>
      <c r="F248" t="s">
        <v>2100</v>
      </c>
      <c r="G248" t="s">
        <v>1085</v>
      </c>
      <c r="H248" t="s">
        <v>1172</v>
      </c>
      <c r="I248" t="s">
        <v>830</v>
      </c>
      <c r="J248" t="s">
        <v>158</v>
      </c>
      <c r="K248" t="s">
        <v>60</v>
      </c>
      <c r="L248">
        <v>153.94999999999999</v>
      </c>
      <c r="M248" s="1">
        <v>46196</v>
      </c>
      <c r="N248" t="s">
        <v>48</v>
      </c>
      <c r="O248">
        <v>23</v>
      </c>
      <c r="P248">
        <v>6</v>
      </c>
      <c r="Q248">
        <v>2</v>
      </c>
      <c r="R248">
        <v>2026</v>
      </c>
    </row>
    <row r="249" spans="1:18">
      <c r="A249">
        <v>444.38</v>
      </c>
      <c r="B249">
        <v>2</v>
      </c>
      <c r="C249">
        <v>248</v>
      </c>
      <c r="D249" s="2">
        <v>0.5661748148148148</v>
      </c>
      <c r="E249" t="s">
        <v>835</v>
      </c>
      <c r="F249" t="s">
        <v>836</v>
      </c>
      <c r="G249" t="s">
        <v>837</v>
      </c>
      <c r="H249" t="s">
        <v>838</v>
      </c>
      <c r="I249" t="s">
        <v>839</v>
      </c>
      <c r="J249" t="s">
        <v>1082</v>
      </c>
      <c r="K249" t="s">
        <v>69</v>
      </c>
      <c r="L249">
        <v>222.19</v>
      </c>
      <c r="M249" s="1">
        <v>45894</v>
      </c>
      <c r="N249" t="s">
        <v>93</v>
      </c>
      <c r="O249">
        <v>25</v>
      </c>
      <c r="P249">
        <v>8</v>
      </c>
      <c r="Q249">
        <v>3</v>
      </c>
      <c r="R249">
        <v>2025</v>
      </c>
    </row>
    <row r="250" spans="1:18">
      <c r="A250">
        <v>567.09</v>
      </c>
      <c r="B250">
        <v>3</v>
      </c>
      <c r="C250">
        <v>249</v>
      </c>
      <c r="D250" s="2">
        <v>0.51862038194444449</v>
      </c>
      <c r="E250" t="s">
        <v>1350</v>
      </c>
      <c r="F250" t="s">
        <v>1351</v>
      </c>
      <c r="G250" t="s">
        <v>1031</v>
      </c>
      <c r="H250" t="s">
        <v>1156</v>
      </c>
      <c r="I250" t="s">
        <v>821</v>
      </c>
      <c r="J250" t="s">
        <v>654</v>
      </c>
      <c r="K250" t="s">
        <v>60</v>
      </c>
      <c r="L250">
        <v>189.03</v>
      </c>
      <c r="M250" s="1">
        <v>45555</v>
      </c>
      <c r="N250" t="s">
        <v>79</v>
      </c>
      <c r="O250">
        <v>20</v>
      </c>
      <c r="P250">
        <v>9</v>
      </c>
      <c r="Q250">
        <v>3</v>
      </c>
      <c r="R250">
        <v>2024</v>
      </c>
    </row>
    <row r="251" spans="1:18">
      <c r="A251">
        <v>426.45000000000005</v>
      </c>
      <c r="B251">
        <v>3</v>
      </c>
      <c r="C251">
        <v>250</v>
      </c>
      <c r="D251" s="2">
        <v>0.15390290509259258</v>
      </c>
      <c r="E251" t="s">
        <v>1898</v>
      </c>
      <c r="F251" t="s">
        <v>1899</v>
      </c>
      <c r="G251" t="s">
        <v>824</v>
      </c>
      <c r="H251" t="s">
        <v>762</v>
      </c>
      <c r="I251" t="s">
        <v>763</v>
      </c>
      <c r="J251" t="s">
        <v>216</v>
      </c>
      <c r="K251" t="s">
        <v>100</v>
      </c>
      <c r="L251">
        <v>142.15</v>
      </c>
      <c r="M251" s="1">
        <v>45845</v>
      </c>
      <c r="N251" t="s">
        <v>93</v>
      </c>
      <c r="O251">
        <v>7</v>
      </c>
      <c r="P251">
        <v>7</v>
      </c>
      <c r="Q251">
        <v>3</v>
      </c>
      <c r="R251">
        <v>2025</v>
      </c>
    </row>
    <row r="252" spans="1:18">
      <c r="A252">
        <v>115.83</v>
      </c>
      <c r="B252">
        <v>3</v>
      </c>
      <c r="C252">
        <v>251</v>
      </c>
      <c r="D252" s="2">
        <v>0.36429721064814813</v>
      </c>
      <c r="E252" t="s">
        <v>3308</v>
      </c>
      <c r="F252" t="s">
        <v>3309</v>
      </c>
      <c r="G252" t="s">
        <v>2848</v>
      </c>
      <c r="H252" t="s">
        <v>708</v>
      </c>
      <c r="I252" t="s">
        <v>834</v>
      </c>
      <c r="J252" t="s">
        <v>58</v>
      </c>
      <c r="K252" t="s">
        <v>25</v>
      </c>
      <c r="L252">
        <v>38.61</v>
      </c>
      <c r="M252" s="1">
        <v>45699</v>
      </c>
      <c r="N252" t="s">
        <v>48</v>
      </c>
      <c r="O252">
        <v>11</v>
      </c>
      <c r="P252">
        <v>2</v>
      </c>
      <c r="Q252">
        <v>1</v>
      </c>
      <c r="R252">
        <v>2025</v>
      </c>
    </row>
    <row r="253" spans="1:18">
      <c r="A253">
        <v>577.1</v>
      </c>
      <c r="B253">
        <v>5</v>
      </c>
      <c r="C253">
        <v>252</v>
      </c>
      <c r="D253" s="2">
        <v>0.40316951388888889</v>
      </c>
      <c r="E253" t="s">
        <v>749</v>
      </c>
      <c r="F253" t="s">
        <v>750</v>
      </c>
      <c r="G253" t="s">
        <v>751</v>
      </c>
      <c r="H253" t="s">
        <v>752</v>
      </c>
      <c r="I253" t="s">
        <v>753</v>
      </c>
      <c r="J253" t="s">
        <v>598</v>
      </c>
      <c r="K253" t="s">
        <v>31</v>
      </c>
      <c r="L253">
        <v>115.42</v>
      </c>
      <c r="M253" s="1">
        <v>46155</v>
      </c>
      <c r="N253" t="s">
        <v>34</v>
      </c>
      <c r="O253">
        <v>13</v>
      </c>
      <c r="P253">
        <v>5</v>
      </c>
      <c r="Q253">
        <v>2</v>
      </c>
      <c r="R253">
        <v>2026</v>
      </c>
    </row>
    <row r="254" spans="1:18">
      <c r="A254">
        <v>461.08</v>
      </c>
      <c r="B254">
        <v>4</v>
      </c>
      <c r="C254">
        <v>253</v>
      </c>
      <c r="D254" s="2">
        <v>0.88661151620370371</v>
      </c>
      <c r="E254" t="s">
        <v>2773</v>
      </c>
      <c r="F254" t="s">
        <v>2774</v>
      </c>
      <c r="G254" t="s">
        <v>2775</v>
      </c>
      <c r="H254" t="s">
        <v>1172</v>
      </c>
      <c r="I254" t="s">
        <v>830</v>
      </c>
      <c r="J254" t="s">
        <v>198</v>
      </c>
      <c r="K254" t="s">
        <v>43</v>
      </c>
      <c r="L254">
        <v>115.27</v>
      </c>
      <c r="M254" s="1">
        <v>45662</v>
      </c>
      <c r="N254" t="s">
        <v>28</v>
      </c>
      <c r="O254">
        <v>5</v>
      </c>
      <c r="P254">
        <v>1</v>
      </c>
      <c r="Q254">
        <v>1</v>
      </c>
      <c r="R254">
        <v>2025</v>
      </c>
    </row>
    <row r="255" spans="1:18">
      <c r="A255">
        <v>96.31</v>
      </c>
      <c r="B255">
        <v>1</v>
      </c>
      <c r="C255">
        <v>254</v>
      </c>
      <c r="D255" s="2">
        <v>8.6088784722222228E-2</v>
      </c>
      <c r="E255" t="s">
        <v>3508</v>
      </c>
      <c r="F255" t="s">
        <v>3509</v>
      </c>
      <c r="G255" t="s">
        <v>875</v>
      </c>
      <c r="H255" t="s">
        <v>1722</v>
      </c>
      <c r="I255" t="s">
        <v>954</v>
      </c>
      <c r="J255" t="s">
        <v>237</v>
      </c>
      <c r="K255" t="s">
        <v>27</v>
      </c>
      <c r="L255">
        <v>96.31</v>
      </c>
      <c r="M255" s="1">
        <v>46206</v>
      </c>
      <c r="N255" t="s">
        <v>79</v>
      </c>
      <c r="O255">
        <v>3</v>
      </c>
      <c r="P255">
        <v>7</v>
      </c>
      <c r="Q255">
        <v>3</v>
      </c>
      <c r="R255">
        <v>2026</v>
      </c>
    </row>
    <row r="256" spans="1:18">
      <c r="A256">
        <v>90.25</v>
      </c>
      <c r="B256">
        <v>5</v>
      </c>
      <c r="C256">
        <v>255</v>
      </c>
      <c r="D256" s="2">
        <v>0.73049146990740743</v>
      </c>
      <c r="E256" t="s">
        <v>1169</v>
      </c>
      <c r="F256" t="s">
        <v>1170</v>
      </c>
      <c r="G256" t="s">
        <v>1171</v>
      </c>
      <c r="H256" t="s">
        <v>1172</v>
      </c>
      <c r="I256" t="s">
        <v>830</v>
      </c>
      <c r="J256" t="s">
        <v>30</v>
      </c>
      <c r="K256" t="s">
        <v>31</v>
      </c>
      <c r="L256">
        <v>18.05</v>
      </c>
      <c r="M256" s="1">
        <v>46233</v>
      </c>
      <c r="N256" t="s">
        <v>105</v>
      </c>
      <c r="O256">
        <v>30</v>
      </c>
      <c r="P256">
        <v>7</v>
      </c>
      <c r="Q256">
        <v>3</v>
      </c>
      <c r="R256">
        <v>2026</v>
      </c>
    </row>
    <row r="257" spans="1:18">
      <c r="A257">
        <v>51.42</v>
      </c>
      <c r="B257">
        <v>3</v>
      </c>
      <c r="C257">
        <v>256</v>
      </c>
      <c r="D257" s="2">
        <v>0.33222380787037037</v>
      </c>
      <c r="E257" t="s">
        <v>3189</v>
      </c>
      <c r="F257" t="s">
        <v>3190</v>
      </c>
      <c r="G257" t="s">
        <v>1876</v>
      </c>
      <c r="H257" t="s">
        <v>932</v>
      </c>
      <c r="I257" t="s">
        <v>776</v>
      </c>
      <c r="J257" t="s">
        <v>633</v>
      </c>
      <c r="K257" t="s">
        <v>17</v>
      </c>
      <c r="L257">
        <v>17.14</v>
      </c>
      <c r="M257" s="1">
        <v>46133</v>
      </c>
      <c r="N257" t="s">
        <v>48</v>
      </c>
      <c r="O257">
        <v>21</v>
      </c>
      <c r="P257">
        <v>4</v>
      </c>
      <c r="Q257">
        <v>2</v>
      </c>
      <c r="R257">
        <v>2026</v>
      </c>
    </row>
    <row r="258" spans="1:18">
      <c r="A258">
        <v>823.8</v>
      </c>
      <c r="B258">
        <v>4</v>
      </c>
      <c r="C258">
        <v>257</v>
      </c>
      <c r="D258" s="2">
        <v>0.89398942129629633</v>
      </c>
      <c r="E258" t="s">
        <v>847</v>
      </c>
      <c r="F258" t="s">
        <v>848</v>
      </c>
      <c r="G258" t="s">
        <v>849</v>
      </c>
      <c r="H258" t="s">
        <v>387</v>
      </c>
      <c r="I258" t="s">
        <v>821</v>
      </c>
      <c r="J258" t="s">
        <v>705</v>
      </c>
      <c r="K258" t="s">
        <v>60</v>
      </c>
      <c r="L258">
        <v>205.95</v>
      </c>
      <c r="M258" s="1">
        <v>45681</v>
      </c>
      <c r="N258" t="s">
        <v>79</v>
      </c>
      <c r="O258">
        <v>24</v>
      </c>
      <c r="P258">
        <v>1</v>
      </c>
      <c r="Q258">
        <v>1</v>
      </c>
      <c r="R258">
        <v>2025</v>
      </c>
    </row>
    <row r="259" spans="1:18">
      <c r="A259">
        <v>996.48</v>
      </c>
      <c r="B259">
        <v>4</v>
      </c>
      <c r="C259">
        <v>258</v>
      </c>
      <c r="D259" s="2">
        <v>0.12125320601851852</v>
      </c>
      <c r="E259" t="s">
        <v>2018</v>
      </c>
      <c r="F259" t="s">
        <v>2019</v>
      </c>
      <c r="G259" t="s">
        <v>2020</v>
      </c>
      <c r="H259" t="s">
        <v>635</v>
      </c>
      <c r="I259" t="s">
        <v>768</v>
      </c>
      <c r="J259" t="s">
        <v>65</v>
      </c>
      <c r="K259" t="s">
        <v>60</v>
      </c>
      <c r="L259">
        <v>249.12</v>
      </c>
      <c r="M259" s="1">
        <v>46142</v>
      </c>
      <c r="N259" t="s">
        <v>105</v>
      </c>
      <c r="O259">
        <v>30</v>
      </c>
      <c r="P259">
        <v>4</v>
      </c>
      <c r="Q259">
        <v>2</v>
      </c>
      <c r="R259">
        <v>2026</v>
      </c>
    </row>
    <row r="260" spans="1:18">
      <c r="A260">
        <v>140.05000000000001</v>
      </c>
      <c r="B260">
        <v>5</v>
      </c>
      <c r="C260">
        <v>259</v>
      </c>
      <c r="D260" s="2">
        <v>0.99786831018518518</v>
      </c>
      <c r="E260" t="s">
        <v>3053</v>
      </c>
      <c r="F260" t="s">
        <v>1355</v>
      </c>
      <c r="G260" t="s">
        <v>3057</v>
      </c>
      <c r="H260" t="s">
        <v>49</v>
      </c>
      <c r="I260" t="s">
        <v>892</v>
      </c>
      <c r="J260" t="s">
        <v>463</v>
      </c>
      <c r="K260" t="s">
        <v>43</v>
      </c>
      <c r="L260">
        <v>28.01</v>
      </c>
      <c r="M260" s="1">
        <v>46252</v>
      </c>
      <c r="N260" t="s">
        <v>48</v>
      </c>
      <c r="O260">
        <v>18</v>
      </c>
      <c r="P260">
        <v>8</v>
      </c>
      <c r="Q260">
        <v>3</v>
      </c>
      <c r="R260">
        <v>2026</v>
      </c>
    </row>
    <row r="261" spans="1:18">
      <c r="A261">
        <v>143.44</v>
      </c>
      <c r="B261">
        <v>2</v>
      </c>
      <c r="C261">
        <v>260</v>
      </c>
      <c r="D261" s="2">
        <v>0.20806329861111111</v>
      </c>
      <c r="E261" t="s">
        <v>1147</v>
      </c>
      <c r="F261" t="s">
        <v>1148</v>
      </c>
      <c r="G261" t="s">
        <v>1149</v>
      </c>
      <c r="H261" t="s">
        <v>1071</v>
      </c>
      <c r="I261" t="s">
        <v>817</v>
      </c>
      <c r="J261" t="s">
        <v>141</v>
      </c>
      <c r="K261" t="s">
        <v>46</v>
      </c>
      <c r="L261">
        <v>71.72</v>
      </c>
      <c r="M261" s="1">
        <v>45821</v>
      </c>
      <c r="N261" t="s">
        <v>79</v>
      </c>
      <c r="O261">
        <v>13</v>
      </c>
      <c r="P261">
        <v>6</v>
      </c>
      <c r="Q261">
        <v>2</v>
      </c>
      <c r="R261">
        <v>2025</v>
      </c>
    </row>
    <row r="262" spans="1:18">
      <c r="A262">
        <v>179.7</v>
      </c>
      <c r="B262">
        <v>2</v>
      </c>
      <c r="C262">
        <v>261</v>
      </c>
      <c r="D262" s="2">
        <v>0.62968576388888886</v>
      </c>
      <c r="E262" t="s">
        <v>1918</v>
      </c>
      <c r="F262" t="s">
        <v>1919</v>
      </c>
      <c r="G262" t="s">
        <v>935</v>
      </c>
      <c r="H262" t="s">
        <v>1920</v>
      </c>
      <c r="I262" t="s">
        <v>807</v>
      </c>
      <c r="J262" t="s">
        <v>381</v>
      </c>
      <c r="K262" t="s">
        <v>27</v>
      </c>
      <c r="L262">
        <v>89.85</v>
      </c>
      <c r="M262" s="1">
        <v>45858</v>
      </c>
      <c r="N262" t="s">
        <v>28</v>
      </c>
      <c r="O262">
        <v>20</v>
      </c>
      <c r="P262">
        <v>7</v>
      </c>
      <c r="Q262">
        <v>3</v>
      </c>
      <c r="R262">
        <v>2025</v>
      </c>
    </row>
    <row r="263" spans="1:18">
      <c r="A263">
        <v>710.76</v>
      </c>
      <c r="B263">
        <v>4</v>
      </c>
      <c r="C263">
        <v>262</v>
      </c>
      <c r="D263" s="2">
        <v>8.5456458333333332E-2</v>
      </c>
      <c r="E263" t="s">
        <v>933</v>
      </c>
      <c r="F263" t="s">
        <v>934</v>
      </c>
      <c r="G263" t="s">
        <v>935</v>
      </c>
      <c r="H263" t="s">
        <v>322</v>
      </c>
      <c r="I263" t="s">
        <v>795</v>
      </c>
      <c r="J263" t="s">
        <v>52</v>
      </c>
      <c r="K263" t="s">
        <v>21</v>
      </c>
      <c r="L263">
        <v>177.69</v>
      </c>
      <c r="M263" s="1">
        <v>46141</v>
      </c>
      <c r="N263" t="s">
        <v>34</v>
      </c>
      <c r="O263">
        <v>29</v>
      </c>
      <c r="P263">
        <v>4</v>
      </c>
      <c r="Q263">
        <v>2</v>
      </c>
      <c r="R263">
        <v>2026</v>
      </c>
    </row>
    <row r="264" spans="1:18">
      <c r="A264">
        <v>109.22999999999999</v>
      </c>
      <c r="B264">
        <v>3</v>
      </c>
      <c r="C264">
        <v>263</v>
      </c>
      <c r="D264" s="2">
        <v>0.35788556712962966</v>
      </c>
      <c r="E264" t="s">
        <v>950</v>
      </c>
      <c r="F264" t="s">
        <v>951</v>
      </c>
      <c r="G264" t="s">
        <v>952</v>
      </c>
      <c r="H264" t="s">
        <v>953</v>
      </c>
      <c r="I264" t="s">
        <v>954</v>
      </c>
      <c r="J264" t="s">
        <v>607</v>
      </c>
      <c r="K264" t="s">
        <v>43</v>
      </c>
      <c r="L264">
        <v>36.409999999999997</v>
      </c>
      <c r="M264" s="1">
        <v>46183</v>
      </c>
      <c r="N264" t="s">
        <v>34</v>
      </c>
      <c r="O264">
        <v>10</v>
      </c>
      <c r="P264">
        <v>6</v>
      </c>
      <c r="Q264">
        <v>2</v>
      </c>
      <c r="R264">
        <v>2026</v>
      </c>
    </row>
    <row r="265" spans="1:18">
      <c r="A265">
        <v>549.65000000000009</v>
      </c>
      <c r="B265">
        <v>5</v>
      </c>
      <c r="C265">
        <v>264</v>
      </c>
      <c r="D265" s="2">
        <v>0.84935708333333337</v>
      </c>
      <c r="E265" t="s">
        <v>2604</v>
      </c>
      <c r="F265" t="s">
        <v>2605</v>
      </c>
      <c r="G265" t="s">
        <v>1253</v>
      </c>
      <c r="H265" t="s">
        <v>1236</v>
      </c>
      <c r="I265" t="s">
        <v>807</v>
      </c>
      <c r="J265" t="s">
        <v>360</v>
      </c>
      <c r="K265" t="s">
        <v>43</v>
      </c>
      <c r="L265">
        <v>109.93</v>
      </c>
      <c r="M265" s="1">
        <v>46195</v>
      </c>
      <c r="N265" t="s">
        <v>93</v>
      </c>
      <c r="O265">
        <v>22</v>
      </c>
      <c r="P265">
        <v>6</v>
      </c>
      <c r="Q265">
        <v>2</v>
      </c>
      <c r="R265">
        <v>2026</v>
      </c>
    </row>
    <row r="266" spans="1:18">
      <c r="A266">
        <v>438.35</v>
      </c>
      <c r="B266">
        <v>5</v>
      </c>
      <c r="C266">
        <v>265</v>
      </c>
      <c r="D266" s="2">
        <v>0.9549314699074074</v>
      </c>
      <c r="E266" t="s">
        <v>1994</v>
      </c>
      <c r="F266" t="s">
        <v>864</v>
      </c>
      <c r="G266" t="s">
        <v>1881</v>
      </c>
      <c r="H266" t="s">
        <v>1002</v>
      </c>
      <c r="I266" t="s">
        <v>892</v>
      </c>
      <c r="J266" t="s">
        <v>1774</v>
      </c>
      <c r="K266" t="s">
        <v>27</v>
      </c>
      <c r="L266">
        <v>87.67</v>
      </c>
      <c r="M266" s="1">
        <v>45601</v>
      </c>
      <c r="N266" t="s">
        <v>48</v>
      </c>
      <c r="O266">
        <v>5</v>
      </c>
      <c r="P266">
        <v>11</v>
      </c>
      <c r="Q266">
        <v>4</v>
      </c>
      <c r="R266">
        <v>2024</v>
      </c>
    </row>
    <row r="267" spans="1:18">
      <c r="A267">
        <v>383.38</v>
      </c>
      <c r="B267">
        <v>2</v>
      </c>
      <c r="C267">
        <v>266</v>
      </c>
      <c r="D267" s="2">
        <v>0.42662922453703706</v>
      </c>
      <c r="E267" t="s">
        <v>2233</v>
      </c>
      <c r="F267" t="s">
        <v>2234</v>
      </c>
      <c r="G267" t="s">
        <v>2235</v>
      </c>
      <c r="H267" t="s">
        <v>1755</v>
      </c>
      <c r="I267" t="s">
        <v>786</v>
      </c>
      <c r="J267" t="s">
        <v>186</v>
      </c>
      <c r="K267" t="s">
        <v>37</v>
      </c>
      <c r="L267">
        <v>191.69</v>
      </c>
      <c r="M267" s="1">
        <v>46175</v>
      </c>
      <c r="N267" t="s">
        <v>48</v>
      </c>
      <c r="O267">
        <v>2</v>
      </c>
      <c r="P267">
        <v>6</v>
      </c>
      <c r="Q267">
        <v>2</v>
      </c>
      <c r="R267">
        <v>2026</v>
      </c>
    </row>
    <row r="268" spans="1:18">
      <c r="A268">
        <v>68.11</v>
      </c>
      <c r="B268">
        <v>1</v>
      </c>
      <c r="C268">
        <v>267</v>
      </c>
      <c r="D268" s="2">
        <v>0.65832989583333335</v>
      </c>
      <c r="E268" t="s">
        <v>2408</v>
      </c>
      <c r="F268" t="s">
        <v>2778</v>
      </c>
      <c r="G268" t="s">
        <v>1452</v>
      </c>
      <c r="H268" t="s">
        <v>1550</v>
      </c>
      <c r="I268" t="s">
        <v>776</v>
      </c>
      <c r="J268" t="s">
        <v>739</v>
      </c>
      <c r="K268" t="s">
        <v>27</v>
      </c>
      <c r="L268">
        <v>68.11</v>
      </c>
      <c r="M268" s="1">
        <v>45860</v>
      </c>
      <c r="N268" t="s">
        <v>48</v>
      </c>
      <c r="O268">
        <v>22</v>
      </c>
      <c r="P268">
        <v>7</v>
      </c>
      <c r="Q268">
        <v>3</v>
      </c>
      <c r="R268">
        <v>2025</v>
      </c>
    </row>
    <row r="269" spans="1:18">
      <c r="A269">
        <v>122.89</v>
      </c>
      <c r="B269">
        <v>1</v>
      </c>
      <c r="C269">
        <v>268</v>
      </c>
      <c r="D269" s="2">
        <v>0.84840245370370371</v>
      </c>
      <c r="E269" t="s">
        <v>2045</v>
      </c>
      <c r="F269" t="s">
        <v>2046</v>
      </c>
      <c r="G269" t="s">
        <v>833</v>
      </c>
      <c r="H269" t="s">
        <v>1061</v>
      </c>
      <c r="I269" t="s">
        <v>812</v>
      </c>
      <c r="J269" t="s">
        <v>665</v>
      </c>
      <c r="K269" t="s">
        <v>17</v>
      </c>
      <c r="L269">
        <v>122.89</v>
      </c>
      <c r="M269" s="1">
        <v>45920</v>
      </c>
      <c r="N269" t="s">
        <v>14</v>
      </c>
      <c r="O269">
        <v>20</v>
      </c>
      <c r="P269">
        <v>9</v>
      </c>
      <c r="Q269">
        <v>3</v>
      </c>
      <c r="R269">
        <v>2025</v>
      </c>
    </row>
    <row r="270" spans="1:18">
      <c r="A270">
        <v>877.04</v>
      </c>
      <c r="B270">
        <v>4</v>
      </c>
      <c r="C270">
        <v>269</v>
      </c>
      <c r="D270" s="2">
        <v>0.84197702546296294</v>
      </c>
      <c r="E270" t="s">
        <v>2268</v>
      </c>
      <c r="F270" t="s">
        <v>2269</v>
      </c>
      <c r="G270" t="s">
        <v>1305</v>
      </c>
      <c r="H270" t="s">
        <v>869</v>
      </c>
      <c r="I270" t="s">
        <v>1247</v>
      </c>
      <c r="J270" t="s">
        <v>162</v>
      </c>
      <c r="K270" t="s">
        <v>51</v>
      </c>
      <c r="L270">
        <v>219.26</v>
      </c>
      <c r="M270" s="1">
        <v>45588</v>
      </c>
      <c r="N270" t="s">
        <v>34</v>
      </c>
      <c r="O270">
        <v>23</v>
      </c>
      <c r="P270">
        <v>10</v>
      </c>
      <c r="Q270">
        <v>4</v>
      </c>
      <c r="R270">
        <v>2024</v>
      </c>
    </row>
    <row r="271" spans="1:18">
      <c r="A271">
        <v>701.73</v>
      </c>
      <c r="B271">
        <v>3</v>
      </c>
      <c r="C271">
        <v>270</v>
      </c>
      <c r="D271" s="2">
        <v>0.58821332175925922</v>
      </c>
      <c r="E271" t="s">
        <v>2980</v>
      </c>
      <c r="F271" t="s">
        <v>2981</v>
      </c>
      <c r="G271" t="s">
        <v>1140</v>
      </c>
      <c r="H271" t="s">
        <v>2982</v>
      </c>
      <c r="I271" t="s">
        <v>839</v>
      </c>
      <c r="J271" t="s">
        <v>272</v>
      </c>
      <c r="K271" t="s">
        <v>55</v>
      </c>
      <c r="L271">
        <v>233.91</v>
      </c>
      <c r="M271" s="1">
        <v>46035</v>
      </c>
      <c r="N271" t="s">
        <v>48</v>
      </c>
      <c r="O271">
        <v>13</v>
      </c>
      <c r="P271">
        <v>1</v>
      </c>
      <c r="Q271">
        <v>1</v>
      </c>
      <c r="R271">
        <v>2026</v>
      </c>
    </row>
    <row r="272" spans="1:18">
      <c r="A272">
        <v>700.56000000000006</v>
      </c>
      <c r="B272">
        <v>3</v>
      </c>
      <c r="C272">
        <v>271</v>
      </c>
      <c r="D272" s="2">
        <v>1.7939768518518518E-2</v>
      </c>
      <c r="E272" t="s">
        <v>920</v>
      </c>
      <c r="F272" t="s">
        <v>921</v>
      </c>
      <c r="G272" t="s">
        <v>922</v>
      </c>
      <c r="H272" t="s">
        <v>380</v>
      </c>
      <c r="I272" t="s">
        <v>776</v>
      </c>
      <c r="J272" t="s">
        <v>676</v>
      </c>
      <c r="K272" t="s">
        <v>69</v>
      </c>
      <c r="L272">
        <v>233.52</v>
      </c>
      <c r="M272" s="1">
        <v>45759</v>
      </c>
      <c r="N272" t="s">
        <v>14</v>
      </c>
      <c r="O272">
        <v>12</v>
      </c>
      <c r="P272">
        <v>4</v>
      </c>
      <c r="Q272">
        <v>2</v>
      </c>
      <c r="R272">
        <v>2025</v>
      </c>
    </row>
    <row r="273" spans="1:18">
      <c r="A273">
        <v>338.52</v>
      </c>
      <c r="B273">
        <v>4</v>
      </c>
      <c r="C273">
        <v>272</v>
      </c>
      <c r="D273" s="2">
        <v>0.29605879629629628</v>
      </c>
      <c r="E273" t="s">
        <v>1583</v>
      </c>
      <c r="F273" t="s">
        <v>1584</v>
      </c>
      <c r="G273" t="s">
        <v>1585</v>
      </c>
      <c r="H273" t="s">
        <v>113</v>
      </c>
      <c r="I273" t="s">
        <v>1247</v>
      </c>
      <c r="J273" t="s">
        <v>495</v>
      </c>
      <c r="K273" t="s">
        <v>39</v>
      </c>
      <c r="L273">
        <v>84.63</v>
      </c>
      <c r="M273" s="1">
        <v>46265</v>
      </c>
      <c r="N273" t="s">
        <v>93</v>
      </c>
      <c r="O273">
        <v>31</v>
      </c>
      <c r="P273">
        <v>8</v>
      </c>
      <c r="Q273">
        <v>3</v>
      </c>
      <c r="R273">
        <v>2026</v>
      </c>
    </row>
    <row r="274" spans="1:18">
      <c r="A274">
        <v>770.55000000000007</v>
      </c>
      <c r="B274">
        <v>5</v>
      </c>
      <c r="C274">
        <v>273</v>
      </c>
      <c r="D274" s="2">
        <v>0.31695974537037036</v>
      </c>
      <c r="E274" t="s">
        <v>1966</v>
      </c>
      <c r="F274" t="s">
        <v>1967</v>
      </c>
      <c r="G274" t="s">
        <v>1968</v>
      </c>
      <c r="H274" t="s">
        <v>1421</v>
      </c>
      <c r="I274" t="s">
        <v>776</v>
      </c>
      <c r="J274" t="s">
        <v>161</v>
      </c>
      <c r="K274" t="s">
        <v>37</v>
      </c>
      <c r="L274">
        <v>154.11000000000001</v>
      </c>
      <c r="M274" s="1">
        <v>46011</v>
      </c>
      <c r="N274" t="s">
        <v>14</v>
      </c>
      <c r="O274">
        <v>20</v>
      </c>
      <c r="P274">
        <v>12</v>
      </c>
      <c r="Q274">
        <v>4</v>
      </c>
      <c r="R274">
        <v>2025</v>
      </c>
    </row>
    <row r="275" spans="1:18">
      <c r="A275">
        <v>1072.95</v>
      </c>
      <c r="B275">
        <v>5</v>
      </c>
      <c r="C275">
        <v>274</v>
      </c>
      <c r="D275" s="2">
        <v>0.95684103009259258</v>
      </c>
      <c r="E275" t="s">
        <v>1243</v>
      </c>
      <c r="F275" t="s">
        <v>1244</v>
      </c>
      <c r="G275" t="s">
        <v>1245</v>
      </c>
      <c r="H275" t="s">
        <v>1246</v>
      </c>
      <c r="I275" t="s">
        <v>1247</v>
      </c>
      <c r="J275" t="s">
        <v>571</v>
      </c>
      <c r="K275" t="s">
        <v>23</v>
      </c>
      <c r="L275">
        <v>214.59</v>
      </c>
      <c r="M275" s="1">
        <v>45587</v>
      </c>
      <c r="N275" t="s">
        <v>48</v>
      </c>
      <c r="O275">
        <v>22</v>
      </c>
      <c r="P275">
        <v>10</v>
      </c>
      <c r="Q275">
        <v>4</v>
      </c>
      <c r="R275">
        <v>2024</v>
      </c>
    </row>
    <row r="276" spans="1:18">
      <c r="A276">
        <v>224.2</v>
      </c>
      <c r="B276">
        <v>4</v>
      </c>
      <c r="C276">
        <v>275</v>
      </c>
      <c r="D276" s="2">
        <v>0.15461810185185185</v>
      </c>
      <c r="E276" t="s">
        <v>3356</v>
      </c>
      <c r="F276" t="s">
        <v>3357</v>
      </c>
      <c r="G276" t="s">
        <v>3358</v>
      </c>
      <c r="H276" t="s">
        <v>392</v>
      </c>
      <c r="I276" t="s">
        <v>943</v>
      </c>
      <c r="J276" t="s">
        <v>32</v>
      </c>
      <c r="K276" t="s">
        <v>19</v>
      </c>
      <c r="L276">
        <v>56.05</v>
      </c>
      <c r="M276" s="1">
        <v>45907</v>
      </c>
      <c r="N276" t="s">
        <v>28</v>
      </c>
      <c r="O276">
        <v>7</v>
      </c>
      <c r="P276">
        <v>9</v>
      </c>
      <c r="Q276">
        <v>3</v>
      </c>
      <c r="R276">
        <v>2025</v>
      </c>
    </row>
    <row r="277" spans="1:18">
      <c r="A277">
        <v>710.84999999999991</v>
      </c>
      <c r="B277">
        <v>3</v>
      </c>
      <c r="C277">
        <v>276</v>
      </c>
      <c r="D277" s="2">
        <v>0.69198920138888886</v>
      </c>
      <c r="E277" t="s">
        <v>2724</v>
      </c>
      <c r="F277" t="s">
        <v>2725</v>
      </c>
      <c r="G277" t="s">
        <v>2726</v>
      </c>
      <c r="H277" t="s">
        <v>965</v>
      </c>
      <c r="I277" t="s">
        <v>966</v>
      </c>
      <c r="J277" t="s">
        <v>50</v>
      </c>
      <c r="K277" t="s">
        <v>51</v>
      </c>
      <c r="L277">
        <v>236.95</v>
      </c>
      <c r="M277" s="1">
        <v>45747</v>
      </c>
      <c r="N277" t="s">
        <v>93</v>
      </c>
      <c r="O277">
        <v>31</v>
      </c>
      <c r="P277">
        <v>3</v>
      </c>
      <c r="Q277">
        <v>1</v>
      </c>
      <c r="R277">
        <v>2025</v>
      </c>
    </row>
    <row r="278" spans="1:18">
      <c r="A278">
        <v>1035.3499999999999</v>
      </c>
      <c r="B278">
        <v>5</v>
      </c>
      <c r="C278">
        <v>277</v>
      </c>
      <c r="D278" s="2">
        <v>0.72144734953703704</v>
      </c>
      <c r="E278" t="s">
        <v>897</v>
      </c>
      <c r="F278" t="s">
        <v>898</v>
      </c>
      <c r="G278" t="s">
        <v>899</v>
      </c>
      <c r="H278" t="s">
        <v>280</v>
      </c>
      <c r="I278" t="s">
        <v>812</v>
      </c>
      <c r="J278" t="s">
        <v>201</v>
      </c>
      <c r="K278" t="s">
        <v>37</v>
      </c>
      <c r="L278">
        <v>207.07</v>
      </c>
      <c r="M278" s="1">
        <v>45754</v>
      </c>
      <c r="N278" t="s">
        <v>93</v>
      </c>
      <c r="O278">
        <v>7</v>
      </c>
      <c r="P278">
        <v>4</v>
      </c>
      <c r="Q278">
        <v>2</v>
      </c>
      <c r="R278">
        <v>2025</v>
      </c>
    </row>
    <row r="279" spans="1:18">
      <c r="A279">
        <v>262.86</v>
      </c>
      <c r="B279">
        <v>3</v>
      </c>
      <c r="C279">
        <v>278</v>
      </c>
      <c r="D279" s="2">
        <v>0.25629927083333331</v>
      </c>
      <c r="E279" t="s">
        <v>2099</v>
      </c>
      <c r="F279" t="s">
        <v>2100</v>
      </c>
      <c r="G279" t="s">
        <v>1085</v>
      </c>
      <c r="H279" t="s">
        <v>1172</v>
      </c>
      <c r="I279" t="s">
        <v>830</v>
      </c>
      <c r="J279" t="s">
        <v>59</v>
      </c>
      <c r="K279" t="s">
        <v>60</v>
      </c>
      <c r="L279">
        <v>87.62</v>
      </c>
      <c r="M279" s="1">
        <v>45569</v>
      </c>
      <c r="N279" t="s">
        <v>79</v>
      </c>
      <c r="O279">
        <v>4</v>
      </c>
      <c r="P279">
        <v>10</v>
      </c>
      <c r="Q279">
        <v>4</v>
      </c>
      <c r="R279">
        <v>2024</v>
      </c>
    </row>
    <row r="280" spans="1:18">
      <c r="A280">
        <v>54.150000000000006</v>
      </c>
      <c r="B280">
        <v>3</v>
      </c>
      <c r="C280">
        <v>279</v>
      </c>
      <c r="D280" s="2">
        <v>0.27146983796296298</v>
      </c>
      <c r="E280" t="s">
        <v>2722</v>
      </c>
      <c r="F280" t="s">
        <v>2723</v>
      </c>
      <c r="G280" t="s">
        <v>1440</v>
      </c>
      <c r="H280" t="s">
        <v>380</v>
      </c>
      <c r="I280" t="s">
        <v>776</v>
      </c>
      <c r="J280" t="s">
        <v>30</v>
      </c>
      <c r="K280" t="s">
        <v>31</v>
      </c>
      <c r="L280">
        <v>18.05</v>
      </c>
      <c r="M280" s="1">
        <v>45897</v>
      </c>
      <c r="N280" t="s">
        <v>105</v>
      </c>
      <c r="O280">
        <v>28</v>
      </c>
      <c r="P280">
        <v>8</v>
      </c>
      <c r="Q280">
        <v>3</v>
      </c>
      <c r="R280">
        <v>2025</v>
      </c>
    </row>
    <row r="281" spans="1:18">
      <c r="A281">
        <v>391.91999999999996</v>
      </c>
      <c r="B281">
        <v>3</v>
      </c>
      <c r="C281">
        <v>280</v>
      </c>
      <c r="D281" s="2">
        <v>0.3488392939814815</v>
      </c>
      <c r="E281" t="s">
        <v>1923</v>
      </c>
      <c r="F281" t="s">
        <v>2593</v>
      </c>
      <c r="G281" t="s">
        <v>2594</v>
      </c>
      <c r="H281" t="s">
        <v>708</v>
      </c>
      <c r="I281" t="s">
        <v>834</v>
      </c>
      <c r="J281" t="s">
        <v>553</v>
      </c>
      <c r="K281" t="s">
        <v>100</v>
      </c>
      <c r="L281">
        <v>130.63999999999999</v>
      </c>
      <c r="M281" s="1">
        <v>45618</v>
      </c>
      <c r="N281" t="s">
        <v>79</v>
      </c>
      <c r="O281">
        <v>22</v>
      </c>
      <c r="P281">
        <v>11</v>
      </c>
      <c r="Q281">
        <v>4</v>
      </c>
      <c r="R281">
        <v>2024</v>
      </c>
    </row>
    <row r="282" spans="1:18">
      <c r="A282">
        <v>444.84000000000003</v>
      </c>
      <c r="B282">
        <v>3</v>
      </c>
      <c r="C282">
        <v>281</v>
      </c>
      <c r="D282" s="2">
        <v>7.8915567129629632E-2</v>
      </c>
      <c r="E282" t="s">
        <v>1578</v>
      </c>
      <c r="F282" t="s">
        <v>1579</v>
      </c>
      <c r="G282" t="s">
        <v>891</v>
      </c>
      <c r="H282" t="s">
        <v>106</v>
      </c>
      <c r="I282" t="s">
        <v>748</v>
      </c>
      <c r="J282" t="s">
        <v>568</v>
      </c>
      <c r="K282" t="s">
        <v>51</v>
      </c>
      <c r="L282">
        <v>148.28</v>
      </c>
      <c r="M282" s="1">
        <v>46190</v>
      </c>
      <c r="N282" t="s">
        <v>34</v>
      </c>
      <c r="O282">
        <v>17</v>
      </c>
      <c r="P282">
        <v>6</v>
      </c>
      <c r="Q282">
        <v>2</v>
      </c>
      <c r="R282">
        <v>2026</v>
      </c>
    </row>
    <row r="283" spans="1:18">
      <c r="A283">
        <v>162.15</v>
      </c>
      <c r="B283">
        <v>5</v>
      </c>
      <c r="C283">
        <v>282</v>
      </c>
      <c r="D283" s="2">
        <v>0.50554234953703703</v>
      </c>
      <c r="E283" t="s">
        <v>876</v>
      </c>
      <c r="F283" t="s">
        <v>877</v>
      </c>
      <c r="G283" t="s">
        <v>878</v>
      </c>
      <c r="H283" t="s">
        <v>879</v>
      </c>
      <c r="I283" t="s">
        <v>748</v>
      </c>
      <c r="J283" t="s">
        <v>77</v>
      </c>
      <c r="K283" t="s">
        <v>17</v>
      </c>
      <c r="L283">
        <v>32.43</v>
      </c>
      <c r="M283" s="1">
        <v>46114</v>
      </c>
      <c r="N283" t="s">
        <v>105</v>
      </c>
      <c r="O283">
        <v>2</v>
      </c>
      <c r="P283">
        <v>4</v>
      </c>
      <c r="Q283">
        <v>2</v>
      </c>
      <c r="R283">
        <v>2026</v>
      </c>
    </row>
    <row r="284" spans="1:18">
      <c r="A284">
        <v>430.71</v>
      </c>
      <c r="B284">
        <v>3</v>
      </c>
      <c r="C284">
        <v>283</v>
      </c>
      <c r="D284" s="2">
        <v>0.81571990740740741</v>
      </c>
      <c r="E284" t="s">
        <v>3333</v>
      </c>
      <c r="F284" t="s">
        <v>3334</v>
      </c>
      <c r="G284" t="s">
        <v>1220</v>
      </c>
      <c r="H284" t="s">
        <v>1465</v>
      </c>
      <c r="I284" t="s">
        <v>817</v>
      </c>
      <c r="J284" t="s">
        <v>514</v>
      </c>
      <c r="K284" t="s">
        <v>23</v>
      </c>
      <c r="L284">
        <v>143.57</v>
      </c>
      <c r="M284" s="1">
        <v>45664</v>
      </c>
      <c r="N284" t="s">
        <v>48</v>
      </c>
      <c r="O284">
        <v>7</v>
      </c>
      <c r="P284">
        <v>1</v>
      </c>
      <c r="Q284">
        <v>1</v>
      </c>
      <c r="R284">
        <v>2025</v>
      </c>
    </row>
    <row r="285" spans="1:18">
      <c r="A285">
        <v>231.14999999999998</v>
      </c>
      <c r="B285">
        <v>3</v>
      </c>
      <c r="C285">
        <v>284</v>
      </c>
      <c r="D285" s="2">
        <v>8.5246863425925926E-2</v>
      </c>
      <c r="E285" t="s">
        <v>2106</v>
      </c>
      <c r="F285" t="s">
        <v>2107</v>
      </c>
      <c r="G285" t="s">
        <v>2108</v>
      </c>
      <c r="H285" t="s">
        <v>1395</v>
      </c>
      <c r="I285" t="s">
        <v>776</v>
      </c>
      <c r="J285" t="s">
        <v>509</v>
      </c>
      <c r="K285" t="s">
        <v>19</v>
      </c>
      <c r="L285">
        <v>77.05</v>
      </c>
      <c r="M285" s="1">
        <v>45567</v>
      </c>
      <c r="N285" t="s">
        <v>34</v>
      </c>
      <c r="O285">
        <v>2</v>
      </c>
      <c r="P285">
        <v>10</v>
      </c>
      <c r="Q285">
        <v>4</v>
      </c>
      <c r="R285">
        <v>2024</v>
      </c>
    </row>
    <row r="286" spans="1:18">
      <c r="A286">
        <v>152.72999999999999</v>
      </c>
      <c r="B286">
        <v>3</v>
      </c>
      <c r="C286">
        <v>285</v>
      </c>
      <c r="D286" s="2">
        <v>0.68039615740740744</v>
      </c>
      <c r="E286" t="s">
        <v>1595</v>
      </c>
      <c r="F286" t="s">
        <v>1596</v>
      </c>
      <c r="G286" t="s">
        <v>1597</v>
      </c>
      <c r="H286" t="s">
        <v>691</v>
      </c>
      <c r="I286" t="s">
        <v>776</v>
      </c>
      <c r="J286" t="s">
        <v>197</v>
      </c>
      <c r="K286" t="s">
        <v>19</v>
      </c>
      <c r="L286">
        <v>50.91</v>
      </c>
      <c r="M286" s="1">
        <v>46118</v>
      </c>
      <c r="N286" t="s">
        <v>93</v>
      </c>
      <c r="O286">
        <v>6</v>
      </c>
      <c r="P286">
        <v>4</v>
      </c>
      <c r="Q286">
        <v>2</v>
      </c>
      <c r="R286">
        <v>2026</v>
      </c>
    </row>
    <row r="287" spans="1:18">
      <c r="A287">
        <v>254.76</v>
      </c>
      <c r="B287">
        <v>2</v>
      </c>
      <c r="C287">
        <v>286</v>
      </c>
      <c r="D287" s="2">
        <v>0.54290913194444446</v>
      </c>
      <c r="E287" t="s">
        <v>2717</v>
      </c>
      <c r="F287" t="s">
        <v>2718</v>
      </c>
      <c r="G287" t="s">
        <v>941</v>
      </c>
      <c r="H287" t="s">
        <v>1434</v>
      </c>
      <c r="I287" t="s">
        <v>786</v>
      </c>
      <c r="J287" t="s">
        <v>1217</v>
      </c>
      <c r="K287" t="s">
        <v>122</v>
      </c>
      <c r="L287">
        <v>127.38</v>
      </c>
      <c r="M287" s="1">
        <v>46073</v>
      </c>
      <c r="N287" t="s">
        <v>79</v>
      </c>
      <c r="O287">
        <v>20</v>
      </c>
      <c r="P287">
        <v>2</v>
      </c>
      <c r="Q287">
        <v>1</v>
      </c>
      <c r="R287">
        <v>2026</v>
      </c>
    </row>
    <row r="288" spans="1:18">
      <c r="A288">
        <v>400.24</v>
      </c>
      <c r="B288">
        <v>2</v>
      </c>
      <c r="C288">
        <v>287</v>
      </c>
      <c r="D288" s="2">
        <v>0.99931414351851855</v>
      </c>
      <c r="E288" t="s">
        <v>1802</v>
      </c>
      <c r="F288" t="s">
        <v>1803</v>
      </c>
      <c r="G288" t="s">
        <v>906</v>
      </c>
      <c r="H288" t="s">
        <v>970</v>
      </c>
      <c r="I288" t="s">
        <v>790</v>
      </c>
      <c r="J288" t="s">
        <v>239</v>
      </c>
      <c r="K288" t="s">
        <v>23</v>
      </c>
      <c r="L288">
        <v>200.12</v>
      </c>
      <c r="M288" s="1">
        <v>45852</v>
      </c>
      <c r="N288" t="s">
        <v>93</v>
      </c>
      <c r="O288">
        <v>14</v>
      </c>
      <c r="P288">
        <v>7</v>
      </c>
      <c r="Q288">
        <v>3</v>
      </c>
      <c r="R288">
        <v>2025</v>
      </c>
    </row>
    <row r="289" spans="1:18">
      <c r="A289">
        <v>700.68000000000006</v>
      </c>
      <c r="B289">
        <v>3</v>
      </c>
      <c r="C289">
        <v>288</v>
      </c>
      <c r="D289" s="2">
        <v>0.14565216435185185</v>
      </c>
      <c r="E289" t="s">
        <v>2888</v>
      </c>
      <c r="F289" t="s">
        <v>2889</v>
      </c>
      <c r="G289" t="s">
        <v>2114</v>
      </c>
      <c r="H289" t="s">
        <v>929</v>
      </c>
      <c r="I289" t="s">
        <v>830</v>
      </c>
      <c r="J289" t="s">
        <v>247</v>
      </c>
      <c r="K289" t="s">
        <v>55</v>
      </c>
      <c r="L289">
        <v>233.56</v>
      </c>
      <c r="M289" s="1">
        <v>45727</v>
      </c>
      <c r="N289" t="s">
        <v>48</v>
      </c>
      <c r="O289">
        <v>11</v>
      </c>
      <c r="P289">
        <v>3</v>
      </c>
      <c r="Q289">
        <v>1</v>
      </c>
      <c r="R289">
        <v>2025</v>
      </c>
    </row>
    <row r="290" spans="1:18">
      <c r="A290">
        <v>722.4</v>
      </c>
      <c r="B290">
        <v>5</v>
      </c>
      <c r="C290">
        <v>289</v>
      </c>
      <c r="D290" s="2">
        <v>0.52122033564814818</v>
      </c>
      <c r="E290" t="s">
        <v>2943</v>
      </c>
      <c r="F290" t="s">
        <v>2137</v>
      </c>
      <c r="G290" t="s">
        <v>1606</v>
      </c>
      <c r="H290" t="s">
        <v>619</v>
      </c>
      <c r="I290" t="s">
        <v>758</v>
      </c>
      <c r="J290" t="s">
        <v>1441</v>
      </c>
      <c r="K290" t="s">
        <v>19</v>
      </c>
      <c r="L290">
        <v>144.47999999999999</v>
      </c>
      <c r="M290" s="1">
        <v>45889</v>
      </c>
      <c r="N290" t="s">
        <v>34</v>
      </c>
      <c r="O290">
        <v>20</v>
      </c>
      <c r="P290">
        <v>8</v>
      </c>
      <c r="Q290">
        <v>3</v>
      </c>
      <c r="R290">
        <v>2025</v>
      </c>
    </row>
    <row r="291" spans="1:18">
      <c r="A291">
        <v>115.85000000000001</v>
      </c>
      <c r="B291">
        <v>5</v>
      </c>
      <c r="C291">
        <v>290</v>
      </c>
      <c r="D291" s="2">
        <v>0.88669309027777776</v>
      </c>
      <c r="E291" t="s">
        <v>2669</v>
      </c>
      <c r="F291" t="s">
        <v>2670</v>
      </c>
      <c r="G291" t="s">
        <v>1025</v>
      </c>
      <c r="H291" t="s">
        <v>942</v>
      </c>
      <c r="I291" t="s">
        <v>943</v>
      </c>
      <c r="J291" t="s">
        <v>726</v>
      </c>
      <c r="K291" t="s">
        <v>100</v>
      </c>
      <c r="L291">
        <v>23.17</v>
      </c>
      <c r="M291" s="1">
        <v>45585</v>
      </c>
      <c r="N291" t="s">
        <v>28</v>
      </c>
      <c r="O291">
        <v>20</v>
      </c>
      <c r="P291">
        <v>10</v>
      </c>
      <c r="Q291">
        <v>4</v>
      </c>
      <c r="R291">
        <v>2024</v>
      </c>
    </row>
    <row r="292" spans="1:18">
      <c r="A292">
        <v>35.49</v>
      </c>
      <c r="B292">
        <v>3</v>
      </c>
      <c r="C292">
        <v>291</v>
      </c>
      <c r="D292" s="2">
        <v>0.33192917824074075</v>
      </c>
      <c r="E292" t="s">
        <v>1832</v>
      </c>
      <c r="F292" t="s">
        <v>1833</v>
      </c>
      <c r="G292" t="s">
        <v>1358</v>
      </c>
      <c r="H292" t="s">
        <v>825</v>
      </c>
      <c r="I292" t="s">
        <v>781</v>
      </c>
      <c r="J292" t="s">
        <v>220</v>
      </c>
      <c r="K292" t="s">
        <v>97</v>
      </c>
      <c r="L292">
        <v>11.83</v>
      </c>
      <c r="M292" s="1">
        <v>45557</v>
      </c>
      <c r="N292" t="s">
        <v>28</v>
      </c>
      <c r="O292">
        <v>22</v>
      </c>
      <c r="P292">
        <v>9</v>
      </c>
      <c r="Q292">
        <v>3</v>
      </c>
      <c r="R292">
        <v>2024</v>
      </c>
    </row>
    <row r="293" spans="1:18">
      <c r="A293">
        <v>629.04</v>
      </c>
      <c r="B293">
        <v>4</v>
      </c>
      <c r="C293">
        <v>292</v>
      </c>
      <c r="D293" s="2">
        <v>0.37807172453703702</v>
      </c>
      <c r="E293" t="s">
        <v>2398</v>
      </c>
      <c r="F293" t="s">
        <v>2399</v>
      </c>
      <c r="G293" t="s">
        <v>1452</v>
      </c>
      <c r="H293" t="s">
        <v>816</v>
      </c>
      <c r="I293" t="s">
        <v>817</v>
      </c>
      <c r="J293" t="s">
        <v>68</v>
      </c>
      <c r="K293" t="s">
        <v>69</v>
      </c>
      <c r="L293">
        <v>157.26</v>
      </c>
      <c r="M293" s="1">
        <v>45993</v>
      </c>
      <c r="N293" t="s">
        <v>48</v>
      </c>
      <c r="O293">
        <v>2</v>
      </c>
      <c r="P293">
        <v>12</v>
      </c>
      <c r="Q293">
        <v>4</v>
      </c>
      <c r="R293">
        <v>2025</v>
      </c>
    </row>
    <row r="294" spans="1:18">
      <c r="A294">
        <v>29.14</v>
      </c>
      <c r="B294">
        <v>2</v>
      </c>
      <c r="C294">
        <v>293</v>
      </c>
      <c r="D294" s="2">
        <v>0.42673215277777776</v>
      </c>
      <c r="E294" t="s">
        <v>1891</v>
      </c>
      <c r="F294" t="s">
        <v>1892</v>
      </c>
      <c r="G294" t="s">
        <v>1893</v>
      </c>
      <c r="H294" t="s">
        <v>806</v>
      </c>
      <c r="I294" t="s">
        <v>807</v>
      </c>
      <c r="J294" t="s">
        <v>166</v>
      </c>
      <c r="K294" t="s">
        <v>23</v>
      </c>
      <c r="L294">
        <v>14.57</v>
      </c>
      <c r="M294" s="1">
        <v>45842</v>
      </c>
      <c r="N294" t="s">
        <v>79</v>
      </c>
      <c r="O294">
        <v>4</v>
      </c>
      <c r="P294">
        <v>7</v>
      </c>
      <c r="Q294">
        <v>3</v>
      </c>
      <c r="R294">
        <v>2025</v>
      </c>
    </row>
    <row r="295" spans="1:18">
      <c r="A295">
        <v>429.14</v>
      </c>
      <c r="B295">
        <v>2</v>
      </c>
      <c r="C295">
        <v>294</v>
      </c>
      <c r="D295" s="2">
        <v>0.96639145833333329</v>
      </c>
      <c r="E295" t="s">
        <v>1802</v>
      </c>
      <c r="F295" t="s">
        <v>1803</v>
      </c>
      <c r="G295" t="s">
        <v>906</v>
      </c>
      <c r="H295" t="s">
        <v>970</v>
      </c>
      <c r="I295" t="s">
        <v>790</v>
      </c>
      <c r="J295" t="s">
        <v>383</v>
      </c>
      <c r="K295" t="s">
        <v>39</v>
      </c>
      <c r="L295">
        <v>214.57</v>
      </c>
      <c r="M295" s="1">
        <v>45812</v>
      </c>
      <c r="N295" t="s">
        <v>34</v>
      </c>
      <c r="O295">
        <v>4</v>
      </c>
      <c r="P295">
        <v>6</v>
      </c>
      <c r="Q295">
        <v>2</v>
      </c>
      <c r="R295">
        <v>2025</v>
      </c>
    </row>
    <row r="296" spans="1:18">
      <c r="A296">
        <v>12.84</v>
      </c>
      <c r="B296">
        <v>2</v>
      </c>
      <c r="C296">
        <v>295</v>
      </c>
      <c r="D296" s="2">
        <v>0.91583796296296294</v>
      </c>
      <c r="E296" t="s">
        <v>2115</v>
      </c>
      <c r="F296" t="s">
        <v>2116</v>
      </c>
      <c r="G296" t="s">
        <v>2117</v>
      </c>
      <c r="H296" t="s">
        <v>29</v>
      </c>
      <c r="I296" t="s">
        <v>763</v>
      </c>
      <c r="J296" t="s">
        <v>316</v>
      </c>
      <c r="K296" t="s">
        <v>97</v>
      </c>
      <c r="L296">
        <v>6.42</v>
      </c>
      <c r="M296" s="1">
        <v>45549</v>
      </c>
      <c r="N296" t="s">
        <v>14</v>
      </c>
      <c r="O296">
        <v>14</v>
      </c>
      <c r="P296">
        <v>9</v>
      </c>
      <c r="Q296">
        <v>3</v>
      </c>
      <c r="R296">
        <v>2024</v>
      </c>
    </row>
    <row r="297" spans="1:18">
      <c r="A297">
        <v>7.42</v>
      </c>
      <c r="B297">
        <v>1</v>
      </c>
      <c r="C297">
        <v>296</v>
      </c>
      <c r="D297" s="2">
        <v>0.98137321759259255</v>
      </c>
      <c r="E297" t="s">
        <v>1636</v>
      </c>
      <c r="F297" t="s">
        <v>1637</v>
      </c>
      <c r="G297" t="s">
        <v>1260</v>
      </c>
      <c r="H297" t="s">
        <v>1189</v>
      </c>
      <c r="I297" t="s">
        <v>892</v>
      </c>
      <c r="J297" t="s">
        <v>194</v>
      </c>
      <c r="K297" t="s">
        <v>39</v>
      </c>
      <c r="L297">
        <v>7.42</v>
      </c>
      <c r="M297" s="1">
        <v>45617</v>
      </c>
      <c r="N297" t="s">
        <v>105</v>
      </c>
      <c r="O297">
        <v>21</v>
      </c>
      <c r="P297">
        <v>11</v>
      </c>
      <c r="Q297">
        <v>4</v>
      </c>
      <c r="R297">
        <v>2024</v>
      </c>
    </row>
    <row r="298" spans="1:18">
      <c r="A298">
        <v>487.76</v>
      </c>
      <c r="B298">
        <v>4</v>
      </c>
      <c r="C298">
        <v>297</v>
      </c>
      <c r="D298" s="2">
        <v>0.96840309027777782</v>
      </c>
      <c r="E298" t="s">
        <v>893</v>
      </c>
      <c r="F298" t="s">
        <v>894</v>
      </c>
      <c r="G298" t="s">
        <v>895</v>
      </c>
      <c r="H298" t="s">
        <v>106</v>
      </c>
      <c r="I298" t="s">
        <v>896</v>
      </c>
      <c r="J298" t="s">
        <v>245</v>
      </c>
      <c r="K298" t="s">
        <v>43</v>
      </c>
      <c r="L298">
        <v>121.94</v>
      </c>
      <c r="M298" s="1">
        <v>45897</v>
      </c>
      <c r="N298" t="s">
        <v>105</v>
      </c>
      <c r="O298">
        <v>28</v>
      </c>
      <c r="P298">
        <v>8</v>
      </c>
      <c r="Q298">
        <v>3</v>
      </c>
      <c r="R298">
        <v>2025</v>
      </c>
    </row>
    <row r="299" spans="1:18">
      <c r="A299">
        <v>174.51</v>
      </c>
      <c r="B299">
        <v>3</v>
      </c>
      <c r="C299">
        <v>298</v>
      </c>
      <c r="D299" s="2">
        <v>0.40933402777777778</v>
      </c>
      <c r="E299" t="s">
        <v>2516</v>
      </c>
      <c r="F299" t="s">
        <v>2517</v>
      </c>
      <c r="G299" t="s">
        <v>1793</v>
      </c>
      <c r="H299" t="s">
        <v>106</v>
      </c>
      <c r="I299" t="s">
        <v>896</v>
      </c>
      <c r="J299" t="s">
        <v>615</v>
      </c>
      <c r="K299" t="s">
        <v>100</v>
      </c>
      <c r="L299">
        <v>58.17</v>
      </c>
      <c r="M299" s="1">
        <v>46221</v>
      </c>
      <c r="N299" t="s">
        <v>14</v>
      </c>
      <c r="O299">
        <v>18</v>
      </c>
      <c r="P299">
        <v>7</v>
      </c>
      <c r="Q299">
        <v>3</v>
      </c>
      <c r="R299">
        <v>2026</v>
      </c>
    </row>
    <row r="300" spans="1:18">
      <c r="A300">
        <v>42.32</v>
      </c>
      <c r="B300">
        <v>1</v>
      </c>
      <c r="C300">
        <v>299</v>
      </c>
      <c r="D300" s="2">
        <v>0.75761562500000001</v>
      </c>
      <c r="E300" t="s">
        <v>2781</v>
      </c>
      <c r="F300" t="s">
        <v>2782</v>
      </c>
      <c r="G300" t="s">
        <v>2419</v>
      </c>
      <c r="H300" t="s">
        <v>136</v>
      </c>
      <c r="I300" t="s">
        <v>776</v>
      </c>
      <c r="J300" t="s">
        <v>415</v>
      </c>
      <c r="K300" t="s">
        <v>43</v>
      </c>
      <c r="L300">
        <v>42.32</v>
      </c>
      <c r="M300" s="1">
        <v>46062</v>
      </c>
      <c r="N300" t="s">
        <v>93</v>
      </c>
      <c r="O300">
        <v>9</v>
      </c>
      <c r="P300">
        <v>2</v>
      </c>
      <c r="Q300">
        <v>1</v>
      </c>
      <c r="R300">
        <v>2026</v>
      </c>
    </row>
    <row r="301" spans="1:18">
      <c r="A301">
        <v>612.44999999999993</v>
      </c>
      <c r="B301">
        <v>5</v>
      </c>
      <c r="C301">
        <v>300</v>
      </c>
      <c r="D301" s="2">
        <v>0.76007766203703708</v>
      </c>
      <c r="E301" t="s">
        <v>2304</v>
      </c>
      <c r="F301" t="s">
        <v>2305</v>
      </c>
      <c r="G301" t="s">
        <v>2306</v>
      </c>
      <c r="H301" t="s">
        <v>608</v>
      </c>
      <c r="I301" t="s">
        <v>966</v>
      </c>
      <c r="J301" t="s">
        <v>449</v>
      </c>
      <c r="K301" t="s">
        <v>82</v>
      </c>
      <c r="L301">
        <v>122.49</v>
      </c>
      <c r="M301" s="1">
        <v>45660</v>
      </c>
      <c r="N301" t="s">
        <v>79</v>
      </c>
      <c r="O301">
        <v>3</v>
      </c>
      <c r="P301">
        <v>1</v>
      </c>
      <c r="Q301">
        <v>1</v>
      </c>
      <c r="R301">
        <v>2025</v>
      </c>
    </row>
    <row r="302" spans="1:18">
      <c r="A302">
        <v>492.81000000000006</v>
      </c>
      <c r="B302">
        <v>3</v>
      </c>
      <c r="C302">
        <v>301</v>
      </c>
      <c r="D302" s="2">
        <v>0.48020384259259258</v>
      </c>
      <c r="E302" t="s">
        <v>2298</v>
      </c>
      <c r="F302" t="s">
        <v>2299</v>
      </c>
      <c r="G302" t="s">
        <v>1498</v>
      </c>
      <c r="H302" t="s">
        <v>1318</v>
      </c>
      <c r="I302" t="s">
        <v>807</v>
      </c>
      <c r="J302" t="s">
        <v>127</v>
      </c>
      <c r="K302" t="s">
        <v>21</v>
      </c>
      <c r="L302">
        <v>164.27</v>
      </c>
      <c r="M302" s="1">
        <v>46032</v>
      </c>
      <c r="N302" t="s">
        <v>14</v>
      </c>
      <c r="O302">
        <v>10</v>
      </c>
      <c r="P302">
        <v>1</v>
      </c>
      <c r="Q302">
        <v>1</v>
      </c>
      <c r="R302">
        <v>2026</v>
      </c>
    </row>
    <row r="303" spans="1:18">
      <c r="A303">
        <v>424.74</v>
      </c>
      <c r="B303">
        <v>2</v>
      </c>
      <c r="C303">
        <v>302</v>
      </c>
      <c r="D303" s="2">
        <v>0.15667587962962962</v>
      </c>
      <c r="E303" t="s">
        <v>2379</v>
      </c>
      <c r="F303" t="s">
        <v>2380</v>
      </c>
      <c r="G303" t="s">
        <v>820</v>
      </c>
      <c r="H303" t="s">
        <v>995</v>
      </c>
      <c r="I303" t="s">
        <v>781</v>
      </c>
      <c r="J303" t="s">
        <v>331</v>
      </c>
      <c r="K303" t="s">
        <v>51</v>
      </c>
      <c r="L303">
        <v>212.37</v>
      </c>
      <c r="M303" s="1">
        <v>45818</v>
      </c>
      <c r="N303" t="s">
        <v>48</v>
      </c>
      <c r="O303">
        <v>10</v>
      </c>
      <c r="P303">
        <v>6</v>
      </c>
      <c r="Q303">
        <v>2</v>
      </c>
      <c r="R303">
        <v>2025</v>
      </c>
    </row>
    <row r="304" spans="1:18">
      <c r="A304">
        <v>20.62</v>
      </c>
      <c r="B304">
        <v>1</v>
      </c>
      <c r="C304">
        <v>303</v>
      </c>
      <c r="D304" s="2">
        <v>1.5551157407407408E-3</v>
      </c>
      <c r="E304" t="s">
        <v>2481</v>
      </c>
      <c r="F304" t="s">
        <v>2482</v>
      </c>
      <c r="G304" t="s">
        <v>1060</v>
      </c>
      <c r="H304" t="s">
        <v>1002</v>
      </c>
      <c r="I304" t="s">
        <v>892</v>
      </c>
      <c r="J304" t="s">
        <v>96</v>
      </c>
      <c r="K304" t="s">
        <v>97</v>
      </c>
      <c r="L304">
        <v>20.62</v>
      </c>
      <c r="M304" s="1">
        <v>46231</v>
      </c>
      <c r="N304" t="s">
        <v>48</v>
      </c>
      <c r="O304">
        <v>28</v>
      </c>
      <c r="P304">
        <v>7</v>
      </c>
      <c r="Q304">
        <v>3</v>
      </c>
      <c r="R304">
        <v>2026</v>
      </c>
    </row>
    <row r="305" spans="1:18">
      <c r="A305">
        <v>245.38</v>
      </c>
      <c r="B305">
        <v>2</v>
      </c>
      <c r="C305">
        <v>304</v>
      </c>
      <c r="D305" s="2">
        <v>0.88160068287037041</v>
      </c>
      <c r="E305" t="s">
        <v>1079</v>
      </c>
      <c r="F305" t="s">
        <v>1080</v>
      </c>
      <c r="G305" t="s">
        <v>1081</v>
      </c>
      <c r="H305" t="s">
        <v>772</v>
      </c>
      <c r="I305" t="s">
        <v>758</v>
      </c>
      <c r="J305" t="s">
        <v>134</v>
      </c>
      <c r="K305" t="s">
        <v>100</v>
      </c>
      <c r="L305">
        <v>122.69</v>
      </c>
      <c r="M305" s="1">
        <v>45653</v>
      </c>
      <c r="N305" t="s">
        <v>79</v>
      </c>
      <c r="O305">
        <v>27</v>
      </c>
      <c r="P305">
        <v>12</v>
      </c>
      <c r="Q305">
        <v>4</v>
      </c>
      <c r="R305">
        <v>2024</v>
      </c>
    </row>
    <row r="306" spans="1:18">
      <c r="A306">
        <v>725.93999999999994</v>
      </c>
      <c r="B306">
        <v>3</v>
      </c>
      <c r="C306">
        <v>305</v>
      </c>
      <c r="D306" s="2">
        <v>0.67974442129629631</v>
      </c>
      <c r="E306" t="s">
        <v>1275</v>
      </c>
      <c r="F306" t="s">
        <v>1276</v>
      </c>
      <c r="G306" t="s">
        <v>1245</v>
      </c>
      <c r="H306" t="s">
        <v>965</v>
      </c>
      <c r="I306" t="s">
        <v>839</v>
      </c>
      <c r="J306" t="s">
        <v>203</v>
      </c>
      <c r="K306" t="s">
        <v>100</v>
      </c>
      <c r="L306">
        <v>241.98</v>
      </c>
      <c r="M306" s="1">
        <v>45953</v>
      </c>
      <c r="N306" t="s">
        <v>105</v>
      </c>
      <c r="O306">
        <v>23</v>
      </c>
      <c r="P306">
        <v>10</v>
      </c>
      <c r="Q306">
        <v>4</v>
      </c>
      <c r="R306">
        <v>2025</v>
      </c>
    </row>
    <row r="307" spans="1:18">
      <c r="A307">
        <v>73.5</v>
      </c>
      <c r="B307">
        <v>2</v>
      </c>
      <c r="C307">
        <v>306</v>
      </c>
      <c r="D307" s="2">
        <v>0.94133067129629633</v>
      </c>
      <c r="E307" t="s">
        <v>3449</v>
      </c>
      <c r="F307" t="s">
        <v>3450</v>
      </c>
      <c r="G307" t="s">
        <v>1114</v>
      </c>
      <c r="H307" t="s">
        <v>1607</v>
      </c>
      <c r="I307" t="s">
        <v>839</v>
      </c>
      <c r="J307" t="s">
        <v>637</v>
      </c>
      <c r="K307" t="s">
        <v>100</v>
      </c>
      <c r="L307">
        <v>36.75</v>
      </c>
      <c r="M307" s="1">
        <v>45999</v>
      </c>
      <c r="N307" t="s">
        <v>93</v>
      </c>
      <c r="O307">
        <v>8</v>
      </c>
      <c r="P307">
        <v>12</v>
      </c>
      <c r="Q307">
        <v>4</v>
      </c>
      <c r="R307">
        <v>2025</v>
      </c>
    </row>
    <row r="308" spans="1:18">
      <c r="A308">
        <v>136.12</v>
      </c>
      <c r="B308">
        <v>4</v>
      </c>
      <c r="C308">
        <v>307</v>
      </c>
      <c r="D308" s="2">
        <v>0.36402988425925925</v>
      </c>
      <c r="E308" t="s">
        <v>3003</v>
      </c>
      <c r="F308" t="s">
        <v>3004</v>
      </c>
      <c r="G308" t="s">
        <v>2927</v>
      </c>
      <c r="H308" t="s">
        <v>1384</v>
      </c>
      <c r="I308" t="s">
        <v>908</v>
      </c>
      <c r="J308" t="s">
        <v>678</v>
      </c>
      <c r="K308" t="s">
        <v>100</v>
      </c>
      <c r="L308">
        <v>34.03</v>
      </c>
      <c r="M308" s="1">
        <v>45924</v>
      </c>
      <c r="N308" t="s">
        <v>34</v>
      </c>
      <c r="O308">
        <v>24</v>
      </c>
      <c r="P308">
        <v>9</v>
      </c>
      <c r="Q308">
        <v>3</v>
      </c>
      <c r="R308">
        <v>2025</v>
      </c>
    </row>
    <row r="309" spans="1:18">
      <c r="A309">
        <v>520.20000000000005</v>
      </c>
      <c r="B309">
        <v>5</v>
      </c>
      <c r="C309">
        <v>308</v>
      </c>
      <c r="D309" s="2">
        <v>0.19586070601851852</v>
      </c>
      <c r="E309" t="s">
        <v>2724</v>
      </c>
      <c r="F309" t="s">
        <v>2725</v>
      </c>
      <c r="G309" t="s">
        <v>2726</v>
      </c>
      <c r="H309" t="s">
        <v>965</v>
      </c>
      <c r="I309" t="s">
        <v>966</v>
      </c>
      <c r="J309" t="s">
        <v>507</v>
      </c>
      <c r="K309" t="s">
        <v>55</v>
      </c>
      <c r="L309">
        <v>104.04</v>
      </c>
      <c r="M309" s="1">
        <v>45628</v>
      </c>
      <c r="N309" t="s">
        <v>93</v>
      </c>
      <c r="O309">
        <v>2</v>
      </c>
      <c r="P309">
        <v>12</v>
      </c>
      <c r="Q309">
        <v>4</v>
      </c>
      <c r="R309">
        <v>2024</v>
      </c>
    </row>
    <row r="310" spans="1:18">
      <c r="A310">
        <v>113.08</v>
      </c>
      <c r="B310">
        <v>4</v>
      </c>
      <c r="C310">
        <v>309</v>
      </c>
      <c r="D310" s="2">
        <v>0.49583866898148149</v>
      </c>
      <c r="E310" t="s">
        <v>2118</v>
      </c>
      <c r="F310" t="s">
        <v>2119</v>
      </c>
      <c r="G310" t="s">
        <v>2120</v>
      </c>
      <c r="H310" t="s">
        <v>1199</v>
      </c>
      <c r="I310" t="s">
        <v>839</v>
      </c>
      <c r="J310" t="s">
        <v>184</v>
      </c>
      <c r="K310" t="s">
        <v>31</v>
      </c>
      <c r="L310">
        <v>28.27</v>
      </c>
      <c r="M310" s="1">
        <v>45700</v>
      </c>
      <c r="N310" t="s">
        <v>34</v>
      </c>
      <c r="O310">
        <v>12</v>
      </c>
      <c r="P310">
        <v>2</v>
      </c>
      <c r="Q310">
        <v>1</v>
      </c>
      <c r="R310">
        <v>2025</v>
      </c>
    </row>
    <row r="311" spans="1:18">
      <c r="A311">
        <v>616.75</v>
      </c>
      <c r="B311">
        <v>5</v>
      </c>
      <c r="C311">
        <v>310</v>
      </c>
      <c r="D311" s="2">
        <v>0.21923929398148148</v>
      </c>
      <c r="E311" t="s">
        <v>2196</v>
      </c>
      <c r="F311" t="s">
        <v>2197</v>
      </c>
      <c r="G311" t="s">
        <v>1777</v>
      </c>
      <c r="H311" t="s">
        <v>953</v>
      </c>
      <c r="I311" t="s">
        <v>954</v>
      </c>
      <c r="J311" t="s">
        <v>630</v>
      </c>
      <c r="K311" t="s">
        <v>69</v>
      </c>
      <c r="L311">
        <v>123.35</v>
      </c>
      <c r="M311" s="1">
        <v>45800</v>
      </c>
      <c r="N311" t="s">
        <v>79</v>
      </c>
      <c r="O311">
        <v>23</v>
      </c>
      <c r="P311">
        <v>5</v>
      </c>
      <c r="Q311">
        <v>2</v>
      </c>
      <c r="R311">
        <v>2025</v>
      </c>
    </row>
    <row r="312" spans="1:18">
      <c r="A312">
        <v>616.34999999999991</v>
      </c>
      <c r="B312">
        <v>3</v>
      </c>
      <c r="C312">
        <v>311</v>
      </c>
      <c r="D312" s="2">
        <v>0.25982724537037039</v>
      </c>
      <c r="E312" t="s">
        <v>2965</v>
      </c>
      <c r="F312" t="s">
        <v>2966</v>
      </c>
      <c r="G312" t="s">
        <v>1559</v>
      </c>
      <c r="H312" t="s">
        <v>1137</v>
      </c>
      <c r="I312" t="s">
        <v>748</v>
      </c>
      <c r="J312" t="s">
        <v>107</v>
      </c>
      <c r="K312" t="s">
        <v>17</v>
      </c>
      <c r="L312">
        <v>205.45</v>
      </c>
      <c r="M312" s="1">
        <v>46039</v>
      </c>
      <c r="N312" t="s">
        <v>14</v>
      </c>
      <c r="O312">
        <v>17</v>
      </c>
      <c r="P312">
        <v>1</v>
      </c>
      <c r="Q312">
        <v>1</v>
      </c>
      <c r="R312">
        <v>2026</v>
      </c>
    </row>
    <row r="313" spans="1:18">
      <c r="A313">
        <v>173.32</v>
      </c>
      <c r="B313">
        <v>1</v>
      </c>
      <c r="C313">
        <v>312</v>
      </c>
      <c r="D313" s="2">
        <v>0.16083258101851852</v>
      </c>
      <c r="E313" t="s">
        <v>3021</v>
      </c>
      <c r="F313" t="s">
        <v>3022</v>
      </c>
      <c r="G313" t="s">
        <v>2078</v>
      </c>
      <c r="H313" t="s">
        <v>915</v>
      </c>
      <c r="I313" t="s">
        <v>908</v>
      </c>
      <c r="J313" t="s">
        <v>303</v>
      </c>
      <c r="K313" t="s">
        <v>19</v>
      </c>
      <c r="L313">
        <v>173.32</v>
      </c>
      <c r="M313" s="1">
        <v>46274</v>
      </c>
      <c r="N313" t="s">
        <v>34</v>
      </c>
      <c r="O313">
        <v>9</v>
      </c>
      <c r="P313">
        <v>9</v>
      </c>
      <c r="Q313">
        <v>3</v>
      </c>
      <c r="R313">
        <v>2026</v>
      </c>
    </row>
    <row r="314" spans="1:18">
      <c r="A314">
        <v>18.02</v>
      </c>
      <c r="B314">
        <v>2</v>
      </c>
      <c r="C314">
        <v>313</v>
      </c>
      <c r="D314" s="2">
        <v>0.93571519675925929</v>
      </c>
      <c r="E314" t="s">
        <v>1934</v>
      </c>
      <c r="F314" t="s">
        <v>1935</v>
      </c>
      <c r="G314" t="s">
        <v>1648</v>
      </c>
      <c r="H314" t="s">
        <v>1362</v>
      </c>
      <c r="I314" t="s">
        <v>896</v>
      </c>
      <c r="J314" t="s">
        <v>455</v>
      </c>
      <c r="K314" t="s">
        <v>69</v>
      </c>
      <c r="L314">
        <v>9.01</v>
      </c>
      <c r="M314" s="1">
        <v>45670</v>
      </c>
      <c r="N314" t="s">
        <v>93</v>
      </c>
      <c r="O314">
        <v>13</v>
      </c>
      <c r="P314">
        <v>1</v>
      </c>
      <c r="Q314">
        <v>1</v>
      </c>
      <c r="R314">
        <v>2025</v>
      </c>
    </row>
    <row r="315" spans="1:18">
      <c r="A315">
        <v>1021.25</v>
      </c>
      <c r="B315">
        <v>5</v>
      </c>
      <c r="C315">
        <v>314</v>
      </c>
      <c r="D315" s="2">
        <v>6.4887928240740744E-2</v>
      </c>
      <c r="E315" t="s">
        <v>1368</v>
      </c>
      <c r="F315" t="s">
        <v>1369</v>
      </c>
      <c r="G315" t="s">
        <v>1370</v>
      </c>
      <c r="H315" t="s">
        <v>1371</v>
      </c>
      <c r="I315" t="s">
        <v>786</v>
      </c>
      <c r="J315" t="s">
        <v>341</v>
      </c>
      <c r="K315" t="s">
        <v>21</v>
      </c>
      <c r="L315">
        <v>204.25</v>
      </c>
      <c r="M315" s="1">
        <v>46214</v>
      </c>
      <c r="N315" t="s">
        <v>14</v>
      </c>
      <c r="O315">
        <v>11</v>
      </c>
      <c r="P315">
        <v>7</v>
      </c>
      <c r="Q315">
        <v>3</v>
      </c>
      <c r="R315">
        <v>2026</v>
      </c>
    </row>
    <row r="316" spans="1:18">
      <c r="A316">
        <v>762.44</v>
      </c>
      <c r="B316">
        <v>4</v>
      </c>
      <c r="C316">
        <v>315</v>
      </c>
      <c r="D316" s="2">
        <v>0.51137218750000002</v>
      </c>
      <c r="E316" t="s">
        <v>2063</v>
      </c>
      <c r="F316" t="s">
        <v>2064</v>
      </c>
      <c r="G316" t="s">
        <v>2065</v>
      </c>
      <c r="H316" t="s">
        <v>1156</v>
      </c>
      <c r="I316" t="s">
        <v>821</v>
      </c>
      <c r="J316" t="s">
        <v>156</v>
      </c>
      <c r="K316" t="s">
        <v>57</v>
      </c>
      <c r="L316">
        <v>190.61</v>
      </c>
      <c r="M316" s="1">
        <v>45842</v>
      </c>
      <c r="N316" t="s">
        <v>79</v>
      </c>
      <c r="O316">
        <v>4</v>
      </c>
      <c r="P316">
        <v>7</v>
      </c>
      <c r="Q316">
        <v>3</v>
      </c>
      <c r="R316">
        <v>2025</v>
      </c>
    </row>
    <row r="317" spans="1:18">
      <c r="A317">
        <v>42.36</v>
      </c>
      <c r="B317">
        <v>2</v>
      </c>
      <c r="C317">
        <v>316</v>
      </c>
      <c r="D317" s="2">
        <v>0.42751322916666668</v>
      </c>
      <c r="E317" t="s">
        <v>2474</v>
      </c>
      <c r="F317" t="s">
        <v>2475</v>
      </c>
      <c r="G317" t="s">
        <v>2476</v>
      </c>
      <c r="H317" t="s">
        <v>1137</v>
      </c>
      <c r="I317" t="s">
        <v>748</v>
      </c>
      <c r="J317" t="s">
        <v>712</v>
      </c>
      <c r="K317" t="s">
        <v>60</v>
      </c>
      <c r="L317">
        <v>21.18</v>
      </c>
      <c r="M317" s="1">
        <v>45678</v>
      </c>
      <c r="N317" t="s">
        <v>48</v>
      </c>
      <c r="O317">
        <v>21</v>
      </c>
      <c r="P317">
        <v>1</v>
      </c>
      <c r="Q317">
        <v>1</v>
      </c>
      <c r="R317">
        <v>2025</v>
      </c>
    </row>
    <row r="318" spans="1:18">
      <c r="A318">
        <v>583.38</v>
      </c>
      <c r="B318">
        <v>3</v>
      </c>
      <c r="C318">
        <v>317</v>
      </c>
      <c r="D318" s="2">
        <v>9.5289085648148142E-2</v>
      </c>
      <c r="E318" t="s">
        <v>1969</v>
      </c>
      <c r="F318" t="s">
        <v>1970</v>
      </c>
      <c r="G318" t="s">
        <v>1143</v>
      </c>
      <c r="H318" t="s">
        <v>1841</v>
      </c>
      <c r="I318" t="s">
        <v>753</v>
      </c>
      <c r="J318" t="s">
        <v>486</v>
      </c>
      <c r="K318" t="s">
        <v>100</v>
      </c>
      <c r="L318">
        <v>194.46</v>
      </c>
      <c r="M318" s="1">
        <v>45696</v>
      </c>
      <c r="N318" t="s">
        <v>14</v>
      </c>
      <c r="O318">
        <v>8</v>
      </c>
      <c r="P318">
        <v>2</v>
      </c>
      <c r="Q318">
        <v>1</v>
      </c>
      <c r="R318">
        <v>2025</v>
      </c>
    </row>
    <row r="319" spans="1:18">
      <c r="A319">
        <v>723.68</v>
      </c>
      <c r="B319">
        <v>4</v>
      </c>
      <c r="C319">
        <v>318</v>
      </c>
      <c r="D319" s="2">
        <v>0.30463539351851854</v>
      </c>
      <c r="E319" t="s">
        <v>1696</v>
      </c>
      <c r="F319" t="s">
        <v>1697</v>
      </c>
      <c r="G319" t="s">
        <v>1698</v>
      </c>
      <c r="H319" t="s">
        <v>1172</v>
      </c>
      <c r="I319" t="s">
        <v>830</v>
      </c>
      <c r="J319" t="s">
        <v>324</v>
      </c>
      <c r="K319" t="s">
        <v>17</v>
      </c>
      <c r="L319">
        <v>180.92</v>
      </c>
      <c r="M319" s="1">
        <v>46201</v>
      </c>
      <c r="N319" t="s">
        <v>28</v>
      </c>
      <c r="O319">
        <v>28</v>
      </c>
      <c r="P319">
        <v>6</v>
      </c>
      <c r="Q319">
        <v>2</v>
      </c>
      <c r="R319">
        <v>2026</v>
      </c>
    </row>
    <row r="320" spans="1:18">
      <c r="A320">
        <v>216.1</v>
      </c>
      <c r="B320">
        <v>2</v>
      </c>
      <c r="C320">
        <v>319</v>
      </c>
      <c r="D320" s="2">
        <v>0.80469521990740744</v>
      </c>
      <c r="E320" t="s">
        <v>2678</v>
      </c>
      <c r="F320" t="s">
        <v>2679</v>
      </c>
      <c r="G320" t="s">
        <v>1291</v>
      </c>
      <c r="H320" t="s">
        <v>1740</v>
      </c>
      <c r="I320" t="s">
        <v>954</v>
      </c>
      <c r="J320" t="s">
        <v>682</v>
      </c>
      <c r="K320" t="s">
        <v>23</v>
      </c>
      <c r="L320">
        <v>108.05</v>
      </c>
      <c r="M320" s="1">
        <v>46074</v>
      </c>
      <c r="N320" t="s">
        <v>14</v>
      </c>
      <c r="O320">
        <v>21</v>
      </c>
      <c r="P320">
        <v>2</v>
      </c>
      <c r="Q320">
        <v>1</v>
      </c>
      <c r="R320">
        <v>2026</v>
      </c>
    </row>
    <row r="321" spans="1:18">
      <c r="A321">
        <v>6.19</v>
      </c>
      <c r="B321">
        <v>1</v>
      </c>
      <c r="C321">
        <v>320</v>
      </c>
      <c r="D321" s="2">
        <v>3.3800810185185187E-2</v>
      </c>
      <c r="E321" t="s">
        <v>2422</v>
      </c>
      <c r="F321" t="s">
        <v>2423</v>
      </c>
      <c r="G321" t="s">
        <v>2086</v>
      </c>
      <c r="H321" t="s">
        <v>985</v>
      </c>
      <c r="I321" t="s">
        <v>817</v>
      </c>
      <c r="J321" t="s">
        <v>662</v>
      </c>
      <c r="K321" t="s">
        <v>21</v>
      </c>
      <c r="L321">
        <v>6.19</v>
      </c>
      <c r="M321" s="1">
        <v>45722</v>
      </c>
      <c r="N321" t="s">
        <v>105</v>
      </c>
      <c r="O321">
        <v>6</v>
      </c>
      <c r="P321">
        <v>3</v>
      </c>
      <c r="Q321">
        <v>1</v>
      </c>
      <c r="R321">
        <v>2025</v>
      </c>
    </row>
    <row r="322" spans="1:18">
      <c r="A322">
        <v>82.69</v>
      </c>
      <c r="B322">
        <v>1</v>
      </c>
      <c r="C322">
        <v>321</v>
      </c>
      <c r="D322" s="2">
        <v>0.29451495370370373</v>
      </c>
      <c r="E322" t="s">
        <v>3209</v>
      </c>
      <c r="F322" t="s">
        <v>3210</v>
      </c>
      <c r="G322" t="s">
        <v>3211</v>
      </c>
      <c r="H322" t="s">
        <v>1107</v>
      </c>
      <c r="I322" t="s">
        <v>892</v>
      </c>
      <c r="J322" t="s">
        <v>650</v>
      </c>
      <c r="K322" t="s">
        <v>37</v>
      </c>
      <c r="L322">
        <v>82.69</v>
      </c>
      <c r="M322" s="1">
        <v>46204</v>
      </c>
      <c r="N322" t="s">
        <v>34</v>
      </c>
      <c r="O322">
        <v>1</v>
      </c>
      <c r="P322">
        <v>7</v>
      </c>
      <c r="Q322">
        <v>3</v>
      </c>
      <c r="R322">
        <v>2026</v>
      </c>
    </row>
    <row r="323" spans="1:18">
      <c r="A323">
        <v>62.22</v>
      </c>
      <c r="B323">
        <v>3</v>
      </c>
      <c r="C323">
        <v>322</v>
      </c>
      <c r="D323" s="2">
        <v>0.57195091435185186</v>
      </c>
      <c r="E323" t="s">
        <v>2812</v>
      </c>
      <c r="F323" t="s">
        <v>2813</v>
      </c>
      <c r="G323" t="s">
        <v>2098</v>
      </c>
      <c r="H323" t="s">
        <v>953</v>
      </c>
      <c r="I323" t="s">
        <v>954</v>
      </c>
      <c r="J323" t="s">
        <v>70</v>
      </c>
      <c r="K323" t="s">
        <v>27</v>
      </c>
      <c r="L323">
        <v>20.74</v>
      </c>
      <c r="M323" s="1">
        <v>46073</v>
      </c>
      <c r="N323" t="s">
        <v>79</v>
      </c>
      <c r="O323">
        <v>20</v>
      </c>
      <c r="P323">
        <v>2</v>
      </c>
      <c r="Q323">
        <v>1</v>
      </c>
      <c r="R323">
        <v>2026</v>
      </c>
    </row>
    <row r="324" spans="1:18">
      <c r="A324">
        <v>11.46</v>
      </c>
      <c r="B324">
        <v>2</v>
      </c>
      <c r="C324">
        <v>323</v>
      </c>
      <c r="D324" s="2">
        <v>0.35523766203703705</v>
      </c>
      <c r="E324" t="s">
        <v>2702</v>
      </c>
      <c r="F324" t="s">
        <v>2703</v>
      </c>
      <c r="G324" t="s">
        <v>2383</v>
      </c>
      <c r="H324" t="s">
        <v>942</v>
      </c>
      <c r="I324" t="s">
        <v>943</v>
      </c>
      <c r="J324" t="s">
        <v>407</v>
      </c>
      <c r="K324" t="s">
        <v>21</v>
      </c>
      <c r="L324">
        <v>5.73</v>
      </c>
      <c r="M324" s="1">
        <v>46211</v>
      </c>
      <c r="N324" t="s">
        <v>34</v>
      </c>
      <c r="O324">
        <v>8</v>
      </c>
      <c r="P324">
        <v>7</v>
      </c>
      <c r="Q324">
        <v>3</v>
      </c>
      <c r="R324">
        <v>2026</v>
      </c>
    </row>
    <row r="325" spans="1:18">
      <c r="A325">
        <v>275.56</v>
      </c>
      <c r="B325">
        <v>4</v>
      </c>
      <c r="C325">
        <v>324</v>
      </c>
      <c r="D325" s="2">
        <v>6.7876990740740745E-2</v>
      </c>
      <c r="E325" t="s">
        <v>1896</v>
      </c>
      <c r="F325" t="s">
        <v>1897</v>
      </c>
      <c r="G325" t="s">
        <v>1114</v>
      </c>
      <c r="H325" t="s">
        <v>1026</v>
      </c>
      <c r="I325" t="s">
        <v>896</v>
      </c>
      <c r="J325" t="s">
        <v>606</v>
      </c>
      <c r="K325" t="s">
        <v>82</v>
      </c>
      <c r="L325">
        <v>68.89</v>
      </c>
      <c r="M325" s="1">
        <v>45750</v>
      </c>
      <c r="N325" t="s">
        <v>105</v>
      </c>
      <c r="O325">
        <v>3</v>
      </c>
      <c r="P325">
        <v>4</v>
      </c>
      <c r="Q325">
        <v>2</v>
      </c>
      <c r="R325">
        <v>2025</v>
      </c>
    </row>
    <row r="326" spans="1:18">
      <c r="A326">
        <v>242.44</v>
      </c>
      <c r="B326">
        <v>2</v>
      </c>
      <c r="C326">
        <v>325</v>
      </c>
      <c r="D326" s="2">
        <v>0.93237180555555554</v>
      </c>
      <c r="E326" t="s">
        <v>2295</v>
      </c>
      <c r="F326" t="s">
        <v>2296</v>
      </c>
      <c r="G326" t="s">
        <v>2297</v>
      </c>
      <c r="H326" t="s">
        <v>15</v>
      </c>
      <c r="I326" t="s">
        <v>834</v>
      </c>
      <c r="J326" t="s">
        <v>47</v>
      </c>
      <c r="K326" t="s">
        <v>46</v>
      </c>
      <c r="L326">
        <v>121.22</v>
      </c>
      <c r="M326" s="1">
        <v>46048</v>
      </c>
      <c r="N326" t="s">
        <v>93</v>
      </c>
      <c r="O326">
        <v>26</v>
      </c>
      <c r="P326">
        <v>1</v>
      </c>
      <c r="Q326">
        <v>1</v>
      </c>
      <c r="R326">
        <v>2026</v>
      </c>
    </row>
    <row r="327" spans="1:18">
      <c r="A327">
        <v>237.63</v>
      </c>
      <c r="B327">
        <v>1</v>
      </c>
      <c r="C327">
        <v>326</v>
      </c>
      <c r="D327" s="2">
        <v>0.98151569444444442</v>
      </c>
      <c r="E327" t="s">
        <v>3183</v>
      </c>
      <c r="F327" t="s">
        <v>3184</v>
      </c>
      <c r="G327" t="s">
        <v>1981</v>
      </c>
      <c r="H327" t="s">
        <v>2332</v>
      </c>
      <c r="I327" t="s">
        <v>1003</v>
      </c>
      <c r="J327" t="s">
        <v>202</v>
      </c>
      <c r="K327" t="s">
        <v>17</v>
      </c>
      <c r="L327">
        <v>237.63</v>
      </c>
      <c r="M327" s="1">
        <v>46174</v>
      </c>
      <c r="N327" t="s">
        <v>93</v>
      </c>
      <c r="O327">
        <v>1</v>
      </c>
      <c r="P327">
        <v>6</v>
      </c>
      <c r="Q327">
        <v>2</v>
      </c>
      <c r="R327">
        <v>2026</v>
      </c>
    </row>
    <row r="328" spans="1:18">
      <c r="A328">
        <v>350.56</v>
      </c>
      <c r="B328">
        <v>4</v>
      </c>
      <c r="C328">
        <v>327</v>
      </c>
      <c r="D328" s="2">
        <v>0.99970832175925928</v>
      </c>
      <c r="E328" t="s">
        <v>1696</v>
      </c>
      <c r="F328" t="s">
        <v>1697</v>
      </c>
      <c r="G328" t="s">
        <v>1698</v>
      </c>
      <c r="H328" t="s">
        <v>1172</v>
      </c>
      <c r="I328" t="s">
        <v>830</v>
      </c>
      <c r="J328" t="s">
        <v>561</v>
      </c>
      <c r="K328" t="s">
        <v>17</v>
      </c>
      <c r="L328">
        <v>87.64</v>
      </c>
      <c r="M328" s="1">
        <v>45665</v>
      </c>
      <c r="N328" t="s">
        <v>34</v>
      </c>
      <c r="O328">
        <v>8</v>
      </c>
      <c r="P328">
        <v>1</v>
      </c>
      <c r="Q328">
        <v>1</v>
      </c>
      <c r="R328">
        <v>2025</v>
      </c>
    </row>
    <row r="329" spans="1:18">
      <c r="A329">
        <v>411.66</v>
      </c>
      <c r="B329">
        <v>2</v>
      </c>
      <c r="C329">
        <v>328</v>
      </c>
      <c r="D329" s="2">
        <v>0.97506188657407411</v>
      </c>
      <c r="E329" t="s">
        <v>3048</v>
      </c>
      <c r="F329" t="s">
        <v>3049</v>
      </c>
      <c r="G329" t="s">
        <v>3050</v>
      </c>
      <c r="H329" t="s">
        <v>1017</v>
      </c>
      <c r="I329" t="s">
        <v>966</v>
      </c>
      <c r="J329" t="s">
        <v>246</v>
      </c>
      <c r="K329" t="s">
        <v>23</v>
      </c>
      <c r="L329">
        <v>205.83</v>
      </c>
      <c r="M329" s="1">
        <v>45865</v>
      </c>
      <c r="N329" t="s">
        <v>28</v>
      </c>
      <c r="O329">
        <v>27</v>
      </c>
      <c r="P329">
        <v>7</v>
      </c>
      <c r="Q329">
        <v>3</v>
      </c>
      <c r="R329">
        <v>2025</v>
      </c>
    </row>
    <row r="330" spans="1:18">
      <c r="A330">
        <v>248.11</v>
      </c>
      <c r="B330">
        <v>1</v>
      </c>
      <c r="C330">
        <v>329</v>
      </c>
      <c r="D330" s="2">
        <v>0.47861844907407408</v>
      </c>
      <c r="E330" t="s">
        <v>1435</v>
      </c>
      <c r="F330" t="s">
        <v>1436</v>
      </c>
      <c r="G330" t="s">
        <v>1437</v>
      </c>
      <c r="H330" t="s">
        <v>387</v>
      </c>
      <c r="I330" t="s">
        <v>821</v>
      </c>
      <c r="J330" t="s">
        <v>808</v>
      </c>
      <c r="K330" t="s">
        <v>17</v>
      </c>
      <c r="L330">
        <v>248.11</v>
      </c>
      <c r="M330" s="1">
        <v>45887</v>
      </c>
      <c r="N330" t="s">
        <v>93</v>
      </c>
      <c r="O330">
        <v>18</v>
      </c>
      <c r="P330">
        <v>8</v>
      </c>
      <c r="Q330">
        <v>3</v>
      </c>
      <c r="R330">
        <v>2025</v>
      </c>
    </row>
    <row r="331" spans="1:18">
      <c r="A331">
        <v>87.62</v>
      </c>
      <c r="B331">
        <v>1</v>
      </c>
      <c r="C331">
        <v>330</v>
      </c>
      <c r="D331" s="2">
        <v>0.86010841435185181</v>
      </c>
      <c r="E331" t="s">
        <v>2149</v>
      </c>
      <c r="F331" t="s">
        <v>2150</v>
      </c>
      <c r="G331" t="s">
        <v>1645</v>
      </c>
      <c r="H331" t="s">
        <v>64</v>
      </c>
      <c r="I331" t="s">
        <v>892</v>
      </c>
      <c r="J331" t="s">
        <v>59</v>
      </c>
      <c r="K331" t="s">
        <v>60</v>
      </c>
      <c r="L331">
        <v>87.62</v>
      </c>
      <c r="M331" s="1">
        <v>45735</v>
      </c>
      <c r="N331" t="s">
        <v>34</v>
      </c>
      <c r="O331">
        <v>19</v>
      </c>
      <c r="P331">
        <v>3</v>
      </c>
      <c r="Q331">
        <v>1</v>
      </c>
      <c r="R331">
        <v>2025</v>
      </c>
    </row>
    <row r="332" spans="1:18">
      <c r="A332">
        <v>155.13</v>
      </c>
      <c r="B332">
        <v>3</v>
      </c>
      <c r="C332">
        <v>331</v>
      </c>
      <c r="D332" s="2">
        <v>0.8566896643518519</v>
      </c>
      <c r="E332" t="s">
        <v>1752</v>
      </c>
      <c r="F332" t="s">
        <v>1753</v>
      </c>
      <c r="G332" t="s">
        <v>1754</v>
      </c>
      <c r="H332" t="s">
        <v>1755</v>
      </c>
      <c r="I332" t="s">
        <v>786</v>
      </c>
      <c r="J332" t="s">
        <v>26</v>
      </c>
      <c r="K332" t="s">
        <v>27</v>
      </c>
      <c r="L332">
        <v>51.71</v>
      </c>
      <c r="M332" s="1">
        <v>46101</v>
      </c>
      <c r="N332" t="s">
        <v>79</v>
      </c>
      <c r="O332">
        <v>20</v>
      </c>
      <c r="P332">
        <v>3</v>
      </c>
      <c r="Q332">
        <v>1</v>
      </c>
      <c r="R332">
        <v>2026</v>
      </c>
    </row>
    <row r="333" spans="1:18">
      <c r="A333">
        <v>1221.8499999999999</v>
      </c>
      <c r="B333">
        <v>5</v>
      </c>
      <c r="C333">
        <v>332</v>
      </c>
      <c r="D333" s="2">
        <v>1.7506365740740742E-3</v>
      </c>
      <c r="E333" t="s">
        <v>2783</v>
      </c>
      <c r="F333" t="s">
        <v>2784</v>
      </c>
      <c r="G333" t="s">
        <v>1050</v>
      </c>
      <c r="H333" t="s">
        <v>1107</v>
      </c>
      <c r="I333" t="s">
        <v>763</v>
      </c>
      <c r="J333" t="s">
        <v>327</v>
      </c>
      <c r="K333" t="s">
        <v>51</v>
      </c>
      <c r="L333">
        <v>244.37</v>
      </c>
      <c r="M333" s="1">
        <v>45748</v>
      </c>
      <c r="N333" t="s">
        <v>48</v>
      </c>
      <c r="O333">
        <v>1</v>
      </c>
      <c r="P333">
        <v>4</v>
      </c>
      <c r="Q333">
        <v>2</v>
      </c>
      <c r="R333">
        <v>2025</v>
      </c>
    </row>
    <row r="334" spans="1:18">
      <c r="A334">
        <v>104.92</v>
      </c>
      <c r="B334">
        <v>1</v>
      </c>
      <c r="C334">
        <v>333</v>
      </c>
      <c r="D334" s="2">
        <v>2.5257962962962961E-2</v>
      </c>
      <c r="E334" t="s">
        <v>873</v>
      </c>
      <c r="F334" t="s">
        <v>874</v>
      </c>
      <c r="G334" t="s">
        <v>875</v>
      </c>
      <c r="H334" t="s">
        <v>387</v>
      </c>
      <c r="I334" t="s">
        <v>821</v>
      </c>
      <c r="J334" t="s">
        <v>351</v>
      </c>
      <c r="K334" t="s">
        <v>57</v>
      </c>
      <c r="L334">
        <v>104.92</v>
      </c>
      <c r="M334" s="1">
        <v>46086</v>
      </c>
      <c r="N334" t="s">
        <v>105</v>
      </c>
      <c r="O334">
        <v>5</v>
      </c>
      <c r="P334">
        <v>3</v>
      </c>
      <c r="Q334">
        <v>1</v>
      </c>
      <c r="R334">
        <v>2026</v>
      </c>
    </row>
    <row r="335" spans="1:18">
      <c r="A335">
        <v>590.34</v>
      </c>
      <c r="B335">
        <v>3</v>
      </c>
      <c r="C335">
        <v>334</v>
      </c>
      <c r="D335" s="2">
        <v>0.82815087962962963</v>
      </c>
      <c r="E335" t="s">
        <v>2766</v>
      </c>
      <c r="F335" t="s">
        <v>2767</v>
      </c>
      <c r="G335" t="s">
        <v>1709</v>
      </c>
      <c r="H335" t="s">
        <v>608</v>
      </c>
      <c r="I335" t="s">
        <v>966</v>
      </c>
      <c r="J335" t="s">
        <v>397</v>
      </c>
      <c r="K335" t="s">
        <v>31</v>
      </c>
      <c r="L335">
        <v>196.78</v>
      </c>
      <c r="M335" s="1">
        <v>46012</v>
      </c>
      <c r="N335" t="s">
        <v>28</v>
      </c>
      <c r="O335">
        <v>21</v>
      </c>
      <c r="P335">
        <v>12</v>
      </c>
      <c r="Q335">
        <v>4</v>
      </c>
      <c r="R335">
        <v>2025</v>
      </c>
    </row>
    <row r="336" spans="1:18">
      <c r="A336">
        <v>666.06000000000006</v>
      </c>
      <c r="B336">
        <v>3</v>
      </c>
      <c r="C336">
        <v>335</v>
      </c>
      <c r="D336" s="2">
        <v>0.77639939814814818</v>
      </c>
      <c r="E336" t="s">
        <v>2653</v>
      </c>
      <c r="F336" t="s">
        <v>2654</v>
      </c>
      <c r="G336" t="s">
        <v>2315</v>
      </c>
      <c r="H336" t="s">
        <v>780</v>
      </c>
      <c r="I336" t="s">
        <v>781</v>
      </c>
      <c r="J336" t="s">
        <v>501</v>
      </c>
      <c r="K336" t="s">
        <v>25</v>
      </c>
      <c r="L336">
        <v>222.02</v>
      </c>
      <c r="M336" s="1">
        <v>45668</v>
      </c>
      <c r="N336" t="s">
        <v>14</v>
      </c>
      <c r="O336">
        <v>11</v>
      </c>
      <c r="P336">
        <v>1</v>
      </c>
      <c r="Q336">
        <v>1</v>
      </c>
      <c r="R336">
        <v>2025</v>
      </c>
    </row>
    <row r="337" spans="1:18">
      <c r="A337">
        <v>35.130000000000003</v>
      </c>
      <c r="B337">
        <v>1</v>
      </c>
      <c r="C337">
        <v>336</v>
      </c>
      <c r="D337" s="2">
        <v>0.13099671296296297</v>
      </c>
      <c r="E337" t="s">
        <v>2819</v>
      </c>
      <c r="F337" t="s">
        <v>2820</v>
      </c>
      <c r="G337" t="s">
        <v>1619</v>
      </c>
      <c r="H337" t="s">
        <v>1032</v>
      </c>
      <c r="I337" t="s">
        <v>839</v>
      </c>
      <c r="J337" t="s">
        <v>559</v>
      </c>
      <c r="K337" t="s">
        <v>97</v>
      </c>
      <c r="L337">
        <v>35.130000000000003</v>
      </c>
      <c r="M337" s="1">
        <v>45640</v>
      </c>
      <c r="N337" t="s">
        <v>14</v>
      </c>
      <c r="O337">
        <v>14</v>
      </c>
      <c r="P337">
        <v>12</v>
      </c>
      <c r="Q337">
        <v>4</v>
      </c>
      <c r="R337">
        <v>2024</v>
      </c>
    </row>
    <row r="338" spans="1:18">
      <c r="A338">
        <v>357.94</v>
      </c>
      <c r="B338">
        <v>2</v>
      </c>
      <c r="C338">
        <v>337</v>
      </c>
      <c r="D338" s="2">
        <v>0.83567158564814814</v>
      </c>
      <c r="E338" t="s">
        <v>3042</v>
      </c>
      <c r="F338" t="s">
        <v>3043</v>
      </c>
      <c r="G338" t="s">
        <v>1358</v>
      </c>
      <c r="H338" t="s">
        <v>942</v>
      </c>
      <c r="I338" t="s">
        <v>943</v>
      </c>
      <c r="J338" t="s">
        <v>612</v>
      </c>
      <c r="K338" t="s">
        <v>97</v>
      </c>
      <c r="L338">
        <v>178.97</v>
      </c>
      <c r="M338" s="1">
        <v>46115</v>
      </c>
      <c r="N338" t="s">
        <v>79</v>
      </c>
      <c r="O338">
        <v>3</v>
      </c>
      <c r="P338">
        <v>4</v>
      </c>
      <c r="Q338">
        <v>2</v>
      </c>
      <c r="R338">
        <v>2026</v>
      </c>
    </row>
    <row r="339" spans="1:18">
      <c r="A339">
        <v>345.78</v>
      </c>
      <c r="B339">
        <v>2</v>
      </c>
      <c r="C339">
        <v>338</v>
      </c>
      <c r="D339" s="2">
        <v>0.15394608796296297</v>
      </c>
      <c r="E339" t="s">
        <v>2112</v>
      </c>
      <c r="F339" t="s">
        <v>2113</v>
      </c>
      <c r="G339" t="s">
        <v>2114</v>
      </c>
      <c r="H339" t="s">
        <v>883</v>
      </c>
      <c r="I339" t="s">
        <v>807</v>
      </c>
      <c r="J339" t="s">
        <v>2166</v>
      </c>
      <c r="K339" t="s">
        <v>21</v>
      </c>
      <c r="L339">
        <v>172.89</v>
      </c>
      <c r="M339" s="1">
        <v>45980</v>
      </c>
      <c r="N339" t="s">
        <v>34</v>
      </c>
      <c r="O339">
        <v>19</v>
      </c>
      <c r="P339">
        <v>11</v>
      </c>
      <c r="Q339">
        <v>4</v>
      </c>
      <c r="R339">
        <v>2025</v>
      </c>
    </row>
    <row r="340" spans="1:18">
      <c r="A340">
        <v>667.53</v>
      </c>
      <c r="B340">
        <v>3</v>
      </c>
      <c r="C340">
        <v>339</v>
      </c>
      <c r="D340" s="2">
        <v>0.4846244097222222</v>
      </c>
      <c r="E340" t="s">
        <v>873</v>
      </c>
      <c r="F340" t="s">
        <v>874</v>
      </c>
      <c r="G340" t="s">
        <v>875</v>
      </c>
      <c r="H340" t="s">
        <v>387</v>
      </c>
      <c r="I340" t="s">
        <v>821</v>
      </c>
      <c r="J340" t="s">
        <v>142</v>
      </c>
      <c r="K340" t="s">
        <v>60</v>
      </c>
      <c r="L340">
        <v>222.51</v>
      </c>
      <c r="M340" s="1">
        <v>45736</v>
      </c>
      <c r="N340" t="s">
        <v>105</v>
      </c>
      <c r="O340">
        <v>20</v>
      </c>
      <c r="P340">
        <v>3</v>
      </c>
      <c r="Q340">
        <v>1</v>
      </c>
      <c r="R340">
        <v>2025</v>
      </c>
    </row>
    <row r="341" spans="1:18">
      <c r="A341">
        <v>26.98</v>
      </c>
      <c r="B341">
        <v>1</v>
      </c>
      <c r="C341">
        <v>340</v>
      </c>
      <c r="D341" s="2">
        <v>0.2056198263888889</v>
      </c>
      <c r="E341" t="s">
        <v>1689</v>
      </c>
      <c r="F341" t="s">
        <v>1690</v>
      </c>
      <c r="G341" t="s">
        <v>1559</v>
      </c>
      <c r="H341" t="s">
        <v>1691</v>
      </c>
      <c r="I341" t="s">
        <v>821</v>
      </c>
      <c r="J341" t="s">
        <v>458</v>
      </c>
      <c r="K341" t="s">
        <v>37</v>
      </c>
      <c r="L341">
        <v>26.98</v>
      </c>
      <c r="M341" s="1">
        <v>45641</v>
      </c>
      <c r="N341" t="s">
        <v>28</v>
      </c>
      <c r="O341">
        <v>15</v>
      </c>
      <c r="P341">
        <v>12</v>
      </c>
      <c r="Q341">
        <v>4</v>
      </c>
      <c r="R341">
        <v>2024</v>
      </c>
    </row>
    <row r="342" spans="1:18">
      <c r="A342">
        <v>79.25</v>
      </c>
      <c r="B342">
        <v>1</v>
      </c>
      <c r="C342">
        <v>341</v>
      </c>
      <c r="D342" s="2">
        <v>0.68457079861111114</v>
      </c>
      <c r="E342" t="s">
        <v>1789</v>
      </c>
      <c r="F342" t="s">
        <v>1790</v>
      </c>
      <c r="G342" t="s">
        <v>1791</v>
      </c>
      <c r="H342" t="s">
        <v>1630</v>
      </c>
      <c r="I342" t="s">
        <v>763</v>
      </c>
      <c r="J342" t="s">
        <v>253</v>
      </c>
      <c r="K342" t="s">
        <v>23</v>
      </c>
      <c r="L342">
        <v>79.25</v>
      </c>
      <c r="M342" s="1">
        <v>46101</v>
      </c>
      <c r="N342" t="s">
        <v>79</v>
      </c>
      <c r="O342">
        <v>20</v>
      </c>
      <c r="P342">
        <v>3</v>
      </c>
      <c r="Q342">
        <v>1</v>
      </c>
      <c r="R342">
        <v>2026</v>
      </c>
    </row>
    <row r="343" spans="1:18">
      <c r="A343">
        <v>724.96</v>
      </c>
      <c r="B343">
        <v>4</v>
      </c>
      <c r="C343">
        <v>342</v>
      </c>
      <c r="D343" s="2">
        <v>0.51908064814814814</v>
      </c>
      <c r="E343" t="s">
        <v>1458</v>
      </c>
      <c r="F343" t="s">
        <v>1459</v>
      </c>
      <c r="G343" t="s">
        <v>1286</v>
      </c>
      <c r="H343" t="s">
        <v>1359</v>
      </c>
      <c r="I343" t="s">
        <v>768</v>
      </c>
      <c r="J343" t="s">
        <v>81</v>
      </c>
      <c r="K343" t="s">
        <v>82</v>
      </c>
      <c r="L343">
        <v>181.24</v>
      </c>
      <c r="M343" s="1">
        <v>45701</v>
      </c>
      <c r="N343" t="s">
        <v>105</v>
      </c>
      <c r="O343">
        <v>13</v>
      </c>
      <c r="P343">
        <v>2</v>
      </c>
      <c r="Q343">
        <v>1</v>
      </c>
      <c r="R343">
        <v>2025</v>
      </c>
    </row>
    <row r="344" spans="1:18">
      <c r="A344">
        <v>1173.9000000000001</v>
      </c>
      <c r="B344">
        <v>5</v>
      </c>
      <c r="C344">
        <v>343</v>
      </c>
      <c r="D344" s="2">
        <v>0.6995231481481482</v>
      </c>
      <c r="E344" t="s">
        <v>2134</v>
      </c>
      <c r="F344" t="s">
        <v>2135</v>
      </c>
      <c r="G344" t="s">
        <v>1559</v>
      </c>
      <c r="H344" t="s">
        <v>619</v>
      </c>
      <c r="I344" t="s">
        <v>758</v>
      </c>
      <c r="J344" t="s">
        <v>45</v>
      </c>
      <c r="K344" t="s">
        <v>46</v>
      </c>
      <c r="L344">
        <v>234.78</v>
      </c>
      <c r="M344" s="1">
        <v>46116</v>
      </c>
      <c r="N344" t="s">
        <v>14</v>
      </c>
      <c r="O344">
        <v>4</v>
      </c>
      <c r="P344">
        <v>4</v>
      </c>
      <c r="Q344">
        <v>2</v>
      </c>
      <c r="R344">
        <v>2026</v>
      </c>
    </row>
    <row r="345" spans="1:18">
      <c r="A345">
        <v>4.08</v>
      </c>
      <c r="B345">
        <v>4</v>
      </c>
      <c r="C345">
        <v>344</v>
      </c>
      <c r="D345" s="2">
        <v>0.48213243055555555</v>
      </c>
      <c r="E345" t="s">
        <v>2914</v>
      </c>
      <c r="F345" t="s">
        <v>2915</v>
      </c>
      <c r="G345" t="s">
        <v>2503</v>
      </c>
      <c r="H345" t="s">
        <v>1061</v>
      </c>
      <c r="I345" t="s">
        <v>834</v>
      </c>
      <c r="J345" t="s">
        <v>477</v>
      </c>
      <c r="K345" t="s">
        <v>39</v>
      </c>
      <c r="L345">
        <v>1.02</v>
      </c>
      <c r="M345" s="1">
        <v>45655</v>
      </c>
      <c r="N345" t="s">
        <v>28</v>
      </c>
      <c r="O345">
        <v>29</v>
      </c>
      <c r="P345">
        <v>12</v>
      </c>
      <c r="Q345">
        <v>4</v>
      </c>
      <c r="R345">
        <v>2024</v>
      </c>
    </row>
    <row r="346" spans="1:18">
      <c r="A346">
        <v>858.36</v>
      </c>
      <c r="B346">
        <v>4</v>
      </c>
      <c r="C346">
        <v>345</v>
      </c>
      <c r="D346" s="2">
        <v>0.8797234606481481</v>
      </c>
      <c r="E346" t="s">
        <v>1557</v>
      </c>
      <c r="F346" t="s">
        <v>1558</v>
      </c>
      <c r="G346" t="s">
        <v>1559</v>
      </c>
      <c r="H346" t="s">
        <v>635</v>
      </c>
      <c r="I346" t="s">
        <v>768</v>
      </c>
      <c r="J346" t="s">
        <v>571</v>
      </c>
      <c r="K346" t="s">
        <v>23</v>
      </c>
      <c r="L346">
        <v>214.59</v>
      </c>
      <c r="M346" s="1">
        <v>45605</v>
      </c>
      <c r="N346" t="s">
        <v>14</v>
      </c>
      <c r="O346">
        <v>9</v>
      </c>
      <c r="P346">
        <v>11</v>
      </c>
      <c r="Q346">
        <v>4</v>
      </c>
      <c r="R346">
        <v>2024</v>
      </c>
    </row>
    <row r="347" spans="1:18">
      <c r="A347">
        <v>202.53</v>
      </c>
      <c r="B347">
        <v>1</v>
      </c>
      <c r="C347">
        <v>346</v>
      </c>
      <c r="D347" s="2">
        <v>8.4064872685185185E-2</v>
      </c>
      <c r="E347" t="s">
        <v>1735</v>
      </c>
      <c r="F347" t="s">
        <v>1736</v>
      </c>
      <c r="G347" t="s">
        <v>857</v>
      </c>
      <c r="H347" t="s">
        <v>980</v>
      </c>
      <c r="I347" t="s">
        <v>981</v>
      </c>
      <c r="J347" t="s">
        <v>251</v>
      </c>
      <c r="K347" t="s">
        <v>122</v>
      </c>
      <c r="L347">
        <v>202.53</v>
      </c>
      <c r="M347" s="1">
        <v>46170</v>
      </c>
      <c r="N347" t="s">
        <v>105</v>
      </c>
      <c r="O347">
        <v>28</v>
      </c>
      <c r="P347">
        <v>5</v>
      </c>
      <c r="Q347">
        <v>2</v>
      </c>
      <c r="R347">
        <v>2026</v>
      </c>
    </row>
    <row r="348" spans="1:18">
      <c r="A348">
        <v>301.84999999999997</v>
      </c>
      <c r="B348">
        <v>5</v>
      </c>
      <c r="C348">
        <v>347</v>
      </c>
      <c r="D348" s="2">
        <v>0.10680739583333333</v>
      </c>
      <c r="E348" t="s">
        <v>1214</v>
      </c>
      <c r="F348" t="s">
        <v>1215</v>
      </c>
      <c r="G348" t="s">
        <v>1216</v>
      </c>
      <c r="H348" t="s">
        <v>199</v>
      </c>
      <c r="I348" t="s">
        <v>781</v>
      </c>
      <c r="J348" t="s">
        <v>681</v>
      </c>
      <c r="K348" t="s">
        <v>43</v>
      </c>
      <c r="L348">
        <v>60.37</v>
      </c>
      <c r="M348" s="1">
        <v>46074</v>
      </c>
      <c r="N348" t="s">
        <v>14</v>
      </c>
      <c r="O348">
        <v>21</v>
      </c>
      <c r="P348">
        <v>2</v>
      </c>
      <c r="Q348">
        <v>1</v>
      </c>
      <c r="R348">
        <v>2026</v>
      </c>
    </row>
    <row r="349" spans="1:18">
      <c r="A349">
        <v>55.679999999999993</v>
      </c>
      <c r="B349">
        <v>3</v>
      </c>
      <c r="C349">
        <v>348</v>
      </c>
      <c r="D349" s="2">
        <v>0.5804124074074074</v>
      </c>
      <c r="E349" t="s">
        <v>2194</v>
      </c>
      <c r="F349" t="s">
        <v>2195</v>
      </c>
      <c r="G349" t="s">
        <v>914</v>
      </c>
      <c r="H349" t="s">
        <v>414</v>
      </c>
      <c r="I349" t="s">
        <v>795</v>
      </c>
      <c r="J349" t="s">
        <v>672</v>
      </c>
      <c r="K349" t="s">
        <v>55</v>
      </c>
      <c r="L349">
        <v>18.559999999999999</v>
      </c>
      <c r="M349" s="1">
        <v>46046</v>
      </c>
      <c r="N349" t="s">
        <v>14</v>
      </c>
      <c r="O349">
        <v>24</v>
      </c>
      <c r="P349">
        <v>1</v>
      </c>
      <c r="Q349">
        <v>1</v>
      </c>
      <c r="R349">
        <v>2026</v>
      </c>
    </row>
    <row r="350" spans="1:18">
      <c r="A350">
        <v>478.1</v>
      </c>
      <c r="B350">
        <v>5</v>
      </c>
      <c r="C350">
        <v>349</v>
      </c>
      <c r="D350" s="2">
        <v>0.95094373842592594</v>
      </c>
      <c r="E350" t="s">
        <v>2625</v>
      </c>
      <c r="F350" t="s">
        <v>2626</v>
      </c>
      <c r="G350" t="s">
        <v>1383</v>
      </c>
      <c r="H350" t="s">
        <v>106</v>
      </c>
      <c r="I350" t="s">
        <v>748</v>
      </c>
      <c r="J350" t="s">
        <v>153</v>
      </c>
      <c r="K350" t="s">
        <v>37</v>
      </c>
      <c r="L350">
        <v>95.62</v>
      </c>
      <c r="M350" s="1">
        <v>45852</v>
      </c>
      <c r="N350" t="s">
        <v>93</v>
      </c>
      <c r="O350">
        <v>14</v>
      </c>
      <c r="P350">
        <v>7</v>
      </c>
      <c r="Q350">
        <v>3</v>
      </c>
      <c r="R350">
        <v>2025</v>
      </c>
    </row>
    <row r="351" spans="1:18">
      <c r="A351">
        <v>662.55</v>
      </c>
      <c r="B351">
        <v>3</v>
      </c>
      <c r="C351">
        <v>350</v>
      </c>
      <c r="D351" s="2">
        <v>0.15560684027777777</v>
      </c>
      <c r="E351" t="s">
        <v>2897</v>
      </c>
      <c r="F351" t="s">
        <v>2898</v>
      </c>
      <c r="G351" t="s">
        <v>811</v>
      </c>
      <c r="H351" t="s">
        <v>1318</v>
      </c>
      <c r="I351" t="s">
        <v>807</v>
      </c>
      <c r="J351" t="s">
        <v>309</v>
      </c>
      <c r="K351" t="s">
        <v>100</v>
      </c>
      <c r="L351">
        <v>220.85</v>
      </c>
      <c r="M351" s="1">
        <v>46095</v>
      </c>
      <c r="N351" t="s">
        <v>14</v>
      </c>
      <c r="O351">
        <v>14</v>
      </c>
      <c r="P351">
        <v>3</v>
      </c>
      <c r="Q351">
        <v>1</v>
      </c>
      <c r="R351">
        <v>2026</v>
      </c>
    </row>
    <row r="352" spans="1:18">
      <c r="A352">
        <v>69.78</v>
      </c>
      <c r="B352">
        <v>2</v>
      </c>
      <c r="C352">
        <v>351</v>
      </c>
      <c r="D352" s="2">
        <v>0.45303148148148148</v>
      </c>
      <c r="E352" t="s">
        <v>3421</v>
      </c>
      <c r="F352" t="s">
        <v>3422</v>
      </c>
      <c r="G352" t="s">
        <v>906</v>
      </c>
      <c r="H352" t="s">
        <v>1118</v>
      </c>
      <c r="I352" t="s">
        <v>821</v>
      </c>
      <c r="J352" t="s">
        <v>488</v>
      </c>
      <c r="K352" t="s">
        <v>46</v>
      </c>
      <c r="L352">
        <v>34.89</v>
      </c>
      <c r="M352" s="1">
        <v>45644</v>
      </c>
      <c r="N352" t="s">
        <v>34</v>
      </c>
      <c r="O352">
        <v>18</v>
      </c>
      <c r="P352">
        <v>12</v>
      </c>
      <c r="Q352">
        <v>4</v>
      </c>
      <c r="R352">
        <v>2024</v>
      </c>
    </row>
    <row r="353" spans="1:18">
      <c r="A353">
        <v>626.73</v>
      </c>
      <c r="B353">
        <v>3</v>
      </c>
      <c r="C353">
        <v>352</v>
      </c>
      <c r="D353" s="2">
        <v>0.53847322916666662</v>
      </c>
      <c r="E353" t="s">
        <v>2233</v>
      </c>
      <c r="F353" t="s">
        <v>2234</v>
      </c>
      <c r="G353" t="s">
        <v>2235</v>
      </c>
      <c r="H353" t="s">
        <v>1755</v>
      </c>
      <c r="I353" t="s">
        <v>786</v>
      </c>
      <c r="J353" t="s">
        <v>723</v>
      </c>
      <c r="K353" t="s">
        <v>46</v>
      </c>
      <c r="L353">
        <v>208.91</v>
      </c>
      <c r="M353" s="1">
        <v>45634</v>
      </c>
      <c r="N353" t="s">
        <v>28</v>
      </c>
      <c r="O353">
        <v>8</v>
      </c>
      <c r="P353">
        <v>12</v>
      </c>
      <c r="Q353">
        <v>4</v>
      </c>
      <c r="R353">
        <v>2024</v>
      </c>
    </row>
    <row r="354" spans="1:18">
      <c r="A354">
        <v>31.35</v>
      </c>
      <c r="B354">
        <v>1</v>
      </c>
      <c r="C354">
        <v>353</v>
      </c>
      <c r="D354" s="2">
        <v>0.17723539351851852</v>
      </c>
      <c r="E354" t="s">
        <v>847</v>
      </c>
      <c r="F354" t="s">
        <v>848</v>
      </c>
      <c r="G354" t="s">
        <v>849</v>
      </c>
      <c r="H354" t="s">
        <v>387</v>
      </c>
      <c r="I354" t="s">
        <v>821</v>
      </c>
      <c r="J354" t="s">
        <v>557</v>
      </c>
      <c r="K354" t="s">
        <v>46</v>
      </c>
      <c r="L354">
        <v>31.35</v>
      </c>
      <c r="M354" s="1">
        <v>45572</v>
      </c>
      <c r="N354" t="s">
        <v>93</v>
      </c>
      <c r="O354">
        <v>7</v>
      </c>
      <c r="P354">
        <v>10</v>
      </c>
      <c r="Q354">
        <v>4</v>
      </c>
      <c r="R354">
        <v>2024</v>
      </c>
    </row>
    <row r="355" spans="1:18">
      <c r="A355">
        <v>49.66</v>
      </c>
      <c r="B355">
        <v>2</v>
      </c>
      <c r="C355">
        <v>354</v>
      </c>
      <c r="D355" s="2">
        <v>0.26622247685185185</v>
      </c>
      <c r="E355" t="s">
        <v>2458</v>
      </c>
      <c r="F355" t="s">
        <v>2459</v>
      </c>
      <c r="G355" t="s">
        <v>1801</v>
      </c>
      <c r="H355" t="s">
        <v>713</v>
      </c>
      <c r="I355" t="s">
        <v>908</v>
      </c>
      <c r="J355" t="s">
        <v>338</v>
      </c>
      <c r="K355" t="s">
        <v>82</v>
      </c>
      <c r="L355">
        <v>24.83</v>
      </c>
      <c r="M355" s="1">
        <v>45775</v>
      </c>
      <c r="N355" t="s">
        <v>93</v>
      </c>
      <c r="O355">
        <v>28</v>
      </c>
      <c r="P355">
        <v>4</v>
      </c>
      <c r="Q355">
        <v>2</v>
      </c>
      <c r="R355">
        <v>2025</v>
      </c>
    </row>
    <row r="356" spans="1:18">
      <c r="A356">
        <v>1045.1000000000001</v>
      </c>
      <c r="B356">
        <v>5</v>
      </c>
      <c r="C356">
        <v>355</v>
      </c>
      <c r="D356" s="2">
        <v>0.1014403587962963</v>
      </c>
      <c r="E356" t="s">
        <v>1704</v>
      </c>
      <c r="F356" t="s">
        <v>1705</v>
      </c>
      <c r="G356" t="s">
        <v>1706</v>
      </c>
      <c r="H356" t="s">
        <v>1092</v>
      </c>
      <c r="I356" t="s">
        <v>763</v>
      </c>
      <c r="J356" t="s">
        <v>62</v>
      </c>
      <c r="K356" t="s">
        <v>17</v>
      </c>
      <c r="L356">
        <v>209.02</v>
      </c>
      <c r="M356" s="1">
        <v>45671</v>
      </c>
      <c r="N356" t="s">
        <v>48</v>
      </c>
      <c r="O356">
        <v>14</v>
      </c>
      <c r="P356">
        <v>1</v>
      </c>
      <c r="Q356">
        <v>1</v>
      </c>
      <c r="R356">
        <v>2025</v>
      </c>
    </row>
    <row r="357" spans="1:18">
      <c r="A357">
        <v>145.80000000000001</v>
      </c>
      <c r="B357">
        <v>5</v>
      </c>
      <c r="C357">
        <v>356</v>
      </c>
      <c r="D357" s="2">
        <v>0.66765003472222217</v>
      </c>
      <c r="E357" t="s">
        <v>2655</v>
      </c>
      <c r="F357" t="s">
        <v>2656</v>
      </c>
      <c r="G357" t="s">
        <v>2657</v>
      </c>
      <c r="H357" t="s">
        <v>1395</v>
      </c>
      <c r="I357" t="s">
        <v>776</v>
      </c>
      <c r="J357" t="s">
        <v>511</v>
      </c>
      <c r="K357" t="s">
        <v>27</v>
      </c>
      <c r="L357">
        <v>29.16</v>
      </c>
      <c r="M357" s="1">
        <v>45934</v>
      </c>
      <c r="N357" t="s">
        <v>14</v>
      </c>
      <c r="O357">
        <v>4</v>
      </c>
      <c r="P357">
        <v>10</v>
      </c>
      <c r="Q357">
        <v>4</v>
      </c>
      <c r="R357">
        <v>2025</v>
      </c>
    </row>
    <row r="358" spans="1:18">
      <c r="A358">
        <v>104.85</v>
      </c>
      <c r="B358">
        <v>5</v>
      </c>
      <c r="C358">
        <v>357</v>
      </c>
      <c r="D358" s="2">
        <v>0.57514454861111108</v>
      </c>
      <c r="E358" t="s">
        <v>1702</v>
      </c>
      <c r="F358" t="s">
        <v>1703</v>
      </c>
      <c r="G358" t="s">
        <v>1324</v>
      </c>
      <c r="H358" t="s">
        <v>1026</v>
      </c>
      <c r="I358" t="s">
        <v>896</v>
      </c>
      <c r="J358" t="s">
        <v>472</v>
      </c>
      <c r="K358" t="s">
        <v>122</v>
      </c>
      <c r="L358">
        <v>20.97</v>
      </c>
      <c r="M358" s="1">
        <v>45937</v>
      </c>
      <c r="N358" t="s">
        <v>48</v>
      </c>
      <c r="O358">
        <v>7</v>
      </c>
      <c r="P358">
        <v>10</v>
      </c>
      <c r="Q358">
        <v>4</v>
      </c>
      <c r="R358">
        <v>2025</v>
      </c>
    </row>
    <row r="359" spans="1:18">
      <c r="A359">
        <v>393.56</v>
      </c>
      <c r="B359">
        <v>2</v>
      </c>
      <c r="C359">
        <v>358</v>
      </c>
      <c r="D359" s="2">
        <v>9.8865462962962961E-2</v>
      </c>
      <c r="E359" t="s">
        <v>1866</v>
      </c>
      <c r="F359" t="s">
        <v>1867</v>
      </c>
      <c r="G359" t="s">
        <v>1868</v>
      </c>
      <c r="H359" t="s">
        <v>1111</v>
      </c>
      <c r="I359" t="s">
        <v>981</v>
      </c>
      <c r="J359" t="s">
        <v>397</v>
      </c>
      <c r="K359" t="s">
        <v>31</v>
      </c>
      <c r="L359">
        <v>196.78</v>
      </c>
      <c r="M359" s="1">
        <v>46186</v>
      </c>
      <c r="N359" t="s">
        <v>14</v>
      </c>
      <c r="O359">
        <v>13</v>
      </c>
      <c r="P359">
        <v>6</v>
      </c>
      <c r="Q359">
        <v>2</v>
      </c>
      <c r="R359">
        <v>2026</v>
      </c>
    </row>
    <row r="360" spans="1:18">
      <c r="A360">
        <v>319.32</v>
      </c>
      <c r="B360">
        <v>4</v>
      </c>
      <c r="C360">
        <v>359</v>
      </c>
      <c r="D360" s="2">
        <v>0.6276322685185185</v>
      </c>
      <c r="E360" t="s">
        <v>3173</v>
      </c>
      <c r="F360" t="s">
        <v>3174</v>
      </c>
      <c r="G360" t="s">
        <v>1906</v>
      </c>
      <c r="H360" t="s">
        <v>113</v>
      </c>
      <c r="I360" t="s">
        <v>854</v>
      </c>
      <c r="J360" t="s">
        <v>234</v>
      </c>
      <c r="K360" t="s">
        <v>82</v>
      </c>
      <c r="L360">
        <v>79.83</v>
      </c>
      <c r="M360" s="1">
        <v>46186</v>
      </c>
      <c r="N360" t="s">
        <v>14</v>
      </c>
      <c r="O360">
        <v>13</v>
      </c>
      <c r="P360">
        <v>6</v>
      </c>
      <c r="Q360">
        <v>2</v>
      </c>
      <c r="R360">
        <v>2026</v>
      </c>
    </row>
    <row r="361" spans="1:18">
      <c r="A361">
        <v>538.12</v>
      </c>
      <c r="B361">
        <v>4</v>
      </c>
      <c r="C361">
        <v>360</v>
      </c>
      <c r="D361" s="2">
        <v>0.61093385416666668</v>
      </c>
      <c r="E361" t="s">
        <v>3269</v>
      </c>
      <c r="F361" t="s">
        <v>3270</v>
      </c>
      <c r="G361" t="s">
        <v>3271</v>
      </c>
      <c r="H361" t="s">
        <v>961</v>
      </c>
      <c r="I361" t="s">
        <v>753</v>
      </c>
      <c r="J361" t="s">
        <v>361</v>
      </c>
      <c r="K361" t="s">
        <v>37</v>
      </c>
      <c r="L361">
        <v>134.53</v>
      </c>
      <c r="M361" s="1">
        <v>45627</v>
      </c>
      <c r="N361" t="s">
        <v>28</v>
      </c>
      <c r="O361">
        <v>1</v>
      </c>
      <c r="P361">
        <v>12</v>
      </c>
      <c r="Q361">
        <v>4</v>
      </c>
      <c r="R361">
        <v>2024</v>
      </c>
    </row>
    <row r="362" spans="1:18">
      <c r="A362">
        <v>451.46</v>
      </c>
      <c r="B362">
        <v>2</v>
      </c>
      <c r="C362">
        <v>361</v>
      </c>
      <c r="D362" s="2">
        <v>0.37906994212962963</v>
      </c>
      <c r="E362" t="s">
        <v>2185</v>
      </c>
      <c r="F362" t="s">
        <v>2186</v>
      </c>
      <c r="G362" t="s">
        <v>1429</v>
      </c>
      <c r="H362" t="s">
        <v>1395</v>
      </c>
      <c r="I362" t="s">
        <v>776</v>
      </c>
      <c r="J362" t="s">
        <v>444</v>
      </c>
      <c r="K362" t="s">
        <v>37</v>
      </c>
      <c r="L362">
        <v>225.73</v>
      </c>
      <c r="M362" s="1">
        <v>45742</v>
      </c>
      <c r="N362" t="s">
        <v>34</v>
      </c>
      <c r="O362">
        <v>26</v>
      </c>
      <c r="P362">
        <v>3</v>
      </c>
      <c r="Q362">
        <v>1</v>
      </c>
      <c r="R362">
        <v>2025</v>
      </c>
    </row>
    <row r="363" spans="1:18">
      <c r="A363">
        <v>898.36</v>
      </c>
      <c r="B363">
        <v>4</v>
      </c>
      <c r="C363">
        <v>362</v>
      </c>
      <c r="D363" s="2">
        <v>0.10179577546296296</v>
      </c>
      <c r="E363" t="s">
        <v>1393</v>
      </c>
      <c r="F363" t="s">
        <v>1394</v>
      </c>
      <c r="G363" t="s">
        <v>1182</v>
      </c>
      <c r="H363" t="s">
        <v>1395</v>
      </c>
      <c r="I363" t="s">
        <v>776</v>
      </c>
      <c r="J363" t="s">
        <v>121</v>
      </c>
      <c r="K363" t="s">
        <v>122</v>
      </c>
      <c r="L363">
        <v>224.59</v>
      </c>
      <c r="M363" s="1">
        <v>45995</v>
      </c>
      <c r="N363" t="s">
        <v>105</v>
      </c>
      <c r="O363">
        <v>4</v>
      </c>
      <c r="P363">
        <v>12</v>
      </c>
      <c r="Q363">
        <v>4</v>
      </c>
      <c r="R363">
        <v>2025</v>
      </c>
    </row>
    <row r="364" spans="1:18">
      <c r="A364">
        <v>859.4</v>
      </c>
      <c r="B364">
        <v>5</v>
      </c>
      <c r="C364">
        <v>363</v>
      </c>
      <c r="D364" s="2">
        <v>0.41739953703703703</v>
      </c>
      <c r="E364" t="s">
        <v>1200</v>
      </c>
      <c r="F364" t="s">
        <v>1201</v>
      </c>
      <c r="G364" t="s">
        <v>1202</v>
      </c>
      <c r="H364" t="s">
        <v>1137</v>
      </c>
      <c r="I364" t="s">
        <v>748</v>
      </c>
      <c r="J364" t="s">
        <v>525</v>
      </c>
      <c r="K364" t="s">
        <v>17</v>
      </c>
      <c r="L364">
        <v>171.88</v>
      </c>
      <c r="M364" s="1">
        <v>45694</v>
      </c>
      <c r="N364" t="s">
        <v>105</v>
      </c>
      <c r="O364">
        <v>6</v>
      </c>
      <c r="P364">
        <v>2</v>
      </c>
      <c r="Q364">
        <v>1</v>
      </c>
      <c r="R364">
        <v>2025</v>
      </c>
    </row>
    <row r="365" spans="1:18">
      <c r="A365">
        <v>199.66</v>
      </c>
      <c r="B365">
        <v>2</v>
      </c>
      <c r="C365">
        <v>364</v>
      </c>
      <c r="D365" s="2">
        <v>0.39013876157407407</v>
      </c>
      <c r="E365" t="s">
        <v>1177</v>
      </c>
      <c r="F365" t="s">
        <v>1178</v>
      </c>
      <c r="G365" t="s">
        <v>1179</v>
      </c>
      <c r="H365" t="s">
        <v>879</v>
      </c>
      <c r="I365" t="s">
        <v>748</v>
      </c>
      <c r="J365" t="s">
        <v>467</v>
      </c>
      <c r="K365" t="s">
        <v>19</v>
      </c>
      <c r="L365">
        <v>99.83</v>
      </c>
      <c r="M365" s="1">
        <v>46009</v>
      </c>
      <c r="N365" t="s">
        <v>105</v>
      </c>
      <c r="O365">
        <v>18</v>
      </c>
      <c r="P365">
        <v>12</v>
      </c>
      <c r="Q365">
        <v>4</v>
      </c>
      <c r="R365">
        <v>2025</v>
      </c>
    </row>
    <row r="366" spans="1:18">
      <c r="A366">
        <v>214.86</v>
      </c>
      <c r="B366">
        <v>3</v>
      </c>
      <c r="C366">
        <v>365</v>
      </c>
      <c r="D366" s="2">
        <v>0.86398273148148153</v>
      </c>
      <c r="E366" t="s">
        <v>2506</v>
      </c>
      <c r="F366" t="s">
        <v>2507</v>
      </c>
      <c r="G366" t="s">
        <v>1295</v>
      </c>
      <c r="H366" t="s">
        <v>74</v>
      </c>
      <c r="I366" t="s">
        <v>943</v>
      </c>
      <c r="J366" t="s">
        <v>680</v>
      </c>
      <c r="K366" t="s">
        <v>69</v>
      </c>
      <c r="L366">
        <v>71.62</v>
      </c>
      <c r="M366" s="1">
        <v>46274</v>
      </c>
      <c r="N366" t="s">
        <v>34</v>
      </c>
      <c r="O366">
        <v>9</v>
      </c>
      <c r="P366">
        <v>9</v>
      </c>
      <c r="Q366">
        <v>3</v>
      </c>
      <c r="R366">
        <v>2026</v>
      </c>
    </row>
    <row r="367" spans="1:18">
      <c r="A367">
        <v>283.62</v>
      </c>
      <c r="B367">
        <v>2</v>
      </c>
      <c r="C367">
        <v>366</v>
      </c>
      <c r="D367" s="2">
        <v>0.78558729166666663</v>
      </c>
      <c r="E367" t="s">
        <v>2978</v>
      </c>
      <c r="F367" t="s">
        <v>2979</v>
      </c>
      <c r="G367" t="s">
        <v>2306</v>
      </c>
      <c r="H367" t="s">
        <v>862</v>
      </c>
      <c r="I367" t="s">
        <v>807</v>
      </c>
      <c r="J367" t="s">
        <v>391</v>
      </c>
      <c r="K367" t="s">
        <v>60</v>
      </c>
      <c r="L367">
        <v>141.81</v>
      </c>
      <c r="M367" s="1">
        <v>45609</v>
      </c>
      <c r="N367" t="s">
        <v>34</v>
      </c>
      <c r="O367">
        <v>13</v>
      </c>
      <c r="P367">
        <v>11</v>
      </c>
      <c r="Q367">
        <v>4</v>
      </c>
      <c r="R367">
        <v>2024</v>
      </c>
    </row>
    <row r="368" spans="1:18">
      <c r="A368">
        <v>488.48</v>
      </c>
      <c r="B368">
        <v>2</v>
      </c>
      <c r="C368">
        <v>367</v>
      </c>
      <c r="D368" s="2">
        <v>8.0754942129629623E-2</v>
      </c>
      <c r="E368" t="s">
        <v>1934</v>
      </c>
      <c r="F368" t="s">
        <v>1935</v>
      </c>
      <c r="G368" t="s">
        <v>1648</v>
      </c>
      <c r="H368" t="s">
        <v>1362</v>
      </c>
      <c r="I368" t="s">
        <v>896</v>
      </c>
      <c r="J368" t="s">
        <v>61</v>
      </c>
      <c r="K368" t="s">
        <v>55</v>
      </c>
      <c r="L368">
        <v>244.24</v>
      </c>
      <c r="M368" s="1">
        <v>45943</v>
      </c>
      <c r="N368" t="s">
        <v>93</v>
      </c>
      <c r="O368">
        <v>13</v>
      </c>
      <c r="P368">
        <v>10</v>
      </c>
      <c r="Q368">
        <v>4</v>
      </c>
      <c r="R368">
        <v>2025</v>
      </c>
    </row>
    <row r="369" spans="1:18">
      <c r="A369">
        <v>84.63</v>
      </c>
      <c r="B369">
        <v>1</v>
      </c>
      <c r="C369">
        <v>368</v>
      </c>
      <c r="D369" s="2">
        <v>0.25021556712962961</v>
      </c>
      <c r="E369" t="s">
        <v>880</v>
      </c>
      <c r="F369" t="s">
        <v>881</v>
      </c>
      <c r="G369" t="s">
        <v>882</v>
      </c>
      <c r="H369" t="s">
        <v>883</v>
      </c>
      <c r="I369" t="s">
        <v>807</v>
      </c>
      <c r="J369" t="s">
        <v>528</v>
      </c>
      <c r="K369" t="s">
        <v>69</v>
      </c>
      <c r="L369">
        <v>84.63</v>
      </c>
      <c r="M369" s="1">
        <v>45789</v>
      </c>
      <c r="N369" t="s">
        <v>93</v>
      </c>
      <c r="O369">
        <v>12</v>
      </c>
      <c r="P369">
        <v>5</v>
      </c>
      <c r="Q369">
        <v>2</v>
      </c>
      <c r="R369">
        <v>2025</v>
      </c>
    </row>
    <row r="370" spans="1:18">
      <c r="A370">
        <v>23.55</v>
      </c>
      <c r="B370">
        <v>5</v>
      </c>
      <c r="C370">
        <v>369</v>
      </c>
      <c r="D370" s="2">
        <v>0.22633369212962964</v>
      </c>
      <c r="E370" t="s">
        <v>2766</v>
      </c>
      <c r="F370" t="s">
        <v>2767</v>
      </c>
      <c r="G370" t="s">
        <v>1709</v>
      </c>
      <c r="H370" t="s">
        <v>608</v>
      </c>
      <c r="I370" t="s">
        <v>966</v>
      </c>
      <c r="J370" t="s">
        <v>454</v>
      </c>
      <c r="K370" t="s">
        <v>23</v>
      </c>
      <c r="L370">
        <v>4.71</v>
      </c>
      <c r="M370" s="1">
        <v>45811</v>
      </c>
      <c r="N370" t="s">
        <v>48</v>
      </c>
      <c r="O370">
        <v>3</v>
      </c>
      <c r="P370">
        <v>6</v>
      </c>
      <c r="Q370">
        <v>2</v>
      </c>
      <c r="R370">
        <v>2025</v>
      </c>
    </row>
    <row r="371" spans="1:18">
      <c r="A371">
        <v>129.88999999999999</v>
      </c>
      <c r="B371">
        <v>1</v>
      </c>
      <c r="C371">
        <v>370</v>
      </c>
      <c r="D371" s="2">
        <v>0.60543414351851854</v>
      </c>
      <c r="E371" t="s">
        <v>1422</v>
      </c>
      <c r="F371" t="s">
        <v>1423</v>
      </c>
      <c r="G371" t="s">
        <v>1424</v>
      </c>
      <c r="H371" t="s">
        <v>1039</v>
      </c>
      <c r="I371" t="s">
        <v>758</v>
      </c>
      <c r="J371" t="s">
        <v>271</v>
      </c>
      <c r="K371" t="s">
        <v>25</v>
      </c>
      <c r="L371">
        <v>129.88999999999999</v>
      </c>
      <c r="M371" s="1">
        <v>46184</v>
      </c>
      <c r="N371" t="s">
        <v>105</v>
      </c>
      <c r="O371">
        <v>11</v>
      </c>
      <c r="P371">
        <v>6</v>
      </c>
      <c r="Q371">
        <v>2</v>
      </c>
      <c r="R371">
        <v>2026</v>
      </c>
    </row>
    <row r="372" spans="1:18">
      <c r="A372">
        <v>233.44</v>
      </c>
      <c r="B372">
        <v>2</v>
      </c>
      <c r="C372">
        <v>371</v>
      </c>
      <c r="D372" s="2">
        <v>0.67630099537037036</v>
      </c>
      <c r="E372" t="s">
        <v>1719</v>
      </c>
      <c r="F372" t="s">
        <v>1720</v>
      </c>
      <c r="G372" t="s">
        <v>1721</v>
      </c>
      <c r="H372" t="s">
        <v>1722</v>
      </c>
      <c r="I372" t="s">
        <v>954</v>
      </c>
      <c r="J372" t="s">
        <v>500</v>
      </c>
      <c r="K372" t="s">
        <v>27</v>
      </c>
      <c r="L372">
        <v>116.72</v>
      </c>
      <c r="M372" s="1">
        <v>45883</v>
      </c>
      <c r="N372" t="s">
        <v>105</v>
      </c>
      <c r="O372">
        <v>14</v>
      </c>
      <c r="P372">
        <v>8</v>
      </c>
      <c r="Q372">
        <v>3</v>
      </c>
      <c r="R372">
        <v>2025</v>
      </c>
    </row>
    <row r="373" spans="1:18">
      <c r="A373">
        <v>116.42</v>
      </c>
      <c r="B373">
        <v>1</v>
      </c>
      <c r="C373">
        <v>372</v>
      </c>
      <c r="D373" s="2">
        <v>0.30841474537037039</v>
      </c>
      <c r="E373" t="s">
        <v>1921</v>
      </c>
      <c r="F373" t="s">
        <v>1922</v>
      </c>
      <c r="G373" t="s">
        <v>761</v>
      </c>
      <c r="H373" t="s">
        <v>113</v>
      </c>
      <c r="I373" t="s">
        <v>1247</v>
      </c>
      <c r="J373" t="s">
        <v>91</v>
      </c>
      <c r="K373" t="s">
        <v>55</v>
      </c>
      <c r="L373">
        <v>116.42</v>
      </c>
      <c r="M373" s="1">
        <v>45793</v>
      </c>
      <c r="N373" t="s">
        <v>79</v>
      </c>
      <c r="O373">
        <v>16</v>
      </c>
      <c r="P373">
        <v>5</v>
      </c>
      <c r="Q373">
        <v>2</v>
      </c>
      <c r="R373">
        <v>2025</v>
      </c>
    </row>
    <row r="374" spans="1:18">
      <c r="A374">
        <v>14.57</v>
      </c>
      <c r="B374">
        <v>1</v>
      </c>
      <c r="C374">
        <v>373</v>
      </c>
      <c r="D374" s="2">
        <v>0.41637633101851851</v>
      </c>
      <c r="E374" t="s">
        <v>1712</v>
      </c>
      <c r="F374" t="s">
        <v>1713</v>
      </c>
      <c r="G374" t="s">
        <v>938</v>
      </c>
      <c r="H374" t="s">
        <v>1189</v>
      </c>
      <c r="I374" t="s">
        <v>892</v>
      </c>
      <c r="J374" t="s">
        <v>166</v>
      </c>
      <c r="K374" t="s">
        <v>23</v>
      </c>
      <c r="L374">
        <v>14.57</v>
      </c>
      <c r="M374" s="1">
        <v>45782</v>
      </c>
      <c r="N374" t="s">
        <v>93</v>
      </c>
      <c r="O374">
        <v>5</v>
      </c>
      <c r="P374">
        <v>5</v>
      </c>
      <c r="Q374">
        <v>2</v>
      </c>
      <c r="R374">
        <v>2025</v>
      </c>
    </row>
    <row r="375" spans="1:18">
      <c r="A375">
        <v>103.44</v>
      </c>
      <c r="B375">
        <v>4</v>
      </c>
      <c r="C375">
        <v>374</v>
      </c>
      <c r="D375" s="2">
        <v>0.11753616898148148</v>
      </c>
      <c r="E375" t="s">
        <v>3145</v>
      </c>
      <c r="F375" t="s">
        <v>3146</v>
      </c>
      <c r="G375" t="s">
        <v>3147</v>
      </c>
      <c r="H375" t="s">
        <v>3139</v>
      </c>
      <c r="I375" t="s">
        <v>908</v>
      </c>
      <c r="J375" t="s">
        <v>282</v>
      </c>
      <c r="K375" t="s">
        <v>21</v>
      </c>
      <c r="L375">
        <v>25.86</v>
      </c>
      <c r="M375" s="1">
        <v>45680</v>
      </c>
      <c r="N375" t="s">
        <v>105</v>
      </c>
      <c r="O375">
        <v>23</v>
      </c>
      <c r="P375">
        <v>1</v>
      </c>
      <c r="Q375">
        <v>1</v>
      </c>
      <c r="R375">
        <v>2025</v>
      </c>
    </row>
    <row r="376" spans="1:18">
      <c r="A376">
        <v>556.04999999999995</v>
      </c>
      <c r="B376">
        <v>5</v>
      </c>
      <c r="C376">
        <v>375</v>
      </c>
      <c r="D376" s="2">
        <v>7.905746527777778E-2</v>
      </c>
      <c r="E376" t="s">
        <v>1677</v>
      </c>
      <c r="F376" t="s">
        <v>1678</v>
      </c>
      <c r="G376" t="s">
        <v>1679</v>
      </c>
      <c r="H376" t="s">
        <v>767</v>
      </c>
      <c r="I376" t="s">
        <v>768</v>
      </c>
      <c r="J376" t="s">
        <v>254</v>
      </c>
      <c r="K376" t="s">
        <v>51</v>
      </c>
      <c r="L376">
        <v>111.21</v>
      </c>
      <c r="M376" s="1">
        <v>46152</v>
      </c>
      <c r="N376" t="s">
        <v>28</v>
      </c>
      <c r="O376">
        <v>10</v>
      </c>
      <c r="P376">
        <v>5</v>
      </c>
      <c r="Q376">
        <v>2</v>
      </c>
      <c r="R376">
        <v>2026</v>
      </c>
    </row>
    <row r="377" spans="1:18">
      <c r="A377">
        <v>311.04000000000002</v>
      </c>
      <c r="B377">
        <v>2</v>
      </c>
      <c r="C377">
        <v>376</v>
      </c>
      <c r="D377" s="2">
        <v>0.39672225694444446</v>
      </c>
      <c r="E377" t="s">
        <v>2070</v>
      </c>
      <c r="F377" t="s">
        <v>2071</v>
      </c>
      <c r="G377" t="s">
        <v>1228</v>
      </c>
      <c r="H377" t="s">
        <v>1670</v>
      </c>
      <c r="I377" t="s">
        <v>1247</v>
      </c>
      <c r="J377" t="s">
        <v>473</v>
      </c>
      <c r="K377" t="s">
        <v>23</v>
      </c>
      <c r="L377">
        <v>155.52000000000001</v>
      </c>
      <c r="M377" s="1">
        <v>46268</v>
      </c>
      <c r="N377" t="s">
        <v>105</v>
      </c>
      <c r="O377">
        <v>3</v>
      </c>
      <c r="P377">
        <v>9</v>
      </c>
      <c r="Q377">
        <v>3</v>
      </c>
      <c r="R377">
        <v>2026</v>
      </c>
    </row>
    <row r="378" spans="1:18">
      <c r="A378">
        <v>909.88</v>
      </c>
      <c r="B378">
        <v>4</v>
      </c>
      <c r="C378">
        <v>377</v>
      </c>
      <c r="D378" s="2">
        <v>0.75923204861111115</v>
      </c>
      <c r="E378" t="s">
        <v>1065</v>
      </c>
      <c r="F378" t="s">
        <v>1066</v>
      </c>
      <c r="G378" t="s">
        <v>984</v>
      </c>
      <c r="H378" t="s">
        <v>1067</v>
      </c>
      <c r="I378" t="s">
        <v>854</v>
      </c>
      <c r="J378" t="s">
        <v>116</v>
      </c>
      <c r="K378" t="s">
        <v>57</v>
      </c>
      <c r="L378">
        <v>227.47</v>
      </c>
      <c r="M378" s="1">
        <v>45551</v>
      </c>
      <c r="N378" t="s">
        <v>93</v>
      </c>
      <c r="O378">
        <v>16</v>
      </c>
      <c r="P378">
        <v>9</v>
      </c>
      <c r="Q378">
        <v>3</v>
      </c>
      <c r="R378">
        <v>2024</v>
      </c>
    </row>
    <row r="379" spans="1:18">
      <c r="A379">
        <v>149.72999999999999</v>
      </c>
      <c r="B379">
        <v>1</v>
      </c>
      <c r="C379">
        <v>378</v>
      </c>
      <c r="D379" s="2">
        <v>0.77957520833333338</v>
      </c>
      <c r="E379" t="s">
        <v>1580</v>
      </c>
      <c r="F379" t="s">
        <v>1581</v>
      </c>
      <c r="G379" t="s">
        <v>1582</v>
      </c>
      <c r="H379" t="s">
        <v>862</v>
      </c>
      <c r="I379" t="s">
        <v>908</v>
      </c>
      <c r="J379" t="s">
        <v>425</v>
      </c>
      <c r="K379" t="s">
        <v>51</v>
      </c>
      <c r="L379">
        <v>149.72999999999999</v>
      </c>
      <c r="M379" s="1">
        <v>45790</v>
      </c>
      <c r="N379" t="s">
        <v>48</v>
      </c>
      <c r="O379">
        <v>13</v>
      </c>
      <c r="P379">
        <v>5</v>
      </c>
      <c r="Q379">
        <v>2</v>
      </c>
      <c r="R379">
        <v>2025</v>
      </c>
    </row>
    <row r="380" spans="1:18">
      <c r="A380">
        <v>1184.75</v>
      </c>
      <c r="B380">
        <v>5</v>
      </c>
      <c r="C380">
        <v>379</v>
      </c>
      <c r="D380" s="2">
        <v>0.98366744212962964</v>
      </c>
      <c r="E380" t="s">
        <v>1307</v>
      </c>
      <c r="F380" t="s">
        <v>1308</v>
      </c>
      <c r="G380" t="s">
        <v>1212</v>
      </c>
      <c r="H380" t="s">
        <v>151</v>
      </c>
      <c r="I380" t="s">
        <v>1003</v>
      </c>
      <c r="J380" t="s">
        <v>50</v>
      </c>
      <c r="K380" t="s">
        <v>51</v>
      </c>
      <c r="L380">
        <v>236.95</v>
      </c>
      <c r="M380" s="1">
        <v>45766</v>
      </c>
      <c r="N380" t="s">
        <v>14</v>
      </c>
      <c r="O380">
        <v>19</v>
      </c>
      <c r="P380">
        <v>4</v>
      </c>
      <c r="Q380">
        <v>2</v>
      </c>
      <c r="R380">
        <v>2025</v>
      </c>
    </row>
    <row r="381" spans="1:18">
      <c r="A381">
        <v>29.68</v>
      </c>
      <c r="B381">
        <v>4</v>
      </c>
      <c r="C381">
        <v>380</v>
      </c>
      <c r="D381" s="2">
        <v>0.99545813657407412</v>
      </c>
      <c r="E381" t="s">
        <v>1896</v>
      </c>
      <c r="F381" t="s">
        <v>1897</v>
      </c>
      <c r="G381" t="s">
        <v>1114</v>
      </c>
      <c r="H381" t="s">
        <v>1026</v>
      </c>
      <c r="I381" t="s">
        <v>896</v>
      </c>
      <c r="J381" t="s">
        <v>194</v>
      </c>
      <c r="K381" t="s">
        <v>39</v>
      </c>
      <c r="L381">
        <v>7.42</v>
      </c>
      <c r="M381" s="1">
        <v>46135</v>
      </c>
      <c r="N381" t="s">
        <v>105</v>
      </c>
      <c r="O381">
        <v>23</v>
      </c>
      <c r="P381">
        <v>4</v>
      </c>
      <c r="Q381">
        <v>2</v>
      </c>
      <c r="R381">
        <v>2026</v>
      </c>
    </row>
    <row r="382" spans="1:18">
      <c r="A382">
        <v>259.77999999999997</v>
      </c>
      <c r="B382">
        <v>2</v>
      </c>
      <c r="C382">
        <v>381</v>
      </c>
      <c r="D382" s="2">
        <v>0.83265453703703707</v>
      </c>
      <c r="E382" t="s">
        <v>3165</v>
      </c>
      <c r="F382" t="s">
        <v>3166</v>
      </c>
      <c r="G382" t="s">
        <v>1633</v>
      </c>
      <c r="H382" t="s">
        <v>1673</v>
      </c>
      <c r="I382" t="s">
        <v>821</v>
      </c>
      <c r="J382" t="s">
        <v>271</v>
      </c>
      <c r="K382" t="s">
        <v>25</v>
      </c>
      <c r="L382">
        <v>129.88999999999999</v>
      </c>
      <c r="M382" s="1">
        <v>46223</v>
      </c>
      <c r="N382" t="s">
        <v>93</v>
      </c>
      <c r="O382">
        <v>20</v>
      </c>
      <c r="P382">
        <v>7</v>
      </c>
      <c r="Q382">
        <v>3</v>
      </c>
      <c r="R382">
        <v>2026</v>
      </c>
    </row>
    <row r="383" spans="1:18">
      <c r="A383">
        <v>46.31</v>
      </c>
      <c r="B383">
        <v>1</v>
      </c>
      <c r="C383">
        <v>382</v>
      </c>
      <c r="D383" s="2">
        <v>0.49680620370370371</v>
      </c>
      <c r="E383" t="s">
        <v>2219</v>
      </c>
      <c r="F383" t="s">
        <v>2220</v>
      </c>
      <c r="G383" t="s">
        <v>2133</v>
      </c>
      <c r="H383" t="s">
        <v>1067</v>
      </c>
      <c r="I383" t="s">
        <v>854</v>
      </c>
      <c r="J383" t="s">
        <v>583</v>
      </c>
      <c r="K383" t="s">
        <v>19</v>
      </c>
      <c r="L383">
        <v>46.31</v>
      </c>
      <c r="M383" s="1">
        <v>45779</v>
      </c>
      <c r="N383" t="s">
        <v>79</v>
      </c>
      <c r="O383">
        <v>2</v>
      </c>
      <c r="P383">
        <v>5</v>
      </c>
      <c r="Q383">
        <v>2</v>
      </c>
      <c r="R383">
        <v>2025</v>
      </c>
    </row>
    <row r="384" spans="1:18">
      <c r="A384">
        <v>876.04</v>
      </c>
      <c r="B384">
        <v>4</v>
      </c>
      <c r="C384">
        <v>383</v>
      </c>
      <c r="D384" s="2">
        <v>4.2867766203703701E-2</v>
      </c>
      <c r="E384" t="s">
        <v>2422</v>
      </c>
      <c r="F384" t="s">
        <v>2423</v>
      </c>
      <c r="G384" t="s">
        <v>2086</v>
      </c>
      <c r="H384" t="s">
        <v>985</v>
      </c>
      <c r="I384" t="s">
        <v>817</v>
      </c>
      <c r="J384" t="s">
        <v>279</v>
      </c>
      <c r="K384" t="s">
        <v>82</v>
      </c>
      <c r="L384">
        <v>219.01</v>
      </c>
      <c r="M384" s="1">
        <v>45802</v>
      </c>
      <c r="N384" t="s">
        <v>28</v>
      </c>
      <c r="O384">
        <v>25</v>
      </c>
      <c r="P384">
        <v>5</v>
      </c>
      <c r="Q384">
        <v>2</v>
      </c>
      <c r="R384">
        <v>2025</v>
      </c>
    </row>
    <row r="385" spans="1:18">
      <c r="A385">
        <v>193.42</v>
      </c>
      <c r="B385">
        <v>1</v>
      </c>
      <c r="C385">
        <v>384</v>
      </c>
      <c r="D385" s="2">
        <v>3.5160787037037039E-2</v>
      </c>
      <c r="E385" t="s">
        <v>1796</v>
      </c>
      <c r="F385" t="s">
        <v>1797</v>
      </c>
      <c r="G385" t="s">
        <v>1798</v>
      </c>
      <c r="H385" t="s">
        <v>806</v>
      </c>
      <c r="I385" t="s">
        <v>807</v>
      </c>
      <c r="J385" t="s">
        <v>294</v>
      </c>
      <c r="K385" t="s">
        <v>51</v>
      </c>
      <c r="L385">
        <v>193.42</v>
      </c>
      <c r="M385" s="1">
        <v>46021</v>
      </c>
      <c r="N385" t="s">
        <v>48</v>
      </c>
      <c r="O385">
        <v>30</v>
      </c>
      <c r="P385">
        <v>12</v>
      </c>
      <c r="Q385">
        <v>4</v>
      </c>
      <c r="R385">
        <v>2025</v>
      </c>
    </row>
    <row r="386" spans="1:18">
      <c r="A386">
        <v>680.91</v>
      </c>
      <c r="B386">
        <v>3</v>
      </c>
      <c r="C386">
        <v>385</v>
      </c>
      <c r="D386" s="2">
        <v>0.44494912037037038</v>
      </c>
      <c r="E386" t="s">
        <v>1328</v>
      </c>
      <c r="F386" t="s">
        <v>1329</v>
      </c>
      <c r="G386" t="s">
        <v>1330</v>
      </c>
      <c r="H386" t="s">
        <v>883</v>
      </c>
      <c r="I386" t="s">
        <v>807</v>
      </c>
      <c r="J386" t="s">
        <v>283</v>
      </c>
      <c r="K386" t="s">
        <v>100</v>
      </c>
      <c r="L386">
        <v>226.97</v>
      </c>
      <c r="M386" s="1">
        <v>45944</v>
      </c>
      <c r="N386" t="s">
        <v>48</v>
      </c>
      <c r="O386">
        <v>14</v>
      </c>
      <c r="P386">
        <v>10</v>
      </c>
      <c r="Q386">
        <v>4</v>
      </c>
      <c r="R386">
        <v>2025</v>
      </c>
    </row>
    <row r="387" spans="1:18">
      <c r="A387">
        <v>135.24</v>
      </c>
      <c r="B387">
        <v>2</v>
      </c>
      <c r="C387">
        <v>386</v>
      </c>
      <c r="D387" s="2">
        <v>0.80953516203703701</v>
      </c>
      <c r="E387" t="s">
        <v>936</v>
      </c>
      <c r="F387" t="s">
        <v>937</v>
      </c>
      <c r="G387" t="s">
        <v>938</v>
      </c>
      <c r="H387" t="s">
        <v>794</v>
      </c>
      <c r="I387" t="s">
        <v>795</v>
      </c>
      <c r="J387" t="s">
        <v>697</v>
      </c>
      <c r="K387" t="s">
        <v>17</v>
      </c>
      <c r="L387">
        <v>67.62</v>
      </c>
      <c r="M387" s="1">
        <v>45824</v>
      </c>
      <c r="N387" t="s">
        <v>93</v>
      </c>
      <c r="O387">
        <v>16</v>
      </c>
      <c r="P387">
        <v>6</v>
      </c>
      <c r="Q387">
        <v>2</v>
      </c>
      <c r="R387">
        <v>2025</v>
      </c>
    </row>
    <row r="388" spans="1:18">
      <c r="A388">
        <v>1122.95</v>
      </c>
      <c r="B388">
        <v>5</v>
      </c>
      <c r="C388">
        <v>387</v>
      </c>
      <c r="D388" s="2">
        <v>0.26612180555555554</v>
      </c>
      <c r="E388" t="s">
        <v>1674</v>
      </c>
      <c r="F388" t="s">
        <v>1675</v>
      </c>
      <c r="G388" t="s">
        <v>1676</v>
      </c>
      <c r="H388" t="s">
        <v>995</v>
      </c>
      <c r="I388" t="s">
        <v>781</v>
      </c>
      <c r="J388" t="s">
        <v>121</v>
      </c>
      <c r="K388" t="s">
        <v>122</v>
      </c>
      <c r="L388">
        <v>224.59</v>
      </c>
      <c r="M388" s="1">
        <v>45635</v>
      </c>
      <c r="N388" t="s">
        <v>93</v>
      </c>
      <c r="O388">
        <v>9</v>
      </c>
      <c r="P388">
        <v>12</v>
      </c>
      <c r="Q388">
        <v>4</v>
      </c>
      <c r="R388">
        <v>2024</v>
      </c>
    </row>
    <row r="389" spans="1:18">
      <c r="A389">
        <v>518.91999999999996</v>
      </c>
      <c r="B389">
        <v>4</v>
      </c>
      <c r="C389">
        <v>388</v>
      </c>
      <c r="D389" s="2">
        <v>0.11556826388888888</v>
      </c>
      <c r="E389" t="s">
        <v>1287</v>
      </c>
      <c r="F389" t="s">
        <v>1288</v>
      </c>
      <c r="G389" t="s">
        <v>1050</v>
      </c>
      <c r="H389" t="s">
        <v>64</v>
      </c>
      <c r="I389" t="s">
        <v>892</v>
      </c>
      <c r="J389" t="s">
        <v>20</v>
      </c>
      <c r="K389" t="s">
        <v>21</v>
      </c>
      <c r="L389">
        <v>129.72999999999999</v>
      </c>
      <c r="M389" s="1">
        <v>45968</v>
      </c>
      <c r="N389" t="s">
        <v>79</v>
      </c>
      <c r="O389">
        <v>7</v>
      </c>
      <c r="P389">
        <v>11</v>
      </c>
      <c r="Q389">
        <v>4</v>
      </c>
      <c r="R389">
        <v>2025</v>
      </c>
    </row>
    <row r="390" spans="1:18">
      <c r="A390">
        <v>115.27</v>
      </c>
      <c r="B390">
        <v>1</v>
      </c>
      <c r="C390">
        <v>389</v>
      </c>
      <c r="D390" s="2">
        <v>0.53143358796296292</v>
      </c>
      <c r="E390" t="s">
        <v>1702</v>
      </c>
      <c r="F390" t="s">
        <v>1703</v>
      </c>
      <c r="G390" t="s">
        <v>1324</v>
      </c>
      <c r="H390" t="s">
        <v>1026</v>
      </c>
      <c r="I390" t="s">
        <v>896</v>
      </c>
      <c r="J390" t="s">
        <v>198</v>
      </c>
      <c r="K390" t="s">
        <v>43</v>
      </c>
      <c r="L390">
        <v>115.27</v>
      </c>
      <c r="M390" s="1">
        <v>46069</v>
      </c>
      <c r="N390" t="s">
        <v>93</v>
      </c>
      <c r="O390">
        <v>16</v>
      </c>
      <c r="P390">
        <v>2</v>
      </c>
      <c r="Q390">
        <v>1</v>
      </c>
      <c r="R390">
        <v>2026</v>
      </c>
    </row>
    <row r="391" spans="1:18">
      <c r="A391">
        <v>222.12</v>
      </c>
      <c r="B391">
        <v>2</v>
      </c>
      <c r="C391">
        <v>390</v>
      </c>
      <c r="D391" s="2">
        <v>0.18585315972222222</v>
      </c>
      <c r="E391" t="s">
        <v>3383</v>
      </c>
      <c r="F391" t="s">
        <v>3384</v>
      </c>
      <c r="G391" t="s">
        <v>1228</v>
      </c>
      <c r="H391" t="s">
        <v>965</v>
      </c>
      <c r="I391" t="s">
        <v>966</v>
      </c>
      <c r="J391" t="s">
        <v>89</v>
      </c>
      <c r="K391" t="s">
        <v>69</v>
      </c>
      <c r="L391">
        <v>111.06</v>
      </c>
      <c r="M391" s="1">
        <v>45553</v>
      </c>
      <c r="N391" t="s">
        <v>34</v>
      </c>
      <c r="O391">
        <v>18</v>
      </c>
      <c r="P391">
        <v>9</v>
      </c>
      <c r="Q391">
        <v>3</v>
      </c>
      <c r="R391">
        <v>2024</v>
      </c>
    </row>
    <row r="392" spans="1:18">
      <c r="A392">
        <v>1016.85</v>
      </c>
      <c r="B392">
        <v>5</v>
      </c>
      <c r="C392">
        <v>391</v>
      </c>
      <c r="D392" s="2">
        <v>0.96057793981481476</v>
      </c>
      <c r="E392" t="s">
        <v>1460</v>
      </c>
      <c r="F392" t="s">
        <v>1461</v>
      </c>
      <c r="G392" t="s">
        <v>1462</v>
      </c>
      <c r="H392" t="s">
        <v>961</v>
      </c>
      <c r="I392" t="s">
        <v>753</v>
      </c>
      <c r="J392" t="s">
        <v>228</v>
      </c>
      <c r="K392" t="s">
        <v>23</v>
      </c>
      <c r="L392">
        <v>203.37</v>
      </c>
      <c r="M392" s="1">
        <v>45657</v>
      </c>
      <c r="N392" t="s">
        <v>48</v>
      </c>
      <c r="O392">
        <v>31</v>
      </c>
      <c r="P392">
        <v>12</v>
      </c>
      <c r="Q392">
        <v>4</v>
      </c>
      <c r="R392">
        <v>2024</v>
      </c>
    </row>
    <row r="393" spans="1:18">
      <c r="A393">
        <v>859.05</v>
      </c>
      <c r="B393">
        <v>5</v>
      </c>
      <c r="C393">
        <v>392</v>
      </c>
      <c r="D393" s="2">
        <v>0.90185996527777779</v>
      </c>
      <c r="E393" t="s">
        <v>2832</v>
      </c>
      <c r="F393" t="s">
        <v>2833</v>
      </c>
      <c r="G393" t="s">
        <v>973</v>
      </c>
      <c r="H393" t="s">
        <v>794</v>
      </c>
      <c r="I393" t="s">
        <v>795</v>
      </c>
      <c r="J393" t="s">
        <v>129</v>
      </c>
      <c r="K393" t="s">
        <v>25</v>
      </c>
      <c r="L393">
        <v>171.81</v>
      </c>
      <c r="M393" s="1">
        <v>46246</v>
      </c>
      <c r="N393" t="s">
        <v>34</v>
      </c>
      <c r="O393">
        <v>12</v>
      </c>
      <c r="P393">
        <v>8</v>
      </c>
      <c r="Q393">
        <v>3</v>
      </c>
      <c r="R393">
        <v>2026</v>
      </c>
    </row>
    <row r="394" spans="1:18">
      <c r="A394">
        <v>468.06</v>
      </c>
      <c r="B394">
        <v>2</v>
      </c>
      <c r="C394">
        <v>393</v>
      </c>
      <c r="D394" s="2">
        <v>0.55628006944444441</v>
      </c>
      <c r="E394" t="s">
        <v>1203</v>
      </c>
      <c r="F394" t="s">
        <v>1204</v>
      </c>
      <c r="G394" t="s">
        <v>1205</v>
      </c>
      <c r="H394" t="s">
        <v>1206</v>
      </c>
      <c r="I394" t="s">
        <v>943</v>
      </c>
      <c r="J394" t="s">
        <v>215</v>
      </c>
      <c r="K394" t="s">
        <v>51</v>
      </c>
      <c r="L394">
        <v>234.03</v>
      </c>
      <c r="M394" s="1">
        <v>45581</v>
      </c>
      <c r="N394" t="s">
        <v>34</v>
      </c>
      <c r="O394">
        <v>16</v>
      </c>
      <c r="P394">
        <v>10</v>
      </c>
      <c r="Q394">
        <v>4</v>
      </c>
      <c r="R394">
        <v>2024</v>
      </c>
    </row>
    <row r="395" spans="1:18">
      <c r="A395">
        <v>682.28</v>
      </c>
      <c r="B395">
        <v>4</v>
      </c>
      <c r="C395">
        <v>394</v>
      </c>
      <c r="D395" s="2">
        <v>0.30348269675925926</v>
      </c>
      <c r="E395" t="s">
        <v>1610</v>
      </c>
      <c r="F395" t="s">
        <v>1611</v>
      </c>
      <c r="G395" t="s">
        <v>1565</v>
      </c>
      <c r="H395" t="s">
        <v>380</v>
      </c>
      <c r="I395" t="s">
        <v>896</v>
      </c>
      <c r="J395" t="s">
        <v>482</v>
      </c>
      <c r="K395" t="s">
        <v>82</v>
      </c>
      <c r="L395">
        <v>170.57</v>
      </c>
      <c r="M395" s="1">
        <v>46135</v>
      </c>
      <c r="N395" t="s">
        <v>105</v>
      </c>
      <c r="O395">
        <v>23</v>
      </c>
      <c r="P395">
        <v>4</v>
      </c>
      <c r="Q395">
        <v>2</v>
      </c>
      <c r="R395">
        <v>2026</v>
      </c>
    </row>
    <row r="396" spans="1:18">
      <c r="A396">
        <v>162.16</v>
      </c>
      <c r="B396">
        <v>1</v>
      </c>
      <c r="C396">
        <v>395</v>
      </c>
      <c r="D396" s="2">
        <v>0.22250824074074074</v>
      </c>
      <c r="E396" t="s">
        <v>1966</v>
      </c>
      <c r="F396" t="s">
        <v>1967</v>
      </c>
      <c r="G396" t="s">
        <v>1968</v>
      </c>
      <c r="H396" t="s">
        <v>1421</v>
      </c>
      <c r="I396" t="s">
        <v>776</v>
      </c>
      <c r="J396" t="s">
        <v>651</v>
      </c>
      <c r="K396" t="s">
        <v>122</v>
      </c>
      <c r="L396">
        <v>162.16</v>
      </c>
      <c r="M396" s="1">
        <v>45831</v>
      </c>
      <c r="N396" t="s">
        <v>93</v>
      </c>
      <c r="O396">
        <v>23</v>
      </c>
      <c r="P396">
        <v>6</v>
      </c>
      <c r="Q396">
        <v>2</v>
      </c>
      <c r="R396">
        <v>2025</v>
      </c>
    </row>
    <row r="397" spans="1:18">
      <c r="A397">
        <v>172.29</v>
      </c>
      <c r="B397">
        <v>3</v>
      </c>
      <c r="C397">
        <v>396</v>
      </c>
      <c r="D397" s="2">
        <v>0.70050581018518521</v>
      </c>
      <c r="E397" t="s">
        <v>3061</v>
      </c>
      <c r="F397" t="s">
        <v>3062</v>
      </c>
      <c r="G397" t="s">
        <v>2629</v>
      </c>
      <c r="H397" t="s">
        <v>1168</v>
      </c>
      <c r="I397" t="s">
        <v>758</v>
      </c>
      <c r="J397" t="s">
        <v>730</v>
      </c>
      <c r="K397" t="s">
        <v>51</v>
      </c>
      <c r="L397">
        <v>57.43</v>
      </c>
      <c r="M397" s="1">
        <v>45963</v>
      </c>
      <c r="N397" t="s">
        <v>28</v>
      </c>
      <c r="O397">
        <v>2</v>
      </c>
      <c r="P397">
        <v>11</v>
      </c>
      <c r="Q397">
        <v>4</v>
      </c>
      <c r="R397">
        <v>2025</v>
      </c>
    </row>
    <row r="398" spans="1:18">
      <c r="A398">
        <v>163.22999999999999</v>
      </c>
      <c r="B398">
        <v>1</v>
      </c>
      <c r="C398">
        <v>397</v>
      </c>
      <c r="D398" s="2">
        <v>0.83899006944444443</v>
      </c>
      <c r="E398" t="s">
        <v>1699</v>
      </c>
      <c r="F398" t="s">
        <v>1700</v>
      </c>
      <c r="G398" t="s">
        <v>1701</v>
      </c>
      <c r="H398" t="s">
        <v>929</v>
      </c>
      <c r="I398" t="s">
        <v>1247</v>
      </c>
      <c r="J398" t="s">
        <v>593</v>
      </c>
      <c r="K398" t="s">
        <v>97</v>
      </c>
      <c r="L398">
        <v>163.22999999999999</v>
      </c>
      <c r="M398" s="1">
        <v>46078</v>
      </c>
      <c r="N398" t="s">
        <v>34</v>
      </c>
      <c r="O398">
        <v>25</v>
      </c>
      <c r="P398">
        <v>2</v>
      </c>
      <c r="Q398">
        <v>1</v>
      </c>
      <c r="R398">
        <v>2026</v>
      </c>
    </row>
    <row r="399" spans="1:18">
      <c r="A399">
        <v>245.01</v>
      </c>
      <c r="B399">
        <v>1</v>
      </c>
      <c r="C399">
        <v>398</v>
      </c>
      <c r="D399" s="2">
        <v>0.56209685185185188</v>
      </c>
      <c r="E399" t="s">
        <v>2290</v>
      </c>
      <c r="F399" t="s">
        <v>2291</v>
      </c>
      <c r="G399" t="s">
        <v>2292</v>
      </c>
      <c r="H399" t="s">
        <v>328</v>
      </c>
      <c r="I399" t="s">
        <v>1003</v>
      </c>
      <c r="J399" t="s">
        <v>53</v>
      </c>
      <c r="K399" t="s">
        <v>43</v>
      </c>
      <c r="L399">
        <v>245.01</v>
      </c>
      <c r="M399" s="1">
        <v>45765</v>
      </c>
      <c r="N399" t="s">
        <v>79</v>
      </c>
      <c r="O399">
        <v>18</v>
      </c>
      <c r="P399">
        <v>4</v>
      </c>
      <c r="Q399">
        <v>2</v>
      </c>
      <c r="R399">
        <v>2025</v>
      </c>
    </row>
    <row r="400" spans="1:18">
      <c r="A400">
        <v>888.45</v>
      </c>
      <c r="B400">
        <v>5</v>
      </c>
      <c r="C400">
        <v>399</v>
      </c>
      <c r="D400" s="2">
        <v>0.42318076388888887</v>
      </c>
      <c r="E400" t="s">
        <v>967</v>
      </c>
      <c r="F400" t="s">
        <v>968</v>
      </c>
      <c r="G400" t="s">
        <v>969</v>
      </c>
      <c r="H400" t="s">
        <v>970</v>
      </c>
      <c r="I400" t="s">
        <v>790</v>
      </c>
      <c r="J400" t="s">
        <v>52</v>
      </c>
      <c r="K400" t="s">
        <v>21</v>
      </c>
      <c r="L400">
        <v>177.69</v>
      </c>
      <c r="M400" s="1">
        <v>45630</v>
      </c>
      <c r="N400" t="s">
        <v>34</v>
      </c>
      <c r="O400">
        <v>4</v>
      </c>
      <c r="P400">
        <v>12</v>
      </c>
      <c r="Q400">
        <v>4</v>
      </c>
      <c r="R400">
        <v>2024</v>
      </c>
    </row>
    <row r="401" spans="1:18">
      <c r="A401">
        <v>97.710000000000008</v>
      </c>
      <c r="B401">
        <v>3</v>
      </c>
      <c r="C401">
        <v>400</v>
      </c>
      <c r="D401" s="2">
        <v>0.37551245370370373</v>
      </c>
      <c r="E401" t="s">
        <v>3347</v>
      </c>
      <c r="F401" t="s">
        <v>3348</v>
      </c>
      <c r="G401" t="s">
        <v>2114</v>
      </c>
      <c r="H401" t="s">
        <v>1755</v>
      </c>
      <c r="I401" t="s">
        <v>786</v>
      </c>
      <c r="J401" t="s">
        <v>258</v>
      </c>
      <c r="K401" t="s">
        <v>57</v>
      </c>
      <c r="L401">
        <v>32.57</v>
      </c>
      <c r="M401" s="1">
        <v>46229</v>
      </c>
      <c r="N401" t="s">
        <v>28</v>
      </c>
      <c r="O401">
        <v>26</v>
      </c>
      <c r="P401">
        <v>7</v>
      </c>
      <c r="Q401">
        <v>3</v>
      </c>
      <c r="R401">
        <v>2026</v>
      </c>
    </row>
    <row r="402" spans="1:18">
      <c r="A402">
        <v>14.29</v>
      </c>
      <c r="B402">
        <v>1</v>
      </c>
      <c r="C402">
        <v>401</v>
      </c>
      <c r="D402" s="2">
        <v>7.856438657407408E-2</v>
      </c>
      <c r="E402" t="s">
        <v>1942</v>
      </c>
      <c r="F402" t="s">
        <v>1943</v>
      </c>
      <c r="G402" t="s">
        <v>1195</v>
      </c>
      <c r="H402" t="s">
        <v>1944</v>
      </c>
      <c r="I402" t="s">
        <v>1003</v>
      </c>
      <c r="J402" t="s">
        <v>170</v>
      </c>
      <c r="K402" t="s">
        <v>82</v>
      </c>
      <c r="L402">
        <v>14.29</v>
      </c>
      <c r="M402" s="1">
        <v>45790</v>
      </c>
      <c r="N402" t="s">
        <v>48</v>
      </c>
      <c r="O402">
        <v>13</v>
      </c>
      <c r="P402">
        <v>5</v>
      </c>
      <c r="Q402">
        <v>2</v>
      </c>
      <c r="R402">
        <v>2025</v>
      </c>
    </row>
    <row r="403" spans="1:18">
      <c r="A403">
        <v>426.12</v>
      </c>
      <c r="B403">
        <v>4</v>
      </c>
      <c r="C403">
        <v>402</v>
      </c>
      <c r="D403" s="2">
        <v>0.49529504629629628</v>
      </c>
      <c r="E403" t="s">
        <v>2099</v>
      </c>
      <c r="F403" t="s">
        <v>2100</v>
      </c>
      <c r="G403" t="s">
        <v>1085</v>
      </c>
      <c r="H403" t="s">
        <v>1172</v>
      </c>
      <c r="I403" t="s">
        <v>830</v>
      </c>
      <c r="J403" t="s">
        <v>377</v>
      </c>
      <c r="K403" t="s">
        <v>27</v>
      </c>
      <c r="L403">
        <v>106.53</v>
      </c>
      <c r="M403" s="1">
        <v>46223</v>
      </c>
      <c r="N403" t="s">
        <v>93</v>
      </c>
      <c r="O403">
        <v>20</v>
      </c>
      <c r="P403">
        <v>7</v>
      </c>
      <c r="Q403">
        <v>3</v>
      </c>
      <c r="R403">
        <v>2026</v>
      </c>
    </row>
    <row r="404" spans="1:18">
      <c r="A404">
        <v>424.08000000000004</v>
      </c>
      <c r="B404">
        <v>3</v>
      </c>
      <c r="C404">
        <v>403</v>
      </c>
      <c r="D404" s="2">
        <v>0.2820112384259259</v>
      </c>
      <c r="E404" t="s">
        <v>2381</v>
      </c>
      <c r="F404" t="s">
        <v>2382</v>
      </c>
      <c r="G404" t="s">
        <v>2383</v>
      </c>
      <c r="H404" t="s">
        <v>1359</v>
      </c>
      <c r="I404" t="s">
        <v>768</v>
      </c>
      <c r="J404" t="s">
        <v>181</v>
      </c>
      <c r="K404" t="s">
        <v>82</v>
      </c>
      <c r="L404">
        <v>141.36000000000001</v>
      </c>
      <c r="M404" s="1">
        <v>45905</v>
      </c>
      <c r="N404" t="s">
        <v>79</v>
      </c>
      <c r="O404">
        <v>5</v>
      </c>
      <c r="P404">
        <v>9</v>
      </c>
      <c r="Q404">
        <v>3</v>
      </c>
      <c r="R404">
        <v>2025</v>
      </c>
    </row>
    <row r="405" spans="1:18">
      <c r="A405">
        <v>301.84999999999997</v>
      </c>
      <c r="B405">
        <v>5</v>
      </c>
      <c r="C405">
        <v>404</v>
      </c>
      <c r="D405" s="2">
        <v>0.85356290509259258</v>
      </c>
      <c r="E405" t="s">
        <v>1526</v>
      </c>
      <c r="F405" t="s">
        <v>1527</v>
      </c>
      <c r="G405" t="s">
        <v>1031</v>
      </c>
      <c r="H405" t="s">
        <v>1092</v>
      </c>
      <c r="I405" t="s">
        <v>763</v>
      </c>
      <c r="J405" t="s">
        <v>681</v>
      </c>
      <c r="K405" t="s">
        <v>43</v>
      </c>
      <c r="L405">
        <v>60.37</v>
      </c>
      <c r="M405" s="1">
        <v>45989</v>
      </c>
      <c r="N405" t="s">
        <v>79</v>
      </c>
      <c r="O405">
        <v>28</v>
      </c>
      <c r="P405">
        <v>11</v>
      </c>
      <c r="Q405">
        <v>4</v>
      </c>
      <c r="R405">
        <v>2025</v>
      </c>
    </row>
    <row r="406" spans="1:18">
      <c r="A406">
        <v>104.12</v>
      </c>
      <c r="B406">
        <v>1</v>
      </c>
      <c r="C406">
        <v>405</v>
      </c>
      <c r="D406" s="2">
        <v>0.50704869212962966</v>
      </c>
      <c r="E406" t="s">
        <v>1583</v>
      </c>
      <c r="F406" t="s">
        <v>1584</v>
      </c>
      <c r="G406" t="s">
        <v>1585</v>
      </c>
      <c r="H406" t="s">
        <v>113</v>
      </c>
      <c r="I406" t="s">
        <v>1247</v>
      </c>
      <c r="J406" t="s">
        <v>620</v>
      </c>
      <c r="K406" t="s">
        <v>21</v>
      </c>
      <c r="L406">
        <v>104.12</v>
      </c>
      <c r="M406" s="1">
        <v>46250</v>
      </c>
      <c r="N406" t="s">
        <v>28</v>
      </c>
      <c r="O406">
        <v>16</v>
      </c>
      <c r="P406">
        <v>8</v>
      </c>
      <c r="Q406">
        <v>3</v>
      </c>
      <c r="R406">
        <v>2026</v>
      </c>
    </row>
    <row r="407" spans="1:18">
      <c r="A407">
        <v>550.74</v>
      </c>
      <c r="B407">
        <v>3</v>
      </c>
      <c r="C407">
        <v>406</v>
      </c>
      <c r="D407" s="2">
        <v>0.68139997685185183</v>
      </c>
      <c r="E407" t="s">
        <v>1898</v>
      </c>
      <c r="F407" t="s">
        <v>1899</v>
      </c>
      <c r="G407" t="s">
        <v>824</v>
      </c>
      <c r="H407" t="s">
        <v>762</v>
      </c>
      <c r="I407" t="s">
        <v>763</v>
      </c>
      <c r="J407" t="s">
        <v>641</v>
      </c>
      <c r="K407" t="s">
        <v>46</v>
      </c>
      <c r="L407">
        <v>183.58</v>
      </c>
      <c r="M407" s="1">
        <v>45830</v>
      </c>
      <c r="N407" t="s">
        <v>28</v>
      </c>
      <c r="O407">
        <v>22</v>
      </c>
      <c r="P407">
        <v>6</v>
      </c>
      <c r="Q407">
        <v>2</v>
      </c>
      <c r="R407">
        <v>2025</v>
      </c>
    </row>
    <row r="408" spans="1:18">
      <c r="A408">
        <v>97.52</v>
      </c>
      <c r="B408">
        <v>2</v>
      </c>
      <c r="C408">
        <v>407</v>
      </c>
      <c r="D408" s="2">
        <v>6.9599143518518522E-2</v>
      </c>
      <c r="E408" t="s">
        <v>2925</v>
      </c>
      <c r="F408" t="s">
        <v>2926</v>
      </c>
      <c r="G408" t="s">
        <v>2927</v>
      </c>
      <c r="H408" t="s">
        <v>1107</v>
      </c>
      <c r="I408" t="s">
        <v>892</v>
      </c>
      <c r="J408" t="s">
        <v>567</v>
      </c>
      <c r="K408" t="s">
        <v>100</v>
      </c>
      <c r="L408">
        <v>48.76</v>
      </c>
      <c r="M408" s="1">
        <v>46242</v>
      </c>
      <c r="N408" t="s">
        <v>14</v>
      </c>
      <c r="O408">
        <v>8</v>
      </c>
      <c r="P408">
        <v>8</v>
      </c>
      <c r="Q408">
        <v>3</v>
      </c>
      <c r="R408">
        <v>2026</v>
      </c>
    </row>
    <row r="409" spans="1:18">
      <c r="A409">
        <v>341.14</v>
      </c>
      <c r="B409">
        <v>2</v>
      </c>
      <c r="C409">
        <v>408</v>
      </c>
      <c r="D409" s="2">
        <v>0.91399432870370367</v>
      </c>
      <c r="E409" t="s">
        <v>1775</v>
      </c>
      <c r="F409" t="s">
        <v>1776</v>
      </c>
      <c r="G409" t="s">
        <v>1777</v>
      </c>
      <c r="H409" t="s">
        <v>1525</v>
      </c>
      <c r="I409" t="s">
        <v>763</v>
      </c>
      <c r="J409" t="s">
        <v>482</v>
      </c>
      <c r="K409" t="s">
        <v>82</v>
      </c>
      <c r="L409">
        <v>170.57</v>
      </c>
      <c r="M409" s="1">
        <v>46044</v>
      </c>
      <c r="N409" t="s">
        <v>105</v>
      </c>
      <c r="O409">
        <v>22</v>
      </c>
      <c r="P409">
        <v>1</v>
      </c>
      <c r="Q409">
        <v>1</v>
      </c>
      <c r="R409">
        <v>2026</v>
      </c>
    </row>
    <row r="410" spans="1:18">
      <c r="A410">
        <v>558.40000000000009</v>
      </c>
      <c r="B410">
        <v>5</v>
      </c>
      <c r="C410">
        <v>409</v>
      </c>
      <c r="D410" s="2">
        <v>0.41777515046296299</v>
      </c>
      <c r="E410" t="s">
        <v>1894</v>
      </c>
      <c r="F410" t="s">
        <v>1895</v>
      </c>
      <c r="G410" t="s">
        <v>1387</v>
      </c>
      <c r="H410" t="s">
        <v>1213</v>
      </c>
      <c r="I410" t="s">
        <v>839</v>
      </c>
      <c r="J410" t="s">
        <v>540</v>
      </c>
      <c r="K410" t="s">
        <v>19</v>
      </c>
      <c r="L410">
        <v>111.68</v>
      </c>
      <c r="M410" s="1">
        <v>45728</v>
      </c>
      <c r="N410" t="s">
        <v>34</v>
      </c>
      <c r="O410">
        <v>12</v>
      </c>
      <c r="P410">
        <v>3</v>
      </c>
      <c r="Q410">
        <v>1</v>
      </c>
      <c r="R410">
        <v>2025</v>
      </c>
    </row>
    <row r="411" spans="1:18">
      <c r="A411">
        <v>244.82</v>
      </c>
      <c r="B411">
        <v>1</v>
      </c>
      <c r="C411">
        <v>410</v>
      </c>
      <c r="D411" s="2">
        <v>0.46010835648148146</v>
      </c>
      <c r="E411" t="s">
        <v>2785</v>
      </c>
      <c r="F411" t="s">
        <v>2786</v>
      </c>
      <c r="G411" t="s">
        <v>2787</v>
      </c>
      <c r="H411" t="s">
        <v>838</v>
      </c>
      <c r="I411" t="s">
        <v>839</v>
      </c>
      <c r="J411" t="s">
        <v>627</v>
      </c>
      <c r="K411" t="s">
        <v>51</v>
      </c>
      <c r="L411">
        <v>244.82</v>
      </c>
      <c r="M411" s="1">
        <v>45793</v>
      </c>
      <c r="N411" t="s">
        <v>79</v>
      </c>
      <c r="O411">
        <v>16</v>
      </c>
      <c r="P411">
        <v>5</v>
      </c>
      <c r="Q411">
        <v>2</v>
      </c>
      <c r="R411">
        <v>2025</v>
      </c>
    </row>
    <row r="412" spans="1:18">
      <c r="A412">
        <v>130.97999999999999</v>
      </c>
      <c r="B412">
        <v>3</v>
      </c>
      <c r="C412">
        <v>411</v>
      </c>
      <c r="D412" s="2">
        <v>0.99965887731481484</v>
      </c>
      <c r="E412" t="s">
        <v>1289</v>
      </c>
      <c r="F412" t="s">
        <v>1290</v>
      </c>
      <c r="G412" t="s">
        <v>1291</v>
      </c>
      <c r="H412" t="s">
        <v>1292</v>
      </c>
      <c r="I412" t="s">
        <v>1247</v>
      </c>
      <c r="J412" t="s">
        <v>675</v>
      </c>
      <c r="K412" t="s">
        <v>97</v>
      </c>
      <c r="L412">
        <v>43.66</v>
      </c>
      <c r="M412" s="1">
        <v>45819</v>
      </c>
      <c r="N412" t="s">
        <v>34</v>
      </c>
      <c r="O412">
        <v>11</v>
      </c>
      <c r="P412">
        <v>6</v>
      </c>
      <c r="Q412">
        <v>2</v>
      </c>
      <c r="R412">
        <v>2025</v>
      </c>
    </row>
    <row r="413" spans="1:18">
      <c r="A413">
        <v>436.89</v>
      </c>
      <c r="B413">
        <v>3</v>
      </c>
      <c r="C413">
        <v>412</v>
      </c>
      <c r="D413" s="2">
        <v>0.39164052083333334</v>
      </c>
      <c r="E413" t="s">
        <v>936</v>
      </c>
      <c r="F413" t="s">
        <v>937</v>
      </c>
      <c r="G413" t="s">
        <v>938</v>
      </c>
      <c r="H413" t="s">
        <v>794</v>
      </c>
      <c r="I413" t="s">
        <v>795</v>
      </c>
      <c r="J413" t="s">
        <v>191</v>
      </c>
      <c r="K413" t="s">
        <v>60</v>
      </c>
      <c r="L413">
        <v>145.63</v>
      </c>
      <c r="M413" s="1">
        <v>45711</v>
      </c>
      <c r="N413" t="s">
        <v>28</v>
      </c>
      <c r="O413">
        <v>23</v>
      </c>
      <c r="P413">
        <v>2</v>
      </c>
      <c r="Q413">
        <v>1</v>
      </c>
      <c r="R413">
        <v>2025</v>
      </c>
    </row>
    <row r="414" spans="1:18">
      <c r="A414">
        <v>393.88</v>
      </c>
      <c r="B414">
        <v>2</v>
      </c>
      <c r="C414">
        <v>413</v>
      </c>
      <c r="D414" s="2">
        <v>0.11498774305555555</v>
      </c>
      <c r="E414" t="s">
        <v>831</v>
      </c>
      <c r="F414" t="s">
        <v>832</v>
      </c>
      <c r="G414" t="s">
        <v>833</v>
      </c>
      <c r="H414" t="s">
        <v>392</v>
      </c>
      <c r="I414" t="s">
        <v>834</v>
      </c>
      <c r="J414" t="s">
        <v>695</v>
      </c>
      <c r="K414" t="s">
        <v>19</v>
      </c>
      <c r="L414">
        <v>196.94</v>
      </c>
      <c r="M414" s="1">
        <v>45958</v>
      </c>
      <c r="N414" t="s">
        <v>48</v>
      </c>
      <c r="O414">
        <v>28</v>
      </c>
      <c r="P414">
        <v>10</v>
      </c>
      <c r="Q414">
        <v>4</v>
      </c>
      <c r="R414">
        <v>2025</v>
      </c>
    </row>
    <row r="415" spans="1:18">
      <c r="A415">
        <v>315.69</v>
      </c>
      <c r="B415">
        <v>3</v>
      </c>
      <c r="C415">
        <v>414</v>
      </c>
      <c r="D415" s="2">
        <v>3.2086875000000001E-2</v>
      </c>
      <c r="E415" t="s">
        <v>1360</v>
      </c>
      <c r="F415" t="s">
        <v>1361</v>
      </c>
      <c r="G415" t="s">
        <v>932</v>
      </c>
      <c r="H415" t="s">
        <v>1362</v>
      </c>
      <c r="I415" t="s">
        <v>896</v>
      </c>
      <c r="J415" t="s">
        <v>175</v>
      </c>
      <c r="K415" t="s">
        <v>21</v>
      </c>
      <c r="L415">
        <v>105.23</v>
      </c>
      <c r="M415" s="1">
        <v>46186</v>
      </c>
      <c r="N415" t="s">
        <v>14</v>
      </c>
      <c r="O415">
        <v>13</v>
      </c>
      <c r="P415">
        <v>6</v>
      </c>
      <c r="Q415">
        <v>2</v>
      </c>
      <c r="R415">
        <v>2026</v>
      </c>
    </row>
    <row r="416" spans="1:18">
      <c r="A416">
        <v>537.88</v>
      </c>
      <c r="B416">
        <v>4</v>
      </c>
      <c r="C416">
        <v>415</v>
      </c>
      <c r="D416" s="2">
        <v>0.11003024305555556</v>
      </c>
      <c r="E416" t="s">
        <v>1510</v>
      </c>
      <c r="F416" t="s">
        <v>1511</v>
      </c>
      <c r="G416" t="s">
        <v>1512</v>
      </c>
      <c r="H416" t="s">
        <v>1395</v>
      </c>
      <c r="I416" t="s">
        <v>776</v>
      </c>
      <c r="J416" t="s">
        <v>76</v>
      </c>
      <c r="K416" t="s">
        <v>69</v>
      </c>
      <c r="L416">
        <v>134.47</v>
      </c>
      <c r="M416" s="1">
        <v>46024</v>
      </c>
      <c r="N416" t="s">
        <v>79</v>
      </c>
      <c r="O416">
        <v>2</v>
      </c>
      <c r="P416">
        <v>1</v>
      </c>
      <c r="Q416">
        <v>1</v>
      </c>
      <c r="R416">
        <v>2026</v>
      </c>
    </row>
    <row r="417" spans="1:18">
      <c r="A417">
        <v>1141.3</v>
      </c>
      <c r="B417">
        <v>5</v>
      </c>
      <c r="C417">
        <v>416</v>
      </c>
      <c r="D417" s="2">
        <v>0.18397637731481481</v>
      </c>
      <c r="E417" t="s">
        <v>1560</v>
      </c>
      <c r="F417" t="s">
        <v>1561</v>
      </c>
      <c r="G417" t="s">
        <v>1562</v>
      </c>
      <c r="H417" t="s">
        <v>151</v>
      </c>
      <c r="I417" t="s">
        <v>1003</v>
      </c>
      <c r="J417" t="s">
        <v>268</v>
      </c>
      <c r="K417" t="s">
        <v>97</v>
      </c>
      <c r="L417">
        <v>228.26</v>
      </c>
      <c r="M417" s="1">
        <v>45642</v>
      </c>
      <c r="N417" t="s">
        <v>93</v>
      </c>
      <c r="O417">
        <v>16</v>
      </c>
      <c r="P417">
        <v>12</v>
      </c>
      <c r="Q417">
        <v>4</v>
      </c>
      <c r="R417">
        <v>2024</v>
      </c>
    </row>
    <row r="418" spans="1:18">
      <c r="A418">
        <v>95.24</v>
      </c>
      <c r="B418">
        <v>2</v>
      </c>
      <c r="C418">
        <v>417</v>
      </c>
      <c r="D418" s="2">
        <v>0.6402028125</v>
      </c>
      <c r="E418" t="s">
        <v>933</v>
      </c>
      <c r="F418" t="s">
        <v>934</v>
      </c>
      <c r="G418" t="s">
        <v>935</v>
      </c>
      <c r="H418" t="s">
        <v>322</v>
      </c>
      <c r="I418" t="s">
        <v>795</v>
      </c>
      <c r="J418" t="s">
        <v>508</v>
      </c>
      <c r="K418" t="s">
        <v>43</v>
      </c>
      <c r="L418">
        <v>47.62</v>
      </c>
      <c r="M418" s="1">
        <v>46201</v>
      </c>
      <c r="N418" t="s">
        <v>28</v>
      </c>
      <c r="O418">
        <v>28</v>
      </c>
      <c r="P418">
        <v>6</v>
      </c>
      <c r="Q418">
        <v>2</v>
      </c>
      <c r="R418">
        <v>2026</v>
      </c>
    </row>
    <row r="419" spans="1:18">
      <c r="A419">
        <v>404.64</v>
      </c>
      <c r="B419">
        <v>3</v>
      </c>
      <c r="C419">
        <v>418</v>
      </c>
      <c r="D419" s="2">
        <v>0.63985689814814817</v>
      </c>
      <c r="E419" t="s">
        <v>2810</v>
      </c>
      <c r="F419" t="s">
        <v>2811</v>
      </c>
      <c r="G419" t="s">
        <v>2775</v>
      </c>
      <c r="H419" t="s">
        <v>199</v>
      </c>
      <c r="I419" t="s">
        <v>781</v>
      </c>
      <c r="J419" t="s">
        <v>595</v>
      </c>
      <c r="K419" t="s">
        <v>27</v>
      </c>
      <c r="L419">
        <v>134.88</v>
      </c>
      <c r="M419" s="1">
        <v>46031</v>
      </c>
      <c r="N419" t="s">
        <v>79</v>
      </c>
      <c r="O419">
        <v>9</v>
      </c>
      <c r="P419">
        <v>1</v>
      </c>
      <c r="Q419">
        <v>1</v>
      </c>
      <c r="R419">
        <v>2026</v>
      </c>
    </row>
    <row r="420" spans="1:18">
      <c r="A420">
        <v>106.58</v>
      </c>
      <c r="B420">
        <v>1</v>
      </c>
      <c r="C420">
        <v>419</v>
      </c>
      <c r="D420" s="2">
        <v>0.90777553240740738</v>
      </c>
      <c r="E420" t="s">
        <v>2564</v>
      </c>
      <c r="F420" t="s">
        <v>2565</v>
      </c>
      <c r="G420" t="s">
        <v>2566</v>
      </c>
      <c r="H420" t="s">
        <v>280</v>
      </c>
      <c r="I420" t="s">
        <v>812</v>
      </c>
      <c r="J420" t="s">
        <v>670</v>
      </c>
      <c r="K420" t="s">
        <v>57</v>
      </c>
      <c r="L420">
        <v>106.58</v>
      </c>
      <c r="M420" s="1">
        <v>45804</v>
      </c>
      <c r="N420" t="s">
        <v>48</v>
      </c>
      <c r="O420">
        <v>27</v>
      </c>
      <c r="P420">
        <v>5</v>
      </c>
      <c r="Q420">
        <v>2</v>
      </c>
      <c r="R420">
        <v>2025</v>
      </c>
    </row>
    <row r="421" spans="1:18">
      <c r="A421">
        <v>112.1</v>
      </c>
      <c r="B421">
        <v>2</v>
      </c>
      <c r="C421">
        <v>420</v>
      </c>
      <c r="D421" s="2">
        <v>0.56187598379629633</v>
      </c>
      <c r="E421" t="s">
        <v>1814</v>
      </c>
      <c r="F421" t="s">
        <v>1815</v>
      </c>
      <c r="G421" t="s">
        <v>824</v>
      </c>
      <c r="H421" t="s">
        <v>757</v>
      </c>
      <c r="I421" t="s">
        <v>758</v>
      </c>
      <c r="J421" t="s">
        <v>32</v>
      </c>
      <c r="K421" t="s">
        <v>19</v>
      </c>
      <c r="L421">
        <v>56.05</v>
      </c>
      <c r="M421" s="1">
        <v>45936</v>
      </c>
      <c r="N421" t="s">
        <v>93</v>
      </c>
      <c r="O421">
        <v>6</v>
      </c>
      <c r="P421">
        <v>10</v>
      </c>
      <c r="Q421">
        <v>4</v>
      </c>
      <c r="R421">
        <v>2025</v>
      </c>
    </row>
    <row r="422" spans="1:18">
      <c r="A422">
        <v>157.34</v>
      </c>
      <c r="B422">
        <v>1</v>
      </c>
      <c r="C422">
        <v>421</v>
      </c>
      <c r="D422" s="2">
        <v>0.5779313425925926</v>
      </c>
      <c r="E422" t="s">
        <v>1541</v>
      </c>
      <c r="F422" t="s">
        <v>1542</v>
      </c>
      <c r="G422" t="s">
        <v>1305</v>
      </c>
      <c r="H422" t="s">
        <v>869</v>
      </c>
      <c r="I422" t="s">
        <v>1247</v>
      </c>
      <c r="J422" t="s">
        <v>147</v>
      </c>
      <c r="K422" t="s">
        <v>27</v>
      </c>
      <c r="L422">
        <v>157.34</v>
      </c>
      <c r="M422" s="1">
        <v>46115</v>
      </c>
      <c r="N422" t="s">
        <v>79</v>
      </c>
      <c r="O422">
        <v>3</v>
      </c>
      <c r="P422">
        <v>4</v>
      </c>
      <c r="Q422">
        <v>2</v>
      </c>
      <c r="R422">
        <v>2026</v>
      </c>
    </row>
    <row r="423" spans="1:18">
      <c r="A423">
        <v>309.48</v>
      </c>
      <c r="B423">
        <v>2</v>
      </c>
      <c r="C423">
        <v>422</v>
      </c>
      <c r="D423" s="2">
        <v>0.70336398148148149</v>
      </c>
      <c r="E423" t="s">
        <v>1125</v>
      </c>
      <c r="F423" t="s">
        <v>1126</v>
      </c>
      <c r="G423" t="s">
        <v>1127</v>
      </c>
      <c r="H423" t="s">
        <v>1128</v>
      </c>
      <c r="I423" t="s">
        <v>954</v>
      </c>
      <c r="J423" t="s">
        <v>547</v>
      </c>
      <c r="K423" t="s">
        <v>97</v>
      </c>
      <c r="L423">
        <v>154.74</v>
      </c>
      <c r="M423" s="1">
        <v>45878</v>
      </c>
      <c r="N423" t="s">
        <v>14</v>
      </c>
      <c r="O423">
        <v>9</v>
      </c>
      <c r="P423">
        <v>8</v>
      </c>
      <c r="Q423">
        <v>3</v>
      </c>
      <c r="R423">
        <v>2025</v>
      </c>
    </row>
    <row r="424" spans="1:18">
      <c r="A424">
        <v>699.24</v>
      </c>
      <c r="B424">
        <v>3</v>
      </c>
      <c r="C424">
        <v>423</v>
      </c>
      <c r="D424" s="2">
        <v>0.72619953703703699</v>
      </c>
      <c r="E424" t="s">
        <v>2149</v>
      </c>
      <c r="F424" t="s">
        <v>2150</v>
      </c>
      <c r="G424" t="s">
        <v>1645</v>
      </c>
      <c r="H424" t="s">
        <v>64</v>
      </c>
      <c r="I424" t="s">
        <v>892</v>
      </c>
      <c r="J424" t="s">
        <v>213</v>
      </c>
      <c r="K424" t="s">
        <v>69</v>
      </c>
      <c r="L424">
        <v>233.08</v>
      </c>
      <c r="M424" s="1">
        <v>45746</v>
      </c>
      <c r="N424" t="s">
        <v>28</v>
      </c>
      <c r="O424">
        <v>30</v>
      </c>
      <c r="P424">
        <v>3</v>
      </c>
      <c r="Q424">
        <v>1</v>
      </c>
      <c r="R424">
        <v>2025</v>
      </c>
    </row>
    <row r="425" spans="1:18">
      <c r="A425">
        <v>51.42</v>
      </c>
      <c r="B425">
        <v>3</v>
      </c>
      <c r="C425">
        <v>424</v>
      </c>
      <c r="D425" s="2">
        <v>0.75038259259259255</v>
      </c>
      <c r="E425" t="s">
        <v>1221</v>
      </c>
      <c r="F425" t="s">
        <v>1222</v>
      </c>
      <c r="G425" t="s">
        <v>1098</v>
      </c>
      <c r="H425" t="s">
        <v>802</v>
      </c>
      <c r="I425" t="s">
        <v>748</v>
      </c>
      <c r="J425" t="s">
        <v>633</v>
      </c>
      <c r="K425" t="s">
        <v>17</v>
      </c>
      <c r="L425">
        <v>17.14</v>
      </c>
      <c r="M425" s="1">
        <v>46111</v>
      </c>
      <c r="N425" t="s">
        <v>93</v>
      </c>
      <c r="O425">
        <v>30</v>
      </c>
      <c r="P425">
        <v>3</v>
      </c>
      <c r="Q425">
        <v>1</v>
      </c>
      <c r="R425">
        <v>2026</v>
      </c>
    </row>
    <row r="426" spans="1:18">
      <c r="A426">
        <v>34.17</v>
      </c>
      <c r="B426">
        <v>3</v>
      </c>
      <c r="C426">
        <v>425</v>
      </c>
      <c r="D426" s="2">
        <v>0.99331928240740741</v>
      </c>
      <c r="E426" t="s">
        <v>2972</v>
      </c>
      <c r="F426" t="s">
        <v>2973</v>
      </c>
      <c r="G426" t="s">
        <v>1771</v>
      </c>
      <c r="H426" t="s">
        <v>1533</v>
      </c>
      <c r="I426" t="s">
        <v>781</v>
      </c>
      <c r="J426" t="s">
        <v>325</v>
      </c>
      <c r="K426" t="s">
        <v>55</v>
      </c>
      <c r="L426">
        <v>11.39</v>
      </c>
      <c r="M426" s="1">
        <v>46133</v>
      </c>
      <c r="N426" t="s">
        <v>48</v>
      </c>
      <c r="O426">
        <v>21</v>
      </c>
      <c r="P426">
        <v>4</v>
      </c>
      <c r="Q426">
        <v>2</v>
      </c>
      <c r="R426">
        <v>2026</v>
      </c>
    </row>
    <row r="427" spans="1:18">
      <c r="A427">
        <v>400.96</v>
      </c>
      <c r="B427">
        <v>2</v>
      </c>
      <c r="C427">
        <v>426</v>
      </c>
      <c r="D427" s="2">
        <v>0.22764726851851852</v>
      </c>
      <c r="E427" t="s">
        <v>1065</v>
      </c>
      <c r="F427" t="s">
        <v>1066</v>
      </c>
      <c r="G427" t="s">
        <v>984</v>
      </c>
      <c r="H427" t="s">
        <v>1067</v>
      </c>
      <c r="I427" t="s">
        <v>854</v>
      </c>
      <c r="J427" t="s">
        <v>2254</v>
      </c>
      <c r="K427" t="s">
        <v>43</v>
      </c>
      <c r="L427">
        <v>200.48</v>
      </c>
      <c r="M427" s="1">
        <v>45856</v>
      </c>
      <c r="N427" t="s">
        <v>79</v>
      </c>
      <c r="O427">
        <v>18</v>
      </c>
      <c r="P427">
        <v>7</v>
      </c>
      <c r="Q427">
        <v>3</v>
      </c>
      <c r="R427">
        <v>2025</v>
      </c>
    </row>
    <row r="428" spans="1:18">
      <c r="A428">
        <v>304.54999999999995</v>
      </c>
      <c r="B428">
        <v>5</v>
      </c>
      <c r="C428">
        <v>427</v>
      </c>
      <c r="D428" s="2">
        <v>0.24391934027777779</v>
      </c>
      <c r="E428" t="s">
        <v>2037</v>
      </c>
      <c r="F428" t="s">
        <v>2038</v>
      </c>
      <c r="G428" t="s">
        <v>849</v>
      </c>
      <c r="H428" t="s">
        <v>322</v>
      </c>
      <c r="I428" t="s">
        <v>795</v>
      </c>
      <c r="J428" t="s">
        <v>550</v>
      </c>
      <c r="K428" t="s">
        <v>55</v>
      </c>
      <c r="L428">
        <v>60.91</v>
      </c>
      <c r="M428" s="1">
        <v>46031</v>
      </c>
      <c r="N428" t="s">
        <v>79</v>
      </c>
      <c r="O428">
        <v>9</v>
      </c>
      <c r="P428">
        <v>1</v>
      </c>
      <c r="Q428">
        <v>1</v>
      </c>
      <c r="R428">
        <v>2026</v>
      </c>
    </row>
    <row r="429" spans="1:18">
      <c r="A429">
        <v>502.29999999999995</v>
      </c>
      <c r="B429">
        <v>5</v>
      </c>
      <c r="C429">
        <v>428</v>
      </c>
      <c r="D429" s="2">
        <v>0.1942165162037037</v>
      </c>
      <c r="E429" t="s">
        <v>2136</v>
      </c>
      <c r="F429" t="s">
        <v>2137</v>
      </c>
      <c r="G429" t="s">
        <v>2138</v>
      </c>
      <c r="H429" t="s">
        <v>29</v>
      </c>
      <c r="I429" t="s">
        <v>821</v>
      </c>
      <c r="J429" t="s">
        <v>703</v>
      </c>
      <c r="K429" t="s">
        <v>60</v>
      </c>
      <c r="L429">
        <v>100.46</v>
      </c>
      <c r="M429" s="1">
        <v>46142</v>
      </c>
      <c r="N429" t="s">
        <v>105</v>
      </c>
      <c r="O429">
        <v>30</v>
      </c>
      <c r="P429">
        <v>4</v>
      </c>
      <c r="Q429">
        <v>2</v>
      </c>
      <c r="R429">
        <v>2026</v>
      </c>
    </row>
    <row r="430" spans="1:18">
      <c r="A430">
        <v>219.26</v>
      </c>
      <c r="B430">
        <v>1</v>
      </c>
      <c r="C430">
        <v>429</v>
      </c>
      <c r="D430" s="2">
        <v>3.033275462962963E-2</v>
      </c>
      <c r="E430" t="s">
        <v>2932</v>
      </c>
      <c r="F430" t="s">
        <v>2933</v>
      </c>
      <c r="G430" t="s">
        <v>2538</v>
      </c>
      <c r="H430" t="s">
        <v>113</v>
      </c>
      <c r="I430" t="s">
        <v>854</v>
      </c>
      <c r="J430" t="s">
        <v>162</v>
      </c>
      <c r="K430" t="s">
        <v>51</v>
      </c>
      <c r="L430">
        <v>219.26</v>
      </c>
      <c r="M430" s="1">
        <v>45966</v>
      </c>
      <c r="N430" t="s">
        <v>34</v>
      </c>
      <c r="O430">
        <v>5</v>
      </c>
      <c r="P430">
        <v>11</v>
      </c>
      <c r="Q430">
        <v>4</v>
      </c>
      <c r="R430">
        <v>2025</v>
      </c>
    </row>
    <row r="431" spans="1:18">
      <c r="A431">
        <v>218.29999999999998</v>
      </c>
      <c r="B431">
        <v>5</v>
      </c>
      <c r="C431">
        <v>430</v>
      </c>
      <c r="D431" s="2">
        <v>0.92441337962962966</v>
      </c>
      <c r="E431" t="s">
        <v>813</v>
      </c>
      <c r="F431" t="s">
        <v>814</v>
      </c>
      <c r="G431" t="s">
        <v>815</v>
      </c>
      <c r="H431" t="s">
        <v>816</v>
      </c>
      <c r="I431" t="s">
        <v>817</v>
      </c>
      <c r="J431" t="s">
        <v>675</v>
      </c>
      <c r="K431" t="s">
        <v>97</v>
      </c>
      <c r="L431">
        <v>43.66</v>
      </c>
      <c r="M431" s="1">
        <v>45754</v>
      </c>
      <c r="N431" t="s">
        <v>93</v>
      </c>
      <c r="O431">
        <v>7</v>
      </c>
      <c r="P431">
        <v>4</v>
      </c>
      <c r="Q431">
        <v>2</v>
      </c>
      <c r="R431">
        <v>2025</v>
      </c>
    </row>
    <row r="432" spans="1:18">
      <c r="A432">
        <v>919.4</v>
      </c>
      <c r="B432">
        <v>4</v>
      </c>
      <c r="C432">
        <v>431</v>
      </c>
      <c r="D432" s="2">
        <v>0.91619256944444449</v>
      </c>
      <c r="E432" t="s">
        <v>1817</v>
      </c>
      <c r="F432" t="s">
        <v>1818</v>
      </c>
      <c r="G432" t="s">
        <v>914</v>
      </c>
      <c r="H432" t="s">
        <v>1574</v>
      </c>
      <c r="I432" t="s">
        <v>1003</v>
      </c>
      <c r="J432" t="s">
        <v>63</v>
      </c>
      <c r="K432" t="s">
        <v>25</v>
      </c>
      <c r="L432">
        <v>229.85</v>
      </c>
      <c r="M432" s="1">
        <v>46125</v>
      </c>
      <c r="N432" t="s">
        <v>93</v>
      </c>
      <c r="O432">
        <v>13</v>
      </c>
      <c r="P432">
        <v>4</v>
      </c>
      <c r="Q432">
        <v>2</v>
      </c>
      <c r="R432">
        <v>2026</v>
      </c>
    </row>
    <row r="433" spans="1:18">
      <c r="A433">
        <v>129.30000000000001</v>
      </c>
      <c r="B433">
        <v>5</v>
      </c>
      <c r="C433">
        <v>432</v>
      </c>
      <c r="D433" s="2">
        <v>0.46477835648148147</v>
      </c>
      <c r="E433" t="s">
        <v>2783</v>
      </c>
      <c r="F433" t="s">
        <v>2784</v>
      </c>
      <c r="G433" t="s">
        <v>1050</v>
      </c>
      <c r="H433" t="s">
        <v>1107</v>
      </c>
      <c r="I433" t="s">
        <v>763</v>
      </c>
      <c r="J433" t="s">
        <v>282</v>
      </c>
      <c r="K433" t="s">
        <v>21</v>
      </c>
      <c r="L433">
        <v>25.86</v>
      </c>
      <c r="M433" s="1">
        <v>45704</v>
      </c>
      <c r="N433" t="s">
        <v>28</v>
      </c>
      <c r="O433">
        <v>16</v>
      </c>
      <c r="P433">
        <v>2</v>
      </c>
      <c r="Q433">
        <v>1</v>
      </c>
      <c r="R433">
        <v>2025</v>
      </c>
    </row>
    <row r="434" spans="1:18">
      <c r="A434">
        <v>203.12</v>
      </c>
      <c r="B434">
        <v>2</v>
      </c>
      <c r="C434">
        <v>433</v>
      </c>
      <c r="D434" s="2">
        <v>0.45636606481481484</v>
      </c>
      <c r="E434" t="s">
        <v>2063</v>
      </c>
      <c r="F434" t="s">
        <v>2064</v>
      </c>
      <c r="G434" t="s">
        <v>2065</v>
      </c>
      <c r="H434" t="s">
        <v>1156</v>
      </c>
      <c r="I434" t="s">
        <v>821</v>
      </c>
      <c r="J434" t="s">
        <v>426</v>
      </c>
      <c r="K434" t="s">
        <v>37</v>
      </c>
      <c r="L434">
        <v>101.56</v>
      </c>
      <c r="M434" s="1">
        <v>45663</v>
      </c>
      <c r="N434" t="s">
        <v>93</v>
      </c>
      <c r="O434">
        <v>6</v>
      </c>
      <c r="P434">
        <v>1</v>
      </c>
      <c r="Q434">
        <v>1</v>
      </c>
      <c r="R434">
        <v>2025</v>
      </c>
    </row>
    <row r="435" spans="1:18">
      <c r="A435">
        <v>1122.95</v>
      </c>
      <c r="B435">
        <v>5</v>
      </c>
      <c r="C435">
        <v>434</v>
      </c>
      <c r="D435" s="2">
        <v>0.36192013888888891</v>
      </c>
      <c r="E435" t="s">
        <v>2309</v>
      </c>
      <c r="F435" t="s">
        <v>2310</v>
      </c>
      <c r="G435" t="s">
        <v>1660</v>
      </c>
      <c r="H435" t="s">
        <v>1421</v>
      </c>
      <c r="I435" t="s">
        <v>776</v>
      </c>
      <c r="J435" t="s">
        <v>121</v>
      </c>
      <c r="K435" t="s">
        <v>122</v>
      </c>
      <c r="L435">
        <v>224.59</v>
      </c>
      <c r="M435" s="1">
        <v>46104</v>
      </c>
      <c r="N435" t="s">
        <v>93</v>
      </c>
      <c r="O435">
        <v>23</v>
      </c>
      <c r="P435">
        <v>3</v>
      </c>
      <c r="Q435">
        <v>1</v>
      </c>
      <c r="R435">
        <v>2026</v>
      </c>
    </row>
    <row r="436" spans="1:18">
      <c r="A436">
        <v>121.22</v>
      </c>
      <c r="B436">
        <v>1</v>
      </c>
      <c r="C436">
        <v>435</v>
      </c>
      <c r="D436" s="2">
        <v>0.26640584490740743</v>
      </c>
      <c r="E436" t="s">
        <v>759</v>
      </c>
      <c r="F436" t="s">
        <v>760</v>
      </c>
      <c r="G436" t="s">
        <v>761</v>
      </c>
      <c r="H436" t="s">
        <v>762</v>
      </c>
      <c r="I436" t="s">
        <v>763</v>
      </c>
      <c r="J436" t="s">
        <v>47</v>
      </c>
      <c r="K436" t="s">
        <v>46</v>
      </c>
      <c r="L436">
        <v>121.22</v>
      </c>
      <c r="M436" s="1">
        <v>46129</v>
      </c>
      <c r="N436" t="s">
        <v>79</v>
      </c>
      <c r="O436">
        <v>17</v>
      </c>
      <c r="P436">
        <v>4</v>
      </c>
      <c r="Q436">
        <v>2</v>
      </c>
      <c r="R436">
        <v>2026</v>
      </c>
    </row>
    <row r="437" spans="1:18">
      <c r="A437">
        <v>157.17000000000002</v>
      </c>
      <c r="B437">
        <v>3</v>
      </c>
      <c r="C437">
        <v>436</v>
      </c>
      <c r="D437" s="2">
        <v>0.31350516203703704</v>
      </c>
      <c r="E437" t="s">
        <v>2266</v>
      </c>
      <c r="F437" t="s">
        <v>2267</v>
      </c>
      <c r="G437" t="s">
        <v>1440</v>
      </c>
      <c r="H437" t="s">
        <v>1469</v>
      </c>
      <c r="I437" t="s">
        <v>908</v>
      </c>
      <c r="J437" t="s">
        <v>358</v>
      </c>
      <c r="K437" t="s">
        <v>37</v>
      </c>
      <c r="L437">
        <v>52.39</v>
      </c>
      <c r="M437" s="1">
        <v>45685</v>
      </c>
      <c r="N437" t="s">
        <v>48</v>
      </c>
      <c r="O437">
        <v>28</v>
      </c>
      <c r="P437">
        <v>1</v>
      </c>
      <c r="Q437">
        <v>1</v>
      </c>
      <c r="R437">
        <v>2025</v>
      </c>
    </row>
    <row r="438" spans="1:18">
      <c r="A438">
        <v>727.34999999999991</v>
      </c>
      <c r="B438">
        <v>3</v>
      </c>
      <c r="C438">
        <v>437</v>
      </c>
      <c r="D438" s="2">
        <v>0.6607827083333333</v>
      </c>
      <c r="E438" t="s">
        <v>2072</v>
      </c>
      <c r="F438" t="s">
        <v>2073</v>
      </c>
      <c r="G438" t="s">
        <v>1709</v>
      </c>
      <c r="H438" t="s">
        <v>961</v>
      </c>
      <c r="I438" t="s">
        <v>807</v>
      </c>
      <c r="J438" t="s">
        <v>214</v>
      </c>
      <c r="K438" t="s">
        <v>69</v>
      </c>
      <c r="L438">
        <v>242.45</v>
      </c>
      <c r="M438" s="1">
        <v>46087</v>
      </c>
      <c r="N438" t="s">
        <v>79</v>
      </c>
      <c r="O438">
        <v>6</v>
      </c>
      <c r="P438">
        <v>3</v>
      </c>
      <c r="Q438">
        <v>1</v>
      </c>
      <c r="R438">
        <v>2026</v>
      </c>
    </row>
    <row r="439" spans="1:18">
      <c r="A439">
        <v>350.48</v>
      </c>
      <c r="B439">
        <v>4</v>
      </c>
      <c r="C439">
        <v>438</v>
      </c>
      <c r="D439" s="2">
        <v>0.59498482638888894</v>
      </c>
      <c r="E439" t="s">
        <v>2501</v>
      </c>
      <c r="F439" t="s">
        <v>2502</v>
      </c>
      <c r="G439" t="s">
        <v>2503</v>
      </c>
      <c r="H439" t="s">
        <v>548</v>
      </c>
      <c r="I439" t="s">
        <v>790</v>
      </c>
      <c r="J439" t="s">
        <v>59</v>
      </c>
      <c r="K439" t="s">
        <v>60</v>
      </c>
      <c r="L439">
        <v>87.62</v>
      </c>
      <c r="M439" s="1">
        <v>45640</v>
      </c>
      <c r="N439" t="s">
        <v>14</v>
      </c>
      <c r="O439">
        <v>14</v>
      </c>
      <c r="P439">
        <v>12</v>
      </c>
      <c r="Q439">
        <v>4</v>
      </c>
      <c r="R439">
        <v>2024</v>
      </c>
    </row>
    <row r="440" spans="1:18">
      <c r="A440">
        <v>69.510000000000005</v>
      </c>
      <c r="B440">
        <v>3</v>
      </c>
      <c r="C440">
        <v>439</v>
      </c>
      <c r="D440" s="2">
        <v>0.96612853009259259</v>
      </c>
      <c r="E440" t="s">
        <v>2963</v>
      </c>
      <c r="F440" t="s">
        <v>2964</v>
      </c>
      <c r="G440" t="s">
        <v>1286</v>
      </c>
      <c r="H440" t="s">
        <v>1199</v>
      </c>
      <c r="I440" t="s">
        <v>839</v>
      </c>
      <c r="J440" t="s">
        <v>726</v>
      </c>
      <c r="K440" t="s">
        <v>100</v>
      </c>
      <c r="L440">
        <v>23.17</v>
      </c>
      <c r="M440" s="1">
        <v>45691</v>
      </c>
      <c r="N440" t="s">
        <v>93</v>
      </c>
      <c r="O440">
        <v>3</v>
      </c>
      <c r="P440">
        <v>2</v>
      </c>
      <c r="Q440">
        <v>1</v>
      </c>
      <c r="R440">
        <v>2025</v>
      </c>
    </row>
    <row r="441" spans="1:18">
      <c r="A441">
        <v>866.94999999999993</v>
      </c>
      <c r="B441">
        <v>5</v>
      </c>
      <c r="C441">
        <v>440</v>
      </c>
      <c r="D441" s="2">
        <v>0.46431226851851853</v>
      </c>
      <c r="E441" t="s">
        <v>2058</v>
      </c>
      <c r="F441" t="s">
        <v>2059</v>
      </c>
      <c r="G441" t="s">
        <v>2060</v>
      </c>
      <c r="H441" t="s">
        <v>1540</v>
      </c>
      <c r="I441" t="s">
        <v>768</v>
      </c>
      <c r="J441" t="s">
        <v>446</v>
      </c>
      <c r="K441" t="s">
        <v>57</v>
      </c>
      <c r="L441">
        <v>173.39</v>
      </c>
      <c r="M441" s="1">
        <v>45576</v>
      </c>
      <c r="N441" t="s">
        <v>79</v>
      </c>
      <c r="O441">
        <v>11</v>
      </c>
      <c r="P441">
        <v>10</v>
      </c>
      <c r="Q441">
        <v>4</v>
      </c>
      <c r="R441">
        <v>2024</v>
      </c>
    </row>
    <row r="442" spans="1:18">
      <c r="A442">
        <v>32.1</v>
      </c>
      <c r="B442">
        <v>5</v>
      </c>
      <c r="C442">
        <v>441</v>
      </c>
      <c r="D442" s="2">
        <v>4.2974097222222223E-2</v>
      </c>
      <c r="E442" t="s">
        <v>2360</v>
      </c>
      <c r="F442" t="s">
        <v>2361</v>
      </c>
      <c r="G442" t="s">
        <v>2362</v>
      </c>
      <c r="H442" t="s">
        <v>1306</v>
      </c>
      <c r="I442" t="s">
        <v>966</v>
      </c>
      <c r="J442" t="s">
        <v>316</v>
      </c>
      <c r="K442" t="s">
        <v>97</v>
      </c>
      <c r="L442">
        <v>6.42</v>
      </c>
      <c r="M442" s="1">
        <v>45792</v>
      </c>
      <c r="N442" t="s">
        <v>105</v>
      </c>
      <c r="O442">
        <v>15</v>
      </c>
      <c r="P442">
        <v>5</v>
      </c>
      <c r="Q442">
        <v>2</v>
      </c>
      <c r="R442">
        <v>2025</v>
      </c>
    </row>
    <row r="443" spans="1:18">
      <c r="A443">
        <v>56.85</v>
      </c>
      <c r="B443">
        <v>1</v>
      </c>
      <c r="C443">
        <v>442</v>
      </c>
      <c r="D443" s="2">
        <v>0.46269552083333332</v>
      </c>
      <c r="E443" t="s">
        <v>3347</v>
      </c>
      <c r="F443" t="s">
        <v>3348</v>
      </c>
      <c r="G443" t="s">
        <v>2114</v>
      </c>
      <c r="H443" t="s">
        <v>1755</v>
      </c>
      <c r="I443" t="s">
        <v>786</v>
      </c>
      <c r="J443" t="s">
        <v>342</v>
      </c>
      <c r="K443" t="s">
        <v>55</v>
      </c>
      <c r="L443">
        <v>56.85</v>
      </c>
      <c r="M443" s="1">
        <v>45866</v>
      </c>
      <c r="N443" t="s">
        <v>93</v>
      </c>
      <c r="O443">
        <v>28</v>
      </c>
      <c r="P443">
        <v>7</v>
      </c>
      <c r="Q443">
        <v>3</v>
      </c>
      <c r="R443">
        <v>2025</v>
      </c>
    </row>
    <row r="444" spans="1:18">
      <c r="A444">
        <v>240.96</v>
      </c>
      <c r="B444">
        <v>1</v>
      </c>
      <c r="C444">
        <v>443</v>
      </c>
      <c r="D444" s="2">
        <v>0.97013239583333333</v>
      </c>
      <c r="E444" t="s">
        <v>2131</v>
      </c>
      <c r="F444" t="s">
        <v>2132</v>
      </c>
      <c r="G444" t="s">
        <v>2133</v>
      </c>
      <c r="H444" t="s">
        <v>929</v>
      </c>
      <c r="I444" t="s">
        <v>830</v>
      </c>
      <c r="J444" t="s">
        <v>357</v>
      </c>
      <c r="K444" t="s">
        <v>39</v>
      </c>
      <c r="L444">
        <v>240.96</v>
      </c>
      <c r="M444" s="1">
        <v>45659</v>
      </c>
      <c r="N444" t="s">
        <v>105</v>
      </c>
      <c r="O444">
        <v>2</v>
      </c>
      <c r="P444">
        <v>1</v>
      </c>
      <c r="Q444">
        <v>1</v>
      </c>
      <c r="R444">
        <v>2025</v>
      </c>
    </row>
    <row r="445" spans="1:18">
      <c r="A445">
        <v>23.43</v>
      </c>
      <c r="B445">
        <v>3</v>
      </c>
      <c r="C445">
        <v>444</v>
      </c>
      <c r="D445" s="2">
        <v>0.58068592592592594</v>
      </c>
      <c r="E445" t="s">
        <v>2051</v>
      </c>
      <c r="F445" t="s">
        <v>2052</v>
      </c>
      <c r="G445" t="s">
        <v>1603</v>
      </c>
      <c r="H445" t="s">
        <v>1156</v>
      </c>
      <c r="I445" t="s">
        <v>839</v>
      </c>
      <c r="J445" t="s">
        <v>532</v>
      </c>
      <c r="K445" t="s">
        <v>55</v>
      </c>
      <c r="L445">
        <v>7.81</v>
      </c>
      <c r="M445" s="1">
        <v>45705</v>
      </c>
      <c r="N445" t="s">
        <v>93</v>
      </c>
      <c r="O445">
        <v>17</v>
      </c>
      <c r="P445">
        <v>2</v>
      </c>
      <c r="Q445">
        <v>1</v>
      </c>
      <c r="R445">
        <v>2025</v>
      </c>
    </row>
    <row r="446" spans="1:18">
      <c r="A446">
        <v>154.88</v>
      </c>
      <c r="B446">
        <v>1</v>
      </c>
      <c r="C446">
        <v>445</v>
      </c>
      <c r="D446" s="2">
        <v>0.44900506944444446</v>
      </c>
      <c r="E446" t="s">
        <v>2061</v>
      </c>
      <c r="F446" t="s">
        <v>2062</v>
      </c>
      <c r="G446" t="s">
        <v>1754</v>
      </c>
      <c r="H446" t="s">
        <v>392</v>
      </c>
      <c r="I446" t="s">
        <v>834</v>
      </c>
      <c r="J446" t="s">
        <v>704</v>
      </c>
      <c r="K446" t="s">
        <v>51</v>
      </c>
      <c r="L446">
        <v>154.88</v>
      </c>
      <c r="M446" s="1">
        <v>45606</v>
      </c>
      <c r="N446" t="s">
        <v>28</v>
      </c>
      <c r="O446">
        <v>10</v>
      </c>
      <c r="P446">
        <v>11</v>
      </c>
      <c r="Q446">
        <v>4</v>
      </c>
      <c r="R446">
        <v>2024</v>
      </c>
    </row>
    <row r="447" spans="1:18">
      <c r="A447">
        <v>455.84</v>
      </c>
      <c r="B447">
        <v>4</v>
      </c>
      <c r="C447">
        <v>446</v>
      </c>
      <c r="D447" s="2">
        <v>0.56918224537037032</v>
      </c>
      <c r="E447" t="s">
        <v>2698</v>
      </c>
      <c r="F447" t="s">
        <v>2699</v>
      </c>
      <c r="G447" t="s">
        <v>1124</v>
      </c>
      <c r="H447" t="s">
        <v>1666</v>
      </c>
      <c r="I447" t="s">
        <v>830</v>
      </c>
      <c r="J447" t="s">
        <v>18</v>
      </c>
      <c r="K447" t="s">
        <v>19</v>
      </c>
      <c r="L447">
        <v>113.96</v>
      </c>
      <c r="M447" s="1">
        <v>45782</v>
      </c>
      <c r="N447" t="s">
        <v>93</v>
      </c>
      <c r="O447">
        <v>5</v>
      </c>
      <c r="P447">
        <v>5</v>
      </c>
      <c r="Q447">
        <v>2</v>
      </c>
      <c r="R447">
        <v>2025</v>
      </c>
    </row>
    <row r="448" spans="1:18">
      <c r="A448">
        <v>230.54</v>
      </c>
      <c r="B448">
        <v>2</v>
      </c>
      <c r="C448">
        <v>447</v>
      </c>
      <c r="D448" s="2">
        <v>0.15192006944444444</v>
      </c>
      <c r="E448" t="s">
        <v>3248</v>
      </c>
      <c r="F448" t="s">
        <v>3249</v>
      </c>
      <c r="G448" t="s">
        <v>1263</v>
      </c>
      <c r="H448" t="s">
        <v>862</v>
      </c>
      <c r="I448" t="s">
        <v>758</v>
      </c>
      <c r="J448" t="s">
        <v>198</v>
      </c>
      <c r="K448" t="s">
        <v>43</v>
      </c>
      <c r="L448">
        <v>115.27</v>
      </c>
      <c r="M448" s="1">
        <v>46093</v>
      </c>
      <c r="N448" t="s">
        <v>105</v>
      </c>
      <c r="O448">
        <v>12</v>
      </c>
      <c r="P448">
        <v>3</v>
      </c>
      <c r="Q448">
        <v>1</v>
      </c>
      <c r="R448">
        <v>2026</v>
      </c>
    </row>
    <row r="449" spans="1:18">
      <c r="A449">
        <v>488.32</v>
      </c>
      <c r="B449">
        <v>4</v>
      </c>
      <c r="C449">
        <v>448</v>
      </c>
      <c r="D449" s="2">
        <v>6.1877337962962964E-2</v>
      </c>
      <c r="E449" t="s">
        <v>3415</v>
      </c>
      <c r="F449" t="s">
        <v>3416</v>
      </c>
      <c r="G449" t="s">
        <v>1324</v>
      </c>
      <c r="H449" t="s">
        <v>392</v>
      </c>
      <c r="I449" t="s">
        <v>943</v>
      </c>
      <c r="J449" t="s">
        <v>646</v>
      </c>
      <c r="K449" t="s">
        <v>21</v>
      </c>
      <c r="L449">
        <v>122.08</v>
      </c>
      <c r="M449" s="1">
        <v>46266</v>
      </c>
      <c r="N449" t="s">
        <v>48</v>
      </c>
      <c r="O449">
        <v>1</v>
      </c>
      <c r="P449">
        <v>9</v>
      </c>
      <c r="Q449">
        <v>3</v>
      </c>
      <c r="R449">
        <v>2026</v>
      </c>
    </row>
    <row r="450" spans="1:18">
      <c r="A450">
        <v>223.26</v>
      </c>
      <c r="B450">
        <v>3</v>
      </c>
      <c r="C450">
        <v>449</v>
      </c>
      <c r="D450" s="2">
        <v>0.36758424768518516</v>
      </c>
      <c r="E450" t="s">
        <v>2372</v>
      </c>
      <c r="F450" t="s">
        <v>2373</v>
      </c>
      <c r="G450" t="s">
        <v>2319</v>
      </c>
      <c r="H450" t="s">
        <v>713</v>
      </c>
      <c r="I450" t="s">
        <v>908</v>
      </c>
      <c r="J450" t="s">
        <v>95</v>
      </c>
      <c r="K450" t="s">
        <v>46</v>
      </c>
      <c r="L450">
        <v>74.42</v>
      </c>
      <c r="M450" s="1">
        <v>46082</v>
      </c>
      <c r="N450" t="s">
        <v>28</v>
      </c>
      <c r="O450">
        <v>1</v>
      </c>
      <c r="P450">
        <v>3</v>
      </c>
      <c r="Q450">
        <v>1</v>
      </c>
      <c r="R450">
        <v>2026</v>
      </c>
    </row>
    <row r="451" spans="1:18">
      <c r="A451">
        <v>382.14</v>
      </c>
      <c r="B451">
        <v>3</v>
      </c>
      <c r="C451">
        <v>450</v>
      </c>
      <c r="D451" s="2">
        <v>0.84289212962962967</v>
      </c>
      <c r="E451" t="s">
        <v>1448</v>
      </c>
      <c r="F451" t="s">
        <v>1449</v>
      </c>
      <c r="G451" t="s">
        <v>1050</v>
      </c>
      <c r="H451" t="s">
        <v>806</v>
      </c>
      <c r="I451" t="s">
        <v>807</v>
      </c>
      <c r="J451" t="s">
        <v>1217</v>
      </c>
      <c r="K451" t="s">
        <v>122</v>
      </c>
      <c r="L451">
        <v>127.38</v>
      </c>
      <c r="M451" s="1">
        <v>46120</v>
      </c>
      <c r="N451" t="s">
        <v>34</v>
      </c>
      <c r="O451">
        <v>8</v>
      </c>
      <c r="P451">
        <v>4</v>
      </c>
      <c r="Q451">
        <v>2</v>
      </c>
      <c r="R451">
        <v>2026</v>
      </c>
    </row>
    <row r="452" spans="1:18">
      <c r="A452">
        <v>67.459999999999994</v>
      </c>
      <c r="B452">
        <v>2</v>
      </c>
      <c r="C452">
        <v>451</v>
      </c>
      <c r="D452" s="2">
        <v>0.27221570601851852</v>
      </c>
      <c r="E452" t="s">
        <v>2999</v>
      </c>
      <c r="F452" t="s">
        <v>3000</v>
      </c>
      <c r="G452" t="s">
        <v>891</v>
      </c>
      <c r="H452" t="s">
        <v>1566</v>
      </c>
      <c r="I452" t="s">
        <v>763</v>
      </c>
      <c r="J452" t="s">
        <v>527</v>
      </c>
      <c r="K452" t="s">
        <v>27</v>
      </c>
      <c r="L452">
        <v>33.729999999999997</v>
      </c>
      <c r="M452" s="1">
        <v>46151</v>
      </c>
      <c r="N452" t="s">
        <v>14</v>
      </c>
      <c r="O452">
        <v>9</v>
      </c>
      <c r="P452">
        <v>5</v>
      </c>
      <c r="Q452">
        <v>2</v>
      </c>
      <c r="R452">
        <v>2026</v>
      </c>
    </row>
    <row r="453" spans="1:18">
      <c r="A453">
        <v>1169.55</v>
      </c>
      <c r="B453">
        <v>5</v>
      </c>
      <c r="C453">
        <v>452</v>
      </c>
      <c r="D453" s="2">
        <v>3.2992627314814817E-2</v>
      </c>
      <c r="E453" t="s">
        <v>1588</v>
      </c>
      <c r="F453" t="s">
        <v>1589</v>
      </c>
      <c r="G453" t="s">
        <v>1590</v>
      </c>
      <c r="H453" t="s">
        <v>1591</v>
      </c>
      <c r="I453" t="s">
        <v>966</v>
      </c>
      <c r="J453" t="s">
        <v>272</v>
      </c>
      <c r="K453" t="s">
        <v>55</v>
      </c>
      <c r="L453">
        <v>233.91</v>
      </c>
      <c r="M453" s="1">
        <v>45800</v>
      </c>
      <c r="N453" t="s">
        <v>79</v>
      </c>
      <c r="O453">
        <v>23</v>
      </c>
      <c r="P453">
        <v>5</v>
      </c>
      <c r="Q453">
        <v>2</v>
      </c>
      <c r="R453">
        <v>2025</v>
      </c>
    </row>
    <row r="454" spans="1:18">
      <c r="A454">
        <v>242.28</v>
      </c>
      <c r="B454">
        <v>2</v>
      </c>
      <c r="C454">
        <v>453</v>
      </c>
      <c r="D454" s="2">
        <v>0.58100728009259262</v>
      </c>
      <c r="E454" t="s">
        <v>1689</v>
      </c>
      <c r="F454" t="s">
        <v>1690</v>
      </c>
      <c r="G454" t="s">
        <v>1559</v>
      </c>
      <c r="H454" t="s">
        <v>1691</v>
      </c>
      <c r="I454" t="s">
        <v>821</v>
      </c>
      <c r="J454" t="s">
        <v>640</v>
      </c>
      <c r="K454" t="s">
        <v>82</v>
      </c>
      <c r="L454">
        <v>121.14</v>
      </c>
      <c r="M454" s="1">
        <v>46265</v>
      </c>
      <c r="N454" t="s">
        <v>93</v>
      </c>
      <c r="O454">
        <v>31</v>
      </c>
      <c r="P454">
        <v>8</v>
      </c>
      <c r="Q454">
        <v>3</v>
      </c>
      <c r="R454">
        <v>2026</v>
      </c>
    </row>
    <row r="455" spans="1:18">
      <c r="A455">
        <v>1141.3</v>
      </c>
      <c r="B455">
        <v>5</v>
      </c>
      <c r="C455">
        <v>454</v>
      </c>
      <c r="D455" s="2">
        <v>4.7102175925925929E-2</v>
      </c>
      <c r="E455" t="s">
        <v>900</v>
      </c>
      <c r="F455" t="s">
        <v>901</v>
      </c>
      <c r="G455" t="s">
        <v>902</v>
      </c>
      <c r="H455" t="s">
        <v>903</v>
      </c>
      <c r="I455" t="s">
        <v>786</v>
      </c>
      <c r="J455" t="s">
        <v>268</v>
      </c>
      <c r="K455" t="s">
        <v>97</v>
      </c>
      <c r="L455">
        <v>228.26</v>
      </c>
      <c r="M455" s="1">
        <v>46190</v>
      </c>
      <c r="N455" t="s">
        <v>34</v>
      </c>
      <c r="O455">
        <v>17</v>
      </c>
      <c r="P455">
        <v>6</v>
      </c>
      <c r="Q455">
        <v>2</v>
      </c>
      <c r="R455">
        <v>2026</v>
      </c>
    </row>
    <row r="456" spans="1:18">
      <c r="A456">
        <v>971.24</v>
      </c>
      <c r="B456">
        <v>4</v>
      </c>
      <c r="C456">
        <v>455</v>
      </c>
      <c r="D456" s="2">
        <v>0.85985313657407403</v>
      </c>
      <c r="E456" t="s">
        <v>1200</v>
      </c>
      <c r="F456" t="s">
        <v>1201</v>
      </c>
      <c r="G456" t="s">
        <v>1202</v>
      </c>
      <c r="H456" t="s">
        <v>1137</v>
      </c>
      <c r="I456" t="s">
        <v>748</v>
      </c>
      <c r="J456" t="s">
        <v>329</v>
      </c>
      <c r="K456" t="s">
        <v>82</v>
      </c>
      <c r="L456">
        <v>242.81</v>
      </c>
      <c r="M456" s="1">
        <v>45914</v>
      </c>
      <c r="N456" t="s">
        <v>28</v>
      </c>
      <c r="O456">
        <v>14</v>
      </c>
      <c r="P456">
        <v>9</v>
      </c>
      <c r="Q456">
        <v>3</v>
      </c>
      <c r="R456">
        <v>2025</v>
      </c>
    </row>
    <row r="457" spans="1:18">
      <c r="A457">
        <v>774.4</v>
      </c>
      <c r="B457">
        <v>5</v>
      </c>
      <c r="C457">
        <v>456</v>
      </c>
      <c r="D457" s="2">
        <v>0.58902532407407404</v>
      </c>
      <c r="E457" t="s">
        <v>920</v>
      </c>
      <c r="F457" t="s">
        <v>921</v>
      </c>
      <c r="G457" t="s">
        <v>922</v>
      </c>
      <c r="H457" t="s">
        <v>380</v>
      </c>
      <c r="I457" t="s">
        <v>776</v>
      </c>
      <c r="J457" t="s">
        <v>704</v>
      </c>
      <c r="K457" t="s">
        <v>51</v>
      </c>
      <c r="L457">
        <v>154.88</v>
      </c>
      <c r="M457" s="1">
        <v>46084</v>
      </c>
      <c r="N457" t="s">
        <v>48</v>
      </c>
      <c r="O457">
        <v>3</v>
      </c>
      <c r="P457">
        <v>3</v>
      </c>
      <c r="Q457">
        <v>1</v>
      </c>
      <c r="R457">
        <v>2026</v>
      </c>
    </row>
    <row r="458" spans="1:18">
      <c r="A458">
        <v>31.44</v>
      </c>
      <c r="B458">
        <v>3</v>
      </c>
      <c r="C458">
        <v>457</v>
      </c>
      <c r="D458" s="2">
        <v>5.5515694444444444E-2</v>
      </c>
      <c r="E458" t="s">
        <v>2278</v>
      </c>
      <c r="F458" t="s">
        <v>2279</v>
      </c>
      <c r="G458" t="s">
        <v>2280</v>
      </c>
      <c r="H458" t="s">
        <v>1239</v>
      </c>
      <c r="I458" t="s">
        <v>795</v>
      </c>
      <c r="J458" t="s">
        <v>578</v>
      </c>
      <c r="K458" t="s">
        <v>82</v>
      </c>
      <c r="L458">
        <v>10.48</v>
      </c>
      <c r="M458" s="1">
        <v>45869</v>
      </c>
      <c r="N458" t="s">
        <v>105</v>
      </c>
      <c r="O458">
        <v>31</v>
      </c>
      <c r="P458">
        <v>7</v>
      </c>
      <c r="Q458">
        <v>3</v>
      </c>
      <c r="R458">
        <v>2025</v>
      </c>
    </row>
    <row r="459" spans="1:18">
      <c r="A459">
        <v>358.74</v>
      </c>
      <c r="B459">
        <v>3</v>
      </c>
      <c r="C459">
        <v>458</v>
      </c>
      <c r="D459" s="2">
        <v>0.58255475694444447</v>
      </c>
      <c r="E459" t="s">
        <v>1923</v>
      </c>
      <c r="F459" t="s">
        <v>2593</v>
      </c>
      <c r="G459" t="s">
        <v>2594</v>
      </c>
      <c r="H459" t="s">
        <v>708</v>
      </c>
      <c r="I459" t="s">
        <v>834</v>
      </c>
      <c r="J459" t="s">
        <v>143</v>
      </c>
      <c r="K459" t="s">
        <v>69</v>
      </c>
      <c r="L459">
        <v>119.58</v>
      </c>
      <c r="M459" s="1">
        <v>45986</v>
      </c>
      <c r="N459" t="s">
        <v>48</v>
      </c>
      <c r="O459">
        <v>25</v>
      </c>
      <c r="P459">
        <v>11</v>
      </c>
      <c r="Q459">
        <v>4</v>
      </c>
      <c r="R459">
        <v>2025</v>
      </c>
    </row>
    <row r="460" spans="1:18">
      <c r="A460">
        <v>29.55</v>
      </c>
      <c r="B460">
        <v>5</v>
      </c>
      <c r="C460">
        <v>459</v>
      </c>
      <c r="D460" s="2">
        <v>0.13239780092592593</v>
      </c>
      <c r="E460" t="s">
        <v>1277</v>
      </c>
      <c r="F460" t="s">
        <v>1278</v>
      </c>
      <c r="G460" t="s">
        <v>1279</v>
      </c>
      <c r="H460" t="s">
        <v>1280</v>
      </c>
      <c r="I460" t="s">
        <v>908</v>
      </c>
      <c r="J460" t="s">
        <v>590</v>
      </c>
      <c r="K460" t="s">
        <v>51</v>
      </c>
      <c r="L460">
        <v>5.91</v>
      </c>
      <c r="M460" s="1">
        <v>45959</v>
      </c>
      <c r="N460" t="s">
        <v>34</v>
      </c>
      <c r="O460">
        <v>29</v>
      </c>
      <c r="P460">
        <v>10</v>
      </c>
      <c r="Q460">
        <v>4</v>
      </c>
      <c r="R460">
        <v>2025</v>
      </c>
    </row>
    <row r="461" spans="1:18">
      <c r="A461">
        <v>980.04</v>
      </c>
      <c r="B461">
        <v>4</v>
      </c>
      <c r="C461">
        <v>460</v>
      </c>
      <c r="D461" s="2">
        <v>0.74921114583333337</v>
      </c>
      <c r="E461" t="s">
        <v>1378</v>
      </c>
      <c r="F461" t="s">
        <v>1379</v>
      </c>
      <c r="G461" t="s">
        <v>1380</v>
      </c>
      <c r="H461" t="s">
        <v>757</v>
      </c>
      <c r="I461" t="s">
        <v>758</v>
      </c>
      <c r="J461" t="s">
        <v>53</v>
      </c>
      <c r="K461" t="s">
        <v>43</v>
      </c>
      <c r="L461">
        <v>245.01</v>
      </c>
      <c r="M461" s="1">
        <v>45882</v>
      </c>
      <c r="N461" t="s">
        <v>34</v>
      </c>
      <c r="O461">
        <v>13</v>
      </c>
      <c r="P461">
        <v>8</v>
      </c>
      <c r="Q461">
        <v>3</v>
      </c>
      <c r="R461">
        <v>2025</v>
      </c>
    </row>
    <row r="462" spans="1:18">
      <c r="A462">
        <v>347.02</v>
      </c>
      <c r="B462">
        <v>2</v>
      </c>
      <c r="C462">
        <v>461</v>
      </c>
      <c r="D462" s="2">
        <v>0.14951996527777778</v>
      </c>
      <c r="E462" t="s">
        <v>2477</v>
      </c>
      <c r="F462" t="s">
        <v>2478</v>
      </c>
      <c r="G462" t="s">
        <v>2479</v>
      </c>
      <c r="H462" t="s">
        <v>196</v>
      </c>
      <c r="I462" t="s">
        <v>1247</v>
      </c>
      <c r="J462" t="s">
        <v>734</v>
      </c>
      <c r="K462" t="s">
        <v>51</v>
      </c>
      <c r="L462">
        <v>173.51</v>
      </c>
      <c r="M462" s="1">
        <v>46179</v>
      </c>
      <c r="N462" t="s">
        <v>14</v>
      </c>
      <c r="O462">
        <v>6</v>
      </c>
      <c r="P462">
        <v>6</v>
      </c>
      <c r="Q462">
        <v>2</v>
      </c>
      <c r="R462">
        <v>2026</v>
      </c>
    </row>
    <row r="463" spans="1:18">
      <c r="A463">
        <v>1034.2</v>
      </c>
      <c r="B463">
        <v>5</v>
      </c>
      <c r="C463">
        <v>462</v>
      </c>
      <c r="D463" s="2">
        <v>0.55523032407407402</v>
      </c>
      <c r="E463" t="s">
        <v>1588</v>
      </c>
      <c r="F463" t="s">
        <v>1589</v>
      </c>
      <c r="G463" t="s">
        <v>1590</v>
      </c>
      <c r="H463" t="s">
        <v>1591</v>
      </c>
      <c r="I463" t="s">
        <v>966</v>
      </c>
      <c r="J463" t="s">
        <v>192</v>
      </c>
      <c r="K463" t="s">
        <v>46</v>
      </c>
      <c r="L463">
        <v>206.84</v>
      </c>
      <c r="M463" s="1">
        <v>45683</v>
      </c>
      <c r="N463" t="s">
        <v>28</v>
      </c>
      <c r="O463">
        <v>26</v>
      </c>
      <c r="P463">
        <v>1</v>
      </c>
      <c r="Q463">
        <v>1</v>
      </c>
      <c r="R463">
        <v>2025</v>
      </c>
    </row>
    <row r="464" spans="1:18">
      <c r="A464">
        <v>59.56</v>
      </c>
      <c r="B464">
        <v>1</v>
      </c>
      <c r="C464">
        <v>463</v>
      </c>
      <c r="D464" s="2">
        <v>0.36296003472222221</v>
      </c>
      <c r="E464" t="s">
        <v>2261</v>
      </c>
      <c r="F464" t="s">
        <v>2262</v>
      </c>
      <c r="G464" t="s">
        <v>1660</v>
      </c>
      <c r="H464" t="s">
        <v>1206</v>
      </c>
      <c r="I464" t="s">
        <v>943</v>
      </c>
      <c r="J464" t="s">
        <v>573</v>
      </c>
      <c r="K464" t="s">
        <v>55</v>
      </c>
      <c r="L464">
        <v>59.56</v>
      </c>
      <c r="M464" s="1">
        <v>45928</v>
      </c>
      <c r="N464" t="s">
        <v>28</v>
      </c>
      <c r="O464">
        <v>28</v>
      </c>
      <c r="P464">
        <v>9</v>
      </c>
      <c r="Q464">
        <v>3</v>
      </c>
      <c r="R464">
        <v>2025</v>
      </c>
    </row>
    <row r="465" spans="1:18">
      <c r="A465">
        <v>6.42</v>
      </c>
      <c r="B465">
        <v>1</v>
      </c>
      <c r="C465">
        <v>464</v>
      </c>
      <c r="D465" s="2">
        <v>0.37840062499999999</v>
      </c>
      <c r="E465" t="s">
        <v>2591</v>
      </c>
      <c r="F465" t="s">
        <v>2592</v>
      </c>
      <c r="G465" t="s">
        <v>875</v>
      </c>
      <c r="H465" t="s">
        <v>985</v>
      </c>
      <c r="I465" t="s">
        <v>817</v>
      </c>
      <c r="J465" t="s">
        <v>316</v>
      </c>
      <c r="K465" t="s">
        <v>97</v>
      </c>
      <c r="L465">
        <v>6.42</v>
      </c>
      <c r="M465" s="1">
        <v>46212</v>
      </c>
      <c r="N465" t="s">
        <v>105</v>
      </c>
      <c r="O465">
        <v>9</v>
      </c>
      <c r="P465">
        <v>7</v>
      </c>
      <c r="Q465">
        <v>3</v>
      </c>
      <c r="R465">
        <v>2026</v>
      </c>
    </row>
    <row r="466" spans="1:18">
      <c r="A466">
        <v>301.16000000000003</v>
      </c>
      <c r="B466">
        <v>2</v>
      </c>
      <c r="C466">
        <v>465</v>
      </c>
      <c r="D466" s="2">
        <v>0.58315138888888884</v>
      </c>
      <c r="E466" t="s">
        <v>1979</v>
      </c>
      <c r="F466" t="s">
        <v>1980</v>
      </c>
      <c r="G466" t="s">
        <v>1981</v>
      </c>
      <c r="H466" t="s">
        <v>1691</v>
      </c>
      <c r="I466" t="s">
        <v>821</v>
      </c>
      <c r="J466" t="s">
        <v>398</v>
      </c>
      <c r="K466" t="s">
        <v>27</v>
      </c>
      <c r="L466">
        <v>150.58000000000001</v>
      </c>
      <c r="M466" s="1">
        <v>45688</v>
      </c>
      <c r="N466" t="s">
        <v>79</v>
      </c>
      <c r="O466">
        <v>31</v>
      </c>
      <c r="P466">
        <v>1</v>
      </c>
      <c r="Q466">
        <v>1</v>
      </c>
      <c r="R466">
        <v>2025</v>
      </c>
    </row>
    <row r="467" spans="1:18">
      <c r="A467">
        <v>438.33000000000004</v>
      </c>
      <c r="B467">
        <v>3</v>
      </c>
      <c r="C467">
        <v>466</v>
      </c>
      <c r="D467" s="2">
        <v>0.70703688657407404</v>
      </c>
      <c r="E467" t="s">
        <v>2827</v>
      </c>
      <c r="F467" t="s">
        <v>2828</v>
      </c>
      <c r="G467" t="s">
        <v>991</v>
      </c>
      <c r="H467" t="s">
        <v>1213</v>
      </c>
      <c r="I467" t="s">
        <v>839</v>
      </c>
      <c r="J467" t="s">
        <v>382</v>
      </c>
      <c r="K467" t="s">
        <v>122</v>
      </c>
      <c r="L467">
        <v>146.11000000000001</v>
      </c>
      <c r="M467" s="1">
        <v>45567</v>
      </c>
      <c r="N467" t="s">
        <v>34</v>
      </c>
      <c r="O467">
        <v>2</v>
      </c>
      <c r="P467">
        <v>10</v>
      </c>
      <c r="Q467">
        <v>4</v>
      </c>
      <c r="R467">
        <v>2024</v>
      </c>
    </row>
    <row r="468" spans="1:18">
      <c r="A468">
        <v>450.15</v>
      </c>
      <c r="B468">
        <v>5</v>
      </c>
      <c r="C468">
        <v>467</v>
      </c>
      <c r="D468" s="2">
        <v>0.33930854166666669</v>
      </c>
      <c r="E468" t="s">
        <v>3290</v>
      </c>
      <c r="F468" t="s">
        <v>3291</v>
      </c>
      <c r="G468" t="s">
        <v>1965</v>
      </c>
      <c r="H468" t="s">
        <v>1533</v>
      </c>
      <c r="I468" t="s">
        <v>781</v>
      </c>
      <c r="J468" t="s">
        <v>442</v>
      </c>
      <c r="K468" t="s">
        <v>100</v>
      </c>
      <c r="L468">
        <v>90.03</v>
      </c>
      <c r="M468" s="1">
        <v>45790</v>
      </c>
      <c r="N468" t="s">
        <v>48</v>
      </c>
      <c r="O468">
        <v>13</v>
      </c>
      <c r="P468">
        <v>5</v>
      </c>
      <c r="Q468">
        <v>2</v>
      </c>
      <c r="R468">
        <v>2025</v>
      </c>
    </row>
    <row r="469" spans="1:18">
      <c r="A469">
        <v>87.5</v>
      </c>
      <c r="B469">
        <v>2</v>
      </c>
      <c r="C469">
        <v>468</v>
      </c>
      <c r="D469" s="2">
        <v>0.95640871527777782</v>
      </c>
      <c r="E469" t="s">
        <v>1470</v>
      </c>
      <c r="F469" t="s">
        <v>1471</v>
      </c>
      <c r="G469" t="s">
        <v>1472</v>
      </c>
      <c r="H469" t="s">
        <v>1128</v>
      </c>
      <c r="I469" t="s">
        <v>954</v>
      </c>
      <c r="J469" t="s">
        <v>386</v>
      </c>
      <c r="K469" t="s">
        <v>21</v>
      </c>
      <c r="L469">
        <v>43.75</v>
      </c>
      <c r="M469" s="1">
        <v>46137</v>
      </c>
      <c r="N469" t="s">
        <v>14</v>
      </c>
      <c r="O469">
        <v>25</v>
      </c>
      <c r="P469">
        <v>4</v>
      </c>
      <c r="Q469">
        <v>2</v>
      </c>
      <c r="R469">
        <v>2026</v>
      </c>
    </row>
    <row r="470" spans="1:18">
      <c r="A470">
        <v>414.14</v>
      </c>
      <c r="B470">
        <v>2</v>
      </c>
      <c r="C470">
        <v>469</v>
      </c>
      <c r="D470" s="2">
        <v>0.33854203703703706</v>
      </c>
      <c r="E470" t="s">
        <v>2652</v>
      </c>
      <c r="F470" t="s">
        <v>2486</v>
      </c>
      <c r="G470" t="s">
        <v>1271</v>
      </c>
      <c r="H470" t="s">
        <v>328</v>
      </c>
      <c r="I470" t="s">
        <v>1003</v>
      </c>
      <c r="J470" t="s">
        <v>201</v>
      </c>
      <c r="K470" t="s">
        <v>37</v>
      </c>
      <c r="L470">
        <v>207.07</v>
      </c>
      <c r="M470" s="1">
        <v>45905</v>
      </c>
      <c r="N470" t="s">
        <v>79</v>
      </c>
      <c r="O470">
        <v>5</v>
      </c>
      <c r="P470">
        <v>9</v>
      </c>
      <c r="Q470">
        <v>3</v>
      </c>
      <c r="R470">
        <v>2025</v>
      </c>
    </row>
    <row r="471" spans="1:18">
      <c r="A471">
        <v>181.24</v>
      </c>
      <c r="B471">
        <v>2</v>
      </c>
      <c r="C471">
        <v>470</v>
      </c>
      <c r="D471" s="2">
        <v>0.22467450231481481</v>
      </c>
      <c r="E471" t="s">
        <v>2653</v>
      </c>
      <c r="F471" t="s">
        <v>2654</v>
      </c>
      <c r="G471" t="s">
        <v>2315</v>
      </c>
      <c r="H471" t="s">
        <v>780</v>
      </c>
      <c r="I471" t="s">
        <v>781</v>
      </c>
      <c r="J471" t="s">
        <v>686</v>
      </c>
      <c r="K471" t="s">
        <v>82</v>
      </c>
      <c r="L471">
        <v>90.62</v>
      </c>
      <c r="M471" s="1">
        <v>45942</v>
      </c>
      <c r="N471" t="s">
        <v>28</v>
      </c>
      <c r="O471">
        <v>12</v>
      </c>
      <c r="P471">
        <v>10</v>
      </c>
      <c r="Q471">
        <v>4</v>
      </c>
      <c r="R471">
        <v>2025</v>
      </c>
    </row>
    <row r="472" spans="1:18">
      <c r="A472">
        <v>1125.6999999999998</v>
      </c>
      <c r="B472">
        <v>5</v>
      </c>
      <c r="C472">
        <v>471</v>
      </c>
      <c r="D472" s="2">
        <v>0.40221765046296298</v>
      </c>
      <c r="E472" t="s">
        <v>1036</v>
      </c>
      <c r="F472" t="s">
        <v>1037</v>
      </c>
      <c r="G472" t="s">
        <v>1038</v>
      </c>
      <c r="H472" t="s">
        <v>1039</v>
      </c>
      <c r="I472" t="s">
        <v>758</v>
      </c>
      <c r="J472" t="s">
        <v>281</v>
      </c>
      <c r="K472" t="s">
        <v>51</v>
      </c>
      <c r="L472">
        <v>225.14</v>
      </c>
      <c r="M472" s="1">
        <v>45775</v>
      </c>
      <c r="N472" t="s">
        <v>93</v>
      </c>
      <c r="O472">
        <v>28</v>
      </c>
      <c r="P472">
        <v>4</v>
      </c>
      <c r="Q472">
        <v>2</v>
      </c>
      <c r="R472">
        <v>2025</v>
      </c>
    </row>
    <row r="473" spans="1:18">
      <c r="A473">
        <v>672.35</v>
      </c>
      <c r="B473">
        <v>5</v>
      </c>
      <c r="C473">
        <v>472</v>
      </c>
      <c r="D473" s="2">
        <v>0.66212424768518519</v>
      </c>
      <c r="E473" t="s">
        <v>2669</v>
      </c>
      <c r="F473" t="s">
        <v>2670</v>
      </c>
      <c r="G473" t="s">
        <v>1025</v>
      </c>
      <c r="H473" t="s">
        <v>942</v>
      </c>
      <c r="I473" t="s">
        <v>943</v>
      </c>
      <c r="J473" t="s">
        <v>76</v>
      </c>
      <c r="K473" t="s">
        <v>69</v>
      </c>
      <c r="L473">
        <v>134.47</v>
      </c>
      <c r="M473" s="1">
        <v>45965</v>
      </c>
      <c r="N473" t="s">
        <v>48</v>
      </c>
      <c r="O473">
        <v>4</v>
      </c>
      <c r="P473">
        <v>11</v>
      </c>
      <c r="Q473">
        <v>4</v>
      </c>
      <c r="R473">
        <v>2025</v>
      </c>
    </row>
    <row r="474" spans="1:18">
      <c r="A474">
        <v>172.89</v>
      </c>
      <c r="B474">
        <v>1</v>
      </c>
      <c r="C474">
        <v>473</v>
      </c>
      <c r="D474" s="2">
        <v>3.5707812499999998E-2</v>
      </c>
      <c r="E474" t="s">
        <v>2520</v>
      </c>
      <c r="F474" t="s">
        <v>2521</v>
      </c>
      <c r="G474" t="s">
        <v>2522</v>
      </c>
      <c r="H474" t="s">
        <v>1054</v>
      </c>
      <c r="I474" t="s">
        <v>892</v>
      </c>
      <c r="J474" t="s">
        <v>2166</v>
      </c>
      <c r="K474" t="s">
        <v>21</v>
      </c>
      <c r="L474">
        <v>172.89</v>
      </c>
      <c r="M474" s="1">
        <v>46131</v>
      </c>
      <c r="N474" t="s">
        <v>28</v>
      </c>
      <c r="O474">
        <v>19</v>
      </c>
      <c r="P474">
        <v>4</v>
      </c>
      <c r="Q474">
        <v>2</v>
      </c>
      <c r="R474">
        <v>2026</v>
      </c>
    </row>
    <row r="475" spans="1:18">
      <c r="A475">
        <v>315.44</v>
      </c>
      <c r="B475">
        <v>4</v>
      </c>
      <c r="C475">
        <v>474</v>
      </c>
      <c r="D475" s="2">
        <v>0.92524195601851855</v>
      </c>
      <c r="E475" t="s">
        <v>1226</v>
      </c>
      <c r="F475" t="s">
        <v>1227</v>
      </c>
      <c r="G475" t="s">
        <v>1228</v>
      </c>
      <c r="H475" t="s">
        <v>199</v>
      </c>
      <c r="I475" t="s">
        <v>781</v>
      </c>
      <c r="J475" t="s">
        <v>208</v>
      </c>
      <c r="K475" t="s">
        <v>43</v>
      </c>
      <c r="L475">
        <v>78.86</v>
      </c>
      <c r="M475" s="1">
        <v>46109</v>
      </c>
      <c r="N475" t="s">
        <v>14</v>
      </c>
      <c r="O475">
        <v>28</v>
      </c>
      <c r="P475">
        <v>3</v>
      </c>
      <c r="Q475">
        <v>1</v>
      </c>
      <c r="R475">
        <v>2026</v>
      </c>
    </row>
    <row r="476" spans="1:18">
      <c r="A476">
        <v>38.61</v>
      </c>
      <c r="B476">
        <v>1</v>
      </c>
      <c r="C476">
        <v>475</v>
      </c>
      <c r="D476" s="2">
        <v>8.1223518518518514E-2</v>
      </c>
      <c r="E476" t="s">
        <v>3280</v>
      </c>
      <c r="F476" t="s">
        <v>3281</v>
      </c>
      <c r="G476" t="s">
        <v>2615</v>
      </c>
      <c r="H476" t="s">
        <v>387</v>
      </c>
      <c r="I476" t="s">
        <v>821</v>
      </c>
      <c r="J476" t="s">
        <v>58</v>
      </c>
      <c r="K476" t="s">
        <v>25</v>
      </c>
      <c r="L476">
        <v>38.61</v>
      </c>
      <c r="M476" s="1">
        <v>45778</v>
      </c>
      <c r="N476" t="s">
        <v>105</v>
      </c>
      <c r="O476">
        <v>1</v>
      </c>
      <c r="P476">
        <v>5</v>
      </c>
      <c r="Q476">
        <v>2</v>
      </c>
      <c r="R476">
        <v>2025</v>
      </c>
    </row>
    <row r="477" spans="1:18">
      <c r="A477">
        <v>100.46</v>
      </c>
      <c r="B477">
        <v>1</v>
      </c>
      <c r="C477">
        <v>476</v>
      </c>
      <c r="D477" s="2">
        <v>0.11995695601851852</v>
      </c>
      <c r="E477" t="s">
        <v>2700</v>
      </c>
      <c r="F477" t="s">
        <v>2701</v>
      </c>
      <c r="G477" t="s">
        <v>1688</v>
      </c>
      <c r="H477" t="s">
        <v>635</v>
      </c>
      <c r="I477" t="s">
        <v>768</v>
      </c>
      <c r="J477" t="s">
        <v>703</v>
      </c>
      <c r="K477" t="s">
        <v>60</v>
      </c>
      <c r="L477">
        <v>100.46</v>
      </c>
      <c r="M477" s="1">
        <v>46191</v>
      </c>
      <c r="N477" t="s">
        <v>105</v>
      </c>
      <c r="O477">
        <v>18</v>
      </c>
      <c r="P477">
        <v>6</v>
      </c>
      <c r="Q477">
        <v>2</v>
      </c>
      <c r="R477">
        <v>2026</v>
      </c>
    </row>
    <row r="478" spans="1:18">
      <c r="A478">
        <v>343.76</v>
      </c>
      <c r="B478">
        <v>2</v>
      </c>
      <c r="C478">
        <v>477</v>
      </c>
      <c r="D478" s="2">
        <v>0.41477196759259261</v>
      </c>
      <c r="E478" t="s">
        <v>1506</v>
      </c>
      <c r="F478" t="s">
        <v>1507</v>
      </c>
      <c r="G478" t="s">
        <v>1508</v>
      </c>
      <c r="H478" t="s">
        <v>1509</v>
      </c>
      <c r="I478" t="s">
        <v>821</v>
      </c>
      <c r="J478" t="s">
        <v>525</v>
      </c>
      <c r="K478" t="s">
        <v>17</v>
      </c>
      <c r="L478">
        <v>171.88</v>
      </c>
      <c r="M478" s="1">
        <v>46044</v>
      </c>
      <c r="N478" t="s">
        <v>105</v>
      </c>
      <c r="O478">
        <v>22</v>
      </c>
      <c r="P478">
        <v>1</v>
      </c>
      <c r="Q478">
        <v>1</v>
      </c>
      <c r="R478">
        <v>2026</v>
      </c>
    </row>
    <row r="479" spans="1:18">
      <c r="A479">
        <v>11.83</v>
      </c>
      <c r="B479">
        <v>1</v>
      </c>
      <c r="C479">
        <v>478</v>
      </c>
      <c r="D479" s="2">
        <v>0.59175284722222221</v>
      </c>
      <c r="E479" t="s">
        <v>2066</v>
      </c>
      <c r="F479" t="s">
        <v>2067</v>
      </c>
      <c r="G479" t="s">
        <v>1192</v>
      </c>
      <c r="H479" t="s">
        <v>280</v>
      </c>
      <c r="I479" t="s">
        <v>786</v>
      </c>
      <c r="J479" t="s">
        <v>220</v>
      </c>
      <c r="K479" t="s">
        <v>97</v>
      </c>
      <c r="L479">
        <v>11.83</v>
      </c>
      <c r="M479" s="1">
        <v>46006</v>
      </c>
      <c r="N479" t="s">
        <v>93</v>
      </c>
      <c r="O479">
        <v>15</v>
      </c>
      <c r="P479">
        <v>12</v>
      </c>
      <c r="Q479">
        <v>4</v>
      </c>
      <c r="R479">
        <v>2025</v>
      </c>
    </row>
    <row r="480" spans="1:18">
      <c r="A480">
        <v>1001.35</v>
      </c>
      <c r="B480">
        <v>5</v>
      </c>
      <c r="C480">
        <v>479</v>
      </c>
      <c r="D480" s="2">
        <v>0.26232439814814817</v>
      </c>
      <c r="E480" t="s">
        <v>2127</v>
      </c>
      <c r="F480" t="s">
        <v>2128</v>
      </c>
      <c r="G480" t="s">
        <v>1050</v>
      </c>
      <c r="H480" t="s">
        <v>1371</v>
      </c>
      <c r="I480" t="s">
        <v>786</v>
      </c>
      <c r="J480" t="s">
        <v>434</v>
      </c>
      <c r="K480" t="s">
        <v>57</v>
      </c>
      <c r="L480">
        <v>200.27</v>
      </c>
      <c r="M480" s="1">
        <v>45676</v>
      </c>
      <c r="N480" t="s">
        <v>28</v>
      </c>
      <c r="O480">
        <v>19</v>
      </c>
      <c r="P480">
        <v>1</v>
      </c>
      <c r="Q480">
        <v>1</v>
      </c>
      <c r="R480">
        <v>2025</v>
      </c>
    </row>
    <row r="481" spans="1:18">
      <c r="A481">
        <v>91.42</v>
      </c>
      <c r="B481">
        <v>1</v>
      </c>
      <c r="C481">
        <v>480</v>
      </c>
      <c r="D481" s="2">
        <v>0.13847078703703702</v>
      </c>
      <c r="E481" t="s">
        <v>2589</v>
      </c>
      <c r="F481" t="s">
        <v>2590</v>
      </c>
      <c r="G481" t="s">
        <v>1220</v>
      </c>
      <c r="H481" t="s">
        <v>1434</v>
      </c>
      <c r="I481" t="s">
        <v>786</v>
      </c>
      <c r="J481" t="s">
        <v>479</v>
      </c>
      <c r="K481" t="s">
        <v>17</v>
      </c>
      <c r="L481">
        <v>91.42</v>
      </c>
      <c r="M481" s="1">
        <v>46244</v>
      </c>
      <c r="N481" t="s">
        <v>93</v>
      </c>
      <c r="O481">
        <v>10</v>
      </c>
      <c r="P481">
        <v>8</v>
      </c>
      <c r="Q481">
        <v>3</v>
      </c>
      <c r="R481">
        <v>2026</v>
      </c>
    </row>
    <row r="482" spans="1:18">
      <c r="A482">
        <v>218.29999999999998</v>
      </c>
      <c r="B482">
        <v>5</v>
      </c>
      <c r="C482">
        <v>481</v>
      </c>
      <c r="D482" s="2">
        <v>0.20913409722222223</v>
      </c>
      <c r="E482" t="s">
        <v>1240</v>
      </c>
      <c r="F482" t="s">
        <v>1241</v>
      </c>
      <c r="G482" t="s">
        <v>1242</v>
      </c>
      <c r="H482" t="s">
        <v>1092</v>
      </c>
      <c r="I482" t="s">
        <v>763</v>
      </c>
      <c r="J482" t="s">
        <v>675</v>
      </c>
      <c r="K482" t="s">
        <v>97</v>
      </c>
      <c r="L482">
        <v>43.66</v>
      </c>
      <c r="M482" s="1">
        <v>46076</v>
      </c>
      <c r="N482" t="s">
        <v>93</v>
      </c>
      <c r="O482">
        <v>23</v>
      </c>
      <c r="P482">
        <v>2</v>
      </c>
      <c r="Q482">
        <v>1</v>
      </c>
      <c r="R482">
        <v>2026</v>
      </c>
    </row>
    <row r="483" spans="1:18">
      <c r="A483">
        <v>45.54</v>
      </c>
      <c r="B483">
        <v>2</v>
      </c>
      <c r="C483">
        <v>482</v>
      </c>
      <c r="D483" s="2">
        <v>0.14206663194444444</v>
      </c>
      <c r="E483" t="s">
        <v>1356</v>
      </c>
      <c r="F483" t="s">
        <v>1357</v>
      </c>
      <c r="G483" t="s">
        <v>1358</v>
      </c>
      <c r="H483" t="s">
        <v>1359</v>
      </c>
      <c r="I483" t="s">
        <v>768</v>
      </c>
      <c r="J483" t="s">
        <v>1250</v>
      </c>
      <c r="K483" t="s">
        <v>23</v>
      </c>
      <c r="L483">
        <v>22.77</v>
      </c>
      <c r="M483" s="1">
        <v>46158</v>
      </c>
      <c r="N483" t="s">
        <v>14</v>
      </c>
      <c r="O483">
        <v>16</v>
      </c>
      <c r="P483">
        <v>5</v>
      </c>
      <c r="Q483">
        <v>2</v>
      </c>
      <c r="R483">
        <v>2026</v>
      </c>
    </row>
    <row r="484" spans="1:18">
      <c r="A484">
        <v>358.75</v>
      </c>
      <c r="B484">
        <v>5</v>
      </c>
      <c r="C484">
        <v>483</v>
      </c>
      <c r="D484" s="2">
        <v>0.14488479166666668</v>
      </c>
      <c r="E484" t="s">
        <v>2384</v>
      </c>
      <c r="F484" t="s">
        <v>2385</v>
      </c>
      <c r="G484" t="s">
        <v>2386</v>
      </c>
      <c r="H484" t="s">
        <v>1469</v>
      </c>
      <c r="I484" t="s">
        <v>908</v>
      </c>
      <c r="J484" t="s">
        <v>133</v>
      </c>
      <c r="K484" t="s">
        <v>97</v>
      </c>
      <c r="L484">
        <v>71.75</v>
      </c>
      <c r="M484" s="1">
        <v>46105</v>
      </c>
      <c r="N484" t="s">
        <v>48</v>
      </c>
      <c r="O484">
        <v>24</v>
      </c>
      <c r="P484">
        <v>3</v>
      </c>
      <c r="Q484">
        <v>1</v>
      </c>
      <c r="R484">
        <v>2026</v>
      </c>
    </row>
    <row r="485" spans="1:18">
      <c r="A485">
        <v>36.36</v>
      </c>
      <c r="B485">
        <v>2</v>
      </c>
      <c r="C485">
        <v>484</v>
      </c>
      <c r="D485" s="2">
        <v>0.49252374999999998</v>
      </c>
      <c r="E485" t="s">
        <v>2516</v>
      </c>
      <c r="F485" t="s">
        <v>2517</v>
      </c>
      <c r="G485" t="s">
        <v>1793</v>
      </c>
      <c r="H485" t="s">
        <v>106</v>
      </c>
      <c r="I485" t="s">
        <v>896</v>
      </c>
      <c r="J485" t="s">
        <v>284</v>
      </c>
      <c r="K485" t="s">
        <v>97</v>
      </c>
      <c r="L485">
        <v>18.18</v>
      </c>
      <c r="M485" s="1">
        <v>45564</v>
      </c>
      <c r="N485" t="s">
        <v>28</v>
      </c>
      <c r="O485">
        <v>29</v>
      </c>
      <c r="P485">
        <v>9</v>
      </c>
      <c r="Q485">
        <v>3</v>
      </c>
      <c r="R485">
        <v>2024</v>
      </c>
    </row>
    <row r="486" spans="1:18">
      <c r="A486">
        <v>54.150000000000006</v>
      </c>
      <c r="B486">
        <v>3</v>
      </c>
      <c r="C486">
        <v>485</v>
      </c>
      <c r="D486" s="2">
        <v>0.52527519675925927</v>
      </c>
      <c r="E486" t="s">
        <v>3314</v>
      </c>
      <c r="F486" t="s">
        <v>3315</v>
      </c>
      <c r="G486" t="s">
        <v>1965</v>
      </c>
      <c r="H486" t="s">
        <v>1061</v>
      </c>
      <c r="I486" t="s">
        <v>812</v>
      </c>
      <c r="J486" t="s">
        <v>30</v>
      </c>
      <c r="K486" t="s">
        <v>31</v>
      </c>
      <c r="L486">
        <v>18.05</v>
      </c>
      <c r="M486" s="1">
        <v>46157</v>
      </c>
      <c r="N486" t="s">
        <v>79</v>
      </c>
      <c r="O486">
        <v>15</v>
      </c>
      <c r="P486">
        <v>5</v>
      </c>
      <c r="Q486">
        <v>2</v>
      </c>
      <c r="R486">
        <v>2026</v>
      </c>
    </row>
    <row r="487" spans="1:18">
      <c r="A487">
        <v>821.08</v>
      </c>
      <c r="B487">
        <v>4</v>
      </c>
      <c r="C487">
        <v>486</v>
      </c>
      <c r="D487" s="2">
        <v>0.28404379629629628</v>
      </c>
      <c r="E487" t="s">
        <v>1869</v>
      </c>
      <c r="F487" t="s">
        <v>1870</v>
      </c>
      <c r="G487" t="s">
        <v>1501</v>
      </c>
      <c r="H487" t="s">
        <v>869</v>
      </c>
      <c r="I487" t="s">
        <v>1247</v>
      </c>
      <c r="J487" t="s">
        <v>404</v>
      </c>
      <c r="K487" t="s">
        <v>37</v>
      </c>
      <c r="L487">
        <v>205.27</v>
      </c>
      <c r="M487" s="1">
        <v>45744</v>
      </c>
      <c r="N487" t="s">
        <v>79</v>
      </c>
      <c r="O487">
        <v>28</v>
      </c>
      <c r="P487">
        <v>3</v>
      </c>
      <c r="Q487">
        <v>1</v>
      </c>
      <c r="R487">
        <v>2025</v>
      </c>
    </row>
    <row r="488" spans="1:18">
      <c r="A488">
        <v>676.48</v>
      </c>
      <c r="B488">
        <v>4</v>
      </c>
      <c r="C488">
        <v>487</v>
      </c>
      <c r="D488" s="2">
        <v>0.40831804398148147</v>
      </c>
      <c r="E488" t="s">
        <v>2469</v>
      </c>
      <c r="F488" t="s">
        <v>2470</v>
      </c>
      <c r="G488" t="s">
        <v>2471</v>
      </c>
      <c r="H488" t="s">
        <v>985</v>
      </c>
      <c r="I488" t="s">
        <v>817</v>
      </c>
      <c r="J488" t="s">
        <v>368</v>
      </c>
      <c r="K488" t="s">
        <v>31</v>
      </c>
      <c r="L488">
        <v>169.12</v>
      </c>
      <c r="M488" s="1">
        <v>45929</v>
      </c>
      <c r="N488" t="s">
        <v>93</v>
      </c>
      <c r="O488">
        <v>29</v>
      </c>
      <c r="P488">
        <v>9</v>
      </c>
      <c r="Q488">
        <v>3</v>
      </c>
      <c r="R488">
        <v>2025</v>
      </c>
    </row>
    <row r="489" spans="1:18">
      <c r="A489">
        <v>473.9</v>
      </c>
      <c r="B489">
        <v>2</v>
      </c>
      <c r="C489">
        <v>488</v>
      </c>
      <c r="D489" s="2">
        <v>0.1041182986111111</v>
      </c>
      <c r="E489" t="s">
        <v>1710</v>
      </c>
      <c r="F489" t="s">
        <v>1711</v>
      </c>
      <c r="G489" t="s">
        <v>1539</v>
      </c>
      <c r="H489" t="s">
        <v>1156</v>
      </c>
      <c r="I489" t="s">
        <v>839</v>
      </c>
      <c r="J489" t="s">
        <v>50</v>
      </c>
      <c r="K489" t="s">
        <v>51</v>
      </c>
      <c r="L489">
        <v>236.95</v>
      </c>
      <c r="M489" s="1">
        <v>45906</v>
      </c>
      <c r="N489" t="s">
        <v>14</v>
      </c>
      <c r="O489">
        <v>6</v>
      </c>
      <c r="P489">
        <v>9</v>
      </c>
      <c r="Q489">
        <v>3</v>
      </c>
      <c r="R489">
        <v>2025</v>
      </c>
    </row>
    <row r="490" spans="1:18">
      <c r="A490">
        <v>607.59</v>
      </c>
      <c r="B490">
        <v>3</v>
      </c>
      <c r="C490">
        <v>489</v>
      </c>
      <c r="D490" s="2">
        <v>0.93253354166666669</v>
      </c>
      <c r="E490" t="s">
        <v>2283</v>
      </c>
      <c r="F490" t="s">
        <v>2284</v>
      </c>
      <c r="G490" t="s">
        <v>2285</v>
      </c>
      <c r="H490" t="s">
        <v>862</v>
      </c>
      <c r="I490" t="s">
        <v>908</v>
      </c>
      <c r="J490" t="s">
        <v>251</v>
      </c>
      <c r="K490" t="s">
        <v>122</v>
      </c>
      <c r="L490">
        <v>202.53</v>
      </c>
      <c r="M490" s="1">
        <v>45929</v>
      </c>
      <c r="N490" t="s">
        <v>93</v>
      </c>
      <c r="O490">
        <v>29</v>
      </c>
      <c r="P490">
        <v>9</v>
      </c>
      <c r="Q490">
        <v>3</v>
      </c>
      <c r="R490">
        <v>2025</v>
      </c>
    </row>
    <row r="491" spans="1:18">
      <c r="A491">
        <v>308.2</v>
      </c>
      <c r="B491">
        <v>4</v>
      </c>
      <c r="C491">
        <v>490</v>
      </c>
      <c r="D491" s="2">
        <v>0.80861188657407412</v>
      </c>
      <c r="E491" t="s">
        <v>3435</v>
      </c>
      <c r="F491" t="s">
        <v>3436</v>
      </c>
      <c r="G491" t="s">
        <v>1216</v>
      </c>
      <c r="H491" t="s">
        <v>942</v>
      </c>
      <c r="I491" t="s">
        <v>943</v>
      </c>
      <c r="J491" t="s">
        <v>509</v>
      </c>
      <c r="K491" t="s">
        <v>19</v>
      </c>
      <c r="L491">
        <v>77.05</v>
      </c>
      <c r="M491" s="1">
        <v>45670</v>
      </c>
      <c r="N491" t="s">
        <v>93</v>
      </c>
      <c r="O491">
        <v>13</v>
      </c>
      <c r="P491">
        <v>1</v>
      </c>
      <c r="Q491">
        <v>1</v>
      </c>
      <c r="R491">
        <v>2025</v>
      </c>
    </row>
    <row r="492" spans="1:18">
      <c r="A492">
        <v>904.59999999999991</v>
      </c>
      <c r="B492">
        <v>5</v>
      </c>
      <c r="C492">
        <v>491</v>
      </c>
      <c r="D492" s="2">
        <v>0.53091222222222223</v>
      </c>
      <c r="E492" t="s">
        <v>1046</v>
      </c>
      <c r="F492" t="s">
        <v>1047</v>
      </c>
      <c r="G492" t="s">
        <v>746</v>
      </c>
      <c r="H492" t="s">
        <v>29</v>
      </c>
      <c r="I492" t="s">
        <v>821</v>
      </c>
      <c r="J492" t="s">
        <v>324</v>
      </c>
      <c r="K492" t="s">
        <v>17</v>
      </c>
      <c r="L492">
        <v>180.92</v>
      </c>
      <c r="M492" s="1">
        <v>45653</v>
      </c>
      <c r="N492" t="s">
        <v>79</v>
      </c>
      <c r="O492">
        <v>27</v>
      </c>
      <c r="P492">
        <v>12</v>
      </c>
      <c r="Q492">
        <v>4</v>
      </c>
      <c r="R492">
        <v>2024</v>
      </c>
    </row>
    <row r="493" spans="1:18">
      <c r="A493">
        <v>266.2</v>
      </c>
      <c r="B493">
        <v>4</v>
      </c>
      <c r="C493">
        <v>492</v>
      </c>
      <c r="D493" s="2">
        <v>0.10897175925925925</v>
      </c>
      <c r="E493" t="s">
        <v>2261</v>
      </c>
      <c r="F493" t="s">
        <v>2262</v>
      </c>
      <c r="G493" t="s">
        <v>1660</v>
      </c>
      <c r="H493" t="s">
        <v>1206</v>
      </c>
      <c r="I493" t="s">
        <v>943</v>
      </c>
      <c r="J493" t="s">
        <v>452</v>
      </c>
      <c r="K493" t="s">
        <v>69</v>
      </c>
      <c r="L493">
        <v>66.55</v>
      </c>
      <c r="M493" s="1">
        <v>46005</v>
      </c>
      <c r="N493" t="s">
        <v>28</v>
      </c>
      <c r="O493">
        <v>14</v>
      </c>
      <c r="P493">
        <v>12</v>
      </c>
      <c r="Q493">
        <v>4</v>
      </c>
      <c r="R493">
        <v>2025</v>
      </c>
    </row>
    <row r="494" spans="1:18">
      <c r="A494">
        <v>332.52</v>
      </c>
      <c r="B494">
        <v>2</v>
      </c>
      <c r="C494">
        <v>493</v>
      </c>
      <c r="D494" s="2">
        <v>8.1814120370370363E-2</v>
      </c>
      <c r="E494" t="s">
        <v>2002</v>
      </c>
      <c r="F494" t="s">
        <v>2003</v>
      </c>
      <c r="G494" t="s">
        <v>2004</v>
      </c>
      <c r="H494" t="s">
        <v>794</v>
      </c>
      <c r="I494" t="s">
        <v>821</v>
      </c>
      <c r="J494" t="s">
        <v>72</v>
      </c>
      <c r="K494" t="s">
        <v>37</v>
      </c>
      <c r="L494">
        <v>166.26</v>
      </c>
      <c r="M494" s="1">
        <v>45600</v>
      </c>
      <c r="N494" t="s">
        <v>93</v>
      </c>
      <c r="O494">
        <v>4</v>
      </c>
      <c r="P494">
        <v>11</v>
      </c>
      <c r="Q494">
        <v>4</v>
      </c>
      <c r="R494">
        <v>2024</v>
      </c>
    </row>
    <row r="495" spans="1:18">
      <c r="A495">
        <v>734.32</v>
      </c>
      <c r="B495">
        <v>4</v>
      </c>
      <c r="C495">
        <v>494</v>
      </c>
      <c r="D495" s="2">
        <v>0.64244684027777776</v>
      </c>
      <c r="E495" t="s">
        <v>971</v>
      </c>
      <c r="F495" t="s">
        <v>972</v>
      </c>
      <c r="G495" t="s">
        <v>973</v>
      </c>
      <c r="H495" t="s">
        <v>562</v>
      </c>
      <c r="I495" t="s">
        <v>753</v>
      </c>
      <c r="J495" t="s">
        <v>641</v>
      </c>
      <c r="K495" t="s">
        <v>46</v>
      </c>
      <c r="L495">
        <v>183.58</v>
      </c>
      <c r="M495" s="1">
        <v>45959</v>
      </c>
      <c r="N495" t="s">
        <v>34</v>
      </c>
      <c r="O495">
        <v>29</v>
      </c>
      <c r="P495">
        <v>10</v>
      </c>
      <c r="Q495">
        <v>4</v>
      </c>
      <c r="R495">
        <v>2025</v>
      </c>
    </row>
    <row r="496" spans="1:18">
      <c r="A496">
        <v>35.229999999999997</v>
      </c>
      <c r="B496">
        <v>1</v>
      </c>
      <c r="C496">
        <v>495</v>
      </c>
      <c r="D496" s="2">
        <v>0.93987868055555557</v>
      </c>
      <c r="E496" t="s">
        <v>1802</v>
      </c>
      <c r="F496" t="s">
        <v>1803</v>
      </c>
      <c r="G496" t="s">
        <v>906</v>
      </c>
      <c r="H496" t="s">
        <v>970</v>
      </c>
      <c r="I496" t="s">
        <v>790</v>
      </c>
      <c r="J496" t="s">
        <v>261</v>
      </c>
      <c r="K496" t="s">
        <v>31</v>
      </c>
      <c r="L496">
        <v>35.229999999999997</v>
      </c>
      <c r="M496" s="1">
        <v>45973</v>
      </c>
      <c r="N496" t="s">
        <v>34</v>
      </c>
      <c r="O496">
        <v>12</v>
      </c>
      <c r="P496">
        <v>11</v>
      </c>
      <c r="Q496">
        <v>4</v>
      </c>
      <c r="R496">
        <v>2025</v>
      </c>
    </row>
    <row r="497" spans="1:18">
      <c r="A497">
        <v>954.12</v>
      </c>
      <c r="B497">
        <v>4</v>
      </c>
      <c r="C497">
        <v>496</v>
      </c>
      <c r="D497" s="2">
        <v>0.25679717592592594</v>
      </c>
      <c r="E497" t="s">
        <v>2481</v>
      </c>
      <c r="F497" t="s">
        <v>2482</v>
      </c>
      <c r="G497" t="s">
        <v>1060</v>
      </c>
      <c r="H497" t="s">
        <v>1002</v>
      </c>
      <c r="I497" t="s">
        <v>892</v>
      </c>
      <c r="J497" t="s">
        <v>660</v>
      </c>
      <c r="K497" t="s">
        <v>25</v>
      </c>
      <c r="L497">
        <v>238.53</v>
      </c>
      <c r="M497" s="1">
        <v>46087</v>
      </c>
      <c r="N497" t="s">
        <v>79</v>
      </c>
      <c r="O497">
        <v>6</v>
      </c>
      <c r="P497">
        <v>3</v>
      </c>
      <c r="Q497">
        <v>1</v>
      </c>
      <c r="R497">
        <v>2026</v>
      </c>
    </row>
    <row r="498" spans="1:18">
      <c r="A498">
        <v>163.62</v>
      </c>
      <c r="B498">
        <v>3</v>
      </c>
      <c r="C498">
        <v>497</v>
      </c>
      <c r="D498" s="2">
        <v>8.6542731481481477E-2</v>
      </c>
      <c r="E498" t="s">
        <v>1138</v>
      </c>
      <c r="F498" t="s">
        <v>1139</v>
      </c>
      <c r="G498" t="s">
        <v>1140</v>
      </c>
      <c r="H498" t="s">
        <v>666</v>
      </c>
      <c r="I498" t="s">
        <v>954</v>
      </c>
      <c r="J498" t="s">
        <v>292</v>
      </c>
      <c r="K498" t="s">
        <v>97</v>
      </c>
      <c r="L498">
        <v>54.54</v>
      </c>
      <c r="M498" s="1">
        <v>46243</v>
      </c>
      <c r="N498" t="s">
        <v>28</v>
      </c>
      <c r="O498">
        <v>9</v>
      </c>
      <c r="P498">
        <v>8</v>
      </c>
      <c r="Q498">
        <v>3</v>
      </c>
      <c r="R498">
        <v>2026</v>
      </c>
    </row>
    <row r="499" spans="1:18">
      <c r="A499">
        <v>1128.6499999999999</v>
      </c>
      <c r="B499">
        <v>5</v>
      </c>
      <c r="C499">
        <v>498</v>
      </c>
      <c r="D499" s="2">
        <v>0.26048917824074075</v>
      </c>
      <c r="E499" t="s">
        <v>971</v>
      </c>
      <c r="F499" t="s">
        <v>972</v>
      </c>
      <c r="G499" t="s">
        <v>973</v>
      </c>
      <c r="H499" t="s">
        <v>562</v>
      </c>
      <c r="I499" t="s">
        <v>753</v>
      </c>
      <c r="J499" t="s">
        <v>444</v>
      </c>
      <c r="K499" t="s">
        <v>37</v>
      </c>
      <c r="L499">
        <v>225.73</v>
      </c>
      <c r="M499" s="1">
        <v>45653</v>
      </c>
      <c r="N499" t="s">
        <v>79</v>
      </c>
      <c r="O499">
        <v>27</v>
      </c>
      <c r="P499">
        <v>12</v>
      </c>
      <c r="Q499">
        <v>4</v>
      </c>
      <c r="R499">
        <v>2024</v>
      </c>
    </row>
    <row r="500" spans="1:18">
      <c r="A500">
        <v>705.56999999999994</v>
      </c>
      <c r="B500">
        <v>3</v>
      </c>
      <c r="C500">
        <v>499</v>
      </c>
      <c r="D500" s="2">
        <v>0.74590089120370373</v>
      </c>
      <c r="E500" t="s">
        <v>1655</v>
      </c>
      <c r="F500" t="s">
        <v>1656</v>
      </c>
      <c r="G500" t="s">
        <v>1657</v>
      </c>
      <c r="H500" t="s">
        <v>199</v>
      </c>
      <c r="I500" t="s">
        <v>781</v>
      </c>
      <c r="J500" t="s">
        <v>396</v>
      </c>
      <c r="K500" t="s">
        <v>122</v>
      </c>
      <c r="L500">
        <v>235.19</v>
      </c>
      <c r="M500" s="1">
        <v>46090</v>
      </c>
      <c r="N500" t="s">
        <v>93</v>
      </c>
      <c r="O500">
        <v>9</v>
      </c>
      <c r="P500">
        <v>3</v>
      </c>
      <c r="Q500">
        <v>1</v>
      </c>
      <c r="R500">
        <v>2026</v>
      </c>
    </row>
    <row r="501" spans="1:18">
      <c r="A501">
        <v>705.56999999999994</v>
      </c>
      <c r="B501">
        <v>3</v>
      </c>
      <c r="C501">
        <v>500</v>
      </c>
      <c r="D501" s="2">
        <v>0.64184293981481477</v>
      </c>
      <c r="E501" t="s">
        <v>1099</v>
      </c>
      <c r="F501" t="s">
        <v>1100</v>
      </c>
      <c r="G501" t="s">
        <v>1035</v>
      </c>
      <c r="H501" t="s">
        <v>211</v>
      </c>
      <c r="I501" t="s">
        <v>812</v>
      </c>
      <c r="J501" t="s">
        <v>396</v>
      </c>
      <c r="K501" t="s">
        <v>122</v>
      </c>
      <c r="L501">
        <v>235.19</v>
      </c>
      <c r="M501" s="1">
        <v>45624</v>
      </c>
      <c r="N501" t="s">
        <v>105</v>
      </c>
      <c r="O501">
        <v>28</v>
      </c>
      <c r="P501">
        <v>11</v>
      </c>
      <c r="Q501">
        <v>4</v>
      </c>
      <c r="R501">
        <v>2024</v>
      </c>
    </row>
    <row r="502" spans="1:18">
      <c r="A502">
        <v>340.09999999999997</v>
      </c>
      <c r="B502">
        <v>5</v>
      </c>
      <c r="C502">
        <v>501</v>
      </c>
      <c r="D502" s="2">
        <v>0.86480515046296291</v>
      </c>
      <c r="E502" t="s">
        <v>2207</v>
      </c>
      <c r="F502" t="s">
        <v>2208</v>
      </c>
      <c r="G502" t="s">
        <v>1854</v>
      </c>
      <c r="H502" t="s">
        <v>1920</v>
      </c>
      <c r="I502" t="s">
        <v>807</v>
      </c>
      <c r="J502" t="s">
        <v>490</v>
      </c>
      <c r="K502" t="s">
        <v>43</v>
      </c>
      <c r="L502">
        <v>68.02</v>
      </c>
      <c r="M502" s="1">
        <v>45959</v>
      </c>
      <c r="N502" t="s">
        <v>34</v>
      </c>
      <c r="O502">
        <v>29</v>
      </c>
      <c r="P502">
        <v>10</v>
      </c>
      <c r="Q502">
        <v>4</v>
      </c>
      <c r="R502">
        <v>2025</v>
      </c>
    </row>
    <row r="503" spans="1:18">
      <c r="A503">
        <v>612.44999999999993</v>
      </c>
      <c r="B503">
        <v>5</v>
      </c>
      <c r="C503">
        <v>502</v>
      </c>
      <c r="D503" s="2">
        <v>0.96061535879629634</v>
      </c>
      <c r="E503" t="s">
        <v>3385</v>
      </c>
      <c r="F503" t="s">
        <v>3386</v>
      </c>
      <c r="G503" t="s">
        <v>2020</v>
      </c>
      <c r="H503" t="s">
        <v>644</v>
      </c>
      <c r="I503" t="s">
        <v>748</v>
      </c>
      <c r="J503" t="s">
        <v>449</v>
      </c>
      <c r="K503" t="s">
        <v>82</v>
      </c>
      <c r="L503">
        <v>122.49</v>
      </c>
      <c r="M503" s="1">
        <v>45993</v>
      </c>
      <c r="N503" t="s">
        <v>48</v>
      </c>
      <c r="O503">
        <v>2</v>
      </c>
      <c r="P503">
        <v>12</v>
      </c>
      <c r="Q503">
        <v>4</v>
      </c>
      <c r="R503">
        <v>2025</v>
      </c>
    </row>
    <row r="504" spans="1:18">
      <c r="A504">
        <v>319.68</v>
      </c>
      <c r="B504">
        <v>4</v>
      </c>
      <c r="C504">
        <v>503</v>
      </c>
      <c r="D504" s="2">
        <v>0.67186481481481486</v>
      </c>
      <c r="E504" t="s">
        <v>2660</v>
      </c>
      <c r="F504" t="s">
        <v>2661</v>
      </c>
      <c r="G504" t="s">
        <v>1616</v>
      </c>
      <c r="H504" t="s">
        <v>1920</v>
      </c>
      <c r="I504" t="s">
        <v>807</v>
      </c>
      <c r="J504" t="s">
        <v>209</v>
      </c>
      <c r="K504" t="s">
        <v>25</v>
      </c>
      <c r="L504">
        <v>79.92</v>
      </c>
      <c r="M504" s="1">
        <v>45985</v>
      </c>
      <c r="N504" t="s">
        <v>93</v>
      </c>
      <c r="O504">
        <v>24</v>
      </c>
      <c r="P504">
        <v>11</v>
      </c>
      <c r="Q504">
        <v>4</v>
      </c>
      <c r="R504">
        <v>2025</v>
      </c>
    </row>
    <row r="505" spans="1:18">
      <c r="A505">
        <v>612.75</v>
      </c>
      <c r="B505">
        <v>3</v>
      </c>
      <c r="C505">
        <v>504</v>
      </c>
      <c r="D505" s="2">
        <v>0.80470042824074073</v>
      </c>
      <c r="E505" t="s">
        <v>2178</v>
      </c>
      <c r="F505" t="s">
        <v>2179</v>
      </c>
      <c r="G505" t="s">
        <v>2060</v>
      </c>
      <c r="H505" t="s">
        <v>1566</v>
      </c>
      <c r="I505" t="s">
        <v>763</v>
      </c>
      <c r="J505" t="s">
        <v>341</v>
      </c>
      <c r="K505" t="s">
        <v>21</v>
      </c>
      <c r="L505">
        <v>204.25</v>
      </c>
      <c r="M505" s="1">
        <v>46034</v>
      </c>
      <c r="N505" t="s">
        <v>93</v>
      </c>
      <c r="O505">
        <v>12</v>
      </c>
      <c r="P505">
        <v>1</v>
      </c>
      <c r="Q505">
        <v>1</v>
      </c>
      <c r="R505">
        <v>2026</v>
      </c>
    </row>
    <row r="506" spans="1:18">
      <c r="A506">
        <v>205.27</v>
      </c>
      <c r="B506">
        <v>1</v>
      </c>
      <c r="C506">
        <v>505</v>
      </c>
      <c r="D506" s="2">
        <v>0.67542456018518515</v>
      </c>
      <c r="E506" t="s">
        <v>2846</v>
      </c>
      <c r="F506" t="s">
        <v>2847</v>
      </c>
      <c r="G506" t="s">
        <v>2848</v>
      </c>
      <c r="H506" t="s">
        <v>985</v>
      </c>
      <c r="I506" t="s">
        <v>817</v>
      </c>
      <c r="J506" t="s">
        <v>404</v>
      </c>
      <c r="K506" t="s">
        <v>37</v>
      </c>
      <c r="L506">
        <v>205.27</v>
      </c>
      <c r="M506" s="1">
        <v>46030</v>
      </c>
      <c r="N506" t="s">
        <v>105</v>
      </c>
      <c r="O506">
        <v>8</v>
      </c>
      <c r="P506">
        <v>1</v>
      </c>
      <c r="Q506">
        <v>1</v>
      </c>
      <c r="R506">
        <v>2026</v>
      </c>
    </row>
    <row r="507" spans="1:18">
      <c r="A507">
        <v>548.72</v>
      </c>
      <c r="B507">
        <v>4</v>
      </c>
      <c r="C507">
        <v>506</v>
      </c>
      <c r="D507" s="2">
        <v>5.338767361111111E-2</v>
      </c>
      <c r="E507" t="s">
        <v>3306</v>
      </c>
      <c r="F507" t="s">
        <v>3307</v>
      </c>
      <c r="G507" t="s">
        <v>1493</v>
      </c>
      <c r="H507" t="s">
        <v>961</v>
      </c>
      <c r="I507" t="s">
        <v>807</v>
      </c>
      <c r="J507" t="s">
        <v>219</v>
      </c>
      <c r="K507" t="s">
        <v>39</v>
      </c>
      <c r="L507">
        <v>137.18</v>
      </c>
      <c r="M507" s="1">
        <v>45843</v>
      </c>
      <c r="N507" t="s">
        <v>14</v>
      </c>
      <c r="O507">
        <v>5</v>
      </c>
      <c r="P507">
        <v>7</v>
      </c>
      <c r="Q507">
        <v>3</v>
      </c>
      <c r="R507">
        <v>2025</v>
      </c>
    </row>
    <row r="508" spans="1:18">
      <c r="A508">
        <v>651.48</v>
      </c>
      <c r="B508">
        <v>4</v>
      </c>
      <c r="C508">
        <v>507</v>
      </c>
      <c r="D508" s="2">
        <v>0.85737450231481482</v>
      </c>
      <c r="E508" t="s">
        <v>3082</v>
      </c>
      <c r="F508" t="s">
        <v>3083</v>
      </c>
      <c r="G508" t="s">
        <v>751</v>
      </c>
      <c r="H508" t="s">
        <v>2489</v>
      </c>
      <c r="I508" t="s">
        <v>1247</v>
      </c>
      <c r="J508" t="s">
        <v>236</v>
      </c>
      <c r="K508" t="s">
        <v>60</v>
      </c>
      <c r="L508">
        <v>162.87</v>
      </c>
      <c r="M508" s="1">
        <v>45804</v>
      </c>
      <c r="N508" t="s">
        <v>48</v>
      </c>
      <c r="O508">
        <v>27</v>
      </c>
      <c r="P508">
        <v>5</v>
      </c>
      <c r="Q508">
        <v>2</v>
      </c>
      <c r="R508">
        <v>2025</v>
      </c>
    </row>
    <row r="509" spans="1:18">
      <c r="A509">
        <v>105</v>
      </c>
      <c r="B509">
        <v>4</v>
      </c>
      <c r="C509">
        <v>508</v>
      </c>
      <c r="D509" s="2">
        <v>0.82366748842592596</v>
      </c>
      <c r="E509" t="s">
        <v>1322</v>
      </c>
      <c r="F509" t="s">
        <v>1323</v>
      </c>
      <c r="G509" t="s">
        <v>1324</v>
      </c>
      <c r="H509" t="s">
        <v>29</v>
      </c>
      <c r="I509" t="s">
        <v>821</v>
      </c>
      <c r="J509" t="s">
        <v>493</v>
      </c>
      <c r="K509" t="s">
        <v>46</v>
      </c>
      <c r="L509">
        <v>26.25</v>
      </c>
      <c r="M509" s="1">
        <v>46032</v>
      </c>
      <c r="N509" t="s">
        <v>14</v>
      </c>
      <c r="O509">
        <v>10</v>
      </c>
      <c r="P509">
        <v>1</v>
      </c>
      <c r="Q509">
        <v>1</v>
      </c>
      <c r="R509">
        <v>2026</v>
      </c>
    </row>
    <row r="510" spans="1:18">
      <c r="A510">
        <v>676.48</v>
      </c>
      <c r="B510">
        <v>4</v>
      </c>
      <c r="C510">
        <v>509</v>
      </c>
      <c r="D510" s="2">
        <v>0.5584601388888889</v>
      </c>
      <c r="E510" t="s">
        <v>3292</v>
      </c>
      <c r="F510" t="s">
        <v>3293</v>
      </c>
      <c r="G510" t="s">
        <v>1633</v>
      </c>
      <c r="H510" t="s">
        <v>513</v>
      </c>
      <c r="I510" t="s">
        <v>786</v>
      </c>
      <c r="J510" t="s">
        <v>368</v>
      </c>
      <c r="K510" t="s">
        <v>31</v>
      </c>
      <c r="L510">
        <v>169.12</v>
      </c>
      <c r="M510" s="1">
        <v>46113</v>
      </c>
      <c r="N510" t="s">
        <v>34</v>
      </c>
      <c r="O510">
        <v>1</v>
      </c>
      <c r="P510">
        <v>4</v>
      </c>
      <c r="Q510">
        <v>2</v>
      </c>
      <c r="R510">
        <v>2026</v>
      </c>
    </row>
    <row r="511" spans="1:18">
      <c r="A511">
        <v>296.10000000000002</v>
      </c>
      <c r="B511">
        <v>5</v>
      </c>
      <c r="C511">
        <v>510</v>
      </c>
      <c r="D511" s="2">
        <v>0.74220048611111111</v>
      </c>
      <c r="E511" t="s">
        <v>1737</v>
      </c>
      <c r="F511" t="s">
        <v>1738</v>
      </c>
      <c r="G511" t="s">
        <v>1739</v>
      </c>
      <c r="H511" t="s">
        <v>1740</v>
      </c>
      <c r="I511" t="s">
        <v>954</v>
      </c>
      <c r="J511" t="s">
        <v>516</v>
      </c>
      <c r="K511" t="s">
        <v>31</v>
      </c>
      <c r="L511">
        <v>59.22</v>
      </c>
      <c r="M511" s="1">
        <v>46042</v>
      </c>
      <c r="N511" t="s">
        <v>48</v>
      </c>
      <c r="O511">
        <v>20</v>
      </c>
      <c r="P511">
        <v>1</v>
      </c>
      <c r="Q511">
        <v>1</v>
      </c>
      <c r="R511">
        <v>2026</v>
      </c>
    </row>
    <row r="512" spans="1:18">
      <c r="A512">
        <v>914.64</v>
      </c>
      <c r="B512">
        <v>4</v>
      </c>
      <c r="C512">
        <v>511</v>
      </c>
      <c r="D512" s="2">
        <v>0.32309092592592592</v>
      </c>
      <c r="E512" t="s">
        <v>3150</v>
      </c>
      <c r="F512" t="s">
        <v>3151</v>
      </c>
      <c r="G512" t="s">
        <v>1231</v>
      </c>
      <c r="H512" t="s">
        <v>562</v>
      </c>
      <c r="I512" t="s">
        <v>753</v>
      </c>
      <c r="J512" t="s">
        <v>480</v>
      </c>
      <c r="K512" t="s">
        <v>57</v>
      </c>
      <c r="L512">
        <v>228.66</v>
      </c>
      <c r="M512" s="1">
        <v>45580</v>
      </c>
      <c r="N512" t="s">
        <v>48</v>
      </c>
      <c r="O512">
        <v>15</v>
      </c>
      <c r="P512">
        <v>10</v>
      </c>
      <c r="Q512">
        <v>4</v>
      </c>
      <c r="R512">
        <v>2024</v>
      </c>
    </row>
    <row r="513" spans="1:18">
      <c r="A513">
        <v>147.75</v>
      </c>
      <c r="B513">
        <v>3</v>
      </c>
      <c r="C513">
        <v>512</v>
      </c>
      <c r="D513" s="2">
        <v>0.50950291666666669</v>
      </c>
      <c r="E513" t="s">
        <v>1144</v>
      </c>
      <c r="F513" t="s">
        <v>1145</v>
      </c>
      <c r="G513" t="s">
        <v>1146</v>
      </c>
      <c r="H513" t="s">
        <v>1128</v>
      </c>
      <c r="I513" t="s">
        <v>954</v>
      </c>
      <c r="J513" t="s">
        <v>518</v>
      </c>
      <c r="K513" t="s">
        <v>17</v>
      </c>
      <c r="L513">
        <v>49.25</v>
      </c>
      <c r="M513" s="1">
        <v>46070</v>
      </c>
      <c r="N513" t="s">
        <v>48</v>
      </c>
      <c r="O513">
        <v>17</v>
      </c>
      <c r="P513">
        <v>2</v>
      </c>
      <c r="Q513">
        <v>1</v>
      </c>
      <c r="R513">
        <v>2026</v>
      </c>
    </row>
    <row r="514" spans="1:18">
      <c r="A514">
        <v>467.12</v>
      </c>
      <c r="B514">
        <v>2</v>
      </c>
      <c r="C514">
        <v>513</v>
      </c>
      <c r="D514" s="2">
        <v>0.53705240740740745</v>
      </c>
      <c r="E514" t="s">
        <v>897</v>
      </c>
      <c r="F514" t="s">
        <v>898</v>
      </c>
      <c r="G514" t="s">
        <v>899</v>
      </c>
      <c r="H514" t="s">
        <v>280</v>
      </c>
      <c r="I514" t="s">
        <v>812</v>
      </c>
      <c r="J514" t="s">
        <v>247</v>
      </c>
      <c r="K514" t="s">
        <v>55</v>
      </c>
      <c r="L514">
        <v>233.56</v>
      </c>
      <c r="M514" s="1">
        <v>45582</v>
      </c>
      <c r="N514" t="s">
        <v>105</v>
      </c>
      <c r="O514">
        <v>17</v>
      </c>
      <c r="P514">
        <v>10</v>
      </c>
      <c r="Q514">
        <v>4</v>
      </c>
      <c r="R514">
        <v>2024</v>
      </c>
    </row>
    <row r="515" spans="1:18">
      <c r="A515">
        <v>519.88</v>
      </c>
      <c r="B515">
        <v>4</v>
      </c>
      <c r="C515">
        <v>514</v>
      </c>
      <c r="D515" s="2">
        <v>0.72809233796296291</v>
      </c>
      <c r="E515" t="s">
        <v>1683</v>
      </c>
      <c r="F515" t="s">
        <v>1684</v>
      </c>
      <c r="G515" t="s">
        <v>1685</v>
      </c>
      <c r="H515" t="s">
        <v>1067</v>
      </c>
      <c r="I515" t="s">
        <v>854</v>
      </c>
      <c r="J515" t="s">
        <v>263</v>
      </c>
      <c r="K515" t="s">
        <v>60</v>
      </c>
      <c r="L515">
        <v>129.97</v>
      </c>
      <c r="M515" s="1">
        <v>46145</v>
      </c>
      <c r="N515" t="s">
        <v>28</v>
      </c>
      <c r="O515">
        <v>3</v>
      </c>
      <c r="P515">
        <v>5</v>
      </c>
      <c r="Q515">
        <v>2</v>
      </c>
      <c r="R515">
        <v>2026</v>
      </c>
    </row>
    <row r="516" spans="1:18">
      <c r="A516">
        <v>690.68</v>
      </c>
      <c r="B516">
        <v>4</v>
      </c>
      <c r="C516">
        <v>515</v>
      </c>
      <c r="D516" s="2">
        <v>0.45708879629629628</v>
      </c>
      <c r="E516" t="s">
        <v>1916</v>
      </c>
      <c r="F516" t="s">
        <v>1917</v>
      </c>
      <c r="G516" t="s">
        <v>1195</v>
      </c>
      <c r="H516" t="s">
        <v>1384</v>
      </c>
      <c r="I516" t="s">
        <v>908</v>
      </c>
      <c r="J516" t="s">
        <v>551</v>
      </c>
      <c r="K516" t="s">
        <v>122</v>
      </c>
      <c r="L516">
        <v>172.67</v>
      </c>
      <c r="M516" s="1">
        <v>46097</v>
      </c>
      <c r="N516" t="s">
        <v>93</v>
      </c>
      <c r="O516">
        <v>16</v>
      </c>
      <c r="P516">
        <v>3</v>
      </c>
      <c r="Q516">
        <v>1</v>
      </c>
      <c r="R516">
        <v>2026</v>
      </c>
    </row>
    <row r="517" spans="1:18">
      <c r="A517">
        <v>143.46</v>
      </c>
      <c r="B517">
        <v>1</v>
      </c>
      <c r="C517">
        <v>516</v>
      </c>
      <c r="D517" s="2">
        <v>0.57016435185185188</v>
      </c>
      <c r="E517" t="s">
        <v>2444</v>
      </c>
      <c r="F517" t="s">
        <v>2445</v>
      </c>
      <c r="G517" t="s">
        <v>1629</v>
      </c>
      <c r="H517" t="s">
        <v>838</v>
      </c>
      <c r="I517" t="s">
        <v>839</v>
      </c>
      <c r="J517" t="s">
        <v>299</v>
      </c>
      <c r="K517" t="s">
        <v>57</v>
      </c>
      <c r="L517">
        <v>143.46</v>
      </c>
      <c r="M517" s="1">
        <v>45550</v>
      </c>
      <c r="N517" t="s">
        <v>28</v>
      </c>
      <c r="O517">
        <v>15</v>
      </c>
      <c r="P517">
        <v>9</v>
      </c>
      <c r="Q517">
        <v>3</v>
      </c>
      <c r="R517">
        <v>2024</v>
      </c>
    </row>
    <row r="518" spans="1:18">
      <c r="A518">
        <v>97.710000000000008</v>
      </c>
      <c r="B518">
        <v>3</v>
      </c>
      <c r="C518">
        <v>517</v>
      </c>
      <c r="D518" s="2">
        <v>0.66072451388888886</v>
      </c>
      <c r="E518" t="s">
        <v>3471</v>
      </c>
      <c r="F518" t="s">
        <v>3472</v>
      </c>
      <c r="G518" t="s">
        <v>872</v>
      </c>
      <c r="H518" t="s">
        <v>49</v>
      </c>
      <c r="I518" t="s">
        <v>892</v>
      </c>
      <c r="J518" t="s">
        <v>258</v>
      </c>
      <c r="K518" t="s">
        <v>57</v>
      </c>
      <c r="L518">
        <v>32.57</v>
      </c>
      <c r="M518" s="1">
        <v>45586</v>
      </c>
      <c r="N518" t="s">
        <v>93</v>
      </c>
      <c r="O518">
        <v>21</v>
      </c>
      <c r="P518">
        <v>10</v>
      </c>
      <c r="Q518">
        <v>4</v>
      </c>
      <c r="R518">
        <v>2024</v>
      </c>
    </row>
    <row r="519" spans="1:18">
      <c r="A519">
        <v>481.16</v>
      </c>
      <c r="B519">
        <v>4</v>
      </c>
      <c r="C519">
        <v>518</v>
      </c>
      <c r="D519" s="2">
        <v>0.48038913194444444</v>
      </c>
      <c r="E519" t="s">
        <v>2483</v>
      </c>
      <c r="F519" t="s">
        <v>2484</v>
      </c>
      <c r="G519" t="s">
        <v>1155</v>
      </c>
      <c r="H519" t="s">
        <v>106</v>
      </c>
      <c r="I519" t="s">
        <v>790</v>
      </c>
      <c r="J519" t="s">
        <v>290</v>
      </c>
      <c r="K519" t="s">
        <v>17</v>
      </c>
      <c r="L519">
        <v>120.29</v>
      </c>
      <c r="M519" s="1">
        <v>45725</v>
      </c>
      <c r="N519" t="s">
        <v>28</v>
      </c>
      <c r="O519">
        <v>9</v>
      </c>
      <c r="P519">
        <v>3</v>
      </c>
      <c r="Q519">
        <v>1</v>
      </c>
      <c r="R519">
        <v>2025</v>
      </c>
    </row>
    <row r="520" spans="1:18">
      <c r="A520">
        <v>1174.8999999999999</v>
      </c>
      <c r="B520">
        <v>5</v>
      </c>
      <c r="C520">
        <v>519</v>
      </c>
      <c r="D520" s="2">
        <v>0.30570653935185182</v>
      </c>
      <c r="E520" t="s">
        <v>2708</v>
      </c>
      <c r="F520" t="s">
        <v>2709</v>
      </c>
      <c r="G520" t="s">
        <v>2710</v>
      </c>
      <c r="H520" t="s">
        <v>1039</v>
      </c>
      <c r="I520" t="s">
        <v>758</v>
      </c>
      <c r="J520" t="s">
        <v>333</v>
      </c>
      <c r="K520" t="s">
        <v>37</v>
      </c>
      <c r="L520">
        <v>234.98</v>
      </c>
      <c r="M520" s="1">
        <v>45688</v>
      </c>
      <c r="N520" t="s">
        <v>79</v>
      </c>
      <c r="O520">
        <v>31</v>
      </c>
      <c r="P520">
        <v>1</v>
      </c>
      <c r="Q520">
        <v>1</v>
      </c>
      <c r="R520">
        <v>2025</v>
      </c>
    </row>
    <row r="521" spans="1:18">
      <c r="A521">
        <v>447.44</v>
      </c>
      <c r="B521">
        <v>4</v>
      </c>
      <c r="C521">
        <v>520</v>
      </c>
      <c r="D521" s="2">
        <v>0.7337385300925926</v>
      </c>
      <c r="E521" t="s">
        <v>2127</v>
      </c>
      <c r="F521" t="s">
        <v>2128</v>
      </c>
      <c r="G521" t="s">
        <v>1050</v>
      </c>
      <c r="H521" t="s">
        <v>1371</v>
      </c>
      <c r="I521" t="s">
        <v>786</v>
      </c>
      <c r="J521" t="s">
        <v>432</v>
      </c>
      <c r="K521" t="s">
        <v>46</v>
      </c>
      <c r="L521">
        <v>111.86</v>
      </c>
      <c r="M521" s="1">
        <v>45877</v>
      </c>
      <c r="N521" t="s">
        <v>79</v>
      </c>
      <c r="O521">
        <v>8</v>
      </c>
      <c r="P521">
        <v>8</v>
      </c>
      <c r="Q521">
        <v>3</v>
      </c>
      <c r="R521">
        <v>2025</v>
      </c>
    </row>
    <row r="522" spans="1:18">
      <c r="A522">
        <v>39.049999999999997</v>
      </c>
      <c r="B522">
        <v>5</v>
      </c>
      <c r="C522">
        <v>521</v>
      </c>
      <c r="D522" s="2">
        <v>0.11724766203703704</v>
      </c>
      <c r="E522" t="s">
        <v>2155</v>
      </c>
      <c r="F522" t="s">
        <v>2156</v>
      </c>
      <c r="G522" t="s">
        <v>1865</v>
      </c>
      <c r="H522" t="s">
        <v>1607</v>
      </c>
      <c r="I522" t="s">
        <v>839</v>
      </c>
      <c r="J522" t="s">
        <v>532</v>
      </c>
      <c r="K522" t="s">
        <v>55</v>
      </c>
      <c r="L522">
        <v>7.81</v>
      </c>
      <c r="M522" s="1">
        <v>46175</v>
      </c>
      <c r="N522" t="s">
        <v>48</v>
      </c>
      <c r="O522">
        <v>2</v>
      </c>
      <c r="P522">
        <v>6</v>
      </c>
      <c r="Q522">
        <v>2</v>
      </c>
      <c r="R522">
        <v>2026</v>
      </c>
    </row>
    <row r="523" spans="1:18">
      <c r="A523">
        <v>6.85</v>
      </c>
      <c r="B523">
        <v>1</v>
      </c>
      <c r="C523">
        <v>522</v>
      </c>
      <c r="D523" s="2">
        <v>0.55175333333333332</v>
      </c>
      <c r="E523" t="s">
        <v>859</v>
      </c>
      <c r="F523" t="s">
        <v>860</v>
      </c>
      <c r="G523" t="s">
        <v>861</v>
      </c>
      <c r="H523" t="s">
        <v>862</v>
      </c>
      <c r="I523" t="s">
        <v>758</v>
      </c>
      <c r="J523" t="s">
        <v>673</v>
      </c>
      <c r="K523" t="s">
        <v>100</v>
      </c>
      <c r="L523">
        <v>6.85</v>
      </c>
      <c r="M523" s="1">
        <v>45783</v>
      </c>
      <c r="N523" t="s">
        <v>48</v>
      </c>
      <c r="O523">
        <v>6</v>
      </c>
      <c r="P523">
        <v>5</v>
      </c>
      <c r="Q523">
        <v>2</v>
      </c>
      <c r="R523">
        <v>2025</v>
      </c>
    </row>
    <row r="524" spans="1:18">
      <c r="A524">
        <v>140.91999999999999</v>
      </c>
      <c r="B524">
        <v>4</v>
      </c>
      <c r="C524">
        <v>523</v>
      </c>
      <c r="D524" s="2">
        <v>0.60039894675925931</v>
      </c>
      <c r="E524" t="s">
        <v>1366</v>
      </c>
      <c r="F524" t="s">
        <v>1367</v>
      </c>
      <c r="G524" t="s">
        <v>1020</v>
      </c>
      <c r="H524" t="s">
        <v>136</v>
      </c>
      <c r="I524" t="s">
        <v>954</v>
      </c>
      <c r="J524" t="s">
        <v>261</v>
      </c>
      <c r="K524" t="s">
        <v>31</v>
      </c>
      <c r="L524">
        <v>35.229999999999997</v>
      </c>
      <c r="M524" s="1">
        <v>46106</v>
      </c>
      <c r="N524" t="s">
        <v>34</v>
      </c>
      <c r="O524">
        <v>25</v>
      </c>
      <c r="P524">
        <v>3</v>
      </c>
      <c r="Q524">
        <v>1</v>
      </c>
      <c r="R524">
        <v>2026</v>
      </c>
    </row>
    <row r="525" spans="1:18">
      <c r="A525">
        <v>100.56</v>
      </c>
      <c r="B525">
        <v>2</v>
      </c>
      <c r="C525">
        <v>524</v>
      </c>
      <c r="D525" s="2">
        <v>0.49192155092592593</v>
      </c>
      <c r="E525" t="s">
        <v>2776</v>
      </c>
      <c r="F525" t="s">
        <v>2777</v>
      </c>
      <c r="G525" t="s">
        <v>1409</v>
      </c>
      <c r="H525" t="s">
        <v>858</v>
      </c>
      <c r="I525" t="s">
        <v>753</v>
      </c>
      <c r="J525" t="s">
        <v>519</v>
      </c>
      <c r="K525" t="s">
        <v>51</v>
      </c>
      <c r="L525">
        <v>50.28</v>
      </c>
      <c r="M525" s="1">
        <v>46276</v>
      </c>
      <c r="N525" t="s">
        <v>79</v>
      </c>
      <c r="O525">
        <v>11</v>
      </c>
      <c r="P525">
        <v>9</v>
      </c>
      <c r="Q525">
        <v>3</v>
      </c>
      <c r="R525">
        <v>2026</v>
      </c>
    </row>
    <row r="526" spans="1:18">
      <c r="A526">
        <v>159.46</v>
      </c>
      <c r="B526">
        <v>2</v>
      </c>
      <c r="C526">
        <v>525</v>
      </c>
      <c r="D526" s="2">
        <v>0.31141693287037037</v>
      </c>
      <c r="E526" t="s">
        <v>3061</v>
      </c>
      <c r="F526" t="s">
        <v>3062</v>
      </c>
      <c r="G526" t="s">
        <v>2629</v>
      </c>
      <c r="H526" t="s">
        <v>1168</v>
      </c>
      <c r="I526" t="s">
        <v>758</v>
      </c>
      <c r="J526" t="s">
        <v>621</v>
      </c>
      <c r="K526" t="s">
        <v>19</v>
      </c>
      <c r="L526">
        <v>79.73</v>
      </c>
      <c r="M526" s="1">
        <v>45946</v>
      </c>
      <c r="N526" t="s">
        <v>105</v>
      </c>
      <c r="O526">
        <v>16</v>
      </c>
      <c r="P526">
        <v>10</v>
      </c>
      <c r="Q526">
        <v>4</v>
      </c>
      <c r="R526">
        <v>2025</v>
      </c>
    </row>
    <row r="527" spans="1:18">
      <c r="A527">
        <v>346.64</v>
      </c>
      <c r="B527">
        <v>2</v>
      </c>
      <c r="C527">
        <v>526</v>
      </c>
      <c r="D527" s="2">
        <v>0.71495712962962965</v>
      </c>
      <c r="E527" t="s">
        <v>1055</v>
      </c>
      <c r="F527" t="s">
        <v>1056</v>
      </c>
      <c r="G527" t="s">
        <v>1057</v>
      </c>
      <c r="H527" t="s">
        <v>380</v>
      </c>
      <c r="I527" t="s">
        <v>776</v>
      </c>
      <c r="J527" t="s">
        <v>303</v>
      </c>
      <c r="K527" t="s">
        <v>19</v>
      </c>
      <c r="L527">
        <v>173.32</v>
      </c>
      <c r="M527" s="1">
        <v>45777</v>
      </c>
      <c r="N527" t="s">
        <v>34</v>
      </c>
      <c r="O527">
        <v>30</v>
      </c>
      <c r="P527">
        <v>4</v>
      </c>
      <c r="Q527">
        <v>2</v>
      </c>
      <c r="R527">
        <v>2025</v>
      </c>
    </row>
    <row r="528" spans="1:18">
      <c r="A528">
        <v>396.25</v>
      </c>
      <c r="B528">
        <v>5</v>
      </c>
      <c r="C528">
        <v>527</v>
      </c>
      <c r="D528" s="2">
        <v>0.64155233796296296</v>
      </c>
      <c r="E528" t="s">
        <v>847</v>
      </c>
      <c r="F528" t="s">
        <v>848</v>
      </c>
      <c r="G528" t="s">
        <v>849</v>
      </c>
      <c r="H528" t="s">
        <v>387</v>
      </c>
      <c r="I528" t="s">
        <v>821</v>
      </c>
      <c r="J528" t="s">
        <v>253</v>
      </c>
      <c r="K528" t="s">
        <v>23</v>
      </c>
      <c r="L528">
        <v>79.25</v>
      </c>
      <c r="M528" s="1">
        <v>46244</v>
      </c>
      <c r="N528" t="s">
        <v>93</v>
      </c>
      <c r="O528">
        <v>10</v>
      </c>
      <c r="P528">
        <v>8</v>
      </c>
      <c r="Q528">
        <v>3</v>
      </c>
      <c r="R528">
        <v>2026</v>
      </c>
    </row>
    <row r="529" spans="1:18">
      <c r="A529">
        <v>1188.1500000000001</v>
      </c>
      <c r="B529">
        <v>5</v>
      </c>
      <c r="C529">
        <v>528</v>
      </c>
      <c r="D529" s="2">
        <v>0.67172315972222219</v>
      </c>
      <c r="E529" t="s">
        <v>2068</v>
      </c>
      <c r="F529" t="s">
        <v>2069</v>
      </c>
      <c r="G529" t="s">
        <v>1468</v>
      </c>
      <c r="H529" t="s">
        <v>762</v>
      </c>
      <c r="I529" t="s">
        <v>763</v>
      </c>
      <c r="J529" t="s">
        <v>202</v>
      </c>
      <c r="K529" t="s">
        <v>17</v>
      </c>
      <c r="L529">
        <v>237.63</v>
      </c>
      <c r="M529" s="1">
        <v>45779</v>
      </c>
      <c r="N529" t="s">
        <v>79</v>
      </c>
      <c r="O529">
        <v>2</v>
      </c>
      <c r="P529">
        <v>5</v>
      </c>
      <c r="Q529">
        <v>2</v>
      </c>
      <c r="R529">
        <v>2025</v>
      </c>
    </row>
    <row r="530" spans="1:18">
      <c r="A530">
        <v>90.42</v>
      </c>
      <c r="B530">
        <v>2</v>
      </c>
      <c r="C530">
        <v>529</v>
      </c>
      <c r="D530" s="2">
        <v>0.7161330208333333</v>
      </c>
      <c r="E530" t="s">
        <v>2572</v>
      </c>
      <c r="F530" t="s">
        <v>2573</v>
      </c>
      <c r="G530" t="s">
        <v>1688</v>
      </c>
      <c r="H530" t="s">
        <v>2574</v>
      </c>
      <c r="I530" t="s">
        <v>839</v>
      </c>
      <c r="J530" t="s">
        <v>542</v>
      </c>
      <c r="K530" t="s">
        <v>46</v>
      </c>
      <c r="L530">
        <v>45.21</v>
      </c>
      <c r="M530" s="1">
        <v>45820</v>
      </c>
      <c r="N530" t="s">
        <v>105</v>
      </c>
      <c r="O530">
        <v>12</v>
      </c>
      <c r="P530">
        <v>6</v>
      </c>
      <c r="Q530">
        <v>2</v>
      </c>
      <c r="R530">
        <v>2025</v>
      </c>
    </row>
    <row r="531" spans="1:18">
      <c r="A531">
        <v>1002.4</v>
      </c>
      <c r="B531">
        <v>5</v>
      </c>
      <c r="C531">
        <v>530</v>
      </c>
      <c r="D531" s="2">
        <v>0.38180906250000002</v>
      </c>
      <c r="E531" t="s">
        <v>3394</v>
      </c>
      <c r="F531" t="s">
        <v>3395</v>
      </c>
      <c r="G531" t="s">
        <v>2434</v>
      </c>
      <c r="H531" t="s">
        <v>199</v>
      </c>
      <c r="I531" t="s">
        <v>781</v>
      </c>
      <c r="J531" t="s">
        <v>2254</v>
      </c>
      <c r="K531" t="s">
        <v>43</v>
      </c>
      <c r="L531">
        <v>200.48</v>
      </c>
      <c r="M531" s="1">
        <v>45784</v>
      </c>
      <c r="N531" t="s">
        <v>34</v>
      </c>
      <c r="O531">
        <v>7</v>
      </c>
      <c r="P531">
        <v>5</v>
      </c>
      <c r="Q531">
        <v>2</v>
      </c>
      <c r="R531">
        <v>2025</v>
      </c>
    </row>
    <row r="532" spans="1:18">
      <c r="A532">
        <v>457.32</v>
      </c>
      <c r="B532">
        <v>2</v>
      </c>
      <c r="C532">
        <v>531</v>
      </c>
      <c r="D532" s="2">
        <v>0.75253584490740744</v>
      </c>
      <c r="E532" t="s">
        <v>2089</v>
      </c>
      <c r="F532" t="s">
        <v>2090</v>
      </c>
      <c r="G532" t="s">
        <v>2091</v>
      </c>
      <c r="H532" t="s">
        <v>1017</v>
      </c>
      <c r="I532" t="s">
        <v>966</v>
      </c>
      <c r="J532" t="s">
        <v>480</v>
      </c>
      <c r="K532" t="s">
        <v>57</v>
      </c>
      <c r="L532">
        <v>228.66</v>
      </c>
      <c r="M532" s="1">
        <v>46095</v>
      </c>
      <c r="N532" t="s">
        <v>14</v>
      </c>
      <c r="O532">
        <v>14</v>
      </c>
      <c r="P532">
        <v>3</v>
      </c>
      <c r="Q532">
        <v>1</v>
      </c>
      <c r="R532">
        <v>2026</v>
      </c>
    </row>
    <row r="533" spans="1:18">
      <c r="A533">
        <v>180.26</v>
      </c>
      <c r="B533">
        <v>2</v>
      </c>
      <c r="C533">
        <v>532</v>
      </c>
      <c r="D533" s="2">
        <v>0.27849406249999997</v>
      </c>
      <c r="E533" t="s">
        <v>3084</v>
      </c>
      <c r="F533" t="s">
        <v>3085</v>
      </c>
      <c r="G533" t="s">
        <v>3086</v>
      </c>
      <c r="H533" t="s">
        <v>562</v>
      </c>
      <c r="I533" t="s">
        <v>753</v>
      </c>
      <c r="J533" t="s">
        <v>304</v>
      </c>
      <c r="K533" t="s">
        <v>100</v>
      </c>
      <c r="L533">
        <v>90.13</v>
      </c>
      <c r="M533" s="1">
        <v>46157</v>
      </c>
      <c r="N533" t="s">
        <v>79</v>
      </c>
      <c r="O533">
        <v>15</v>
      </c>
      <c r="P533">
        <v>5</v>
      </c>
      <c r="Q533">
        <v>2</v>
      </c>
      <c r="R533">
        <v>2026</v>
      </c>
    </row>
    <row r="534" spans="1:18">
      <c r="A534">
        <v>4.1100000000000003</v>
      </c>
      <c r="B534">
        <v>3</v>
      </c>
      <c r="C534">
        <v>533</v>
      </c>
      <c r="D534" s="2">
        <v>0.77714149305555558</v>
      </c>
      <c r="E534" t="s">
        <v>1839</v>
      </c>
      <c r="F534" t="s">
        <v>1840</v>
      </c>
      <c r="G534" t="s">
        <v>902</v>
      </c>
      <c r="H534" t="s">
        <v>1841</v>
      </c>
      <c r="I534" t="s">
        <v>753</v>
      </c>
      <c r="J534" t="s">
        <v>85</v>
      </c>
      <c r="K534" t="s">
        <v>37</v>
      </c>
      <c r="L534">
        <v>1.37</v>
      </c>
      <c r="M534" s="1">
        <v>46243</v>
      </c>
      <c r="N534" t="s">
        <v>28</v>
      </c>
      <c r="O534">
        <v>9</v>
      </c>
      <c r="P534">
        <v>8</v>
      </c>
      <c r="Q534">
        <v>3</v>
      </c>
      <c r="R534">
        <v>2026</v>
      </c>
    </row>
    <row r="535" spans="1:18">
      <c r="A535">
        <v>372.2</v>
      </c>
      <c r="B535">
        <v>4</v>
      </c>
      <c r="C535">
        <v>534</v>
      </c>
      <c r="D535" s="2">
        <v>0.12829775462962964</v>
      </c>
      <c r="E535" t="s">
        <v>1141</v>
      </c>
      <c r="F535" t="s">
        <v>1142</v>
      </c>
      <c r="G535" t="s">
        <v>1143</v>
      </c>
      <c r="H535" t="s">
        <v>862</v>
      </c>
      <c r="I535" t="s">
        <v>908</v>
      </c>
      <c r="J535" t="s">
        <v>350</v>
      </c>
      <c r="K535" t="s">
        <v>60</v>
      </c>
      <c r="L535">
        <v>93.05</v>
      </c>
      <c r="M535" s="1">
        <v>45873</v>
      </c>
      <c r="N535" t="s">
        <v>93</v>
      </c>
      <c r="O535">
        <v>4</v>
      </c>
      <c r="P535">
        <v>8</v>
      </c>
      <c r="Q535">
        <v>3</v>
      </c>
      <c r="R535">
        <v>2025</v>
      </c>
    </row>
    <row r="536" spans="1:18">
      <c r="A536">
        <v>459.7</v>
      </c>
      <c r="B536">
        <v>2</v>
      </c>
      <c r="C536">
        <v>535</v>
      </c>
      <c r="D536" s="2">
        <v>0.73641197916666667</v>
      </c>
      <c r="E536" t="s">
        <v>2374</v>
      </c>
      <c r="F536" t="s">
        <v>2375</v>
      </c>
      <c r="G536" t="s">
        <v>2120</v>
      </c>
      <c r="H536" t="s">
        <v>1740</v>
      </c>
      <c r="I536" t="s">
        <v>954</v>
      </c>
      <c r="J536" t="s">
        <v>63</v>
      </c>
      <c r="K536" t="s">
        <v>25</v>
      </c>
      <c r="L536">
        <v>229.85</v>
      </c>
      <c r="M536" s="1">
        <v>45645</v>
      </c>
      <c r="N536" t="s">
        <v>105</v>
      </c>
      <c r="O536">
        <v>19</v>
      </c>
      <c r="P536">
        <v>12</v>
      </c>
      <c r="Q536">
        <v>4</v>
      </c>
      <c r="R536">
        <v>2024</v>
      </c>
    </row>
    <row r="537" spans="1:18">
      <c r="A537">
        <v>33.56</v>
      </c>
      <c r="B537">
        <v>1</v>
      </c>
      <c r="C537">
        <v>536</v>
      </c>
      <c r="D537" s="2">
        <v>0.95419923611111113</v>
      </c>
      <c r="E537" t="s">
        <v>2788</v>
      </c>
      <c r="F537" t="s">
        <v>2789</v>
      </c>
      <c r="G537" t="s">
        <v>1565</v>
      </c>
      <c r="H537" t="s">
        <v>136</v>
      </c>
      <c r="I537" t="s">
        <v>776</v>
      </c>
      <c r="J537" t="s">
        <v>609</v>
      </c>
      <c r="K537" t="s">
        <v>27</v>
      </c>
      <c r="L537">
        <v>33.56</v>
      </c>
      <c r="M537" s="1">
        <v>46263</v>
      </c>
      <c r="N537" t="s">
        <v>14</v>
      </c>
      <c r="O537">
        <v>29</v>
      </c>
      <c r="P537">
        <v>8</v>
      </c>
      <c r="Q537">
        <v>3</v>
      </c>
      <c r="R537">
        <v>2026</v>
      </c>
    </row>
    <row r="538" spans="1:18">
      <c r="A538">
        <v>176.04</v>
      </c>
      <c r="B538">
        <v>4</v>
      </c>
      <c r="C538">
        <v>537</v>
      </c>
      <c r="D538" s="2">
        <v>0.6389071643518518</v>
      </c>
      <c r="E538" t="s">
        <v>1699</v>
      </c>
      <c r="F538" t="s">
        <v>1700</v>
      </c>
      <c r="G538" t="s">
        <v>1701</v>
      </c>
      <c r="H538" t="s">
        <v>929</v>
      </c>
      <c r="I538" t="s">
        <v>1247</v>
      </c>
      <c r="J538" t="s">
        <v>689</v>
      </c>
      <c r="K538" t="s">
        <v>55</v>
      </c>
      <c r="L538">
        <v>44.01</v>
      </c>
      <c r="M538" s="1">
        <v>45838</v>
      </c>
      <c r="N538" t="s">
        <v>93</v>
      </c>
      <c r="O538">
        <v>30</v>
      </c>
      <c r="P538">
        <v>6</v>
      </c>
      <c r="Q538">
        <v>2</v>
      </c>
      <c r="R538">
        <v>2025</v>
      </c>
    </row>
    <row r="539" spans="1:18">
      <c r="A539">
        <v>674.08</v>
      </c>
      <c r="B539">
        <v>4</v>
      </c>
      <c r="C539">
        <v>538</v>
      </c>
      <c r="D539" s="2">
        <v>0.95680952546296294</v>
      </c>
      <c r="E539" t="s">
        <v>1319</v>
      </c>
      <c r="F539" t="s">
        <v>1320</v>
      </c>
      <c r="G539" t="s">
        <v>1321</v>
      </c>
      <c r="H539" t="s">
        <v>1061</v>
      </c>
      <c r="I539" t="s">
        <v>821</v>
      </c>
      <c r="J539" t="s">
        <v>311</v>
      </c>
      <c r="K539" t="s">
        <v>46</v>
      </c>
      <c r="L539">
        <v>168.52</v>
      </c>
      <c r="M539" s="1">
        <v>46082</v>
      </c>
      <c r="N539" t="s">
        <v>28</v>
      </c>
      <c r="O539">
        <v>1</v>
      </c>
      <c r="P539">
        <v>3</v>
      </c>
      <c r="Q539">
        <v>1</v>
      </c>
      <c r="R539">
        <v>2026</v>
      </c>
    </row>
    <row r="540" spans="1:18">
      <c r="A540">
        <v>652.91999999999996</v>
      </c>
      <c r="B540">
        <v>4</v>
      </c>
      <c r="C540">
        <v>539</v>
      </c>
      <c r="D540" s="2">
        <v>0.44918114583333335</v>
      </c>
      <c r="E540" t="s">
        <v>1601</v>
      </c>
      <c r="F540" t="s">
        <v>1602</v>
      </c>
      <c r="G540" t="s">
        <v>1603</v>
      </c>
      <c r="H540" t="s">
        <v>1339</v>
      </c>
      <c r="I540" t="s">
        <v>1247</v>
      </c>
      <c r="J540" t="s">
        <v>593</v>
      </c>
      <c r="K540" t="s">
        <v>97</v>
      </c>
      <c r="L540">
        <v>163.22999999999999</v>
      </c>
      <c r="M540" s="1">
        <v>45966</v>
      </c>
      <c r="N540" t="s">
        <v>34</v>
      </c>
      <c r="O540">
        <v>5</v>
      </c>
      <c r="P540">
        <v>11</v>
      </c>
      <c r="Q540">
        <v>4</v>
      </c>
      <c r="R540">
        <v>2025</v>
      </c>
    </row>
    <row r="541" spans="1:18">
      <c r="A541">
        <v>1171.55</v>
      </c>
      <c r="B541">
        <v>5</v>
      </c>
      <c r="C541">
        <v>540</v>
      </c>
      <c r="D541" s="2">
        <v>0.10857024305555556</v>
      </c>
      <c r="E541" t="s">
        <v>1104</v>
      </c>
      <c r="F541" t="s">
        <v>1105</v>
      </c>
      <c r="G541" t="s">
        <v>1106</v>
      </c>
      <c r="H541" t="s">
        <v>1107</v>
      </c>
      <c r="I541" t="s">
        <v>892</v>
      </c>
      <c r="J541" t="s">
        <v>150</v>
      </c>
      <c r="K541" t="s">
        <v>60</v>
      </c>
      <c r="L541">
        <v>234.31</v>
      </c>
      <c r="M541" s="1">
        <v>45993</v>
      </c>
      <c r="N541" t="s">
        <v>48</v>
      </c>
      <c r="O541">
        <v>2</v>
      </c>
      <c r="P541">
        <v>12</v>
      </c>
      <c r="Q541">
        <v>4</v>
      </c>
      <c r="R541">
        <v>2025</v>
      </c>
    </row>
    <row r="542" spans="1:18">
      <c r="A542">
        <v>165.57</v>
      </c>
      <c r="B542">
        <v>1</v>
      </c>
      <c r="C542">
        <v>541</v>
      </c>
      <c r="D542" s="2">
        <v>0.27205496527777778</v>
      </c>
      <c r="E542" t="s">
        <v>2518</v>
      </c>
      <c r="F542" t="s">
        <v>2519</v>
      </c>
      <c r="G542" t="s">
        <v>1973</v>
      </c>
      <c r="H542" t="s">
        <v>29</v>
      </c>
      <c r="I542" t="s">
        <v>821</v>
      </c>
      <c r="J542" t="s">
        <v>355</v>
      </c>
      <c r="K542" t="s">
        <v>39</v>
      </c>
      <c r="L542">
        <v>165.57</v>
      </c>
      <c r="M542" s="1">
        <v>46193</v>
      </c>
      <c r="N542" t="s">
        <v>14</v>
      </c>
      <c r="O542">
        <v>20</v>
      </c>
      <c r="P542">
        <v>6</v>
      </c>
      <c r="Q542">
        <v>2</v>
      </c>
      <c r="R542">
        <v>2026</v>
      </c>
    </row>
    <row r="543" spans="1:18">
      <c r="A543">
        <v>608.28</v>
      </c>
      <c r="B543">
        <v>4</v>
      </c>
      <c r="C543">
        <v>542</v>
      </c>
      <c r="D543" s="2">
        <v>0.47628844907407408</v>
      </c>
      <c r="E543" t="s">
        <v>1277</v>
      </c>
      <c r="F543" t="s">
        <v>1278</v>
      </c>
      <c r="G543" t="s">
        <v>1279</v>
      </c>
      <c r="H543" t="s">
        <v>1280</v>
      </c>
      <c r="I543" t="s">
        <v>908</v>
      </c>
      <c r="J543" t="s">
        <v>674</v>
      </c>
      <c r="K543" t="s">
        <v>122</v>
      </c>
      <c r="L543">
        <v>152.07</v>
      </c>
      <c r="M543" s="1">
        <v>45622</v>
      </c>
      <c r="N543" t="s">
        <v>48</v>
      </c>
      <c r="O543">
        <v>26</v>
      </c>
      <c r="P543">
        <v>11</v>
      </c>
      <c r="Q543">
        <v>4</v>
      </c>
      <c r="R543">
        <v>2024</v>
      </c>
    </row>
    <row r="544" spans="1:18">
      <c r="A544">
        <v>26.25</v>
      </c>
      <c r="B544">
        <v>1</v>
      </c>
      <c r="C544">
        <v>543</v>
      </c>
      <c r="D544" s="2">
        <v>0.84551590277777777</v>
      </c>
      <c r="E544" t="s">
        <v>1483</v>
      </c>
      <c r="F544" t="s">
        <v>1484</v>
      </c>
      <c r="G544" t="s">
        <v>1485</v>
      </c>
      <c r="H544" t="s">
        <v>802</v>
      </c>
      <c r="I544" t="s">
        <v>748</v>
      </c>
      <c r="J544" t="s">
        <v>493</v>
      </c>
      <c r="K544" t="s">
        <v>46</v>
      </c>
      <c r="L544">
        <v>26.25</v>
      </c>
      <c r="M544" s="1">
        <v>45860</v>
      </c>
      <c r="N544" t="s">
        <v>48</v>
      </c>
      <c r="O544">
        <v>22</v>
      </c>
      <c r="P544">
        <v>7</v>
      </c>
      <c r="Q544">
        <v>3</v>
      </c>
      <c r="R544">
        <v>2025</v>
      </c>
    </row>
    <row r="545" spans="1:18">
      <c r="A545">
        <v>237.72</v>
      </c>
      <c r="B545">
        <v>1</v>
      </c>
      <c r="C545">
        <v>544</v>
      </c>
      <c r="D545" s="2">
        <v>0.8622994444444444</v>
      </c>
      <c r="E545" t="s">
        <v>1974</v>
      </c>
      <c r="F545" t="s">
        <v>1975</v>
      </c>
      <c r="G545" t="s">
        <v>1976</v>
      </c>
      <c r="H545" t="s">
        <v>806</v>
      </c>
      <c r="I545" t="s">
        <v>807</v>
      </c>
      <c r="J545" t="s">
        <v>343</v>
      </c>
      <c r="K545" t="s">
        <v>46</v>
      </c>
      <c r="L545">
        <v>237.72</v>
      </c>
      <c r="M545" s="1">
        <v>46080</v>
      </c>
      <c r="N545" t="s">
        <v>79</v>
      </c>
      <c r="O545">
        <v>27</v>
      </c>
      <c r="P545">
        <v>2</v>
      </c>
      <c r="Q545">
        <v>1</v>
      </c>
      <c r="R545">
        <v>2026</v>
      </c>
    </row>
    <row r="546" spans="1:18">
      <c r="A546">
        <v>245.37</v>
      </c>
      <c r="B546">
        <v>3</v>
      </c>
      <c r="C546">
        <v>545</v>
      </c>
      <c r="D546" s="2">
        <v>0.73365584490740743</v>
      </c>
      <c r="E546" t="s">
        <v>3019</v>
      </c>
      <c r="F546" t="s">
        <v>3020</v>
      </c>
      <c r="G546" t="s">
        <v>1404</v>
      </c>
      <c r="H546" t="s">
        <v>1002</v>
      </c>
      <c r="I546" t="s">
        <v>892</v>
      </c>
      <c r="J546" t="s">
        <v>155</v>
      </c>
      <c r="K546" t="s">
        <v>19</v>
      </c>
      <c r="L546">
        <v>81.790000000000006</v>
      </c>
      <c r="M546" s="1">
        <v>46006</v>
      </c>
      <c r="N546" t="s">
        <v>93</v>
      </c>
      <c r="O546">
        <v>15</v>
      </c>
      <c r="P546">
        <v>12</v>
      </c>
      <c r="Q546">
        <v>4</v>
      </c>
      <c r="R546">
        <v>2025</v>
      </c>
    </row>
    <row r="547" spans="1:18">
      <c r="A547">
        <v>47.62</v>
      </c>
      <c r="B547">
        <v>1</v>
      </c>
      <c r="C547">
        <v>546</v>
      </c>
      <c r="D547" s="2">
        <v>0.13186631944444444</v>
      </c>
      <c r="E547" t="s">
        <v>2700</v>
      </c>
      <c r="F547" t="s">
        <v>2701</v>
      </c>
      <c r="G547" t="s">
        <v>1688</v>
      </c>
      <c r="H547" t="s">
        <v>635</v>
      </c>
      <c r="I547" t="s">
        <v>768</v>
      </c>
      <c r="J547" t="s">
        <v>508</v>
      </c>
      <c r="K547" t="s">
        <v>43</v>
      </c>
      <c r="L547">
        <v>47.62</v>
      </c>
      <c r="M547" s="1">
        <v>45903</v>
      </c>
      <c r="N547" t="s">
        <v>34</v>
      </c>
      <c r="O547">
        <v>3</v>
      </c>
      <c r="P547">
        <v>9</v>
      </c>
      <c r="Q547">
        <v>3</v>
      </c>
      <c r="R547">
        <v>2025</v>
      </c>
    </row>
    <row r="548" spans="1:18">
      <c r="A548">
        <v>223.72</v>
      </c>
      <c r="B548">
        <v>2</v>
      </c>
      <c r="C548">
        <v>547</v>
      </c>
      <c r="D548" s="2">
        <v>0.32768464120370372</v>
      </c>
      <c r="E548" t="s">
        <v>3278</v>
      </c>
      <c r="F548" t="s">
        <v>3279</v>
      </c>
      <c r="G548" t="s">
        <v>1725</v>
      </c>
      <c r="H548" t="s">
        <v>929</v>
      </c>
      <c r="I548" t="s">
        <v>786</v>
      </c>
      <c r="J548" t="s">
        <v>432</v>
      </c>
      <c r="K548" t="s">
        <v>46</v>
      </c>
      <c r="L548">
        <v>111.86</v>
      </c>
      <c r="M548" s="1">
        <v>45825</v>
      </c>
      <c r="N548" t="s">
        <v>48</v>
      </c>
      <c r="O548">
        <v>17</v>
      </c>
      <c r="P548">
        <v>6</v>
      </c>
      <c r="Q548">
        <v>2</v>
      </c>
      <c r="R548">
        <v>2025</v>
      </c>
    </row>
    <row r="549" spans="1:18">
      <c r="A549">
        <v>233.36</v>
      </c>
      <c r="B549">
        <v>4</v>
      </c>
      <c r="C549">
        <v>548</v>
      </c>
      <c r="D549" s="2">
        <v>0.6841783217592593</v>
      </c>
      <c r="E549" t="s">
        <v>2221</v>
      </c>
      <c r="F549" t="s">
        <v>2222</v>
      </c>
      <c r="G549" t="s">
        <v>798</v>
      </c>
      <c r="H549" t="s">
        <v>816</v>
      </c>
      <c r="I549" t="s">
        <v>817</v>
      </c>
      <c r="J549" t="s">
        <v>305</v>
      </c>
      <c r="K549" t="s">
        <v>55</v>
      </c>
      <c r="L549">
        <v>58.34</v>
      </c>
      <c r="M549" s="1">
        <v>46103</v>
      </c>
      <c r="N549" t="s">
        <v>28</v>
      </c>
      <c r="O549">
        <v>22</v>
      </c>
      <c r="P549">
        <v>3</v>
      </c>
      <c r="Q549">
        <v>1</v>
      </c>
      <c r="R549">
        <v>2026</v>
      </c>
    </row>
    <row r="550" spans="1:18">
      <c r="A550">
        <v>107.03</v>
      </c>
      <c r="B550">
        <v>1</v>
      </c>
      <c r="C550">
        <v>549</v>
      </c>
      <c r="D550" s="2">
        <v>0.42249631944444443</v>
      </c>
      <c r="E550" t="s">
        <v>2063</v>
      </c>
      <c r="F550" t="s">
        <v>2064</v>
      </c>
      <c r="G550" t="s">
        <v>2065</v>
      </c>
      <c r="H550" t="s">
        <v>1156</v>
      </c>
      <c r="I550" t="s">
        <v>821</v>
      </c>
      <c r="J550" t="s">
        <v>529</v>
      </c>
      <c r="K550" t="s">
        <v>37</v>
      </c>
      <c r="L550">
        <v>107.03</v>
      </c>
      <c r="M550" s="1">
        <v>46240</v>
      </c>
      <c r="N550" t="s">
        <v>105</v>
      </c>
      <c r="O550">
        <v>6</v>
      </c>
      <c r="P550">
        <v>8</v>
      </c>
      <c r="Q550">
        <v>3</v>
      </c>
      <c r="R550">
        <v>2026</v>
      </c>
    </row>
    <row r="551" spans="1:18">
      <c r="A551">
        <v>131.87</v>
      </c>
      <c r="B551">
        <v>1</v>
      </c>
      <c r="C551">
        <v>550</v>
      </c>
      <c r="D551" s="2">
        <v>0.48924835648148146</v>
      </c>
      <c r="E551" t="s">
        <v>2448</v>
      </c>
      <c r="F551" t="s">
        <v>2449</v>
      </c>
      <c r="G551" t="s">
        <v>1070</v>
      </c>
      <c r="H551" t="s">
        <v>961</v>
      </c>
      <c r="I551" t="s">
        <v>807</v>
      </c>
      <c r="J551" t="s">
        <v>165</v>
      </c>
      <c r="K551" t="s">
        <v>69</v>
      </c>
      <c r="L551">
        <v>131.87</v>
      </c>
      <c r="M551" s="1">
        <v>45747</v>
      </c>
      <c r="N551" t="s">
        <v>93</v>
      </c>
      <c r="O551">
        <v>31</v>
      </c>
      <c r="P551">
        <v>3</v>
      </c>
      <c r="Q551">
        <v>1</v>
      </c>
      <c r="R551">
        <v>2025</v>
      </c>
    </row>
    <row r="552" spans="1:18">
      <c r="A552">
        <v>234.7</v>
      </c>
      <c r="B552">
        <v>5</v>
      </c>
      <c r="C552">
        <v>551</v>
      </c>
      <c r="D552" s="2">
        <v>0.13741377314814815</v>
      </c>
      <c r="E552" t="s">
        <v>3074</v>
      </c>
      <c r="F552" t="s">
        <v>3075</v>
      </c>
      <c r="G552" t="s">
        <v>2272</v>
      </c>
      <c r="H552" t="s">
        <v>414</v>
      </c>
      <c r="I552" t="s">
        <v>795</v>
      </c>
      <c r="J552" t="s">
        <v>365</v>
      </c>
      <c r="K552" t="s">
        <v>51</v>
      </c>
      <c r="L552">
        <v>46.94</v>
      </c>
      <c r="M552" s="1">
        <v>45648</v>
      </c>
      <c r="N552" t="s">
        <v>28</v>
      </c>
      <c r="O552">
        <v>22</v>
      </c>
      <c r="P552">
        <v>12</v>
      </c>
      <c r="Q552">
        <v>4</v>
      </c>
      <c r="R552">
        <v>2024</v>
      </c>
    </row>
    <row r="553" spans="1:18">
      <c r="A553">
        <v>859.05</v>
      </c>
      <c r="B553">
        <v>5</v>
      </c>
      <c r="C553">
        <v>552</v>
      </c>
      <c r="D553" s="2">
        <v>0.92171192129629631</v>
      </c>
      <c r="E553" t="s">
        <v>1166</v>
      </c>
      <c r="F553" t="s">
        <v>1167</v>
      </c>
      <c r="G553" t="s">
        <v>1050</v>
      </c>
      <c r="H553" t="s">
        <v>1168</v>
      </c>
      <c r="I553" t="s">
        <v>758</v>
      </c>
      <c r="J553" t="s">
        <v>129</v>
      </c>
      <c r="K553" t="s">
        <v>25</v>
      </c>
      <c r="L553">
        <v>171.81</v>
      </c>
      <c r="M553" s="1">
        <v>46005</v>
      </c>
      <c r="N553" t="s">
        <v>28</v>
      </c>
      <c r="O553">
        <v>14</v>
      </c>
      <c r="P553">
        <v>12</v>
      </c>
      <c r="Q553">
        <v>4</v>
      </c>
      <c r="R553">
        <v>2025</v>
      </c>
    </row>
    <row r="554" spans="1:18">
      <c r="A554">
        <v>808.92</v>
      </c>
      <c r="B554">
        <v>4</v>
      </c>
      <c r="C554">
        <v>553</v>
      </c>
      <c r="D554" s="2">
        <v>8.9822569444444444E-2</v>
      </c>
      <c r="E554" t="s">
        <v>2499</v>
      </c>
      <c r="F554" t="s">
        <v>2500</v>
      </c>
      <c r="G554" t="s">
        <v>2341</v>
      </c>
      <c r="H554" t="s">
        <v>1257</v>
      </c>
      <c r="I554" t="s">
        <v>839</v>
      </c>
      <c r="J554" t="s">
        <v>321</v>
      </c>
      <c r="K554" t="s">
        <v>17</v>
      </c>
      <c r="L554">
        <v>202.23</v>
      </c>
      <c r="M554" s="1">
        <v>46278</v>
      </c>
      <c r="N554" t="s">
        <v>28</v>
      </c>
      <c r="O554">
        <v>13</v>
      </c>
      <c r="P554">
        <v>9</v>
      </c>
      <c r="Q554">
        <v>3</v>
      </c>
      <c r="R554">
        <v>2026</v>
      </c>
    </row>
    <row r="555" spans="1:18">
      <c r="A555">
        <v>38.380000000000003</v>
      </c>
      <c r="B555">
        <v>2</v>
      </c>
      <c r="C555">
        <v>554</v>
      </c>
      <c r="D555" s="2">
        <v>0.26699599537037039</v>
      </c>
      <c r="E555" t="s">
        <v>3036</v>
      </c>
      <c r="F555" t="s">
        <v>3037</v>
      </c>
      <c r="G555" t="s">
        <v>1110</v>
      </c>
      <c r="H555" t="s">
        <v>1061</v>
      </c>
      <c r="I555" t="s">
        <v>834</v>
      </c>
      <c r="J555" t="s">
        <v>71</v>
      </c>
      <c r="K555" t="s">
        <v>23</v>
      </c>
      <c r="L555">
        <v>19.190000000000001</v>
      </c>
      <c r="M555" s="1">
        <v>46145</v>
      </c>
      <c r="N555" t="s">
        <v>28</v>
      </c>
      <c r="O555">
        <v>3</v>
      </c>
      <c r="P555">
        <v>5</v>
      </c>
      <c r="Q555">
        <v>2</v>
      </c>
      <c r="R555">
        <v>2026</v>
      </c>
    </row>
    <row r="556" spans="1:18">
      <c r="A556">
        <v>471.78</v>
      </c>
      <c r="B556">
        <v>3</v>
      </c>
      <c r="C556">
        <v>555</v>
      </c>
      <c r="D556" s="2">
        <v>0.67460773148148145</v>
      </c>
      <c r="E556" t="s">
        <v>2155</v>
      </c>
      <c r="F556" t="s">
        <v>2156</v>
      </c>
      <c r="G556" t="s">
        <v>1865</v>
      </c>
      <c r="H556" t="s">
        <v>1607</v>
      </c>
      <c r="I556" t="s">
        <v>839</v>
      </c>
      <c r="J556" t="s">
        <v>68</v>
      </c>
      <c r="K556" t="s">
        <v>69</v>
      </c>
      <c r="L556">
        <v>157.26</v>
      </c>
      <c r="M556" s="1">
        <v>46260</v>
      </c>
      <c r="N556" t="s">
        <v>34</v>
      </c>
      <c r="O556">
        <v>26</v>
      </c>
      <c r="P556">
        <v>8</v>
      </c>
      <c r="Q556">
        <v>3</v>
      </c>
      <c r="R556">
        <v>2026</v>
      </c>
    </row>
    <row r="557" spans="1:18">
      <c r="A557">
        <v>1050.95</v>
      </c>
      <c r="B557">
        <v>5</v>
      </c>
      <c r="C557">
        <v>556</v>
      </c>
      <c r="D557" s="2">
        <v>0.370428125</v>
      </c>
      <c r="E557" t="s">
        <v>2049</v>
      </c>
      <c r="F557" t="s">
        <v>2050</v>
      </c>
      <c r="G557" t="s">
        <v>2013</v>
      </c>
      <c r="H557" t="s">
        <v>1600</v>
      </c>
      <c r="I557" t="s">
        <v>768</v>
      </c>
      <c r="J557" t="s">
        <v>157</v>
      </c>
      <c r="K557" t="s">
        <v>19</v>
      </c>
      <c r="L557">
        <v>210.19</v>
      </c>
      <c r="M557" s="1">
        <v>45555</v>
      </c>
      <c r="N557" t="s">
        <v>79</v>
      </c>
      <c r="O557">
        <v>20</v>
      </c>
      <c r="P557">
        <v>9</v>
      </c>
      <c r="Q557">
        <v>3</v>
      </c>
      <c r="R557">
        <v>2024</v>
      </c>
    </row>
    <row r="558" spans="1:18">
      <c r="A558">
        <v>74.400000000000006</v>
      </c>
      <c r="B558">
        <v>5</v>
      </c>
      <c r="C558">
        <v>557</v>
      </c>
      <c r="D558" s="2">
        <v>0.72800702546296292</v>
      </c>
      <c r="E558" t="s">
        <v>2812</v>
      </c>
      <c r="F558" t="s">
        <v>2813</v>
      </c>
      <c r="G558" t="s">
        <v>2098</v>
      </c>
      <c r="H558" t="s">
        <v>953</v>
      </c>
      <c r="I558" t="s">
        <v>954</v>
      </c>
      <c r="J558" t="s">
        <v>349</v>
      </c>
      <c r="K558" t="s">
        <v>51</v>
      </c>
      <c r="L558">
        <v>14.88</v>
      </c>
      <c r="M558" s="1">
        <v>46036</v>
      </c>
      <c r="N558" t="s">
        <v>34</v>
      </c>
      <c r="O558">
        <v>14</v>
      </c>
      <c r="P558">
        <v>1</v>
      </c>
      <c r="Q558">
        <v>1</v>
      </c>
      <c r="R558">
        <v>2026</v>
      </c>
    </row>
    <row r="559" spans="1:18">
      <c r="A559">
        <v>138.93</v>
      </c>
      <c r="B559">
        <v>3</v>
      </c>
      <c r="C559">
        <v>558</v>
      </c>
      <c r="D559" s="2">
        <v>0.94317930555555551</v>
      </c>
      <c r="E559" t="s">
        <v>1147</v>
      </c>
      <c r="F559" t="s">
        <v>1148</v>
      </c>
      <c r="G559" t="s">
        <v>1149</v>
      </c>
      <c r="H559" t="s">
        <v>1071</v>
      </c>
      <c r="I559" t="s">
        <v>817</v>
      </c>
      <c r="J559" t="s">
        <v>583</v>
      </c>
      <c r="K559" t="s">
        <v>19</v>
      </c>
      <c r="L559">
        <v>46.31</v>
      </c>
      <c r="M559" s="1">
        <v>45816</v>
      </c>
      <c r="N559" t="s">
        <v>28</v>
      </c>
      <c r="O559">
        <v>8</v>
      </c>
      <c r="P559">
        <v>6</v>
      </c>
      <c r="Q559">
        <v>2</v>
      </c>
      <c r="R559">
        <v>2025</v>
      </c>
    </row>
    <row r="560" spans="1:18">
      <c r="A560">
        <v>583.36</v>
      </c>
      <c r="B560">
        <v>4</v>
      </c>
      <c r="C560">
        <v>559</v>
      </c>
      <c r="D560" s="2">
        <v>0.50199851851851851</v>
      </c>
      <c r="E560" t="s">
        <v>947</v>
      </c>
      <c r="F560" t="s">
        <v>948</v>
      </c>
      <c r="G560" t="s">
        <v>949</v>
      </c>
      <c r="H560" t="s">
        <v>392</v>
      </c>
      <c r="I560" t="s">
        <v>834</v>
      </c>
      <c r="J560" t="s">
        <v>178</v>
      </c>
      <c r="K560" t="s">
        <v>122</v>
      </c>
      <c r="L560">
        <v>145.84</v>
      </c>
      <c r="M560" s="1">
        <v>46065</v>
      </c>
      <c r="N560" t="s">
        <v>105</v>
      </c>
      <c r="O560">
        <v>12</v>
      </c>
      <c r="P560">
        <v>2</v>
      </c>
      <c r="Q560">
        <v>1</v>
      </c>
      <c r="R560">
        <v>2026</v>
      </c>
    </row>
    <row r="561" spans="1:18">
      <c r="A561">
        <v>65.14</v>
      </c>
      <c r="B561">
        <v>2</v>
      </c>
      <c r="C561">
        <v>560</v>
      </c>
      <c r="D561" s="2">
        <v>0.62017951388888892</v>
      </c>
      <c r="E561" t="s">
        <v>3238</v>
      </c>
      <c r="F561" t="s">
        <v>3239</v>
      </c>
      <c r="G561" t="s">
        <v>820</v>
      </c>
      <c r="H561" t="s">
        <v>328</v>
      </c>
      <c r="I561" t="s">
        <v>1247</v>
      </c>
      <c r="J561" t="s">
        <v>258</v>
      </c>
      <c r="K561" t="s">
        <v>57</v>
      </c>
      <c r="L561">
        <v>32.57</v>
      </c>
      <c r="M561" s="1">
        <v>46237</v>
      </c>
      <c r="N561" t="s">
        <v>93</v>
      </c>
      <c r="O561">
        <v>3</v>
      </c>
      <c r="P561">
        <v>8</v>
      </c>
      <c r="Q561">
        <v>3</v>
      </c>
      <c r="R561">
        <v>2026</v>
      </c>
    </row>
    <row r="562" spans="1:18">
      <c r="A562">
        <v>246.26</v>
      </c>
      <c r="B562">
        <v>2</v>
      </c>
      <c r="C562">
        <v>561</v>
      </c>
      <c r="D562" s="2">
        <v>0.11496934027777778</v>
      </c>
      <c r="E562" t="s">
        <v>1760</v>
      </c>
      <c r="F562" t="s">
        <v>1761</v>
      </c>
      <c r="G562" t="s">
        <v>1603</v>
      </c>
      <c r="H562" t="s">
        <v>380</v>
      </c>
      <c r="I562" t="s">
        <v>896</v>
      </c>
      <c r="J562" t="s">
        <v>66</v>
      </c>
      <c r="K562" t="s">
        <v>46</v>
      </c>
      <c r="L562">
        <v>123.13</v>
      </c>
      <c r="M562" s="1">
        <v>45924</v>
      </c>
      <c r="N562" t="s">
        <v>34</v>
      </c>
      <c r="O562">
        <v>24</v>
      </c>
      <c r="P562">
        <v>9</v>
      </c>
      <c r="Q562">
        <v>3</v>
      </c>
      <c r="R562">
        <v>2025</v>
      </c>
    </row>
    <row r="563" spans="1:18">
      <c r="A563">
        <v>671.46</v>
      </c>
      <c r="B563">
        <v>3</v>
      </c>
      <c r="C563">
        <v>562</v>
      </c>
      <c r="D563" s="2">
        <v>0.69193074074074079</v>
      </c>
      <c r="E563" t="s">
        <v>2832</v>
      </c>
      <c r="F563" t="s">
        <v>2833</v>
      </c>
      <c r="G563" t="s">
        <v>973</v>
      </c>
      <c r="H563" t="s">
        <v>794</v>
      </c>
      <c r="I563" t="s">
        <v>795</v>
      </c>
      <c r="J563" t="s">
        <v>588</v>
      </c>
      <c r="K563" t="s">
        <v>82</v>
      </c>
      <c r="L563">
        <v>223.82</v>
      </c>
      <c r="M563" s="1">
        <v>45714</v>
      </c>
      <c r="N563" t="s">
        <v>34</v>
      </c>
      <c r="O563">
        <v>26</v>
      </c>
      <c r="P563">
        <v>2</v>
      </c>
      <c r="Q563">
        <v>1</v>
      </c>
      <c r="R563">
        <v>2025</v>
      </c>
    </row>
    <row r="564" spans="1:18">
      <c r="A564">
        <v>237.39</v>
      </c>
      <c r="B564">
        <v>3</v>
      </c>
      <c r="C564">
        <v>563</v>
      </c>
      <c r="D564" s="2">
        <v>0.39655328703703702</v>
      </c>
      <c r="E564" t="s">
        <v>1658</v>
      </c>
      <c r="F564" t="s">
        <v>1659</v>
      </c>
      <c r="G564" t="s">
        <v>1660</v>
      </c>
      <c r="H564" t="s">
        <v>785</v>
      </c>
      <c r="I564" t="s">
        <v>786</v>
      </c>
      <c r="J564" t="s">
        <v>83</v>
      </c>
      <c r="K564" t="s">
        <v>51</v>
      </c>
      <c r="L564">
        <v>79.13</v>
      </c>
      <c r="M564" s="1">
        <v>46003</v>
      </c>
      <c r="N564" t="s">
        <v>79</v>
      </c>
      <c r="O564">
        <v>12</v>
      </c>
      <c r="P564">
        <v>12</v>
      </c>
      <c r="Q564">
        <v>4</v>
      </c>
      <c r="R564">
        <v>2025</v>
      </c>
    </row>
    <row r="565" spans="1:18">
      <c r="A565">
        <v>35.11</v>
      </c>
      <c r="B565">
        <v>1</v>
      </c>
      <c r="C565">
        <v>564</v>
      </c>
      <c r="D565" s="2">
        <v>0.29299967592592591</v>
      </c>
      <c r="E565" t="s">
        <v>2355</v>
      </c>
      <c r="F565" t="s">
        <v>2356</v>
      </c>
      <c r="G565" t="s">
        <v>2306</v>
      </c>
      <c r="H565" t="s">
        <v>757</v>
      </c>
      <c r="I565" t="s">
        <v>758</v>
      </c>
      <c r="J565" t="s">
        <v>400</v>
      </c>
      <c r="K565" t="s">
        <v>57</v>
      </c>
      <c r="L565">
        <v>35.11</v>
      </c>
      <c r="M565" s="1">
        <v>46063</v>
      </c>
      <c r="N565" t="s">
        <v>48</v>
      </c>
      <c r="O565">
        <v>10</v>
      </c>
      <c r="P565">
        <v>2</v>
      </c>
      <c r="Q565">
        <v>1</v>
      </c>
      <c r="R565">
        <v>2026</v>
      </c>
    </row>
    <row r="566" spans="1:18">
      <c r="A566">
        <v>43.84</v>
      </c>
      <c r="B566">
        <v>1</v>
      </c>
      <c r="C566">
        <v>565</v>
      </c>
      <c r="D566" s="2">
        <v>0.75194254629629631</v>
      </c>
      <c r="E566" t="s">
        <v>2925</v>
      </c>
      <c r="F566" t="s">
        <v>2926</v>
      </c>
      <c r="G566" t="s">
        <v>2927</v>
      </c>
      <c r="H566" t="s">
        <v>1107</v>
      </c>
      <c r="I566" t="s">
        <v>892</v>
      </c>
      <c r="J566" t="s">
        <v>335</v>
      </c>
      <c r="K566" t="s">
        <v>37</v>
      </c>
      <c r="L566">
        <v>43.84</v>
      </c>
      <c r="M566" s="1">
        <v>45982</v>
      </c>
      <c r="N566" t="s">
        <v>79</v>
      </c>
      <c r="O566">
        <v>21</v>
      </c>
      <c r="P566">
        <v>11</v>
      </c>
      <c r="Q566">
        <v>4</v>
      </c>
      <c r="R566">
        <v>2025</v>
      </c>
    </row>
    <row r="567" spans="1:18">
      <c r="A567">
        <v>189.75</v>
      </c>
      <c r="B567">
        <v>3</v>
      </c>
      <c r="C567">
        <v>566</v>
      </c>
      <c r="D567" s="2">
        <v>0.50869366898148149</v>
      </c>
      <c r="E567" t="s">
        <v>3361</v>
      </c>
      <c r="F567" t="s">
        <v>3362</v>
      </c>
      <c r="G567" t="s">
        <v>1512</v>
      </c>
      <c r="H567" t="s">
        <v>1944</v>
      </c>
      <c r="I567" t="s">
        <v>1003</v>
      </c>
      <c r="J567" t="s">
        <v>740</v>
      </c>
      <c r="K567" t="s">
        <v>46</v>
      </c>
      <c r="L567">
        <v>63.25</v>
      </c>
      <c r="M567" s="1">
        <v>45784</v>
      </c>
      <c r="N567" t="s">
        <v>34</v>
      </c>
      <c r="O567">
        <v>7</v>
      </c>
      <c r="P567">
        <v>5</v>
      </c>
      <c r="Q567">
        <v>2</v>
      </c>
      <c r="R567">
        <v>2025</v>
      </c>
    </row>
    <row r="568" spans="1:18">
      <c r="A568">
        <v>269.06</v>
      </c>
      <c r="B568">
        <v>2</v>
      </c>
      <c r="C568">
        <v>567</v>
      </c>
      <c r="D568" s="2">
        <v>0.25188307870370369</v>
      </c>
      <c r="E568" t="s">
        <v>1363</v>
      </c>
      <c r="F568" t="s">
        <v>1364</v>
      </c>
      <c r="G568" t="s">
        <v>1365</v>
      </c>
      <c r="H568" t="s">
        <v>965</v>
      </c>
      <c r="I568" t="s">
        <v>966</v>
      </c>
      <c r="J568" t="s">
        <v>361</v>
      </c>
      <c r="K568" t="s">
        <v>37</v>
      </c>
      <c r="L568">
        <v>134.53</v>
      </c>
      <c r="M568" s="1">
        <v>46188</v>
      </c>
      <c r="N568" t="s">
        <v>93</v>
      </c>
      <c r="O568">
        <v>15</v>
      </c>
      <c r="P568">
        <v>6</v>
      </c>
      <c r="Q568">
        <v>2</v>
      </c>
      <c r="R568">
        <v>2026</v>
      </c>
    </row>
    <row r="569" spans="1:18">
      <c r="A569">
        <v>34.89</v>
      </c>
      <c r="B569">
        <v>3</v>
      </c>
      <c r="C569">
        <v>568</v>
      </c>
      <c r="D569" s="2">
        <v>0.54063049768518523</v>
      </c>
      <c r="E569" t="s">
        <v>2236</v>
      </c>
      <c r="F569" t="s">
        <v>1523</v>
      </c>
      <c r="G569" t="s">
        <v>2237</v>
      </c>
      <c r="H569" t="s">
        <v>1339</v>
      </c>
      <c r="I569" t="s">
        <v>1247</v>
      </c>
      <c r="J569" t="s">
        <v>301</v>
      </c>
      <c r="K569" t="s">
        <v>69</v>
      </c>
      <c r="L569">
        <v>11.63</v>
      </c>
      <c r="M569" s="1">
        <v>45621</v>
      </c>
      <c r="N569" t="s">
        <v>93</v>
      </c>
      <c r="O569">
        <v>25</v>
      </c>
      <c r="P569">
        <v>11</v>
      </c>
      <c r="Q569">
        <v>4</v>
      </c>
      <c r="R569">
        <v>2024</v>
      </c>
    </row>
    <row r="570" spans="1:18">
      <c r="A570">
        <v>27.44</v>
      </c>
      <c r="B570">
        <v>1</v>
      </c>
      <c r="C570">
        <v>569</v>
      </c>
      <c r="D570" s="2">
        <v>0.11530153935185185</v>
      </c>
      <c r="E570" t="s">
        <v>982</v>
      </c>
      <c r="F570" t="s">
        <v>983</v>
      </c>
      <c r="G570" t="s">
        <v>984</v>
      </c>
      <c r="H570" t="s">
        <v>985</v>
      </c>
      <c r="I570" t="s">
        <v>817</v>
      </c>
      <c r="J570" t="s">
        <v>722</v>
      </c>
      <c r="K570" t="s">
        <v>37</v>
      </c>
      <c r="L570">
        <v>27.44</v>
      </c>
      <c r="M570" s="1">
        <v>46055</v>
      </c>
      <c r="N570" t="s">
        <v>93</v>
      </c>
      <c r="O570">
        <v>2</v>
      </c>
      <c r="P570">
        <v>2</v>
      </c>
      <c r="Q570">
        <v>1</v>
      </c>
      <c r="R570">
        <v>2026</v>
      </c>
    </row>
    <row r="571" spans="1:18">
      <c r="A571">
        <v>253</v>
      </c>
      <c r="B571">
        <v>4</v>
      </c>
      <c r="C571">
        <v>570</v>
      </c>
      <c r="D571" s="2">
        <v>0.98992309027777781</v>
      </c>
      <c r="E571" t="s">
        <v>3038</v>
      </c>
      <c r="F571" t="s">
        <v>3039</v>
      </c>
      <c r="G571" t="s">
        <v>878</v>
      </c>
      <c r="H571" t="s">
        <v>862</v>
      </c>
      <c r="I571" t="s">
        <v>807</v>
      </c>
      <c r="J571" t="s">
        <v>740</v>
      </c>
      <c r="K571" t="s">
        <v>46</v>
      </c>
      <c r="L571">
        <v>63.25</v>
      </c>
      <c r="M571" s="1">
        <v>46112</v>
      </c>
      <c r="N571" t="s">
        <v>48</v>
      </c>
      <c r="O571">
        <v>31</v>
      </c>
      <c r="P571">
        <v>3</v>
      </c>
      <c r="Q571">
        <v>1</v>
      </c>
      <c r="R571">
        <v>2026</v>
      </c>
    </row>
    <row r="572" spans="1:18">
      <c r="A572">
        <v>162.87</v>
      </c>
      <c r="B572">
        <v>1</v>
      </c>
      <c r="C572">
        <v>571</v>
      </c>
      <c r="D572" s="2">
        <v>0.59570987268518516</v>
      </c>
      <c r="E572" t="s">
        <v>1237</v>
      </c>
      <c r="F572" t="s">
        <v>1238</v>
      </c>
      <c r="G572" t="s">
        <v>1053</v>
      </c>
      <c r="H572" t="s">
        <v>1239</v>
      </c>
      <c r="I572" t="s">
        <v>795</v>
      </c>
      <c r="J572" t="s">
        <v>236</v>
      </c>
      <c r="K572" t="s">
        <v>60</v>
      </c>
      <c r="L572">
        <v>162.87</v>
      </c>
      <c r="M572" s="1">
        <v>45587</v>
      </c>
      <c r="N572" t="s">
        <v>48</v>
      </c>
      <c r="O572">
        <v>22</v>
      </c>
      <c r="P572">
        <v>10</v>
      </c>
      <c r="Q572">
        <v>4</v>
      </c>
      <c r="R572">
        <v>2024</v>
      </c>
    </row>
    <row r="573" spans="1:18">
      <c r="A573">
        <v>253.89</v>
      </c>
      <c r="B573">
        <v>3</v>
      </c>
      <c r="C573">
        <v>572</v>
      </c>
      <c r="D573" s="2">
        <v>0.53307516203703709</v>
      </c>
      <c r="E573" t="s">
        <v>3229</v>
      </c>
      <c r="F573" t="s">
        <v>3230</v>
      </c>
      <c r="G573" t="s">
        <v>911</v>
      </c>
      <c r="H573" t="s">
        <v>1540</v>
      </c>
      <c r="I573" t="s">
        <v>768</v>
      </c>
      <c r="J573" t="s">
        <v>528</v>
      </c>
      <c r="K573" t="s">
        <v>69</v>
      </c>
      <c r="L573">
        <v>84.63</v>
      </c>
      <c r="M573" s="1">
        <v>45767</v>
      </c>
      <c r="N573" t="s">
        <v>28</v>
      </c>
      <c r="O573">
        <v>20</v>
      </c>
      <c r="P573">
        <v>4</v>
      </c>
      <c r="Q573">
        <v>2</v>
      </c>
      <c r="R573">
        <v>2025</v>
      </c>
    </row>
    <row r="574" spans="1:18">
      <c r="A574">
        <v>171.88</v>
      </c>
      <c r="B574">
        <v>1</v>
      </c>
      <c r="C574">
        <v>573</v>
      </c>
      <c r="D574" s="2">
        <v>0.91911950231481476</v>
      </c>
      <c r="E574" t="s">
        <v>2693</v>
      </c>
      <c r="F574" t="s">
        <v>2694</v>
      </c>
      <c r="G574" t="s">
        <v>2695</v>
      </c>
      <c r="H574" t="s">
        <v>691</v>
      </c>
      <c r="I574" t="s">
        <v>776</v>
      </c>
      <c r="J574" t="s">
        <v>525</v>
      </c>
      <c r="K574" t="s">
        <v>17</v>
      </c>
      <c r="L574">
        <v>171.88</v>
      </c>
      <c r="M574" s="1">
        <v>46149</v>
      </c>
      <c r="N574" t="s">
        <v>105</v>
      </c>
      <c r="O574">
        <v>7</v>
      </c>
      <c r="P574">
        <v>5</v>
      </c>
      <c r="Q574">
        <v>2</v>
      </c>
      <c r="R574">
        <v>2026</v>
      </c>
    </row>
    <row r="575" spans="1:18">
      <c r="A575">
        <v>287</v>
      </c>
      <c r="B575">
        <v>4</v>
      </c>
      <c r="C575">
        <v>574</v>
      </c>
      <c r="D575" s="2">
        <v>2.0364409722222223E-2</v>
      </c>
      <c r="E575" t="s">
        <v>1196</v>
      </c>
      <c r="F575" t="s">
        <v>1197</v>
      </c>
      <c r="G575" t="s">
        <v>1198</v>
      </c>
      <c r="H575" t="s">
        <v>1199</v>
      </c>
      <c r="I575" t="s">
        <v>839</v>
      </c>
      <c r="J575" t="s">
        <v>133</v>
      </c>
      <c r="K575" t="s">
        <v>97</v>
      </c>
      <c r="L575">
        <v>71.75</v>
      </c>
      <c r="M575" s="1">
        <v>45608</v>
      </c>
      <c r="N575" t="s">
        <v>48</v>
      </c>
      <c r="O575">
        <v>12</v>
      </c>
      <c r="P575">
        <v>11</v>
      </c>
      <c r="Q575">
        <v>4</v>
      </c>
      <c r="R575">
        <v>2024</v>
      </c>
    </row>
    <row r="576" spans="1:18">
      <c r="A576">
        <v>668.55000000000007</v>
      </c>
      <c r="B576">
        <v>5</v>
      </c>
      <c r="C576">
        <v>575</v>
      </c>
      <c r="D576" s="2">
        <v>0.11662865740740741</v>
      </c>
      <c r="E576" t="s">
        <v>3244</v>
      </c>
      <c r="F576" t="s">
        <v>3245</v>
      </c>
      <c r="G576" t="s">
        <v>1114</v>
      </c>
      <c r="H576" t="s">
        <v>1401</v>
      </c>
      <c r="I576" t="s">
        <v>943</v>
      </c>
      <c r="J576" t="s">
        <v>539</v>
      </c>
      <c r="K576" t="s">
        <v>69</v>
      </c>
      <c r="L576">
        <v>133.71</v>
      </c>
      <c r="M576" s="1">
        <v>46257</v>
      </c>
      <c r="N576" t="s">
        <v>28</v>
      </c>
      <c r="O576">
        <v>23</v>
      </c>
      <c r="P576">
        <v>8</v>
      </c>
      <c r="Q576">
        <v>3</v>
      </c>
      <c r="R576">
        <v>2026</v>
      </c>
    </row>
    <row r="577" spans="1:18">
      <c r="A577">
        <v>75.88</v>
      </c>
      <c r="B577">
        <v>2</v>
      </c>
      <c r="C577">
        <v>576</v>
      </c>
      <c r="D577" s="2">
        <v>0.79941077546296291</v>
      </c>
      <c r="E577" t="s">
        <v>1108</v>
      </c>
      <c r="F577" t="s">
        <v>1109</v>
      </c>
      <c r="G577" t="s">
        <v>1110</v>
      </c>
      <c r="H577" t="s">
        <v>1111</v>
      </c>
      <c r="I577" t="s">
        <v>981</v>
      </c>
      <c r="J577" t="s">
        <v>73</v>
      </c>
      <c r="K577" t="s">
        <v>39</v>
      </c>
      <c r="L577">
        <v>37.94</v>
      </c>
      <c r="M577" s="1">
        <v>46271</v>
      </c>
      <c r="N577" t="s">
        <v>28</v>
      </c>
      <c r="O577">
        <v>6</v>
      </c>
      <c r="P577">
        <v>9</v>
      </c>
      <c r="Q577">
        <v>3</v>
      </c>
      <c r="R577">
        <v>2026</v>
      </c>
    </row>
    <row r="578" spans="1:18">
      <c r="A578">
        <v>1093.8</v>
      </c>
      <c r="B578">
        <v>5</v>
      </c>
      <c r="C578">
        <v>577</v>
      </c>
      <c r="D578" s="2">
        <v>0.75353341435185184</v>
      </c>
      <c r="E578" t="s">
        <v>2389</v>
      </c>
      <c r="F578" t="s">
        <v>2390</v>
      </c>
      <c r="G578" t="s">
        <v>1925</v>
      </c>
      <c r="H578" t="s">
        <v>816</v>
      </c>
      <c r="I578" t="s">
        <v>817</v>
      </c>
      <c r="J578" t="s">
        <v>67</v>
      </c>
      <c r="K578" t="s">
        <v>31</v>
      </c>
      <c r="L578">
        <v>218.76</v>
      </c>
      <c r="M578" s="1">
        <v>45594</v>
      </c>
      <c r="N578" t="s">
        <v>48</v>
      </c>
      <c r="O578">
        <v>29</v>
      </c>
      <c r="P578">
        <v>10</v>
      </c>
      <c r="Q578">
        <v>4</v>
      </c>
      <c r="R578">
        <v>2024</v>
      </c>
    </row>
    <row r="579" spans="1:18">
      <c r="A579">
        <v>984.7</v>
      </c>
      <c r="B579">
        <v>5</v>
      </c>
      <c r="C579">
        <v>578</v>
      </c>
      <c r="D579" s="2">
        <v>0.95950687499999998</v>
      </c>
      <c r="E579" t="s">
        <v>2442</v>
      </c>
      <c r="F579" t="s">
        <v>2443</v>
      </c>
      <c r="G579" t="s">
        <v>872</v>
      </c>
      <c r="H579" t="s">
        <v>1525</v>
      </c>
      <c r="I579" t="s">
        <v>763</v>
      </c>
      <c r="J579" t="s">
        <v>695</v>
      </c>
      <c r="K579" t="s">
        <v>19</v>
      </c>
      <c r="L579">
        <v>196.94</v>
      </c>
      <c r="M579" s="1">
        <v>45948</v>
      </c>
      <c r="N579" t="s">
        <v>14</v>
      </c>
      <c r="O579">
        <v>18</v>
      </c>
      <c r="P579">
        <v>10</v>
      </c>
      <c r="Q579">
        <v>4</v>
      </c>
      <c r="R579">
        <v>2025</v>
      </c>
    </row>
    <row r="580" spans="1:18">
      <c r="A580">
        <v>23.08</v>
      </c>
      <c r="B580">
        <v>4</v>
      </c>
      <c r="C580">
        <v>579</v>
      </c>
      <c r="D580" s="2">
        <v>0.65139276620370368</v>
      </c>
      <c r="E580" t="s">
        <v>1778</v>
      </c>
      <c r="F580" t="s">
        <v>1779</v>
      </c>
      <c r="G580" t="s">
        <v>1220</v>
      </c>
      <c r="H580" t="s">
        <v>919</v>
      </c>
      <c r="I580" t="s">
        <v>786</v>
      </c>
      <c r="J580" t="s">
        <v>140</v>
      </c>
      <c r="K580" t="s">
        <v>17</v>
      </c>
      <c r="L580">
        <v>5.77</v>
      </c>
      <c r="M580" s="1">
        <v>46100</v>
      </c>
      <c r="N580" t="s">
        <v>105</v>
      </c>
      <c r="O580">
        <v>19</v>
      </c>
      <c r="P580">
        <v>3</v>
      </c>
      <c r="Q580">
        <v>1</v>
      </c>
      <c r="R580">
        <v>2026</v>
      </c>
    </row>
    <row r="581" spans="1:18">
      <c r="A581">
        <v>167.8</v>
      </c>
      <c r="B581">
        <v>5</v>
      </c>
      <c r="C581">
        <v>580</v>
      </c>
      <c r="D581" s="2">
        <v>0.9173336689814815</v>
      </c>
      <c r="E581" t="s">
        <v>1144</v>
      </c>
      <c r="F581" t="s">
        <v>1145</v>
      </c>
      <c r="G581" t="s">
        <v>1146</v>
      </c>
      <c r="H581" t="s">
        <v>1128</v>
      </c>
      <c r="I581" t="s">
        <v>954</v>
      </c>
      <c r="J581" t="s">
        <v>609</v>
      </c>
      <c r="K581" t="s">
        <v>27</v>
      </c>
      <c r="L581">
        <v>33.56</v>
      </c>
      <c r="M581" s="1">
        <v>46177</v>
      </c>
      <c r="N581" t="s">
        <v>105</v>
      </c>
      <c r="O581">
        <v>4</v>
      </c>
      <c r="P581">
        <v>6</v>
      </c>
      <c r="Q581">
        <v>2</v>
      </c>
      <c r="R581">
        <v>2026</v>
      </c>
    </row>
    <row r="582" spans="1:18">
      <c r="A582">
        <v>401.84</v>
      </c>
      <c r="B582">
        <v>4</v>
      </c>
      <c r="C582">
        <v>581</v>
      </c>
      <c r="D582" s="2">
        <v>0.33027809027777777</v>
      </c>
      <c r="E582" t="s">
        <v>2213</v>
      </c>
      <c r="F582" t="s">
        <v>2214</v>
      </c>
      <c r="G582" t="s">
        <v>1556</v>
      </c>
      <c r="H582" t="s">
        <v>691</v>
      </c>
      <c r="I582" t="s">
        <v>776</v>
      </c>
      <c r="J582" t="s">
        <v>703</v>
      </c>
      <c r="K582" t="s">
        <v>60</v>
      </c>
      <c r="L582">
        <v>100.46</v>
      </c>
      <c r="M582" s="1">
        <v>46115</v>
      </c>
      <c r="N582" t="s">
        <v>79</v>
      </c>
      <c r="O582">
        <v>3</v>
      </c>
      <c r="P582">
        <v>4</v>
      </c>
      <c r="Q582">
        <v>2</v>
      </c>
      <c r="R582">
        <v>2026</v>
      </c>
    </row>
    <row r="583" spans="1:18">
      <c r="A583">
        <v>455.68</v>
      </c>
      <c r="B583">
        <v>4</v>
      </c>
      <c r="C583">
        <v>582</v>
      </c>
      <c r="D583" s="2">
        <v>0.68620532407407409</v>
      </c>
      <c r="E583" t="s">
        <v>1163</v>
      </c>
      <c r="F583" t="s">
        <v>1164</v>
      </c>
      <c r="G583" t="s">
        <v>1165</v>
      </c>
      <c r="H583" t="s">
        <v>464</v>
      </c>
      <c r="I583" t="s">
        <v>896</v>
      </c>
      <c r="J583" t="s">
        <v>110</v>
      </c>
      <c r="K583" t="s">
        <v>51</v>
      </c>
      <c r="L583">
        <v>113.92</v>
      </c>
      <c r="M583" s="1">
        <v>45891</v>
      </c>
      <c r="N583" t="s">
        <v>79</v>
      </c>
      <c r="O583">
        <v>22</v>
      </c>
      <c r="P583">
        <v>8</v>
      </c>
      <c r="Q583">
        <v>3</v>
      </c>
      <c r="R583">
        <v>2025</v>
      </c>
    </row>
    <row r="584" spans="1:18">
      <c r="A584">
        <v>1175.95</v>
      </c>
      <c r="B584">
        <v>5</v>
      </c>
      <c r="C584">
        <v>583</v>
      </c>
      <c r="D584" s="2">
        <v>0.56234600694444448</v>
      </c>
      <c r="E584" t="s">
        <v>2644</v>
      </c>
      <c r="F584" t="s">
        <v>2645</v>
      </c>
      <c r="G584" t="s">
        <v>2383</v>
      </c>
      <c r="H584" t="s">
        <v>862</v>
      </c>
      <c r="I584" t="s">
        <v>981</v>
      </c>
      <c r="J584" t="s">
        <v>396</v>
      </c>
      <c r="K584" t="s">
        <v>122</v>
      </c>
      <c r="L584">
        <v>235.19</v>
      </c>
      <c r="M584" s="1">
        <v>45669</v>
      </c>
      <c r="N584" t="s">
        <v>28</v>
      </c>
      <c r="O584">
        <v>12</v>
      </c>
      <c r="P584">
        <v>1</v>
      </c>
      <c r="Q584">
        <v>1</v>
      </c>
      <c r="R584">
        <v>2025</v>
      </c>
    </row>
    <row r="585" spans="1:18">
      <c r="A585">
        <v>154.74</v>
      </c>
      <c r="B585">
        <v>1</v>
      </c>
      <c r="C585">
        <v>584</v>
      </c>
      <c r="D585" s="2">
        <v>2.9853321759259258E-2</v>
      </c>
      <c r="E585" t="s">
        <v>2536</v>
      </c>
      <c r="F585" t="s">
        <v>2537</v>
      </c>
      <c r="G585" t="s">
        <v>2538</v>
      </c>
      <c r="H585" t="s">
        <v>767</v>
      </c>
      <c r="I585" t="s">
        <v>768</v>
      </c>
      <c r="J585" t="s">
        <v>547</v>
      </c>
      <c r="K585" t="s">
        <v>97</v>
      </c>
      <c r="L585">
        <v>154.74</v>
      </c>
      <c r="M585" s="1">
        <v>45725</v>
      </c>
      <c r="N585" t="s">
        <v>28</v>
      </c>
      <c r="O585">
        <v>9</v>
      </c>
      <c r="P585">
        <v>3</v>
      </c>
      <c r="Q585">
        <v>1</v>
      </c>
      <c r="R585">
        <v>2025</v>
      </c>
    </row>
    <row r="586" spans="1:18">
      <c r="A586">
        <v>677.18999999999994</v>
      </c>
      <c r="B586">
        <v>3</v>
      </c>
      <c r="C586">
        <v>585</v>
      </c>
      <c r="D586" s="2">
        <v>0.88634431712962958</v>
      </c>
      <c r="E586" t="s">
        <v>2391</v>
      </c>
      <c r="F586" t="s">
        <v>2392</v>
      </c>
      <c r="G586" t="s">
        <v>1374</v>
      </c>
      <c r="H586" t="s">
        <v>1755</v>
      </c>
      <c r="I586" t="s">
        <v>786</v>
      </c>
      <c r="J586" t="s">
        <v>444</v>
      </c>
      <c r="K586" t="s">
        <v>37</v>
      </c>
      <c r="L586">
        <v>225.73</v>
      </c>
      <c r="M586" s="1">
        <v>46076</v>
      </c>
      <c r="N586" t="s">
        <v>93</v>
      </c>
      <c r="O586">
        <v>23</v>
      </c>
      <c r="P586">
        <v>2</v>
      </c>
      <c r="Q586">
        <v>1</v>
      </c>
      <c r="R586">
        <v>2026</v>
      </c>
    </row>
    <row r="587" spans="1:18">
      <c r="A587">
        <v>207.07</v>
      </c>
      <c r="B587">
        <v>1</v>
      </c>
      <c r="C587">
        <v>586</v>
      </c>
      <c r="D587" s="2">
        <v>1.6954976851851853E-2</v>
      </c>
      <c r="E587" t="s">
        <v>2028</v>
      </c>
      <c r="F587" t="s">
        <v>2029</v>
      </c>
      <c r="G587" t="s">
        <v>2030</v>
      </c>
      <c r="H587" t="s">
        <v>1002</v>
      </c>
      <c r="I587" t="s">
        <v>892</v>
      </c>
      <c r="J587" t="s">
        <v>201</v>
      </c>
      <c r="K587" t="s">
        <v>37</v>
      </c>
      <c r="L587">
        <v>207.07</v>
      </c>
      <c r="M587" s="1">
        <v>45933</v>
      </c>
      <c r="N587" t="s">
        <v>79</v>
      </c>
      <c r="O587">
        <v>3</v>
      </c>
      <c r="P587">
        <v>10</v>
      </c>
      <c r="Q587">
        <v>4</v>
      </c>
      <c r="R587">
        <v>2025</v>
      </c>
    </row>
    <row r="588" spans="1:18">
      <c r="A588">
        <v>306.48</v>
      </c>
      <c r="B588">
        <v>3</v>
      </c>
      <c r="C588">
        <v>587</v>
      </c>
      <c r="D588" s="2">
        <v>0.54017097222222221</v>
      </c>
      <c r="E588" t="s">
        <v>1328</v>
      </c>
      <c r="F588" t="s">
        <v>1329</v>
      </c>
      <c r="G588" t="s">
        <v>1330</v>
      </c>
      <c r="H588" t="s">
        <v>883</v>
      </c>
      <c r="I588" t="s">
        <v>807</v>
      </c>
      <c r="J588" t="s">
        <v>286</v>
      </c>
      <c r="K588" t="s">
        <v>97</v>
      </c>
      <c r="L588">
        <v>102.16</v>
      </c>
      <c r="M588" s="1">
        <v>46083</v>
      </c>
      <c r="N588" t="s">
        <v>93</v>
      </c>
      <c r="O588">
        <v>2</v>
      </c>
      <c r="P588">
        <v>3</v>
      </c>
      <c r="Q588">
        <v>1</v>
      </c>
      <c r="R588">
        <v>2026</v>
      </c>
    </row>
    <row r="589" spans="1:18">
      <c r="A589">
        <v>702.93000000000006</v>
      </c>
      <c r="B589">
        <v>3</v>
      </c>
      <c r="C589">
        <v>588</v>
      </c>
      <c r="D589" s="2">
        <v>0.8278070486111111</v>
      </c>
      <c r="E589" t="s">
        <v>2650</v>
      </c>
      <c r="F589" t="s">
        <v>2651</v>
      </c>
      <c r="G589" t="s">
        <v>857</v>
      </c>
      <c r="H589" t="s">
        <v>838</v>
      </c>
      <c r="I589" t="s">
        <v>839</v>
      </c>
      <c r="J589" t="s">
        <v>150</v>
      </c>
      <c r="K589" t="s">
        <v>60</v>
      </c>
      <c r="L589">
        <v>234.31</v>
      </c>
      <c r="M589" s="1">
        <v>45770</v>
      </c>
      <c r="N589" t="s">
        <v>34</v>
      </c>
      <c r="O589">
        <v>23</v>
      </c>
      <c r="P589">
        <v>4</v>
      </c>
      <c r="Q589">
        <v>2</v>
      </c>
      <c r="R589">
        <v>2025</v>
      </c>
    </row>
    <row r="590" spans="1:18">
      <c r="A590">
        <v>11.22</v>
      </c>
      <c r="B590">
        <v>2</v>
      </c>
      <c r="C590">
        <v>589</v>
      </c>
      <c r="D590" s="2">
        <v>0.3529596990740741</v>
      </c>
      <c r="E590" t="s">
        <v>944</v>
      </c>
      <c r="F590" t="s">
        <v>945</v>
      </c>
      <c r="G590" t="s">
        <v>946</v>
      </c>
      <c r="H590" t="s">
        <v>199</v>
      </c>
      <c r="I590" t="s">
        <v>781</v>
      </c>
      <c r="J590" t="s">
        <v>352</v>
      </c>
      <c r="K590" t="s">
        <v>82</v>
      </c>
      <c r="L590">
        <v>5.61</v>
      </c>
      <c r="M590" s="1">
        <v>45849</v>
      </c>
      <c r="N590" t="s">
        <v>79</v>
      </c>
      <c r="O590">
        <v>11</v>
      </c>
      <c r="P590">
        <v>7</v>
      </c>
      <c r="Q590">
        <v>3</v>
      </c>
      <c r="R590">
        <v>2025</v>
      </c>
    </row>
    <row r="591" spans="1:18">
      <c r="A591">
        <v>31.24</v>
      </c>
      <c r="B591">
        <v>2</v>
      </c>
      <c r="C591">
        <v>590</v>
      </c>
      <c r="D591" s="2">
        <v>0.19225285879629631</v>
      </c>
      <c r="E591" t="s">
        <v>2762</v>
      </c>
      <c r="F591" t="s">
        <v>2763</v>
      </c>
      <c r="G591" t="s">
        <v>1162</v>
      </c>
      <c r="H591" t="s">
        <v>392</v>
      </c>
      <c r="I591" t="s">
        <v>943</v>
      </c>
      <c r="J591" t="s">
        <v>248</v>
      </c>
      <c r="K591" t="s">
        <v>100</v>
      </c>
      <c r="L591">
        <v>15.62</v>
      </c>
      <c r="M591" s="1">
        <v>46257</v>
      </c>
      <c r="N591" t="s">
        <v>28</v>
      </c>
      <c r="O591">
        <v>23</v>
      </c>
      <c r="P591">
        <v>8</v>
      </c>
      <c r="Q591">
        <v>3</v>
      </c>
      <c r="R591">
        <v>2026</v>
      </c>
    </row>
    <row r="592" spans="1:18">
      <c r="A592">
        <v>341.76</v>
      </c>
      <c r="B592">
        <v>3</v>
      </c>
      <c r="C592">
        <v>591</v>
      </c>
      <c r="D592" s="2">
        <v>0.91618223379629626</v>
      </c>
      <c r="E592" t="s">
        <v>2608</v>
      </c>
      <c r="F592" t="s">
        <v>2609</v>
      </c>
      <c r="G592" t="s">
        <v>2610</v>
      </c>
      <c r="H592" t="s">
        <v>464</v>
      </c>
      <c r="I592" t="s">
        <v>896</v>
      </c>
      <c r="J592" t="s">
        <v>110</v>
      </c>
      <c r="K592" t="s">
        <v>51</v>
      </c>
      <c r="L592">
        <v>113.92</v>
      </c>
      <c r="M592" s="1">
        <v>46023</v>
      </c>
      <c r="N592" t="s">
        <v>105</v>
      </c>
      <c r="O592">
        <v>1</v>
      </c>
      <c r="P592">
        <v>1</v>
      </c>
      <c r="Q592">
        <v>1</v>
      </c>
      <c r="R592">
        <v>2026</v>
      </c>
    </row>
    <row r="593" spans="1:18">
      <c r="A593">
        <v>512.25</v>
      </c>
      <c r="B593">
        <v>3</v>
      </c>
      <c r="C593">
        <v>592</v>
      </c>
      <c r="D593" s="2">
        <v>0.61985038194444442</v>
      </c>
      <c r="E593" t="s">
        <v>2472</v>
      </c>
      <c r="F593" t="s">
        <v>2473</v>
      </c>
      <c r="G593" t="s">
        <v>2253</v>
      </c>
      <c r="H593" t="s">
        <v>767</v>
      </c>
      <c r="I593" t="s">
        <v>768</v>
      </c>
      <c r="J593" t="s">
        <v>652</v>
      </c>
      <c r="K593" t="s">
        <v>37</v>
      </c>
      <c r="L593">
        <v>170.75</v>
      </c>
      <c r="M593" s="1">
        <v>45875</v>
      </c>
      <c r="N593" t="s">
        <v>34</v>
      </c>
      <c r="O593">
        <v>6</v>
      </c>
      <c r="P593">
        <v>8</v>
      </c>
      <c r="Q593">
        <v>3</v>
      </c>
      <c r="R593">
        <v>2025</v>
      </c>
    </row>
    <row r="594" spans="1:18">
      <c r="A594">
        <v>460.54</v>
      </c>
      <c r="B594">
        <v>2</v>
      </c>
      <c r="C594">
        <v>593</v>
      </c>
      <c r="D594" s="2">
        <v>0.57329884259259256</v>
      </c>
      <c r="E594" t="s">
        <v>2899</v>
      </c>
      <c r="F594" t="s">
        <v>2900</v>
      </c>
      <c r="G594" t="s">
        <v>1152</v>
      </c>
      <c r="H594" t="s">
        <v>464</v>
      </c>
      <c r="I594" t="s">
        <v>896</v>
      </c>
      <c r="J594" t="s">
        <v>200</v>
      </c>
      <c r="K594" t="s">
        <v>17</v>
      </c>
      <c r="L594">
        <v>230.27</v>
      </c>
      <c r="M594" s="1">
        <v>45819</v>
      </c>
      <c r="N594" t="s">
        <v>34</v>
      </c>
      <c r="O594">
        <v>11</v>
      </c>
      <c r="P594">
        <v>6</v>
      </c>
      <c r="Q594">
        <v>2</v>
      </c>
      <c r="R594">
        <v>2025</v>
      </c>
    </row>
    <row r="595" spans="1:18">
      <c r="A595">
        <v>64.81</v>
      </c>
      <c r="B595">
        <v>1</v>
      </c>
      <c r="C595">
        <v>594</v>
      </c>
      <c r="D595" s="2">
        <v>6.6083495370370365E-2</v>
      </c>
      <c r="E595" t="s">
        <v>1328</v>
      </c>
      <c r="F595" t="s">
        <v>1329</v>
      </c>
      <c r="G595" t="s">
        <v>1330</v>
      </c>
      <c r="H595" t="s">
        <v>883</v>
      </c>
      <c r="I595" t="s">
        <v>807</v>
      </c>
      <c r="J595" t="s">
        <v>471</v>
      </c>
      <c r="K595" t="s">
        <v>19</v>
      </c>
      <c r="L595">
        <v>64.81</v>
      </c>
      <c r="M595" s="1">
        <v>45807</v>
      </c>
      <c r="N595" t="s">
        <v>79</v>
      </c>
      <c r="O595">
        <v>30</v>
      </c>
      <c r="P595">
        <v>5</v>
      </c>
      <c r="Q595">
        <v>2</v>
      </c>
      <c r="R595">
        <v>2025</v>
      </c>
    </row>
    <row r="596" spans="1:18">
      <c r="A596">
        <v>167.24</v>
      </c>
      <c r="B596">
        <v>2</v>
      </c>
      <c r="C596">
        <v>595</v>
      </c>
      <c r="D596" s="2">
        <v>0.66096899305555556</v>
      </c>
      <c r="E596" t="s">
        <v>2350</v>
      </c>
      <c r="F596" t="s">
        <v>2351</v>
      </c>
      <c r="G596" t="s">
        <v>2346</v>
      </c>
      <c r="H596" t="s">
        <v>1306</v>
      </c>
      <c r="I596" t="s">
        <v>966</v>
      </c>
      <c r="J596" t="s">
        <v>649</v>
      </c>
      <c r="K596" t="s">
        <v>23</v>
      </c>
      <c r="L596">
        <v>83.62</v>
      </c>
      <c r="M596" s="1">
        <v>45664</v>
      </c>
      <c r="N596" t="s">
        <v>48</v>
      </c>
      <c r="O596">
        <v>7</v>
      </c>
      <c r="P596">
        <v>1</v>
      </c>
      <c r="Q596">
        <v>1</v>
      </c>
      <c r="R596">
        <v>2025</v>
      </c>
    </row>
    <row r="597" spans="1:18">
      <c r="A597">
        <v>483.06000000000006</v>
      </c>
      <c r="B597">
        <v>3</v>
      </c>
      <c r="C597">
        <v>596</v>
      </c>
      <c r="D597" s="2">
        <v>0.61983615740740738</v>
      </c>
      <c r="E597" t="s">
        <v>1954</v>
      </c>
      <c r="F597" t="s">
        <v>1955</v>
      </c>
      <c r="G597" t="s">
        <v>1679</v>
      </c>
      <c r="H597" t="s">
        <v>1257</v>
      </c>
      <c r="I597" t="s">
        <v>839</v>
      </c>
      <c r="J597" t="s">
        <v>544</v>
      </c>
      <c r="K597" t="s">
        <v>46</v>
      </c>
      <c r="L597">
        <v>161.02000000000001</v>
      </c>
      <c r="M597" s="1">
        <v>46157</v>
      </c>
      <c r="N597" t="s">
        <v>79</v>
      </c>
      <c r="O597">
        <v>15</v>
      </c>
      <c r="P597">
        <v>5</v>
      </c>
      <c r="Q597">
        <v>2</v>
      </c>
      <c r="R597">
        <v>2026</v>
      </c>
    </row>
    <row r="598" spans="1:18">
      <c r="A598">
        <v>230.27</v>
      </c>
      <c r="B598">
        <v>1</v>
      </c>
      <c r="C598">
        <v>597</v>
      </c>
      <c r="D598" s="2">
        <v>0.26848252314814813</v>
      </c>
      <c r="E598" t="s">
        <v>2955</v>
      </c>
      <c r="F598" t="s">
        <v>2956</v>
      </c>
      <c r="G598" t="s">
        <v>1330</v>
      </c>
      <c r="H598" t="s">
        <v>64</v>
      </c>
      <c r="I598" t="s">
        <v>892</v>
      </c>
      <c r="J598" t="s">
        <v>200</v>
      </c>
      <c r="K598" t="s">
        <v>17</v>
      </c>
      <c r="L598">
        <v>230.27</v>
      </c>
      <c r="M598" s="1">
        <v>45710</v>
      </c>
      <c r="N598" t="s">
        <v>14</v>
      </c>
      <c r="O598">
        <v>22</v>
      </c>
      <c r="P598">
        <v>2</v>
      </c>
      <c r="Q598">
        <v>1</v>
      </c>
      <c r="R598">
        <v>2025</v>
      </c>
    </row>
    <row r="599" spans="1:18">
      <c r="A599">
        <v>1159.2</v>
      </c>
      <c r="B599">
        <v>5</v>
      </c>
      <c r="C599">
        <v>598</v>
      </c>
      <c r="D599" s="2">
        <v>0.61392931712962961</v>
      </c>
      <c r="E599" t="s">
        <v>1543</v>
      </c>
      <c r="F599" t="s">
        <v>1544</v>
      </c>
      <c r="G599" t="s">
        <v>1545</v>
      </c>
      <c r="H599" t="s">
        <v>29</v>
      </c>
      <c r="I599" t="s">
        <v>763</v>
      </c>
      <c r="J599" t="s">
        <v>626</v>
      </c>
      <c r="K599" t="s">
        <v>17</v>
      </c>
      <c r="L599">
        <v>231.84</v>
      </c>
      <c r="M599" s="1">
        <v>45675</v>
      </c>
      <c r="N599" t="s">
        <v>14</v>
      </c>
      <c r="O599">
        <v>18</v>
      </c>
      <c r="P599">
        <v>1</v>
      </c>
      <c r="Q599">
        <v>1</v>
      </c>
      <c r="R599">
        <v>2025</v>
      </c>
    </row>
    <row r="600" spans="1:18">
      <c r="A600">
        <v>241.96</v>
      </c>
      <c r="B600">
        <v>4</v>
      </c>
      <c r="C600">
        <v>599</v>
      </c>
      <c r="D600" s="2">
        <v>0.58719408564814812</v>
      </c>
      <c r="E600" t="s">
        <v>3294</v>
      </c>
      <c r="F600" t="s">
        <v>3295</v>
      </c>
      <c r="G600" t="s">
        <v>2250</v>
      </c>
      <c r="H600" t="s">
        <v>862</v>
      </c>
      <c r="I600" t="s">
        <v>908</v>
      </c>
      <c r="J600" t="s">
        <v>558</v>
      </c>
      <c r="K600" t="s">
        <v>43</v>
      </c>
      <c r="L600">
        <v>60.49</v>
      </c>
      <c r="M600" s="1">
        <v>45556</v>
      </c>
      <c r="N600" t="s">
        <v>14</v>
      </c>
      <c r="O600">
        <v>21</v>
      </c>
      <c r="P600">
        <v>9</v>
      </c>
      <c r="Q600">
        <v>3</v>
      </c>
      <c r="R600">
        <v>2024</v>
      </c>
    </row>
    <row r="601" spans="1:18">
      <c r="A601">
        <v>213.82</v>
      </c>
      <c r="B601">
        <v>1</v>
      </c>
      <c r="C601">
        <v>600</v>
      </c>
      <c r="D601" s="2">
        <v>0.64316703703703704</v>
      </c>
      <c r="E601" t="s">
        <v>859</v>
      </c>
      <c r="F601" t="s">
        <v>860</v>
      </c>
      <c r="G601" t="s">
        <v>861</v>
      </c>
      <c r="H601" t="s">
        <v>862</v>
      </c>
      <c r="I601" t="s">
        <v>758</v>
      </c>
      <c r="J601" t="s">
        <v>266</v>
      </c>
      <c r="K601" t="s">
        <v>19</v>
      </c>
      <c r="L601">
        <v>213.82</v>
      </c>
      <c r="M601" s="1">
        <v>45568</v>
      </c>
      <c r="N601" t="s">
        <v>105</v>
      </c>
      <c r="O601">
        <v>3</v>
      </c>
      <c r="P601">
        <v>10</v>
      </c>
      <c r="Q601">
        <v>4</v>
      </c>
      <c r="R601">
        <v>2024</v>
      </c>
    </row>
    <row r="602" spans="1:18">
      <c r="A602">
        <v>35.44</v>
      </c>
      <c r="B602">
        <v>1</v>
      </c>
      <c r="C602">
        <v>601</v>
      </c>
      <c r="D602" s="2">
        <v>0.80683464120370374</v>
      </c>
      <c r="E602" t="s">
        <v>1958</v>
      </c>
      <c r="F602" t="s">
        <v>1959</v>
      </c>
      <c r="G602" t="s">
        <v>1437</v>
      </c>
      <c r="H602" t="s">
        <v>196</v>
      </c>
      <c r="I602" t="s">
        <v>1247</v>
      </c>
      <c r="J602" t="s">
        <v>173</v>
      </c>
      <c r="K602" t="s">
        <v>55</v>
      </c>
      <c r="L602">
        <v>35.44</v>
      </c>
      <c r="M602" s="1">
        <v>46024</v>
      </c>
      <c r="N602" t="s">
        <v>79</v>
      </c>
      <c r="O602">
        <v>2</v>
      </c>
      <c r="P602">
        <v>1</v>
      </c>
      <c r="Q602">
        <v>1</v>
      </c>
      <c r="R602">
        <v>2026</v>
      </c>
    </row>
    <row r="603" spans="1:18">
      <c r="A603">
        <v>1188.5999999999999</v>
      </c>
      <c r="B603">
        <v>5</v>
      </c>
      <c r="C603">
        <v>602</v>
      </c>
      <c r="D603" s="2">
        <v>0.32232800925925925</v>
      </c>
      <c r="E603" t="s">
        <v>1992</v>
      </c>
      <c r="F603" t="s">
        <v>1993</v>
      </c>
      <c r="G603" t="s">
        <v>1968</v>
      </c>
      <c r="H603" t="s">
        <v>1257</v>
      </c>
      <c r="I603" t="s">
        <v>839</v>
      </c>
      <c r="J603" t="s">
        <v>343</v>
      </c>
      <c r="K603" t="s">
        <v>46</v>
      </c>
      <c r="L603">
        <v>237.72</v>
      </c>
      <c r="M603" s="1">
        <v>45919</v>
      </c>
      <c r="N603" t="s">
        <v>79</v>
      </c>
      <c r="O603">
        <v>19</v>
      </c>
      <c r="P603">
        <v>9</v>
      </c>
      <c r="Q603">
        <v>3</v>
      </c>
      <c r="R603">
        <v>2025</v>
      </c>
    </row>
    <row r="604" spans="1:18">
      <c r="A604">
        <v>122.08</v>
      </c>
      <c r="B604">
        <v>1</v>
      </c>
      <c r="C604">
        <v>603</v>
      </c>
      <c r="D604" s="2">
        <v>0.75494365740740743</v>
      </c>
      <c r="E604" t="s">
        <v>1563</v>
      </c>
      <c r="F604" t="s">
        <v>1564</v>
      </c>
      <c r="G604" t="s">
        <v>1565</v>
      </c>
      <c r="H604" t="s">
        <v>1566</v>
      </c>
      <c r="I604" t="s">
        <v>763</v>
      </c>
      <c r="J604" t="s">
        <v>646</v>
      </c>
      <c r="K604" t="s">
        <v>21</v>
      </c>
      <c r="L604">
        <v>122.08</v>
      </c>
      <c r="M604" s="1">
        <v>45940</v>
      </c>
      <c r="N604" t="s">
        <v>79</v>
      </c>
      <c r="O604">
        <v>10</v>
      </c>
      <c r="P604">
        <v>10</v>
      </c>
      <c r="Q604">
        <v>4</v>
      </c>
      <c r="R604">
        <v>2025</v>
      </c>
    </row>
    <row r="605" spans="1:18">
      <c r="A605">
        <v>732.72</v>
      </c>
      <c r="B605">
        <v>3</v>
      </c>
      <c r="C605">
        <v>604</v>
      </c>
      <c r="D605" s="2">
        <v>0.65101201388888885</v>
      </c>
      <c r="E605" t="s">
        <v>3007</v>
      </c>
      <c r="F605" t="s">
        <v>3008</v>
      </c>
      <c r="G605" t="s">
        <v>1053</v>
      </c>
      <c r="H605" t="s">
        <v>113</v>
      </c>
      <c r="I605" t="s">
        <v>854</v>
      </c>
      <c r="J605" t="s">
        <v>61</v>
      </c>
      <c r="K605" t="s">
        <v>55</v>
      </c>
      <c r="L605">
        <v>244.24</v>
      </c>
      <c r="M605" s="1">
        <v>45774</v>
      </c>
      <c r="N605" t="s">
        <v>28</v>
      </c>
      <c r="O605">
        <v>27</v>
      </c>
      <c r="P605">
        <v>4</v>
      </c>
      <c r="Q605">
        <v>2</v>
      </c>
      <c r="R605">
        <v>2025</v>
      </c>
    </row>
    <row r="606" spans="1:18">
      <c r="A606">
        <v>30.58</v>
      </c>
      <c r="B606">
        <v>1</v>
      </c>
      <c r="C606">
        <v>605</v>
      </c>
      <c r="D606" s="2">
        <v>2.5456180555555555E-2</v>
      </c>
      <c r="E606" t="s">
        <v>3095</v>
      </c>
      <c r="F606" t="s">
        <v>3096</v>
      </c>
      <c r="G606" t="s">
        <v>3097</v>
      </c>
      <c r="H606" t="s">
        <v>1092</v>
      </c>
      <c r="I606" t="s">
        <v>763</v>
      </c>
      <c r="J606" t="s">
        <v>574</v>
      </c>
      <c r="K606" t="s">
        <v>19</v>
      </c>
      <c r="L606">
        <v>30.58</v>
      </c>
      <c r="M606" s="1">
        <v>45877</v>
      </c>
      <c r="N606" t="s">
        <v>79</v>
      </c>
      <c r="O606">
        <v>8</v>
      </c>
      <c r="P606">
        <v>8</v>
      </c>
      <c r="Q606">
        <v>3</v>
      </c>
      <c r="R606">
        <v>2025</v>
      </c>
    </row>
    <row r="607" spans="1:18">
      <c r="A607">
        <v>627.79999999999995</v>
      </c>
      <c r="B607">
        <v>5</v>
      </c>
      <c r="C607">
        <v>606</v>
      </c>
      <c r="D607" s="2">
        <v>0.45693068287037036</v>
      </c>
      <c r="E607" t="s">
        <v>947</v>
      </c>
      <c r="F607" t="s">
        <v>948</v>
      </c>
      <c r="G607" t="s">
        <v>949</v>
      </c>
      <c r="H607" t="s">
        <v>392</v>
      </c>
      <c r="I607" t="s">
        <v>834</v>
      </c>
      <c r="J607" t="s">
        <v>87</v>
      </c>
      <c r="K607" t="s">
        <v>39</v>
      </c>
      <c r="L607">
        <v>125.56</v>
      </c>
      <c r="M607" s="1">
        <v>45872</v>
      </c>
      <c r="N607" t="s">
        <v>28</v>
      </c>
      <c r="O607">
        <v>3</v>
      </c>
      <c r="P607">
        <v>8</v>
      </c>
      <c r="Q607">
        <v>3</v>
      </c>
      <c r="R607">
        <v>2025</v>
      </c>
    </row>
    <row r="608" spans="1:18">
      <c r="A608">
        <v>1170.1500000000001</v>
      </c>
      <c r="B608">
        <v>5</v>
      </c>
      <c r="C608">
        <v>607</v>
      </c>
      <c r="D608" s="2">
        <v>7.5148379629629627E-2</v>
      </c>
      <c r="E608" t="s">
        <v>1333</v>
      </c>
      <c r="F608" t="s">
        <v>1334</v>
      </c>
      <c r="G608" t="s">
        <v>1335</v>
      </c>
      <c r="H608" t="s">
        <v>1302</v>
      </c>
      <c r="I608" t="s">
        <v>786</v>
      </c>
      <c r="J608" t="s">
        <v>215</v>
      </c>
      <c r="K608" t="s">
        <v>51</v>
      </c>
      <c r="L608">
        <v>234.03</v>
      </c>
      <c r="M608" s="1">
        <v>46178</v>
      </c>
      <c r="N608" t="s">
        <v>79</v>
      </c>
      <c r="O608">
        <v>5</v>
      </c>
      <c r="P608">
        <v>6</v>
      </c>
      <c r="Q608">
        <v>2</v>
      </c>
      <c r="R608">
        <v>2026</v>
      </c>
    </row>
    <row r="609" spans="1:18">
      <c r="A609">
        <v>1225.05</v>
      </c>
      <c r="B609">
        <v>5</v>
      </c>
      <c r="C609">
        <v>608</v>
      </c>
      <c r="D609" s="2">
        <v>0.93401318287037038</v>
      </c>
      <c r="E609" t="s">
        <v>3318</v>
      </c>
      <c r="F609" t="s">
        <v>3319</v>
      </c>
      <c r="G609" t="s">
        <v>1345</v>
      </c>
      <c r="H609" t="s">
        <v>1306</v>
      </c>
      <c r="I609" t="s">
        <v>966</v>
      </c>
      <c r="J609" t="s">
        <v>53</v>
      </c>
      <c r="K609" t="s">
        <v>43</v>
      </c>
      <c r="L609">
        <v>245.01</v>
      </c>
      <c r="M609" s="1">
        <v>45910</v>
      </c>
      <c r="N609" t="s">
        <v>34</v>
      </c>
      <c r="O609">
        <v>10</v>
      </c>
      <c r="P609">
        <v>9</v>
      </c>
      <c r="Q609">
        <v>3</v>
      </c>
      <c r="R609">
        <v>2025</v>
      </c>
    </row>
    <row r="610" spans="1:18">
      <c r="A610">
        <v>225.73</v>
      </c>
      <c r="B610">
        <v>1</v>
      </c>
      <c r="C610">
        <v>609</v>
      </c>
      <c r="D610" s="2">
        <v>0.82522278935185189</v>
      </c>
      <c r="E610" t="s">
        <v>1974</v>
      </c>
      <c r="F610" t="s">
        <v>1975</v>
      </c>
      <c r="G610" t="s">
        <v>1976</v>
      </c>
      <c r="H610" t="s">
        <v>806</v>
      </c>
      <c r="I610" t="s">
        <v>807</v>
      </c>
      <c r="J610" t="s">
        <v>444</v>
      </c>
      <c r="K610" t="s">
        <v>37</v>
      </c>
      <c r="L610">
        <v>225.73</v>
      </c>
      <c r="M610" s="1">
        <v>46149</v>
      </c>
      <c r="N610" t="s">
        <v>105</v>
      </c>
      <c r="O610">
        <v>7</v>
      </c>
      <c r="P610">
        <v>5</v>
      </c>
      <c r="Q610">
        <v>2</v>
      </c>
      <c r="R610">
        <v>2026</v>
      </c>
    </row>
    <row r="611" spans="1:18">
      <c r="A611">
        <v>62.22</v>
      </c>
      <c r="B611">
        <v>3</v>
      </c>
      <c r="C611">
        <v>610</v>
      </c>
      <c r="D611" s="2">
        <v>8.3068865740740742E-3</v>
      </c>
      <c r="E611" t="s">
        <v>1399</v>
      </c>
      <c r="F611" t="s">
        <v>1400</v>
      </c>
      <c r="G611" t="s">
        <v>922</v>
      </c>
      <c r="H611" t="s">
        <v>1401</v>
      </c>
      <c r="I611" t="s">
        <v>943</v>
      </c>
      <c r="J611" t="s">
        <v>70</v>
      </c>
      <c r="K611" t="s">
        <v>27</v>
      </c>
      <c r="L611">
        <v>20.74</v>
      </c>
      <c r="M611" s="1">
        <v>45614</v>
      </c>
      <c r="N611" t="s">
        <v>93</v>
      </c>
      <c r="O611">
        <v>18</v>
      </c>
      <c r="P611">
        <v>11</v>
      </c>
      <c r="Q611">
        <v>4</v>
      </c>
      <c r="R611">
        <v>2024</v>
      </c>
    </row>
    <row r="612" spans="1:18">
      <c r="A612">
        <v>121.94</v>
      </c>
      <c r="B612">
        <v>1</v>
      </c>
      <c r="C612">
        <v>611</v>
      </c>
      <c r="D612" s="2">
        <v>0.14775270833333334</v>
      </c>
      <c r="E612" t="s">
        <v>3046</v>
      </c>
      <c r="F612" t="s">
        <v>3047</v>
      </c>
      <c r="G612" t="s">
        <v>2513</v>
      </c>
      <c r="H612" t="s">
        <v>829</v>
      </c>
      <c r="I612" t="s">
        <v>830</v>
      </c>
      <c r="J612" t="s">
        <v>245</v>
      </c>
      <c r="K612" t="s">
        <v>43</v>
      </c>
      <c r="L612">
        <v>121.94</v>
      </c>
      <c r="M612" s="1">
        <v>45799</v>
      </c>
      <c r="N612" t="s">
        <v>105</v>
      </c>
      <c r="O612">
        <v>22</v>
      </c>
      <c r="P612">
        <v>5</v>
      </c>
      <c r="Q612">
        <v>2</v>
      </c>
      <c r="R612">
        <v>2025</v>
      </c>
    </row>
    <row r="613" spans="1:18">
      <c r="A613">
        <v>84.72</v>
      </c>
      <c r="B613">
        <v>4</v>
      </c>
      <c r="C613">
        <v>612</v>
      </c>
      <c r="D613" s="2">
        <v>0.25285693287037037</v>
      </c>
      <c r="E613" t="s">
        <v>2452</v>
      </c>
      <c r="F613" t="s">
        <v>1151</v>
      </c>
      <c r="G613" t="s">
        <v>875</v>
      </c>
      <c r="H613" t="s">
        <v>1236</v>
      </c>
      <c r="I613" t="s">
        <v>807</v>
      </c>
      <c r="J613" t="s">
        <v>530</v>
      </c>
      <c r="K613" t="s">
        <v>37</v>
      </c>
      <c r="L613">
        <v>21.18</v>
      </c>
      <c r="M613" s="1">
        <v>46023</v>
      </c>
      <c r="N613" t="s">
        <v>105</v>
      </c>
      <c r="O613">
        <v>1</v>
      </c>
      <c r="P613">
        <v>1</v>
      </c>
      <c r="Q613">
        <v>1</v>
      </c>
      <c r="R613">
        <v>2026</v>
      </c>
    </row>
    <row r="614" spans="1:18">
      <c r="A614">
        <v>56.53</v>
      </c>
      <c r="B614">
        <v>1</v>
      </c>
      <c r="C614">
        <v>613</v>
      </c>
      <c r="D614" s="2">
        <v>0.99739615740740739</v>
      </c>
      <c r="E614" t="s">
        <v>2541</v>
      </c>
      <c r="F614" t="s">
        <v>2542</v>
      </c>
      <c r="G614" t="s">
        <v>1545</v>
      </c>
      <c r="H614" t="s">
        <v>1199</v>
      </c>
      <c r="I614" t="s">
        <v>839</v>
      </c>
      <c r="J614" t="s">
        <v>123</v>
      </c>
      <c r="K614" t="s">
        <v>43</v>
      </c>
      <c r="L614">
        <v>56.53</v>
      </c>
      <c r="M614" s="1">
        <v>45797</v>
      </c>
      <c r="N614" t="s">
        <v>48</v>
      </c>
      <c r="O614">
        <v>20</v>
      </c>
      <c r="P614">
        <v>5</v>
      </c>
      <c r="Q614">
        <v>2</v>
      </c>
      <c r="R614">
        <v>2025</v>
      </c>
    </row>
    <row r="615" spans="1:18">
      <c r="A615">
        <v>84.03</v>
      </c>
      <c r="B615">
        <v>3</v>
      </c>
      <c r="C615">
        <v>614</v>
      </c>
      <c r="D615" s="2">
        <v>0.1174416087962963</v>
      </c>
      <c r="E615" t="s">
        <v>2861</v>
      </c>
      <c r="F615" t="s">
        <v>2862</v>
      </c>
      <c r="G615" t="s">
        <v>1642</v>
      </c>
      <c r="H615" t="s">
        <v>2468</v>
      </c>
      <c r="I615" t="s">
        <v>763</v>
      </c>
      <c r="J615" t="s">
        <v>463</v>
      </c>
      <c r="K615" t="s">
        <v>43</v>
      </c>
      <c r="L615">
        <v>28.01</v>
      </c>
      <c r="M615" s="1">
        <v>45736</v>
      </c>
      <c r="N615" t="s">
        <v>105</v>
      </c>
      <c r="O615">
        <v>20</v>
      </c>
      <c r="P615">
        <v>3</v>
      </c>
      <c r="Q615">
        <v>1</v>
      </c>
      <c r="R615">
        <v>2025</v>
      </c>
    </row>
    <row r="616" spans="1:18">
      <c r="A616">
        <v>90.24</v>
      </c>
      <c r="B616">
        <v>4</v>
      </c>
      <c r="C616">
        <v>615</v>
      </c>
      <c r="D616" s="2">
        <v>0.38106229166666666</v>
      </c>
      <c r="E616" t="s">
        <v>1144</v>
      </c>
      <c r="F616" t="s">
        <v>1145</v>
      </c>
      <c r="G616" t="s">
        <v>1146</v>
      </c>
      <c r="H616" t="s">
        <v>1128</v>
      </c>
      <c r="I616" t="s">
        <v>954</v>
      </c>
      <c r="J616" t="s">
        <v>371</v>
      </c>
      <c r="K616" t="s">
        <v>21</v>
      </c>
      <c r="L616">
        <v>22.56</v>
      </c>
      <c r="M616" s="1">
        <v>45757</v>
      </c>
      <c r="N616" t="s">
        <v>105</v>
      </c>
      <c r="O616">
        <v>10</v>
      </c>
      <c r="P616">
        <v>4</v>
      </c>
      <c r="Q616">
        <v>2</v>
      </c>
      <c r="R616">
        <v>2025</v>
      </c>
    </row>
    <row r="617" spans="1:18">
      <c r="A617">
        <v>9.01</v>
      </c>
      <c r="B617">
        <v>1</v>
      </c>
      <c r="C617">
        <v>616</v>
      </c>
      <c r="D617" s="2">
        <v>0.97584811342592592</v>
      </c>
      <c r="E617" t="s">
        <v>1233</v>
      </c>
      <c r="F617" t="s">
        <v>1234</v>
      </c>
      <c r="G617" t="s">
        <v>1235</v>
      </c>
      <c r="H617" t="s">
        <v>1236</v>
      </c>
      <c r="I617" t="s">
        <v>807</v>
      </c>
      <c r="J617" t="s">
        <v>455</v>
      </c>
      <c r="K617" t="s">
        <v>69</v>
      </c>
      <c r="L617">
        <v>9.01</v>
      </c>
      <c r="M617" s="1">
        <v>45908</v>
      </c>
      <c r="N617" t="s">
        <v>93</v>
      </c>
      <c r="O617">
        <v>8</v>
      </c>
      <c r="P617">
        <v>9</v>
      </c>
      <c r="Q617">
        <v>3</v>
      </c>
      <c r="R617">
        <v>2025</v>
      </c>
    </row>
    <row r="618" spans="1:18">
      <c r="A618">
        <v>24.88</v>
      </c>
      <c r="B618">
        <v>2</v>
      </c>
      <c r="C618">
        <v>617</v>
      </c>
      <c r="D618" s="2">
        <v>0.62705689814814813</v>
      </c>
      <c r="E618" t="s">
        <v>2342</v>
      </c>
      <c r="F618" t="s">
        <v>2343</v>
      </c>
      <c r="G618" t="s">
        <v>211</v>
      </c>
      <c r="H618" t="s">
        <v>1206</v>
      </c>
      <c r="I618" t="s">
        <v>943</v>
      </c>
      <c r="J618" t="s">
        <v>310</v>
      </c>
      <c r="K618" t="s">
        <v>60</v>
      </c>
      <c r="L618">
        <v>12.44</v>
      </c>
      <c r="M618" s="1">
        <v>45994</v>
      </c>
      <c r="N618" t="s">
        <v>34</v>
      </c>
      <c r="O618">
        <v>3</v>
      </c>
      <c r="P618">
        <v>12</v>
      </c>
      <c r="Q618">
        <v>4</v>
      </c>
      <c r="R618">
        <v>2025</v>
      </c>
    </row>
    <row r="619" spans="1:18">
      <c r="A619">
        <v>507.8</v>
      </c>
      <c r="B619">
        <v>5</v>
      </c>
      <c r="C619">
        <v>618</v>
      </c>
      <c r="D619" s="2">
        <v>0.77644320601851857</v>
      </c>
      <c r="E619" t="s">
        <v>2159</v>
      </c>
      <c r="F619" t="s">
        <v>2160</v>
      </c>
      <c r="G619" t="s">
        <v>1559</v>
      </c>
      <c r="H619" t="s">
        <v>919</v>
      </c>
      <c r="I619" t="s">
        <v>786</v>
      </c>
      <c r="J619" t="s">
        <v>426</v>
      </c>
      <c r="K619" t="s">
        <v>37</v>
      </c>
      <c r="L619">
        <v>101.56</v>
      </c>
      <c r="M619" s="1">
        <v>45892</v>
      </c>
      <c r="N619" t="s">
        <v>14</v>
      </c>
      <c r="O619">
        <v>23</v>
      </c>
      <c r="P619">
        <v>8</v>
      </c>
      <c r="Q619">
        <v>3</v>
      </c>
      <c r="R619">
        <v>2025</v>
      </c>
    </row>
    <row r="620" spans="1:18">
      <c r="A620">
        <v>107.03</v>
      </c>
      <c r="B620">
        <v>1</v>
      </c>
      <c r="C620">
        <v>619</v>
      </c>
      <c r="D620" s="2">
        <v>0.19789284722222222</v>
      </c>
      <c r="E620" t="s">
        <v>3148</v>
      </c>
      <c r="F620" t="s">
        <v>3149</v>
      </c>
      <c r="G620" t="s">
        <v>1709</v>
      </c>
      <c r="H620" t="s">
        <v>691</v>
      </c>
      <c r="I620" t="s">
        <v>776</v>
      </c>
      <c r="J620" t="s">
        <v>529</v>
      </c>
      <c r="K620" t="s">
        <v>37</v>
      </c>
      <c r="L620">
        <v>107.03</v>
      </c>
      <c r="M620" s="1">
        <v>45622</v>
      </c>
      <c r="N620" t="s">
        <v>48</v>
      </c>
      <c r="O620">
        <v>26</v>
      </c>
      <c r="P620">
        <v>11</v>
      </c>
      <c r="Q620">
        <v>4</v>
      </c>
      <c r="R620">
        <v>2024</v>
      </c>
    </row>
    <row r="621" spans="1:18">
      <c r="A621">
        <v>23.24</v>
      </c>
      <c r="B621">
        <v>1</v>
      </c>
      <c r="C621">
        <v>620</v>
      </c>
      <c r="D621" s="2">
        <v>0.20348300925925925</v>
      </c>
      <c r="E621" t="s">
        <v>3242</v>
      </c>
      <c r="F621" t="s">
        <v>3243</v>
      </c>
      <c r="G621" t="s">
        <v>861</v>
      </c>
      <c r="H621" t="s">
        <v>961</v>
      </c>
      <c r="I621" t="s">
        <v>807</v>
      </c>
      <c r="J621" t="s">
        <v>738</v>
      </c>
      <c r="K621" t="s">
        <v>27</v>
      </c>
      <c r="L621">
        <v>23.24</v>
      </c>
      <c r="M621" s="1">
        <v>45999</v>
      </c>
      <c r="N621" t="s">
        <v>93</v>
      </c>
      <c r="O621">
        <v>8</v>
      </c>
      <c r="P621">
        <v>12</v>
      </c>
      <c r="Q621">
        <v>4</v>
      </c>
      <c r="R621">
        <v>2025</v>
      </c>
    </row>
    <row r="622" spans="1:18">
      <c r="A622">
        <v>979.32</v>
      </c>
      <c r="B622">
        <v>4</v>
      </c>
      <c r="C622">
        <v>621</v>
      </c>
      <c r="D622" s="2">
        <v>0.21654641203703703</v>
      </c>
      <c r="E622" t="s">
        <v>1814</v>
      </c>
      <c r="F622" t="s">
        <v>1815</v>
      </c>
      <c r="G622" t="s">
        <v>824</v>
      </c>
      <c r="H622" t="s">
        <v>757</v>
      </c>
      <c r="I622" t="s">
        <v>758</v>
      </c>
      <c r="J622" t="s">
        <v>589</v>
      </c>
      <c r="K622" t="s">
        <v>46</v>
      </c>
      <c r="L622">
        <v>244.83</v>
      </c>
      <c r="M622" s="1">
        <v>45970</v>
      </c>
      <c r="N622" t="s">
        <v>28</v>
      </c>
      <c r="O622">
        <v>9</v>
      </c>
      <c r="P622">
        <v>11</v>
      </c>
      <c r="Q622">
        <v>4</v>
      </c>
      <c r="R622">
        <v>2025</v>
      </c>
    </row>
    <row r="623" spans="1:18">
      <c r="A623">
        <v>83.92</v>
      </c>
      <c r="B623">
        <v>4</v>
      </c>
      <c r="C623">
        <v>622</v>
      </c>
      <c r="D623" s="2">
        <v>0.96196917824074069</v>
      </c>
      <c r="E623" t="s">
        <v>1422</v>
      </c>
      <c r="F623" t="s">
        <v>1423</v>
      </c>
      <c r="G623" t="s">
        <v>1424</v>
      </c>
      <c r="H623" t="s">
        <v>1039</v>
      </c>
      <c r="I623" t="s">
        <v>758</v>
      </c>
      <c r="J623" t="s">
        <v>456</v>
      </c>
      <c r="K623" t="s">
        <v>19</v>
      </c>
      <c r="L623">
        <v>20.98</v>
      </c>
      <c r="M623" s="1">
        <v>45800</v>
      </c>
      <c r="N623" t="s">
        <v>79</v>
      </c>
      <c r="O623">
        <v>23</v>
      </c>
      <c r="P623">
        <v>5</v>
      </c>
      <c r="Q623">
        <v>2</v>
      </c>
      <c r="R623">
        <v>2025</v>
      </c>
    </row>
    <row r="624" spans="1:18">
      <c r="A624">
        <v>544.04999999999995</v>
      </c>
      <c r="B624">
        <v>5</v>
      </c>
      <c r="C624">
        <v>623</v>
      </c>
      <c r="D624" s="2">
        <v>0.48030494212962965</v>
      </c>
      <c r="E624" t="s">
        <v>2142</v>
      </c>
      <c r="F624" t="s">
        <v>2143</v>
      </c>
      <c r="G624" t="s">
        <v>2007</v>
      </c>
      <c r="H624" t="s">
        <v>1017</v>
      </c>
      <c r="I624" t="s">
        <v>966</v>
      </c>
      <c r="J624" t="s">
        <v>453</v>
      </c>
      <c r="K624" t="s">
        <v>55</v>
      </c>
      <c r="L624">
        <v>108.81</v>
      </c>
      <c r="M624" s="1">
        <v>45785</v>
      </c>
      <c r="N624" t="s">
        <v>105</v>
      </c>
      <c r="O624">
        <v>8</v>
      </c>
      <c r="P624">
        <v>5</v>
      </c>
      <c r="Q624">
        <v>2</v>
      </c>
      <c r="R624">
        <v>2025</v>
      </c>
    </row>
    <row r="625" spans="1:18">
      <c r="A625">
        <v>228.74</v>
      </c>
      <c r="B625">
        <v>1</v>
      </c>
      <c r="C625">
        <v>624</v>
      </c>
      <c r="D625" s="2">
        <v>0.53580271990740735</v>
      </c>
      <c r="E625" t="s">
        <v>2393</v>
      </c>
      <c r="F625" t="s">
        <v>2394</v>
      </c>
      <c r="G625" t="s">
        <v>1348</v>
      </c>
      <c r="H625" t="s">
        <v>113</v>
      </c>
      <c r="I625" t="s">
        <v>1247</v>
      </c>
      <c r="J625" t="s">
        <v>566</v>
      </c>
      <c r="K625" t="s">
        <v>69</v>
      </c>
      <c r="L625">
        <v>228.74</v>
      </c>
      <c r="M625" s="1">
        <v>45853</v>
      </c>
      <c r="N625" t="s">
        <v>48</v>
      </c>
      <c r="O625">
        <v>15</v>
      </c>
      <c r="P625">
        <v>7</v>
      </c>
      <c r="Q625">
        <v>3</v>
      </c>
      <c r="R625">
        <v>2025</v>
      </c>
    </row>
    <row r="626" spans="1:18">
      <c r="A626">
        <v>5.05</v>
      </c>
      <c r="B626">
        <v>1</v>
      </c>
      <c r="C626">
        <v>625</v>
      </c>
      <c r="D626" s="2">
        <v>6.9966064814814821E-2</v>
      </c>
      <c r="E626" t="s">
        <v>2618</v>
      </c>
      <c r="F626" t="s">
        <v>2619</v>
      </c>
      <c r="G626" t="s">
        <v>1025</v>
      </c>
      <c r="H626" t="s">
        <v>2044</v>
      </c>
      <c r="I626" t="s">
        <v>748</v>
      </c>
      <c r="J626" t="s">
        <v>182</v>
      </c>
      <c r="K626" t="s">
        <v>39</v>
      </c>
      <c r="L626">
        <v>5.05</v>
      </c>
      <c r="M626" s="1">
        <v>45946</v>
      </c>
      <c r="N626" t="s">
        <v>105</v>
      </c>
      <c r="O626">
        <v>16</v>
      </c>
      <c r="P626">
        <v>10</v>
      </c>
      <c r="Q626">
        <v>4</v>
      </c>
      <c r="R626">
        <v>2025</v>
      </c>
    </row>
    <row r="627" spans="1:18">
      <c r="A627">
        <v>259.94</v>
      </c>
      <c r="B627">
        <v>2</v>
      </c>
      <c r="C627">
        <v>626</v>
      </c>
      <c r="D627" s="2">
        <v>0.82445366898148154</v>
      </c>
      <c r="E627" t="s">
        <v>2941</v>
      </c>
      <c r="F627" t="s">
        <v>2942</v>
      </c>
      <c r="G627" t="s">
        <v>2566</v>
      </c>
      <c r="H627" t="s">
        <v>1415</v>
      </c>
      <c r="I627" t="s">
        <v>812</v>
      </c>
      <c r="J627" t="s">
        <v>263</v>
      </c>
      <c r="K627" t="s">
        <v>60</v>
      </c>
      <c r="L627">
        <v>129.97</v>
      </c>
      <c r="M627" s="1">
        <v>45764</v>
      </c>
      <c r="N627" t="s">
        <v>105</v>
      </c>
      <c r="O627">
        <v>17</v>
      </c>
      <c r="P627">
        <v>4</v>
      </c>
      <c r="Q627">
        <v>2</v>
      </c>
      <c r="R627">
        <v>2025</v>
      </c>
    </row>
    <row r="628" spans="1:18">
      <c r="A628">
        <v>169.20000000000002</v>
      </c>
      <c r="B628">
        <v>5</v>
      </c>
      <c r="C628">
        <v>627</v>
      </c>
      <c r="D628" s="2">
        <v>0.758748125</v>
      </c>
      <c r="E628" t="s">
        <v>2805</v>
      </c>
      <c r="F628" t="s">
        <v>2806</v>
      </c>
      <c r="G628" t="s">
        <v>2141</v>
      </c>
      <c r="H628" t="s">
        <v>995</v>
      </c>
      <c r="I628" t="s">
        <v>781</v>
      </c>
      <c r="J628" t="s">
        <v>692</v>
      </c>
      <c r="K628" t="s">
        <v>69</v>
      </c>
      <c r="L628">
        <v>33.840000000000003</v>
      </c>
      <c r="M628" s="1">
        <v>45703</v>
      </c>
      <c r="N628" t="s">
        <v>14</v>
      </c>
      <c r="O628">
        <v>15</v>
      </c>
      <c r="P628">
        <v>2</v>
      </c>
      <c r="Q628">
        <v>1</v>
      </c>
      <c r="R628">
        <v>2025</v>
      </c>
    </row>
    <row r="629" spans="1:18">
      <c r="A629">
        <v>124.36</v>
      </c>
      <c r="B629">
        <v>2</v>
      </c>
      <c r="C629">
        <v>628</v>
      </c>
      <c r="D629" s="2">
        <v>0.97702958333333334</v>
      </c>
      <c r="E629" t="s">
        <v>1877</v>
      </c>
      <c r="F629" t="s">
        <v>1878</v>
      </c>
      <c r="G629" t="s">
        <v>1380</v>
      </c>
      <c r="H629" t="s">
        <v>932</v>
      </c>
      <c r="I629" t="s">
        <v>776</v>
      </c>
      <c r="J629" t="s">
        <v>276</v>
      </c>
      <c r="K629" t="s">
        <v>57</v>
      </c>
      <c r="L629">
        <v>62.18</v>
      </c>
      <c r="M629" s="1">
        <v>46096</v>
      </c>
      <c r="N629" t="s">
        <v>28</v>
      </c>
      <c r="O629">
        <v>15</v>
      </c>
      <c r="P629">
        <v>3</v>
      </c>
      <c r="Q629">
        <v>1</v>
      </c>
      <c r="R629">
        <v>2026</v>
      </c>
    </row>
    <row r="630" spans="1:18">
      <c r="A630">
        <v>693.08</v>
      </c>
      <c r="B630">
        <v>4</v>
      </c>
      <c r="C630">
        <v>629</v>
      </c>
      <c r="D630" s="2">
        <v>0.42419461805555553</v>
      </c>
      <c r="E630" t="s">
        <v>1223</v>
      </c>
      <c r="F630" t="s">
        <v>1224</v>
      </c>
      <c r="G630" t="s">
        <v>1225</v>
      </c>
      <c r="H630" t="s">
        <v>644</v>
      </c>
      <c r="I630" t="s">
        <v>748</v>
      </c>
      <c r="J630" t="s">
        <v>185</v>
      </c>
      <c r="K630" t="s">
        <v>57</v>
      </c>
      <c r="L630">
        <v>173.27</v>
      </c>
      <c r="M630" s="1">
        <v>46099</v>
      </c>
      <c r="N630" t="s">
        <v>34</v>
      </c>
      <c r="O630">
        <v>18</v>
      </c>
      <c r="P630">
        <v>3</v>
      </c>
      <c r="Q630">
        <v>1</v>
      </c>
      <c r="R630">
        <v>2026</v>
      </c>
    </row>
    <row r="631" spans="1:18">
      <c r="A631">
        <v>438.02</v>
      </c>
      <c r="B631">
        <v>2</v>
      </c>
      <c r="C631">
        <v>630</v>
      </c>
      <c r="D631" s="2">
        <v>6.1176932870370369E-2</v>
      </c>
      <c r="E631" t="s">
        <v>2189</v>
      </c>
      <c r="F631" t="s">
        <v>2190</v>
      </c>
      <c r="G631" t="s">
        <v>2191</v>
      </c>
      <c r="H631" t="s">
        <v>1410</v>
      </c>
      <c r="I631" t="s">
        <v>812</v>
      </c>
      <c r="J631" t="s">
        <v>279</v>
      </c>
      <c r="K631" t="s">
        <v>82</v>
      </c>
      <c r="L631">
        <v>219.01</v>
      </c>
      <c r="M631" s="1">
        <v>45965</v>
      </c>
      <c r="N631" t="s">
        <v>48</v>
      </c>
      <c r="O631">
        <v>4</v>
      </c>
      <c r="P631">
        <v>11</v>
      </c>
      <c r="Q631">
        <v>4</v>
      </c>
      <c r="R631">
        <v>2025</v>
      </c>
    </row>
    <row r="632" spans="1:18">
      <c r="A632">
        <v>674.95</v>
      </c>
      <c r="B632">
        <v>5</v>
      </c>
      <c r="C632">
        <v>631</v>
      </c>
      <c r="D632" s="2">
        <v>0.91675997685185184</v>
      </c>
      <c r="E632" t="s">
        <v>2561</v>
      </c>
      <c r="F632" t="s">
        <v>2562</v>
      </c>
      <c r="G632" t="s">
        <v>2563</v>
      </c>
      <c r="H632" t="s">
        <v>691</v>
      </c>
      <c r="I632" t="s">
        <v>776</v>
      </c>
      <c r="J632" t="s">
        <v>428</v>
      </c>
      <c r="K632" t="s">
        <v>31</v>
      </c>
      <c r="L632">
        <v>134.99</v>
      </c>
      <c r="M632" s="1">
        <v>46017</v>
      </c>
      <c r="N632" t="s">
        <v>79</v>
      </c>
      <c r="O632">
        <v>26</v>
      </c>
      <c r="P632">
        <v>12</v>
      </c>
      <c r="Q632">
        <v>4</v>
      </c>
      <c r="R632">
        <v>2025</v>
      </c>
    </row>
    <row r="633" spans="1:18">
      <c r="A633">
        <v>199.78</v>
      </c>
      <c r="B633">
        <v>1</v>
      </c>
      <c r="C633">
        <v>632</v>
      </c>
      <c r="D633" s="2">
        <v>0.11177131944444445</v>
      </c>
      <c r="E633" t="s">
        <v>791</v>
      </c>
      <c r="F633" t="s">
        <v>792</v>
      </c>
      <c r="G633" t="s">
        <v>793</v>
      </c>
      <c r="H633" t="s">
        <v>794</v>
      </c>
      <c r="I633" t="s">
        <v>795</v>
      </c>
      <c r="J633" t="s">
        <v>520</v>
      </c>
      <c r="K633" t="s">
        <v>122</v>
      </c>
      <c r="L633">
        <v>199.78</v>
      </c>
      <c r="M633" s="1">
        <v>45818</v>
      </c>
      <c r="N633" t="s">
        <v>48</v>
      </c>
      <c r="O633">
        <v>10</v>
      </c>
      <c r="P633">
        <v>6</v>
      </c>
      <c r="Q633">
        <v>2</v>
      </c>
      <c r="R633">
        <v>2025</v>
      </c>
    </row>
    <row r="634" spans="1:18">
      <c r="A634">
        <v>640.84999999999991</v>
      </c>
      <c r="B634">
        <v>5</v>
      </c>
      <c r="C634">
        <v>633</v>
      </c>
      <c r="D634" s="2">
        <v>5.0727974537037035E-2</v>
      </c>
      <c r="E634" t="s">
        <v>1431</v>
      </c>
      <c r="F634" t="s">
        <v>1432</v>
      </c>
      <c r="G634" t="s">
        <v>1433</v>
      </c>
      <c r="H634" t="s">
        <v>1434</v>
      </c>
      <c r="I634" t="s">
        <v>786</v>
      </c>
      <c r="J634" t="s">
        <v>487</v>
      </c>
      <c r="K634" t="s">
        <v>19</v>
      </c>
      <c r="L634">
        <v>128.16999999999999</v>
      </c>
      <c r="M634" s="1">
        <v>46075</v>
      </c>
      <c r="N634" t="s">
        <v>28</v>
      </c>
      <c r="O634">
        <v>22</v>
      </c>
      <c r="P634">
        <v>2</v>
      </c>
      <c r="Q634">
        <v>1</v>
      </c>
      <c r="R634">
        <v>2026</v>
      </c>
    </row>
    <row r="635" spans="1:18">
      <c r="A635">
        <v>227.94</v>
      </c>
      <c r="B635">
        <v>3</v>
      </c>
      <c r="C635">
        <v>634</v>
      </c>
      <c r="D635" s="2">
        <v>0.81373064814814811</v>
      </c>
      <c r="E635" t="s">
        <v>1251</v>
      </c>
      <c r="F635" t="s">
        <v>1252</v>
      </c>
      <c r="G635" t="s">
        <v>1253</v>
      </c>
      <c r="H635" t="s">
        <v>1254</v>
      </c>
      <c r="I635" t="s">
        <v>781</v>
      </c>
      <c r="J635" t="s">
        <v>313</v>
      </c>
      <c r="K635" t="s">
        <v>31</v>
      </c>
      <c r="L635">
        <v>75.98</v>
      </c>
      <c r="M635" s="1">
        <v>45876</v>
      </c>
      <c r="N635" t="s">
        <v>105</v>
      </c>
      <c r="O635">
        <v>7</v>
      </c>
      <c r="P635">
        <v>8</v>
      </c>
      <c r="Q635">
        <v>3</v>
      </c>
      <c r="R635">
        <v>2025</v>
      </c>
    </row>
    <row r="636" spans="1:18">
      <c r="A636">
        <v>104.56</v>
      </c>
      <c r="B636">
        <v>2</v>
      </c>
      <c r="C636">
        <v>635</v>
      </c>
      <c r="D636" s="2">
        <v>0.75175984953703701</v>
      </c>
      <c r="E636" t="s">
        <v>2912</v>
      </c>
      <c r="F636" t="s">
        <v>2913</v>
      </c>
      <c r="G636" t="s">
        <v>1657</v>
      </c>
      <c r="H636" t="s">
        <v>907</v>
      </c>
      <c r="I636" t="s">
        <v>908</v>
      </c>
      <c r="J636" t="s">
        <v>412</v>
      </c>
      <c r="K636" t="s">
        <v>27</v>
      </c>
      <c r="L636">
        <v>52.28</v>
      </c>
      <c r="M636" s="1">
        <v>46139</v>
      </c>
      <c r="N636" t="s">
        <v>93</v>
      </c>
      <c r="O636">
        <v>27</v>
      </c>
      <c r="P636">
        <v>4</v>
      </c>
      <c r="Q636">
        <v>2</v>
      </c>
      <c r="R636">
        <v>2026</v>
      </c>
    </row>
    <row r="637" spans="1:18">
      <c r="A637">
        <v>418.1</v>
      </c>
      <c r="B637">
        <v>5</v>
      </c>
      <c r="C637">
        <v>636</v>
      </c>
      <c r="D637" s="2">
        <v>0.47394644675925923</v>
      </c>
      <c r="E637" t="s">
        <v>2021</v>
      </c>
      <c r="F637" t="s">
        <v>2022</v>
      </c>
      <c r="G637" t="s">
        <v>925</v>
      </c>
      <c r="H637" t="s">
        <v>392</v>
      </c>
      <c r="I637" t="s">
        <v>834</v>
      </c>
      <c r="J637" t="s">
        <v>649</v>
      </c>
      <c r="K637" t="s">
        <v>23</v>
      </c>
      <c r="L637">
        <v>83.62</v>
      </c>
      <c r="M637" s="1">
        <v>45919</v>
      </c>
      <c r="N637" t="s">
        <v>79</v>
      </c>
      <c r="O637">
        <v>19</v>
      </c>
      <c r="P637">
        <v>9</v>
      </c>
      <c r="Q637">
        <v>3</v>
      </c>
      <c r="R637">
        <v>2025</v>
      </c>
    </row>
    <row r="638" spans="1:18">
      <c r="A638">
        <v>445.02</v>
      </c>
      <c r="B638">
        <v>2</v>
      </c>
      <c r="C638">
        <v>637</v>
      </c>
      <c r="D638" s="2">
        <v>4.9051388888888886E-3</v>
      </c>
      <c r="E638" t="s">
        <v>2099</v>
      </c>
      <c r="F638" t="s">
        <v>2100</v>
      </c>
      <c r="G638" t="s">
        <v>1085</v>
      </c>
      <c r="H638" t="s">
        <v>1172</v>
      </c>
      <c r="I638" t="s">
        <v>830</v>
      </c>
      <c r="J638" t="s">
        <v>142</v>
      </c>
      <c r="K638" t="s">
        <v>60</v>
      </c>
      <c r="L638">
        <v>222.51</v>
      </c>
      <c r="M638" s="1">
        <v>46158</v>
      </c>
      <c r="N638" t="s">
        <v>14</v>
      </c>
      <c r="O638">
        <v>16</v>
      </c>
      <c r="P638">
        <v>5</v>
      </c>
      <c r="Q638">
        <v>2</v>
      </c>
      <c r="R638">
        <v>2026</v>
      </c>
    </row>
    <row r="639" spans="1:18">
      <c r="A639">
        <v>376.12</v>
      </c>
      <c r="B639">
        <v>4</v>
      </c>
      <c r="C639">
        <v>638</v>
      </c>
      <c r="D639" s="2">
        <v>0.12401784722222223</v>
      </c>
      <c r="E639" t="s">
        <v>2584</v>
      </c>
      <c r="F639" t="s">
        <v>2585</v>
      </c>
      <c r="G639" t="s">
        <v>1444</v>
      </c>
      <c r="H639" t="s">
        <v>1292</v>
      </c>
      <c r="I639" t="s">
        <v>1247</v>
      </c>
      <c r="J639" t="s">
        <v>364</v>
      </c>
      <c r="K639" t="s">
        <v>21</v>
      </c>
      <c r="L639">
        <v>94.03</v>
      </c>
      <c r="M639" s="1">
        <v>46127</v>
      </c>
      <c r="N639" t="s">
        <v>34</v>
      </c>
      <c r="O639">
        <v>15</v>
      </c>
      <c r="P639">
        <v>4</v>
      </c>
      <c r="Q639">
        <v>2</v>
      </c>
      <c r="R639">
        <v>2026</v>
      </c>
    </row>
    <row r="640" spans="1:18">
      <c r="A640">
        <v>640.84999999999991</v>
      </c>
      <c r="B640">
        <v>5</v>
      </c>
      <c r="C640">
        <v>639</v>
      </c>
      <c r="D640" s="2">
        <v>0.46519559027777779</v>
      </c>
      <c r="E640" t="s">
        <v>2355</v>
      </c>
      <c r="F640" t="s">
        <v>2356</v>
      </c>
      <c r="G640" t="s">
        <v>2306</v>
      </c>
      <c r="H640" t="s">
        <v>757</v>
      </c>
      <c r="I640" t="s">
        <v>758</v>
      </c>
      <c r="J640" t="s">
        <v>487</v>
      </c>
      <c r="K640" t="s">
        <v>19</v>
      </c>
      <c r="L640">
        <v>128.16999999999999</v>
      </c>
      <c r="M640" s="1">
        <v>45643</v>
      </c>
      <c r="N640" t="s">
        <v>48</v>
      </c>
      <c r="O640">
        <v>17</v>
      </c>
      <c r="P640">
        <v>12</v>
      </c>
      <c r="Q640">
        <v>4</v>
      </c>
      <c r="R640">
        <v>2024</v>
      </c>
    </row>
    <row r="641" spans="1:18">
      <c r="A641">
        <v>537.88</v>
      </c>
      <c r="B641">
        <v>4</v>
      </c>
      <c r="C641">
        <v>640</v>
      </c>
      <c r="D641" s="2">
        <v>0.82451304398148151</v>
      </c>
      <c r="E641" t="s">
        <v>1141</v>
      </c>
      <c r="F641" t="s">
        <v>1142</v>
      </c>
      <c r="G641" t="s">
        <v>1143</v>
      </c>
      <c r="H641" t="s">
        <v>862</v>
      </c>
      <c r="I641" t="s">
        <v>908</v>
      </c>
      <c r="J641" t="s">
        <v>76</v>
      </c>
      <c r="K641" t="s">
        <v>69</v>
      </c>
      <c r="L641">
        <v>134.47</v>
      </c>
      <c r="M641" s="1">
        <v>45864</v>
      </c>
      <c r="N641" t="s">
        <v>14</v>
      </c>
      <c r="O641">
        <v>26</v>
      </c>
      <c r="P641">
        <v>7</v>
      </c>
      <c r="Q641">
        <v>3</v>
      </c>
      <c r="R641">
        <v>2025</v>
      </c>
    </row>
    <row r="642" spans="1:18">
      <c r="A642">
        <v>273.04000000000002</v>
      </c>
      <c r="B642">
        <v>4</v>
      </c>
      <c r="C642">
        <v>641</v>
      </c>
      <c r="D642" s="2">
        <v>0.58728509259259254</v>
      </c>
      <c r="E642" t="s">
        <v>1748</v>
      </c>
      <c r="F642" t="s">
        <v>1749</v>
      </c>
      <c r="G642" t="s">
        <v>766</v>
      </c>
      <c r="H642" t="s">
        <v>980</v>
      </c>
      <c r="I642" t="s">
        <v>981</v>
      </c>
      <c r="J642" t="s">
        <v>306</v>
      </c>
      <c r="K642" t="s">
        <v>39</v>
      </c>
      <c r="L642">
        <v>68.260000000000005</v>
      </c>
      <c r="M642" s="1">
        <v>45748</v>
      </c>
      <c r="N642" t="s">
        <v>48</v>
      </c>
      <c r="O642">
        <v>1</v>
      </c>
      <c r="P642">
        <v>4</v>
      </c>
      <c r="Q642">
        <v>2</v>
      </c>
      <c r="R642">
        <v>2025</v>
      </c>
    </row>
    <row r="643" spans="1:18">
      <c r="A643">
        <v>469.91999999999996</v>
      </c>
      <c r="B643">
        <v>3</v>
      </c>
      <c r="C643">
        <v>642</v>
      </c>
      <c r="D643" s="2">
        <v>0.29704035879629631</v>
      </c>
      <c r="E643" t="s">
        <v>1653</v>
      </c>
      <c r="F643" t="s">
        <v>1654</v>
      </c>
      <c r="G643" t="s">
        <v>976</v>
      </c>
      <c r="H643" t="s">
        <v>1306</v>
      </c>
      <c r="I643" t="s">
        <v>966</v>
      </c>
      <c r="J643" t="s">
        <v>207</v>
      </c>
      <c r="K643" t="s">
        <v>19</v>
      </c>
      <c r="L643">
        <v>156.63999999999999</v>
      </c>
      <c r="M643" s="1">
        <v>45904</v>
      </c>
      <c r="N643" t="s">
        <v>105</v>
      </c>
      <c r="O643">
        <v>4</v>
      </c>
      <c r="P643">
        <v>9</v>
      </c>
      <c r="Q643">
        <v>3</v>
      </c>
      <c r="R643">
        <v>2025</v>
      </c>
    </row>
    <row r="644" spans="1:18">
      <c r="A644">
        <v>129.88999999999999</v>
      </c>
      <c r="B644">
        <v>1</v>
      </c>
      <c r="C644">
        <v>643</v>
      </c>
      <c r="D644" s="2">
        <v>0.87998649305555554</v>
      </c>
      <c r="E644" t="s">
        <v>1207</v>
      </c>
      <c r="F644" t="s">
        <v>1208</v>
      </c>
      <c r="G644" t="s">
        <v>935</v>
      </c>
      <c r="H644" t="s">
        <v>1209</v>
      </c>
      <c r="I644" t="s">
        <v>776</v>
      </c>
      <c r="J644" t="s">
        <v>271</v>
      </c>
      <c r="K644" t="s">
        <v>25</v>
      </c>
      <c r="L644">
        <v>129.88999999999999</v>
      </c>
      <c r="M644" s="1">
        <v>46039</v>
      </c>
      <c r="N644" t="s">
        <v>14</v>
      </c>
      <c r="O644">
        <v>17</v>
      </c>
      <c r="P644">
        <v>1</v>
      </c>
      <c r="Q644">
        <v>1</v>
      </c>
      <c r="R644">
        <v>2026</v>
      </c>
    </row>
    <row r="645" spans="1:18">
      <c r="A645">
        <v>193.05</v>
      </c>
      <c r="B645">
        <v>5</v>
      </c>
      <c r="C645">
        <v>644</v>
      </c>
      <c r="D645" s="2">
        <v>0.7981726388888889</v>
      </c>
      <c r="E645" t="s">
        <v>2567</v>
      </c>
      <c r="F645" t="s">
        <v>2568</v>
      </c>
      <c r="G645" t="s">
        <v>1512</v>
      </c>
      <c r="H645" t="s">
        <v>106</v>
      </c>
      <c r="I645" t="s">
        <v>748</v>
      </c>
      <c r="J645" t="s">
        <v>58</v>
      </c>
      <c r="K645" t="s">
        <v>25</v>
      </c>
      <c r="L645">
        <v>38.61</v>
      </c>
      <c r="M645" s="1">
        <v>46165</v>
      </c>
      <c r="N645" t="s">
        <v>14</v>
      </c>
      <c r="O645">
        <v>23</v>
      </c>
      <c r="P645">
        <v>5</v>
      </c>
      <c r="Q645">
        <v>2</v>
      </c>
      <c r="R645">
        <v>2026</v>
      </c>
    </row>
    <row r="646" spans="1:18">
      <c r="A646">
        <v>1216.1499999999999</v>
      </c>
      <c r="B646">
        <v>5</v>
      </c>
      <c r="C646">
        <v>645</v>
      </c>
      <c r="D646" s="2">
        <v>0.74264077546296292</v>
      </c>
      <c r="E646" t="s">
        <v>3177</v>
      </c>
      <c r="F646" t="s">
        <v>3178</v>
      </c>
      <c r="G646" t="s">
        <v>1162</v>
      </c>
      <c r="H646" t="s">
        <v>1359</v>
      </c>
      <c r="I646" t="s">
        <v>768</v>
      </c>
      <c r="J646" t="s">
        <v>126</v>
      </c>
      <c r="K646" t="s">
        <v>43</v>
      </c>
      <c r="L646">
        <v>243.23</v>
      </c>
      <c r="M646" s="1">
        <v>46027</v>
      </c>
      <c r="N646" t="s">
        <v>93</v>
      </c>
      <c r="O646">
        <v>5</v>
      </c>
      <c r="P646">
        <v>1</v>
      </c>
      <c r="Q646">
        <v>1</v>
      </c>
      <c r="R646">
        <v>2026</v>
      </c>
    </row>
    <row r="647" spans="1:18">
      <c r="A647">
        <v>180.06</v>
      </c>
      <c r="B647">
        <v>2</v>
      </c>
      <c r="C647">
        <v>646</v>
      </c>
      <c r="D647" s="2">
        <v>7.4722233796296292E-2</v>
      </c>
      <c r="E647" t="s">
        <v>2393</v>
      </c>
      <c r="F647" t="s">
        <v>2394</v>
      </c>
      <c r="G647" t="s">
        <v>1348</v>
      </c>
      <c r="H647" t="s">
        <v>113</v>
      </c>
      <c r="I647" t="s">
        <v>1247</v>
      </c>
      <c r="J647" t="s">
        <v>442</v>
      </c>
      <c r="K647" t="s">
        <v>100</v>
      </c>
      <c r="L647">
        <v>90.03</v>
      </c>
      <c r="M647" s="1">
        <v>46006</v>
      </c>
      <c r="N647" t="s">
        <v>93</v>
      </c>
      <c r="O647">
        <v>15</v>
      </c>
      <c r="P647">
        <v>12</v>
      </c>
      <c r="Q647">
        <v>4</v>
      </c>
      <c r="R647">
        <v>2025</v>
      </c>
    </row>
    <row r="648" spans="1:18">
      <c r="A648">
        <v>81.960000000000008</v>
      </c>
      <c r="B648">
        <v>3</v>
      </c>
      <c r="C648">
        <v>647</v>
      </c>
      <c r="D648" s="2">
        <v>0.63865685185185184</v>
      </c>
      <c r="E648" t="s">
        <v>1186</v>
      </c>
      <c r="F648" t="s">
        <v>1187</v>
      </c>
      <c r="G648" t="s">
        <v>1188</v>
      </c>
      <c r="H648" t="s">
        <v>1189</v>
      </c>
      <c r="I648" t="s">
        <v>892</v>
      </c>
      <c r="J648" t="s">
        <v>423</v>
      </c>
      <c r="K648" t="s">
        <v>37</v>
      </c>
      <c r="L648">
        <v>27.32</v>
      </c>
      <c r="M648" s="1">
        <v>45782</v>
      </c>
      <c r="N648" t="s">
        <v>93</v>
      </c>
      <c r="O648">
        <v>5</v>
      </c>
      <c r="P648">
        <v>5</v>
      </c>
      <c r="Q648">
        <v>2</v>
      </c>
      <c r="R648">
        <v>2025</v>
      </c>
    </row>
    <row r="649" spans="1:18">
      <c r="A649">
        <v>627.06000000000006</v>
      </c>
      <c r="B649">
        <v>3</v>
      </c>
      <c r="C649">
        <v>648</v>
      </c>
      <c r="D649" s="2">
        <v>0.26611986111111113</v>
      </c>
      <c r="E649" t="s">
        <v>1422</v>
      </c>
      <c r="F649" t="s">
        <v>1423</v>
      </c>
      <c r="G649" t="s">
        <v>1424</v>
      </c>
      <c r="H649" t="s">
        <v>1039</v>
      </c>
      <c r="I649" t="s">
        <v>758</v>
      </c>
      <c r="J649" t="s">
        <v>62</v>
      </c>
      <c r="K649" t="s">
        <v>17</v>
      </c>
      <c r="L649">
        <v>209.02</v>
      </c>
      <c r="M649" s="1">
        <v>46090</v>
      </c>
      <c r="N649" t="s">
        <v>93</v>
      </c>
      <c r="O649">
        <v>9</v>
      </c>
      <c r="P649">
        <v>3</v>
      </c>
      <c r="Q649">
        <v>1</v>
      </c>
      <c r="R649">
        <v>2026</v>
      </c>
    </row>
    <row r="650" spans="1:18">
      <c r="A650">
        <v>786.6</v>
      </c>
      <c r="B650">
        <v>4</v>
      </c>
      <c r="C650">
        <v>649</v>
      </c>
      <c r="D650" s="2">
        <v>0.9729593865740741</v>
      </c>
      <c r="E650" t="s">
        <v>3453</v>
      </c>
      <c r="F650" t="s">
        <v>3454</v>
      </c>
      <c r="G650" t="s">
        <v>1152</v>
      </c>
      <c r="H650" t="s">
        <v>106</v>
      </c>
      <c r="I650" t="s">
        <v>748</v>
      </c>
      <c r="J650" t="s">
        <v>226</v>
      </c>
      <c r="K650" t="s">
        <v>97</v>
      </c>
      <c r="L650">
        <v>196.65</v>
      </c>
      <c r="M650" s="1">
        <v>46099</v>
      </c>
      <c r="N650" t="s">
        <v>34</v>
      </c>
      <c r="O650">
        <v>18</v>
      </c>
      <c r="P650">
        <v>3</v>
      </c>
      <c r="Q650">
        <v>1</v>
      </c>
      <c r="R650">
        <v>2026</v>
      </c>
    </row>
    <row r="651" spans="1:18">
      <c r="A651">
        <v>360.52</v>
      </c>
      <c r="B651">
        <v>4</v>
      </c>
      <c r="C651">
        <v>650</v>
      </c>
      <c r="D651" s="2">
        <v>2.9530682870370372E-2</v>
      </c>
      <c r="E651" t="s">
        <v>1360</v>
      </c>
      <c r="F651" t="s">
        <v>1361</v>
      </c>
      <c r="G651" t="s">
        <v>932</v>
      </c>
      <c r="H651" t="s">
        <v>1362</v>
      </c>
      <c r="I651" t="s">
        <v>896</v>
      </c>
      <c r="J651" t="s">
        <v>304</v>
      </c>
      <c r="K651" t="s">
        <v>100</v>
      </c>
      <c r="L651">
        <v>90.13</v>
      </c>
      <c r="M651" s="1">
        <v>46107</v>
      </c>
      <c r="N651" t="s">
        <v>105</v>
      </c>
      <c r="O651">
        <v>26</v>
      </c>
      <c r="P651">
        <v>3</v>
      </c>
      <c r="Q651">
        <v>1</v>
      </c>
      <c r="R651">
        <v>2026</v>
      </c>
    </row>
    <row r="652" spans="1:18">
      <c r="A652">
        <v>981.96</v>
      </c>
      <c r="B652">
        <v>4</v>
      </c>
      <c r="C652">
        <v>651</v>
      </c>
      <c r="D652" s="2">
        <v>0.67443555555555557</v>
      </c>
      <c r="E652" t="s">
        <v>2658</v>
      </c>
      <c r="F652" t="s">
        <v>2659</v>
      </c>
      <c r="G652" t="s">
        <v>1906</v>
      </c>
      <c r="H652" t="s">
        <v>211</v>
      </c>
      <c r="I652" t="s">
        <v>812</v>
      </c>
      <c r="J652" t="s">
        <v>330</v>
      </c>
      <c r="K652" t="s">
        <v>60</v>
      </c>
      <c r="L652">
        <v>245.49</v>
      </c>
      <c r="M652" s="1">
        <v>45914</v>
      </c>
      <c r="N652" t="s">
        <v>28</v>
      </c>
      <c r="O652">
        <v>14</v>
      </c>
      <c r="P652">
        <v>9</v>
      </c>
      <c r="Q652">
        <v>3</v>
      </c>
      <c r="R652">
        <v>2025</v>
      </c>
    </row>
    <row r="653" spans="1:18">
      <c r="A653">
        <v>71.449999999999989</v>
      </c>
      <c r="B653">
        <v>5</v>
      </c>
      <c r="C653">
        <v>652</v>
      </c>
      <c r="D653" s="2">
        <v>0.73898425925925926</v>
      </c>
      <c r="E653" t="s">
        <v>1243</v>
      </c>
      <c r="F653" t="s">
        <v>1244</v>
      </c>
      <c r="G653" t="s">
        <v>1245</v>
      </c>
      <c r="H653" t="s">
        <v>1246</v>
      </c>
      <c r="I653" t="s">
        <v>1247</v>
      </c>
      <c r="J653" t="s">
        <v>685</v>
      </c>
      <c r="K653" t="s">
        <v>69</v>
      </c>
      <c r="L653">
        <v>14.29</v>
      </c>
      <c r="M653" s="1">
        <v>46028</v>
      </c>
      <c r="N653" t="s">
        <v>48</v>
      </c>
      <c r="O653">
        <v>6</v>
      </c>
      <c r="P653">
        <v>1</v>
      </c>
      <c r="Q653">
        <v>1</v>
      </c>
      <c r="R653">
        <v>2026</v>
      </c>
    </row>
    <row r="654" spans="1:18">
      <c r="A654">
        <v>629.36</v>
      </c>
      <c r="B654">
        <v>4</v>
      </c>
      <c r="C654">
        <v>653</v>
      </c>
      <c r="D654" s="2">
        <v>0.14614457175925927</v>
      </c>
      <c r="E654" t="s">
        <v>947</v>
      </c>
      <c r="F654" t="s">
        <v>948</v>
      </c>
      <c r="G654" t="s">
        <v>949</v>
      </c>
      <c r="H654" t="s">
        <v>392</v>
      </c>
      <c r="I654" t="s">
        <v>834</v>
      </c>
      <c r="J654" t="s">
        <v>147</v>
      </c>
      <c r="K654" t="s">
        <v>27</v>
      </c>
      <c r="L654">
        <v>157.34</v>
      </c>
      <c r="M654" s="1">
        <v>46027</v>
      </c>
      <c r="N654" t="s">
        <v>93</v>
      </c>
      <c r="O654">
        <v>5</v>
      </c>
      <c r="P654">
        <v>1</v>
      </c>
      <c r="Q654">
        <v>1</v>
      </c>
      <c r="R654">
        <v>2026</v>
      </c>
    </row>
    <row r="655" spans="1:18">
      <c r="A655">
        <v>727.34999999999991</v>
      </c>
      <c r="B655">
        <v>3</v>
      </c>
      <c r="C655">
        <v>654</v>
      </c>
      <c r="D655" s="2">
        <v>0.68803918981481482</v>
      </c>
      <c r="E655" t="s">
        <v>2244</v>
      </c>
      <c r="F655" t="s">
        <v>2245</v>
      </c>
      <c r="G655" t="s">
        <v>2246</v>
      </c>
      <c r="H655" t="s">
        <v>2247</v>
      </c>
      <c r="I655" t="s">
        <v>781</v>
      </c>
      <c r="J655" t="s">
        <v>214</v>
      </c>
      <c r="K655" t="s">
        <v>69</v>
      </c>
      <c r="L655">
        <v>242.45</v>
      </c>
      <c r="M655" s="1">
        <v>45742</v>
      </c>
      <c r="N655" t="s">
        <v>34</v>
      </c>
      <c r="O655">
        <v>26</v>
      </c>
      <c r="P655">
        <v>3</v>
      </c>
      <c r="Q655">
        <v>1</v>
      </c>
      <c r="R655">
        <v>2025</v>
      </c>
    </row>
    <row r="656" spans="1:18">
      <c r="A656">
        <v>84.72</v>
      </c>
      <c r="B656">
        <v>4</v>
      </c>
      <c r="C656">
        <v>655</v>
      </c>
      <c r="D656" s="2">
        <v>0.79168218749999997</v>
      </c>
      <c r="E656" t="s">
        <v>2792</v>
      </c>
      <c r="F656" t="s">
        <v>2793</v>
      </c>
      <c r="G656" t="s">
        <v>2794</v>
      </c>
      <c r="H656" t="s">
        <v>548</v>
      </c>
      <c r="I656" t="s">
        <v>790</v>
      </c>
      <c r="J656" t="s">
        <v>530</v>
      </c>
      <c r="K656" t="s">
        <v>37</v>
      </c>
      <c r="L656">
        <v>21.18</v>
      </c>
      <c r="M656" s="1">
        <v>45951</v>
      </c>
      <c r="N656" t="s">
        <v>48</v>
      </c>
      <c r="O656">
        <v>21</v>
      </c>
      <c r="P656">
        <v>10</v>
      </c>
      <c r="Q656">
        <v>4</v>
      </c>
      <c r="R656">
        <v>2025</v>
      </c>
    </row>
    <row r="657" spans="1:18">
      <c r="A657">
        <v>176.38</v>
      </c>
      <c r="B657">
        <v>1</v>
      </c>
      <c r="C657">
        <v>656</v>
      </c>
      <c r="D657" s="2">
        <v>0.86288078703703708</v>
      </c>
      <c r="E657" t="s">
        <v>2094</v>
      </c>
      <c r="F657" t="s">
        <v>2095</v>
      </c>
      <c r="G657" t="s">
        <v>1038</v>
      </c>
      <c r="H657" t="s">
        <v>1107</v>
      </c>
      <c r="I657" t="s">
        <v>892</v>
      </c>
      <c r="J657" t="s">
        <v>384</v>
      </c>
      <c r="K657" t="s">
        <v>37</v>
      </c>
      <c r="L657">
        <v>176.38</v>
      </c>
      <c r="M657" s="1">
        <v>45578</v>
      </c>
      <c r="N657" t="s">
        <v>28</v>
      </c>
      <c r="O657">
        <v>13</v>
      </c>
      <c r="P657">
        <v>10</v>
      </c>
      <c r="Q657">
        <v>4</v>
      </c>
      <c r="R657">
        <v>2024</v>
      </c>
    </row>
    <row r="658" spans="1:18">
      <c r="A658">
        <v>713.16</v>
      </c>
      <c r="B658">
        <v>3</v>
      </c>
      <c r="C658">
        <v>657</v>
      </c>
      <c r="D658" s="2">
        <v>0.31712623842592591</v>
      </c>
      <c r="E658" t="s">
        <v>2318</v>
      </c>
      <c r="F658" t="s">
        <v>1094</v>
      </c>
      <c r="G658" t="s">
        <v>2319</v>
      </c>
      <c r="H658" t="s">
        <v>829</v>
      </c>
      <c r="I658" t="s">
        <v>830</v>
      </c>
      <c r="J658" t="s">
        <v>343</v>
      </c>
      <c r="K658" t="s">
        <v>46</v>
      </c>
      <c r="L658">
        <v>237.72</v>
      </c>
      <c r="M658" s="1">
        <v>45917</v>
      </c>
      <c r="N658" t="s">
        <v>34</v>
      </c>
      <c r="O658">
        <v>17</v>
      </c>
      <c r="P658">
        <v>9</v>
      </c>
      <c r="Q658">
        <v>3</v>
      </c>
      <c r="R658">
        <v>2025</v>
      </c>
    </row>
    <row r="659" spans="1:18">
      <c r="A659">
        <v>132.52000000000001</v>
      </c>
      <c r="B659">
        <v>4</v>
      </c>
      <c r="C659">
        <v>658</v>
      </c>
      <c r="D659" s="2">
        <v>0.95201752314814814</v>
      </c>
      <c r="E659" t="s">
        <v>1836</v>
      </c>
      <c r="F659" t="s">
        <v>1837</v>
      </c>
      <c r="G659" t="s">
        <v>1838</v>
      </c>
      <c r="H659" t="s">
        <v>64</v>
      </c>
      <c r="I659" t="s">
        <v>892</v>
      </c>
      <c r="J659" t="s">
        <v>164</v>
      </c>
      <c r="K659" t="s">
        <v>46</v>
      </c>
      <c r="L659">
        <v>33.130000000000003</v>
      </c>
      <c r="M659" s="1">
        <v>45646</v>
      </c>
      <c r="N659" t="s">
        <v>79</v>
      </c>
      <c r="O659">
        <v>20</v>
      </c>
      <c r="P659">
        <v>12</v>
      </c>
      <c r="Q659">
        <v>4</v>
      </c>
      <c r="R659">
        <v>2024</v>
      </c>
    </row>
    <row r="660" spans="1:18">
      <c r="A660">
        <v>226.12</v>
      </c>
      <c r="B660">
        <v>4</v>
      </c>
      <c r="C660">
        <v>659</v>
      </c>
      <c r="D660" s="2">
        <v>0.95616440972222227</v>
      </c>
      <c r="E660" t="s">
        <v>2558</v>
      </c>
      <c r="F660" t="s">
        <v>2559</v>
      </c>
      <c r="G660" t="s">
        <v>2560</v>
      </c>
      <c r="H660" t="s">
        <v>1302</v>
      </c>
      <c r="I660" t="s">
        <v>786</v>
      </c>
      <c r="J660" t="s">
        <v>123</v>
      </c>
      <c r="K660" t="s">
        <v>43</v>
      </c>
      <c r="L660">
        <v>56.53</v>
      </c>
      <c r="M660" s="1">
        <v>45603</v>
      </c>
      <c r="N660" t="s">
        <v>105</v>
      </c>
      <c r="O660">
        <v>7</v>
      </c>
      <c r="P660">
        <v>11</v>
      </c>
      <c r="Q660">
        <v>4</v>
      </c>
      <c r="R660">
        <v>2024</v>
      </c>
    </row>
    <row r="661" spans="1:18">
      <c r="A661">
        <v>143.44</v>
      </c>
      <c r="B661">
        <v>2</v>
      </c>
      <c r="C661">
        <v>660</v>
      </c>
      <c r="D661" s="2">
        <v>0.10074130787037038</v>
      </c>
      <c r="E661" t="s">
        <v>1293</v>
      </c>
      <c r="F661" t="s">
        <v>1294</v>
      </c>
      <c r="G661" t="s">
        <v>1295</v>
      </c>
      <c r="H661" t="s">
        <v>883</v>
      </c>
      <c r="I661" t="s">
        <v>807</v>
      </c>
      <c r="J661" t="s">
        <v>141</v>
      </c>
      <c r="K661" t="s">
        <v>46</v>
      </c>
      <c r="L661">
        <v>71.72</v>
      </c>
      <c r="M661" s="1">
        <v>46125</v>
      </c>
      <c r="N661" t="s">
        <v>93</v>
      </c>
      <c r="O661">
        <v>13</v>
      </c>
      <c r="P661">
        <v>4</v>
      </c>
      <c r="Q661">
        <v>2</v>
      </c>
      <c r="R661">
        <v>2026</v>
      </c>
    </row>
    <row r="662" spans="1:18">
      <c r="A662">
        <v>958.6</v>
      </c>
      <c r="B662">
        <v>5</v>
      </c>
      <c r="C662">
        <v>661</v>
      </c>
      <c r="D662" s="2">
        <v>0.74888788194444444</v>
      </c>
      <c r="E662" t="s">
        <v>2288</v>
      </c>
      <c r="F662" t="s">
        <v>2289</v>
      </c>
      <c r="G662" t="s">
        <v>1821</v>
      </c>
      <c r="H662" t="s">
        <v>666</v>
      </c>
      <c r="I662" t="s">
        <v>954</v>
      </c>
      <c r="J662" t="s">
        <v>667</v>
      </c>
      <c r="K662" t="s">
        <v>51</v>
      </c>
      <c r="L662">
        <v>191.72</v>
      </c>
      <c r="M662" s="1">
        <v>45971</v>
      </c>
      <c r="N662" t="s">
        <v>93</v>
      </c>
      <c r="O662">
        <v>10</v>
      </c>
      <c r="P662">
        <v>11</v>
      </c>
      <c r="Q662">
        <v>4</v>
      </c>
      <c r="R662">
        <v>2025</v>
      </c>
    </row>
    <row r="663" spans="1:18">
      <c r="A663">
        <v>12.56</v>
      </c>
      <c r="B663">
        <v>2</v>
      </c>
      <c r="C663">
        <v>662</v>
      </c>
      <c r="D663" s="2">
        <v>0.27230539351851851</v>
      </c>
      <c r="E663" t="s">
        <v>744</v>
      </c>
      <c r="F663" t="s">
        <v>745</v>
      </c>
      <c r="G663" t="s">
        <v>746</v>
      </c>
      <c r="H663" t="s">
        <v>747</v>
      </c>
      <c r="I663" t="s">
        <v>748</v>
      </c>
      <c r="J663" t="s">
        <v>274</v>
      </c>
      <c r="K663" t="s">
        <v>19</v>
      </c>
      <c r="L663">
        <v>6.28</v>
      </c>
      <c r="M663" s="1">
        <v>45981</v>
      </c>
      <c r="N663" t="s">
        <v>105</v>
      </c>
      <c r="O663">
        <v>20</v>
      </c>
      <c r="P663">
        <v>11</v>
      </c>
      <c r="Q663">
        <v>4</v>
      </c>
      <c r="R663">
        <v>2025</v>
      </c>
    </row>
    <row r="664" spans="1:18">
      <c r="A664">
        <v>259.45999999999998</v>
      </c>
      <c r="B664">
        <v>2</v>
      </c>
      <c r="C664">
        <v>663</v>
      </c>
      <c r="D664" s="2">
        <v>0.68482238425925923</v>
      </c>
      <c r="E664" t="s">
        <v>1033</v>
      </c>
      <c r="F664" t="s">
        <v>1034</v>
      </c>
      <c r="G664" t="s">
        <v>1035</v>
      </c>
      <c r="H664" t="s">
        <v>548</v>
      </c>
      <c r="I664" t="s">
        <v>790</v>
      </c>
      <c r="J664" t="s">
        <v>20</v>
      </c>
      <c r="K664" t="s">
        <v>21</v>
      </c>
      <c r="L664">
        <v>129.72999999999999</v>
      </c>
      <c r="M664" s="1">
        <v>46216</v>
      </c>
      <c r="N664" t="s">
        <v>93</v>
      </c>
      <c r="O664">
        <v>13</v>
      </c>
      <c r="P664">
        <v>7</v>
      </c>
      <c r="Q664">
        <v>3</v>
      </c>
      <c r="R664">
        <v>2026</v>
      </c>
    </row>
    <row r="665" spans="1:18">
      <c r="A665">
        <v>236.95</v>
      </c>
      <c r="B665">
        <v>1</v>
      </c>
      <c r="C665">
        <v>664</v>
      </c>
      <c r="D665" s="2">
        <v>0.66148831018518517</v>
      </c>
      <c r="E665" t="s">
        <v>1730</v>
      </c>
      <c r="F665" t="s">
        <v>1731</v>
      </c>
      <c r="G665" t="s">
        <v>1143</v>
      </c>
      <c r="H665" t="s">
        <v>1327</v>
      </c>
      <c r="I665" t="s">
        <v>795</v>
      </c>
      <c r="J665" t="s">
        <v>50</v>
      </c>
      <c r="K665" t="s">
        <v>51</v>
      </c>
      <c r="L665">
        <v>236.95</v>
      </c>
      <c r="M665" s="1">
        <v>45595</v>
      </c>
      <c r="N665" t="s">
        <v>34</v>
      </c>
      <c r="O665">
        <v>30</v>
      </c>
      <c r="P665">
        <v>10</v>
      </c>
      <c r="Q665">
        <v>4</v>
      </c>
      <c r="R665">
        <v>2024</v>
      </c>
    </row>
    <row r="666" spans="1:18">
      <c r="A666">
        <v>263.74</v>
      </c>
      <c r="B666">
        <v>2</v>
      </c>
      <c r="C666">
        <v>665</v>
      </c>
      <c r="D666" s="2">
        <v>0.78204658564814811</v>
      </c>
      <c r="E666" t="s">
        <v>2435</v>
      </c>
      <c r="F666" t="s">
        <v>2436</v>
      </c>
      <c r="G666" t="s">
        <v>1295</v>
      </c>
      <c r="H666" t="s">
        <v>280</v>
      </c>
      <c r="I666" t="s">
        <v>786</v>
      </c>
      <c r="J666" t="s">
        <v>165</v>
      </c>
      <c r="K666" t="s">
        <v>69</v>
      </c>
      <c r="L666">
        <v>131.87</v>
      </c>
      <c r="M666" s="1">
        <v>46140</v>
      </c>
      <c r="N666" t="s">
        <v>48</v>
      </c>
      <c r="O666">
        <v>28</v>
      </c>
      <c r="P666">
        <v>4</v>
      </c>
      <c r="Q666">
        <v>2</v>
      </c>
      <c r="R666">
        <v>2026</v>
      </c>
    </row>
    <row r="667" spans="1:18">
      <c r="A667">
        <v>901.56</v>
      </c>
      <c r="B667">
        <v>4</v>
      </c>
      <c r="C667">
        <v>666</v>
      </c>
      <c r="D667" s="2">
        <v>0.56962348379629635</v>
      </c>
      <c r="E667" t="s">
        <v>1726</v>
      </c>
      <c r="F667" t="s">
        <v>1727</v>
      </c>
      <c r="G667" t="s">
        <v>1106</v>
      </c>
      <c r="H667" t="s">
        <v>414</v>
      </c>
      <c r="I667" t="s">
        <v>795</v>
      </c>
      <c r="J667" t="s">
        <v>152</v>
      </c>
      <c r="K667" t="s">
        <v>19</v>
      </c>
      <c r="L667">
        <v>225.39</v>
      </c>
      <c r="M667" s="1">
        <v>46038</v>
      </c>
      <c r="N667" t="s">
        <v>79</v>
      </c>
      <c r="O667">
        <v>16</v>
      </c>
      <c r="P667">
        <v>1</v>
      </c>
      <c r="Q667">
        <v>1</v>
      </c>
      <c r="R667">
        <v>2026</v>
      </c>
    </row>
    <row r="668" spans="1:18">
      <c r="A668">
        <v>1136.0999999999999</v>
      </c>
      <c r="B668">
        <v>5</v>
      </c>
      <c r="C668">
        <v>667</v>
      </c>
      <c r="D668" s="2">
        <v>0.46756629629629631</v>
      </c>
      <c r="E668" t="s">
        <v>1312</v>
      </c>
      <c r="F668" t="s">
        <v>1313</v>
      </c>
      <c r="G668" t="s">
        <v>820</v>
      </c>
      <c r="H668" t="s">
        <v>1061</v>
      </c>
      <c r="I668" t="s">
        <v>834</v>
      </c>
      <c r="J668" t="s">
        <v>1314</v>
      </c>
      <c r="K668" t="s">
        <v>55</v>
      </c>
      <c r="L668">
        <v>227.22</v>
      </c>
      <c r="M668" s="1">
        <v>46185</v>
      </c>
      <c r="N668" t="s">
        <v>79</v>
      </c>
      <c r="O668">
        <v>12</v>
      </c>
      <c r="P668">
        <v>6</v>
      </c>
      <c r="Q668">
        <v>2</v>
      </c>
      <c r="R668">
        <v>2026</v>
      </c>
    </row>
    <row r="669" spans="1:18">
      <c r="A669">
        <v>15.66</v>
      </c>
      <c r="B669">
        <v>2</v>
      </c>
      <c r="C669">
        <v>668</v>
      </c>
      <c r="D669" s="2">
        <v>0.55280596064814813</v>
      </c>
      <c r="E669" t="s">
        <v>2762</v>
      </c>
      <c r="F669" t="s">
        <v>2763</v>
      </c>
      <c r="G669" t="s">
        <v>1162</v>
      </c>
      <c r="H669" t="s">
        <v>392</v>
      </c>
      <c r="I669" t="s">
        <v>943</v>
      </c>
      <c r="J669" t="s">
        <v>489</v>
      </c>
      <c r="K669" t="s">
        <v>51</v>
      </c>
      <c r="L669">
        <v>7.83</v>
      </c>
      <c r="M669" s="1">
        <v>46223</v>
      </c>
      <c r="N669" t="s">
        <v>93</v>
      </c>
      <c r="O669">
        <v>20</v>
      </c>
      <c r="P669">
        <v>7</v>
      </c>
      <c r="Q669">
        <v>3</v>
      </c>
      <c r="R669">
        <v>2026</v>
      </c>
    </row>
    <row r="670" spans="1:18">
      <c r="A670">
        <v>897.75</v>
      </c>
      <c r="B670">
        <v>5</v>
      </c>
      <c r="C670">
        <v>669</v>
      </c>
      <c r="D670" s="2">
        <v>0.17036353009259259</v>
      </c>
      <c r="E670" t="s">
        <v>1923</v>
      </c>
      <c r="F670" t="s">
        <v>2593</v>
      </c>
      <c r="G670" t="s">
        <v>2594</v>
      </c>
      <c r="H670" t="s">
        <v>708</v>
      </c>
      <c r="I670" t="s">
        <v>834</v>
      </c>
      <c r="J670" t="s">
        <v>614</v>
      </c>
      <c r="K670" t="s">
        <v>21</v>
      </c>
      <c r="L670">
        <v>179.55</v>
      </c>
      <c r="M670" s="1">
        <v>45998</v>
      </c>
      <c r="N670" t="s">
        <v>28</v>
      </c>
      <c r="O670">
        <v>7</v>
      </c>
      <c r="P670">
        <v>12</v>
      </c>
      <c r="Q670">
        <v>4</v>
      </c>
      <c r="R670">
        <v>2025</v>
      </c>
    </row>
    <row r="671" spans="1:18">
      <c r="A671">
        <v>360.28</v>
      </c>
      <c r="B671">
        <v>4</v>
      </c>
      <c r="C671">
        <v>670</v>
      </c>
      <c r="D671" s="2">
        <v>1.4454502314814814E-2</v>
      </c>
      <c r="E671" t="s">
        <v>3365</v>
      </c>
      <c r="F671" t="s">
        <v>3366</v>
      </c>
      <c r="G671" t="s">
        <v>2338</v>
      </c>
      <c r="H671" t="s">
        <v>919</v>
      </c>
      <c r="I671" t="s">
        <v>786</v>
      </c>
      <c r="J671" t="s">
        <v>707</v>
      </c>
      <c r="K671" t="s">
        <v>23</v>
      </c>
      <c r="L671">
        <v>90.07</v>
      </c>
      <c r="M671" s="1">
        <v>45765</v>
      </c>
      <c r="N671" t="s">
        <v>79</v>
      </c>
      <c r="O671">
        <v>18</v>
      </c>
      <c r="P671">
        <v>4</v>
      </c>
      <c r="Q671">
        <v>2</v>
      </c>
      <c r="R671">
        <v>2025</v>
      </c>
    </row>
    <row r="672" spans="1:18">
      <c r="A672">
        <v>861</v>
      </c>
      <c r="B672">
        <v>4</v>
      </c>
      <c r="C672">
        <v>671</v>
      </c>
      <c r="D672" s="2">
        <v>0.86904166666666671</v>
      </c>
      <c r="E672" t="s">
        <v>2207</v>
      </c>
      <c r="F672" t="s">
        <v>2208</v>
      </c>
      <c r="G672" t="s">
        <v>1854</v>
      </c>
      <c r="H672" t="s">
        <v>1920</v>
      </c>
      <c r="I672" t="s">
        <v>807</v>
      </c>
      <c r="J672" t="s">
        <v>148</v>
      </c>
      <c r="K672" t="s">
        <v>51</v>
      </c>
      <c r="L672">
        <v>215.25</v>
      </c>
      <c r="M672" s="1">
        <v>45886</v>
      </c>
      <c r="N672" t="s">
        <v>28</v>
      </c>
      <c r="O672">
        <v>17</v>
      </c>
      <c r="P672">
        <v>8</v>
      </c>
      <c r="Q672">
        <v>3</v>
      </c>
      <c r="R672">
        <v>2025</v>
      </c>
    </row>
    <row r="673" spans="1:18">
      <c r="A673">
        <v>234.89</v>
      </c>
      <c r="B673">
        <v>1</v>
      </c>
      <c r="C673">
        <v>672</v>
      </c>
      <c r="D673" s="2">
        <v>0.22308039351851852</v>
      </c>
      <c r="E673" t="s">
        <v>2428</v>
      </c>
      <c r="F673" t="s">
        <v>2429</v>
      </c>
      <c r="G673" t="s">
        <v>1016</v>
      </c>
      <c r="H673" t="s">
        <v>136</v>
      </c>
      <c r="I673" t="s">
        <v>954</v>
      </c>
      <c r="J673" t="s">
        <v>255</v>
      </c>
      <c r="K673" t="s">
        <v>39</v>
      </c>
      <c r="L673">
        <v>234.89</v>
      </c>
      <c r="M673" s="1">
        <v>45549</v>
      </c>
      <c r="N673" t="s">
        <v>14</v>
      </c>
      <c r="O673">
        <v>14</v>
      </c>
      <c r="P673">
        <v>9</v>
      </c>
      <c r="Q673">
        <v>3</v>
      </c>
      <c r="R673">
        <v>2024</v>
      </c>
    </row>
    <row r="674" spans="1:18">
      <c r="A674">
        <v>313.12</v>
      </c>
      <c r="B674">
        <v>4</v>
      </c>
      <c r="C674">
        <v>673</v>
      </c>
      <c r="D674" s="2">
        <v>0.2613563078703704</v>
      </c>
      <c r="E674" t="s">
        <v>3150</v>
      </c>
      <c r="F674" t="s">
        <v>3151</v>
      </c>
      <c r="G674" t="s">
        <v>1231</v>
      </c>
      <c r="H674" t="s">
        <v>562</v>
      </c>
      <c r="I674" t="s">
        <v>753</v>
      </c>
      <c r="J674" t="s">
        <v>441</v>
      </c>
      <c r="K674" t="s">
        <v>37</v>
      </c>
      <c r="L674">
        <v>78.28</v>
      </c>
      <c r="M674" s="1">
        <v>45648</v>
      </c>
      <c r="N674" t="s">
        <v>28</v>
      </c>
      <c r="O674">
        <v>22</v>
      </c>
      <c r="P674">
        <v>12</v>
      </c>
      <c r="Q674">
        <v>4</v>
      </c>
      <c r="R674">
        <v>2024</v>
      </c>
    </row>
    <row r="675" spans="1:18">
      <c r="A675">
        <v>158.5</v>
      </c>
      <c r="B675">
        <v>2</v>
      </c>
      <c r="C675">
        <v>674</v>
      </c>
      <c r="D675" s="2">
        <v>0.60336288194444443</v>
      </c>
      <c r="E675" t="s">
        <v>2180</v>
      </c>
      <c r="F675" t="s">
        <v>2181</v>
      </c>
      <c r="G675" t="s">
        <v>1455</v>
      </c>
      <c r="H675" t="s">
        <v>1239</v>
      </c>
      <c r="I675" t="s">
        <v>795</v>
      </c>
      <c r="J675" t="s">
        <v>253</v>
      </c>
      <c r="K675" t="s">
        <v>23</v>
      </c>
      <c r="L675">
        <v>79.25</v>
      </c>
      <c r="M675" s="1">
        <v>46115</v>
      </c>
      <c r="N675" t="s">
        <v>79</v>
      </c>
      <c r="O675">
        <v>3</v>
      </c>
      <c r="P675">
        <v>4</v>
      </c>
      <c r="Q675">
        <v>2</v>
      </c>
      <c r="R675">
        <v>2026</v>
      </c>
    </row>
    <row r="676" spans="1:18">
      <c r="A676">
        <v>40.119999999999997</v>
      </c>
      <c r="B676">
        <v>1</v>
      </c>
      <c r="C676">
        <v>675</v>
      </c>
      <c r="D676" s="2">
        <v>0.22204228009259258</v>
      </c>
      <c r="E676" t="s">
        <v>2228</v>
      </c>
      <c r="F676" t="s">
        <v>2229</v>
      </c>
      <c r="G676" t="s">
        <v>1192</v>
      </c>
      <c r="H676" t="s">
        <v>64</v>
      </c>
      <c r="I676" t="s">
        <v>892</v>
      </c>
      <c r="J676" t="s">
        <v>56</v>
      </c>
      <c r="K676" t="s">
        <v>57</v>
      </c>
      <c r="L676">
        <v>40.119999999999997</v>
      </c>
      <c r="M676" s="1">
        <v>45605</v>
      </c>
      <c r="N676" t="s">
        <v>14</v>
      </c>
      <c r="O676">
        <v>9</v>
      </c>
      <c r="P676">
        <v>11</v>
      </c>
      <c r="Q676">
        <v>4</v>
      </c>
      <c r="R676">
        <v>2024</v>
      </c>
    </row>
    <row r="677" spans="1:18">
      <c r="A677">
        <v>229.85</v>
      </c>
      <c r="B677">
        <v>1</v>
      </c>
      <c r="C677">
        <v>676</v>
      </c>
      <c r="D677" s="2">
        <v>0.46893917824074072</v>
      </c>
      <c r="E677" t="s">
        <v>1572</v>
      </c>
      <c r="F677" t="s">
        <v>1573</v>
      </c>
      <c r="G677" t="s">
        <v>1565</v>
      </c>
      <c r="H677" t="s">
        <v>1574</v>
      </c>
      <c r="I677" t="s">
        <v>1003</v>
      </c>
      <c r="J677" t="s">
        <v>63</v>
      </c>
      <c r="K677" t="s">
        <v>25</v>
      </c>
      <c r="L677">
        <v>229.85</v>
      </c>
      <c r="M677" s="1">
        <v>45613</v>
      </c>
      <c r="N677" t="s">
        <v>28</v>
      </c>
      <c r="O677">
        <v>17</v>
      </c>
      <c r="P677">
        <v>11</v>
      </c>
      <c r="Q677">
        <v>4</v>
      </c>
      <c r="R677">
        <v>2024</v>
      </c>
    </row>
    <row r="678" spans="1:18">
      <c r="A678">
        <v>92.31</v>
      </c>
      <c r="B678">
        <v>3</v>
      </c>
      <c r="C678">
        <v>677</v>
      </c>
      <c r="D678" s="2">
        <v>0.57719615740740737</v>
      </c>
      <c r="E678" t="s">
        <v>1160</v>
      </c>
      <c r="F678" t="s">
        <v>1161</v>
      </c>
      <c r="G678" t="s">
        <v>1162</v>
      </c>
      <c r="H678" t="s">
        <v>794</v>
      </c>
      <c r="I678" t="s">
        <v>795</v>
      </c>
      <c r="J678" t="s">
        <v>522</v>
      </c>
      <c r="K678" t="s">
        <v>97</v>
      </c>
      <c r="L678">
        <v>30.77</v>
      </c>
      <c r="M678" s="1">
        <v>46186</v>
      </c>
      <c r="N678" t="s">
        <v>14</v>
      </c>
      <c r="O678">
        <v>13</v>
      </c>
      <c r="P678">
        <v>6</v>
      </c>
      <c r="Q678">
        <v>2</v>
      </c>
      <c r="R678">
        <v>2026</v>
      </c>
    </row>
    <row r="679" spans="1:18">
      <c r="A679">
        <v>379.7</v>
      </c>
      <c r="B679">
        <v>2</v>
      </c>
      <c r="C679">
        <v>678</v>
      </c>
      <c r="D679" s="2">
        <v>0.33420920138888888</v>
      </c>
      <c r="E679" t="s">
        <v>1934</v>
      </c>
      <c r="F679" t="s">
        <v>1935</v>
      </c>
      <c r="G679" t="s">
        <v>1648</v>
      </c>
      <c r="H679" t="s">
        <v>1362</v>
      </c>
      <c r="I679" t="s">
        <v>896</v>
      </c>
      <c r="J679" t="s">
        <v>569</v>
      </c>
      <c r="K679" t="s">
        <v>43</v>
      </c>
      <c r="L679">
        <v>189.85</v>
      </c>
      <c r="M679" s="1">
        <v>46147</v>
      </c>
      <c r="N679" t="s">
        <v>48</v>
      </c>
      <c r="O679">
        <v>5</v>
      </c>
      <c r="P679">
        <v>5</v>
      </c>
      <c r="Q679">
        <v>2</v>
      </c>
      <c r="R679">
        <v>2026</v>
      </c>
    </row>
    <row r="680" spans="1:18">
      <c r="A680">
        <v>100.56</v>
      </c>
      <c r="B680">
        <v>2</v>
      </c>
      <c r="C680">
        <v>679</v>
      </c>
      <c r="D680" s="2">
        <v>0.49672737268518519</v>
      </c>
      <c r="E680" t="s">
        <v>2717</v>
      </c>
      <c r="F680" t="s">
        <v>2718</v>
      </c>
      <c r="G680" t="s">
        <v>941</v>
      </c>
      <c r="H680" t="s">
        <v>1434</v>
      </c>
      <c r="I680" t="s">
        <v>786</v>
      </c>
      <c r="J680" t="s">
        <v>519</v>
      </c>
      <c r="K680" t="s">
        <v>51</v>
      </c>
      <c r="L680">
        <v>50.28</v>
      </c>
      <c r="M680" s="1">
        <v>45753</v>
      </c>
      <c r="N680" t="s">
        <v>28</v>
      </c>
      <c r="O680">
        <v>6</v>
      </c>
      <c r="P680">
        <v>4</v>
      </c>
      <c r="Q680">
        <v>2</v>
      </c>
      <c r="R680">
        <v>2025</v>
      </c>
    </row>
    <row r="681" spans="1:18">
      <c r="A681">
        <v>226.05</v>
      </c>
      <c r="B681">
        <v>5</v>
      </c>
      <c r="C681">
        <v>680</v>
      </c>
      <c r="D681" s="2">
        <v>5.4307870370370371E-4</v>
      </c>
      <c r="E681" t="s">
        <v>2121</v>
      </c>
      <c r="F681" t="s">
        <v>2122</v>
      </c>
      <c r="G681" t="s">
        <v>1077</v>
      </c>
      <c r="H681" t="s">
        <v>929</v>
      </c>
      <c r="I681" t="s">
        <v>786</v>
      </c>
      <c r="J681" t="s">
        <v>542</v>
      </c>
      <c r="K681" t="s">
        <v>46</v>
      </c>
      <c r="L681">
        <v>45.21</v>
      </c>
      <c r="M681" s="1">
        <v>46240</v>
      </c>
      <c r="N681" t="s">
        <v>105</v>
      </c>
      <c r="O681">
        <v>6</v>
      </c>
      <c r="P681">
        <v>8</v>
      </c>
      <c r="Q681">
        <v>3</v>
      </c>
      <c r="R681">
        <v>2026</v>
      </c>
    </row>
    <row r="682" spans="1:18">
      <c r="A682">
        <v>131.12</v>
      </c>
      <c r="B682">
        <v>2</v>
      </c>
      <c r="C682">
        <v>681</v>
      </c>
      <c r="D682" s="2">
        <v>0.55264826388888888</v>
      </c>
      <c r="E682" t="s">
        <v>2223</v>
      </c>
      <c r="F682" t="s">
        <v>2224</v>
      </c>
      <c r="G682" t="s">
        <v>1274</v>
      </c>
      <c r="H682" t="s">
        <v>2225</v>
      </c>
      <c r="I682" t="s">
        <v>786</v>
      </c>
      <c r="J682" t="s">
        <v>291</v>
      </c>
      <c r="K682" t="s">
        <v>51</v>
      </c>
      <c r="L682">
        <v>65.56</v>
      </c>
      <c r="M682" s="1">
        <v>46107</v>
      </c>
      <c r="N682" t="s">
        <v>105</v>
      </c>
      <c r="O682">
        <v>26</v>
      </c>
      <c r="P682">
        <v>3</v>
      </c>
      <c r="Q682">
        <v>1</v>
      </c>
      <c r="R682">
        <v>2026</v>
      </c>
    </row>
    <row r="683" spans="1:18">
      <c r="A683">
        <v>346.78</v>
      </c>
      <c r="B683">
        <v>2</v>
      </c>
      <c r="C683">
        <v>682</v>
      </c>
      <c r="D683" s="2">
        <v>0.49439607638888888</v>
      </c>
      <c r="E683" t="s">
        <v>1617</v>
      </c>
      <c r="F683" t="s">
        <v>1618</v>
      </c>
      <c r="G683" t="s">
        <v>1619</v>
      </c>
      <c r="H683" t="s">
        <v>1189</v>
      </c>
      <c r="I683" t="s">
        <v>892</v>
      </c>
      <c r="J683" t="s">
        <v>446</v>
      </c>
      <c r="K683" t="s">
        <v>57</v>
      </c>
      <c r="L683">
        <v>173.39</v>
      </c>
      <c r="M683" s="1">
        <v>46108</v>
      </c>
      <c r="N683" t="s">
        <v>79</v>
      </c>
      <c r="O683">
        <v>27</v>
      </c>
      <c r="P683">
        <v>3</v>
      </c>
      <c r="Q683">
        <v>1</v>
      </c>
      <c r="R683">
        <v>2026</v>
      </c>
    </row>
    <row r="684" spans="1:18">
      <c r="A684">
        <v>1018.7</v>
      </c>
      <c r="B684">
        <v>5</v>
      </c>
      <c r="C684">
        <v>683</v>
      </c>
      <c r="D684" s="2">
        <v>0.40504706018518516</v>
      </c>
      <c r="E684" t="s">
        <v>1096</v>
      </c>
      <c r="F684" t="s">
        <v>1097</v>
      </c>
      <c r="G684" t="s">
        <v>1098</v>
      </c>
      <c r="H684" t="s">
        <v>980</v>
      </c>
      <c r="I684" t="s">
        <v>981</v>
      </c>
      <c r="J684" t="s">
        <v>552</v>
      </c>
      <c r="K684" t="s">
        <v>31</v>
      </c>
      <c r="L684">
        <v>203.74</v>
      </c>
      <c r="M684" s="1">
        <v>45823</v>
      </c>
      <c r="N684" t="s">
        <v>28</v>
      </c>
      <c r="O684">
        <v>15</v>
      </c>
      <c r="P684">
        <v>6</v>
      </c>
      <c r="Q684">
        <v>2</v>
      </c>
      <c r="R684">
        <v>2025</v>
      </c>
    </row>
    <row r="685" spans="1:18">
      <c r="A685">
        <v>30.41</v>
      </c>
      <c r="B685">
        <v>1</v>
      </c>
      <c r="C685">
        <v>684</v>
      </c>
      <c r="D685" s="2">
        <v>0.55531914351851852</v>
      </c>
      <c r="E685" t="s">
        <v>2953</v>
      </c>
      <c r="F685" t="s">
        <v>2954</v>
      </c>
      <c r="G685" t="s">
        <v>1698</v>
      </c>
      <c r="H685" t="s">
        <v>1395</v>
      </c>
      <c r="I685" t="s">
        <v>776</v>
      </c>
      <c r="J685" t="s">
        <v>718</v>
      </c>
      <c r="K685" t="s">
        <v>21</v>
      </c>
      <c r="L685">
        <v>30.41</v>
      </c>
      <c r="M685" s="1">
        <v>45962</v>
      </c>
      <c r="N685" t="s">
        <v>14</v>
      </c>
      <c r="O685">
        <v>1</v>
      </c>
      <c r="P685">
        <v>11</v>
      </c>
      <c r="Q685">
        <v>4</v>
      </c>
      <c r="R685">
        <v>2025</v>
      </c>
    </row>
    <row r="686" spans="1:18">
      <c r="A686">
        <v>160.43</v>
      </c>
      <c r="B686">
        <v>1</v>
      </c>
      <c r="C686">
        <v>685</v>
      </c>
      <c r="D686" s="2">
        <v>0.94855538194444444</v>
      </c>
      <c r="E686" t="s">
        <v>3104</v>
      </c>
      <c r="F686" t="s">
        <v>3105</v>
      </c>
      <c r="G686" t="s">
        <v>1791</v>
      </c>
      <c r="H686" t="s">
        <v>1342</v>
      </c>
      <c r="I686" t="s">
        <v>776</v>
      </c>
      <c r="J686" t="s">
        <v>424</v>
      </c>
      <c r="K686" t="s">
        <v>69</v>
      </c>
      <c r="L686">
        <v>160.43</v>
      </c>
      <c r="M686" s="1">
        <v>45814</v>
      </c>
      <c r="N686" t="s">
        <v>79</v>
      </c>
      <c r="O686">
        <v>6</v>
      </c>
      <c r="P686">
        <v>6</v>
      </c>
      <c r="Q686">
        <v>2</v>
      </c>
      <c r="R686">
        <v>2025</v>
      </c>
    </row>
    <row r="687" spans="1:18">
      <c r="A687">
        <v>706.80000000000007</v>
      </c>
      <c r="B687">
        <v>5</v>
      </c>
      <c r="C687">
        <v>686</v>
      </c>
      <c r="D687" s="2">
        <v>0.9967863194444444</v>
      </c>
      <c r="E687" t="s">
        <v>1796</v>
      </c>
      <c r="F687" t="s">
        <v>1797</v>
      </c>
      <c r="G687" t="s">
        <v>1798</v>
      </c>
      <c r="H687" t="s">
        <v>806</v>
      </c>
      <c r="I687" t="s">
        <v>807</v>
      </c>
      <c r="J687" t="s">
        <v>181</v>
      </c>
      <c r="K687" t="s">
        <v>82</v>
      </c>
      <c r="L687">
        <v>141.36000000000001</v>
      </c>
      <c r="M687" s="1">
        <v>46205</v>
      </c>
      <c r="N687" t="s">
        <v>105</v>
      </c>
      <c r="O687">
        <v>2</v>
      </c>
      <c r="P687">
        <v>7</v>
      </c>
      <c r="Q687">
        <v>3</v>
      </c>
      <c r="R687">
        <v>2026</v>
      </c>
    </row>
    <row r="688" spans="1:18">
      <c r="A688">
        <v>15.03</v>
      </c>
      <c r="B688">
        <v>1</v>
      </c>
      <c r="C688">
        <v>687</v>
      </c>
      <c r="D688" s="2">
        <v>0.59916218750000005</v>
      </c>
      <c r="E688" t="s">
        <v>3187</v>
      </c>
      <c r="F688" t="s">
        <v>3188</v>
      </c>
      <c r="G688" t="s">
        <v>1501</v>
      </c>
      <c r="H688" t="s">
        <v>1189</v>
      </c>
      <c r="I688" t="s">
        <v>892</v>
      </c>
      <c r="J688" t="s">
        <v>523</v>
      </c>
      <c r="K688" t="s">
        <v>23</v>
      </c>
      <c r="L688">
        <v>15.03</v>
      </c>
      <c r="M688" s="1">
        <v>45840</v>
      </c>
      <c r="N688" t="s">
        <v>34</v>
      </c>
      <c r="O688">
        <v>2</v>
      </c>
      <c r="P688">
        <v>7</v>
      </c>
      <c r="Q688">
        <v>3</v>
      </c>
      <c r="R688">
        <v>2025</v>
      </c>
    </row>
    <row r="689" spans="1:18">
      <c r="A689">
        <v>453.39</v>
      </c>
      <c r="B689">
        <v>3</v>
      </c>
      <c r="C689">
        <v>688</v>
      </c>
      <c r="D689" s="2">
        <v>0.29238092592592591</v>
      </c>
      <c r="E689" t="s">
        <v>1723</v>
      </c>
      <c r="F689" t="s">
        <v>1724</v>
      </c>
      <c r="G689" t="s">
        <v>1725</v>
      </c>
      <c r="H689" t="s">
        <v>915</v>
      </c>
      <c r="I689" t="s">
        <v>908</v>
      </c>
      <c r="J689" t="s">
        <v>655</v>
      </c>
      <c r="K689" t="s">
        <v>82</v>
      </c>
      <c r="L689">
        <v>151.13</v>
      </c>
      <c r="M689" s="1">
        <v>46012</v>
      </c>
      <c r="N689" t="s">
        <v>28</v>
      </c>
      <c r="O689">
        <v>21</v>
      </c>
      <c r="P689">
        <v>12</v>
      </c>
      <c r="Q689">
        <v>4</v>
      </c>
      <c r="R689">
        <v>2025</v>
      </c>
    </row>
    <row r="690" spans="1:18">
      <c r="A690">
        <v>475.14</v>
      </c>
      <c r="B690">
        <v>3</v>
      </c>
      <c r="C690">
        <v>689</v>
      </c>
      <c r="D690" s="2">
        <v>0.4381116898148148</v>
      </c>
      <c r="E690" t="s">
        <v>2523</v>
      </c>
      <c r="F690" t="s">
        <v>2524</v>
      </c>
      <c r="G690" t="s">
        <v>1997</v>
      </c>
      <c r="H690" t="s">
        <v>1189</v>
      </c>
      <c r="I690" t="s">
        <v>892</v>
      </c>
      <c r="J690" t="s">
        <v>172</v>
      </c>
      <c r="K690" t="s">
        <v>46</v>
      </c>
      <c r="L690">
        <v>158.38</v>
      </c>
      <c r="M690" s="1">
        <v>46051</v>
      </c>
      <c r="N690" t="s">
        <v>105</v>
      </c>
      <c r="O690">
        <v>29</v>
      </c>
      <c r="P690">
        <v>1</v>
      </c>
      <c r="Q690">
        <v>1</v>
      </c>
      <c r="R690">
        <v>2026</v>
      </c>
    </row>
    <row r="691" spans="1:18">
      <c r="A691">
        <v>338.29999999999995</v>
      </c>
      <c r="B691">
        <v>5</v>
      </c>
      <c r="C691">
        <v>690</v>
      </c>
      <c r="D691" s="2">
        <v>0.68472722222222226</v>
      </c>
      <c r="E691" t="s">
        <v>2483</v>
      </c>
      <c r="F691" t="s">
        <v>2484</v>
      </c>
      <c r="G691" t="s">
        <v>1155</v>
      </c>
      <c r="H691" t="s">
        <v>106</v>
      </c>
      <c r="I691" t="s">
        <v>790</v>
      </c>
      <c r="J691" t="s">
        <v>2624</v>
      </c>
      <c r="K691" t="s">
        <v>82</v>
      </c>
      <c r="L691">
        <v>67.66</v>
      </c>
      <c r="M691" s="1">
        <v>46114</v>
      </c>
      <c r="N691" t="s">
        <v>105</v>
      </c>
      <c r="O691">
        <v>2</v>
      </c>
      <c r="P691">
        <v>4</v>
      </c>
      <c r="Q691">
        <v>2</v>
      </c>
      <c r="R691">
        <v>2026</v>
      </c>
    </row>
    <row r="692" spans="1:18">
      <c r="A692">
        <v>176.46</v>
      </c>
      <c r="B692">
        <v>1</v>
      </c>
      <c r="C692">
        <v>691</v>
      </c>
      <c r="D692" s="2">
        <v>0.17948429398148147</v>
      </c>
      <c r="E692" t="s">
        <v>3005</v>
      </c>
      <c r="F692" t="s">
        <v>3006</v>
      </c>
      <c r="G692" t="s">
        <v>2275</v>
      </c>
      <c r="H692" t="s">
        <v>392</v>
      </c>
      <c r="I692" t="s">
        <v>943</v>
      </c>
      <c r="J692" t="s">
        <v>647</v>
      </c>
      <c r="K692" t="s">
        <v>57</v>
      </c>
      <c r="L692">
        <v>176.46</v>
      </c>
      <c r="M692" s="1">
        <v>46126</v>
      </c>
      <c r="N692" t="s">
        <v>48</v>
      </c>
      <c r="O692">
        <v>14</v>
      </c>
      <c r="P692">
        <v>4</v>
      </c>
      <c r="Q692">
        <v>2</v>
      </c>
      <c r="R692">
        <v>2026</v>
      </c>
    </row>
    <row r="693" spans="1:18">
      <c r="A693">
        <v>169.77</v>
      </c>
      <c r="B693">
        <v>1</v>
      </c>
      <c r="C693">
        <v>692</v>
      </c>
      <c r="D693" s="2">
        <v>0.38650313657407409</v>
      </c>
      <c r="E693" t="s">
        <v>2934</v>
      </c>
      <c r="F693" t="s">
        <v>2935</v>
      </c>
      <c r="G693" t="s">
        <v>2043</v>
      </c>
      <c r="H693" t="s">
        <v>1509</v>
      </c>
      <c r="I693" t="s">
        <v>821</v>
      </c>
      <c r="J693" t="s">
        <v>300</v>
      </c>
      <c r="K693" t="s">
        <v>55</v>
      </c>
      <c r="L693">
        <v>169.77</v>
      </c>
      <c r="M693" s="1">
        <v>46114</v>
      </c>
      <c r="N693" t="s">
        <v>105</v>
      </c>
      <c r="O693">
        <v>2</v>
      </c>
      <c r="P693">
        <v>4</v>
      </c>
      <c r="Q693">
        <v>2</v>
      </c>
      <c r="R693">
        <v>2026</v>
      </c>
    </row>
    <row r="694" spans="1:18">
      <c r="A694">
        <v>5.48</v>
      </c>
      <c r="B694">
        <v>4</v>
      </c>
      <c r="C694">
        <v>693</v>
      </c>
      <c r="D694" s="2">
        <v>2.5693101851851852E-2</v>
      </c>
      <c r="E694" t="s">
        <v>2569</v>
      </c>
      <c r="F694" t="s">
        <v>2570</v>
      </c>
      <c r="G694" t="s">
        <v>2571</v>
      </c>
      <c r="H694" t="s">
        <v>1026</v>
      </c>
      <c r="I694" t="s">
        <v>896</v>
      </c>
      <c r="J694" t="s">
        <v>85</v>
      </c>
      <c r="K694" t="s">
        <v>37</v>
      </c>
      <c r="L694">
        <v>1.37</v>
      </c>
      <c r="M694" s="1">
        <v>46235</v>
      </c>
      <c r="N694" t="s">
        <v>14</v>
      </c>
      <c r="O694">
        <v>1</v>
      </c>
      <c r="P694">
        <v>8</v>
      </c>
      <c r="Q694">
        <v>3</v>
      </c>
      <c r="R694">
        <v>2026</v>
      </c>
    </row>
    <row r="695" spans="1:18">
      <c r="A695">
        <v>343.62</v>
      </c>
      <c r="B695">
        <v>2</v>
      </c>
      <c r="C695">
        <v>694</v>
      </c>
      <c r="D695" s="2">
        <v>0.38015122685185188</v>
      </c>
      <c r="E695" t="s">
        <v>1522</v>
      </c>
      <c r="F695" t="s">
        <v>1523</v>
      </c>
      <c r="G695" t="s">
        <v>1524</v>
      </c>
      <c r="H695" t="s">
        <v>1525</v>
      </c>
      <c r="I695" t="s">
        <v>763</v>
      </c>
      <c r="J695" t="s">
        <v>129</v>
      </c>
      <c r="K695" t="s">
        <v>25</v>
      </c>
      <c r="L695">
        <v>171.81</v>
      </c>
      <c r="M695" s="1">
        <v>45737</v>
      </c>
      <c r="N695" t="s">
        <v>79</v>
      </c>
      <c r="O695">
        <v>21</v>
      </c>
      <c r="P695">
        <v>3</v>
      </c>
      <c r="Q695">
        <v>1</v>
      </c>
      <c r="R695">
        <v>2025</v>
      </c>
    </row>
    <row r="696" spans="1:18">
      <c r="A696">
        <v>345.34</v>
      </c>
      <c r="B696">
        <v>2</v>
      </c>
      <c r="C696">
        <v>695</v>
      </c>
      <c r="D696" s="2">
        <v>0.79433701388888889</v>
      </c>
      <c r="E696" t="s">
        <v>1667</v>
      </c>
      <c r="F696" t="s">
        <v>1668</v>
      </c>
      <c r="G696" t="s">
        <v>1669</v>
      </c>
      <c r="H696" t="s">
        <v>1670</v>
      </c>
      <c r="I696" t="s">
        <v>1247</v>
      </c>
      <c r="J696" t="s">
        <v>551</v>
      </c>
      <c r="K696" t="s">
        <v>122</v>
      </c>
      <c r="L696">
        <v>172.67</v>
      </c>
      <c r="M696" s="1">
        <v>45666</v>
      </c>
      <c r="N696" t="s">
        <v>105</v>
      </c>
      <c r="O696">
        <v>9</v>
      </c>
      <c r="P696">
        <v>1</v>
      </c>
      <c r="Q696">
        <v>1</v>
      </c>
      <c r="R696">
        <v>2025</v>
      </c>
    </row>
    <row r="697" spans="1:18">
      <c r="A697">
        <v>114.85</v>
      </c>
      <c r="B697">
        <v>5</v>
      </c>
      <c r="C697">
        <v>696</v>
      </c>
      <c r="D697" s="2">
        <v>0.22097349537037037</v>
      </c>
      <c r="E697" t="s">
        <v>1346</v>
      </c>
      <c r="F697" t="s">
        <v>1347</v>
      </c>
      <c r="G697" t="s">
        <v>1348</v>
      </c>
      <c r="H697" t="s">
        <v>548</v>
      </c>
      <c r="I697" t="s">
        <v>790</v>
      </c>
      <c r="J697" t="s">
        <v>90</v>
      </c>
      <c r="K697" t="s">
        <v>23</v>
      </c>
      <c r="L697">
        <v>22.97</v>
      </c>
      <c r="M697" s="1">
        <v>45577</v>
      </c>
      <c r="N697" t="s">
        <v>14</v>
      </c>
      <c r="O697">
        <v>12</v>
      </c>
      <c r="P697">
        <v>10</v>
      </c>
      <c r="Q697">
        <v>4</v>
      </c>
      <c r="R697">
        <v>2024</v>
      </c>
    </row>
    <row r="698" spans="1:18">
      <c r="A698">
        <v>4.88</v>
      </c>
      <c r="B698">
        <v>4</v>
      </c>
      <c r="C698">
        <v>697</v>
      </c>
      <c r="D698" s="2">
        <v>0.21753806712962964</v>
      </c>
      <c r="E698" t="s">
        <v>2853</v>
      </c>
      <c r="F698" t="s">
        <v>2854</v>
      </c>
      <c r="G698" t="s">
        <v>2522</v>
      </c>
      <c r="H698" t="s">
        <v>2332</v>
      </c>
      <c r="I698" t="s">
        <v>1003</v>
      </c>
      <c r="J698" t="s">
        <v>242</v>
      </c>
      <c r="K698" t="s">
        <v>19</v>
      </c>
      <c r="L698">
        <v>1.22</v>
      </c>
      <c r="M698" s="1">
        <v>45831</v>
      </c>
      <c r="N698" t="s">
        <v>93</v>
      </c>
      <c r="O698">
        <v>23</v>
      </c>
      <c r="P698">
        <v>6</v>
      </c>
      <c r="Q698">
        <v>2</v>
      </c>
      <c r="R698">
        <v>2025</v>
      </c>
    </row>
    <row r="699" spans="1:18">
      <c r="A699">
        <v>321.54000000000002</v>
      </c>
      <c r="B699">
        <v>2</v>
      </c>
      <c r="C699">
        <v>698</v>
      </c>
      <c r="D699" s="2">
        <v>0.77310986111111113</v>
      </c>
      <c r="E699" t="s">
        <v>1960</v>
      </c>
      <c r="F699" t="s">
        <v>1961</v>
      </c>
      <c r="G699" t="s">
        <v>1962</v>
      </c>
      <c r="H699" t="s">
        <v>1089</v>
      </c>
      <c r="I699" t="s">
        <v>812</v>
      </c>
      <c r="J699" t="s">
        <v>44</v>
      </c>
      <c r="K699" t="s">
        <v>31</v>
      </c>
      <c r="L699">
        <v>160.77000000000001</v>
      </c>
      <c r="M699" s="1">
        <v>46200</v>
      </c>
      <c r="N699" t="s">
        <v>14</v>
      </c>
      <c r="O699">
        <v>27</v>
      </c>
      <c r="P699">
        <v>6</v>
      </c>
      <c r="Q699">
        <v>2</v>
      </c>
      <c r="R699">
        <v>2026</v>
      </c>
    </row>
    <row r="700" spans="1:18">
      <c r="A700">
        <v>381.52</v>
      </c>
      <c r="B700">
        <v>2</v>
      </c>
      <c r="C700">
        <v>699</v>
      </c>
      <c r="D700" s="2">
        <v>0.8873307407407407</v>
      </c>
      <c r="E700" t="s">
        <v>2750</v>
      </c>
      <c r="F700" t="s">
        <v>2751</v>
      </c>
      <c r="G700" t="s">
        <v>1619</v>
      </c>
      <c r="H700" t="s">
        <v>1984</v>
      </c>
      <c r="I700" t="s">
        <v>768</v>
      </c>
      <c r="J700" t="s">
        <v>1430</v>
      </c>
      <c r="K700" t="s">
        <v>60</v>
      </c>
      <c r="L700">
        <v>190.76</v>
      </c>
      <c r="M700" s="1">
        <v>45776</v>
      </c>
      <c r="N700" t="s">
        <v>48</v>
      </c>
      <c r="O700">
        <v>29</v>
      </c>
      <c r="P700">
        <v>4</v>
      </c>
      <c r="Q700">
        <v>2</v>
      </c>
      <c r="R700">
        <v>2025</v>
      </c>
    </row>
    <row r="701" spans="1:18">
      <c r="A701">
        <v>242.54999999999998</v>
      </c>
      <c r="B701">
        <v>5</v>
      </c>
      <c r="C701">
        <v>700</v>
      </c>
      <c r="D701" s="2">
        <v>4.0911226851851855E-3</v>
      </c>
      <c r="E701" t="s">
        <v>1413</v>
      </c>
      <c r="F701" t="s">
        <v>1414</v>
      </c>
      <c r="G701" t="s">
        <v>761</v>
      </c>
      <c r="H701" t="s">
        <v>1415</v>
      </c>
      <c r="I701" t="s">
        <v>812</v>
      </c>
      <c r="J701" t="s">
        <v>243</v>
      </c>
      <c r="K701" t="s">
        <v>57</v>
      </c>
      <c r="L701">
        <v>48.51</v>
      </c>
      <c r="M701" s="1">
        <v>45824</v>
      </c>
      <c r="N701" t="s">
        <v>93</v>
      </c>
      <c r="O701">
        <v>16</v>
      </c>
      <c r="P701">
        <v>6</v>
      </c>
      <c r="Q701">
        <v>2</v>
      </c>
      <c r="R701">
        <v>2025</v>
      </c>
    </row>
    <row r="702" spans="1:18">
      <c r="A702">
        <v>245.38</v>
      </c>
      <c r="B702">
        <v>2</v>
      </c>
      <c r="C702">
        <v>701</v>
      </c>
      <c r="D702" s="2">
        <v>0.83332262731481477</v>
      </c>
      <c r="E702" t="s">
        <v>2136</v>
      </c>
      <c r="F702" t="s">
        <v>2137</v>
      </c>
      <c r="G702" t="s">
        <v>2138</v>
      </c>
      <c r="H702" t="s">
        <v>29</v>
      </c>
      <c r="I702" t="s">
        <v>821</v>
      </c>
      <c r="J702" t="s">
        <v>134</v>
      </c>
      <c r="K702" t="s">
        <v>100</v>
      </c>
      <c r="L702">
        <v>122.69</v>
      </c>
      <c r="M702" s="1">
        <v>45945</v>
      </c>
      <c r="N702" t="s">
        <v>34</v>
      </c>
      <c r="O702">
        <v>15</v>
      </c>
      <c r="P702">
        <v>10</v>
      </c>
      <c r="Q702">
        <v>4</v>
      </c>
      <c r="R702">
        <v>2025</v>
      </c>
    </row>
    <row r="703" spans="1:18">
      <c r="A703">
        <v>107.74</v>
      </c>
      <c r="B703">
        <v>2</v>
      </c>
      <c r="C703">
        <v>702</v>
      </c>
      <c r="D703" s="2">
        <v>2.6176631944444445E-2</v>
      </c>
      <c r="E703" t="s">
        <v>1062</v>
      </c>
      <c r="F703" t="s">
        <v>1063</v>
      </c>
      <c r="G703" t="s">
        <v>1064</v>
      </c>
      <c r="H703" t="s">
        <v>151</v>
      </c>
      <c r="I703" t="s">
        <v>1003</v>
      </c>
      <c r="J703" t="s">
        <v>2034</v>
      </c>
      <c r="K703" t="s">
        <v>100</v>
      </c>
      <c r="L703">
        <v>53.87</v>
      </c>
      <c r="M703" s="1">
        <v>46077</v>
      </c>
      <c r="N703" t="s">
        <v>48</v>
      </c>
      <c r="O703">
        <v>24</v>
      </c>
      <c r="P703">
        <v>2</v>
      </c>
      <c r="Q703">
        <v>1</v>
      </c>
      <c r="R703">
        <v>2026</v>
      </c>
    </row>
    <row r="704" spans="1:18">
      <c r="A704">
        <v>315.44</v>
      </c>
      <c r="B704">
        <v>4</v>
      </c>
      <c r="C704">
        <v>703</v>
      </c>
      <c r="D704" s="2">
        <v>0.77322513888888889</v>
      </c>
      <c r="E704" t="s">
        <v>1463</v>
      </c>
      <c r="F704" t="s">
        <v>1464</v>
      </c>
      <c r="G704" t="s">
        <v>882</v>
      </c>
      <c r="H704" t="s">
        <v>1465</v>
      </c>
      <c r="I704" t="s">
        <v>817</v>
      </c>
      <c r="J704" t="s">
        <v>208</v>
      </c>
      <c r="K704" t="s">
        <v>43</v>
      </c>
      <c r="L704">
        <v>78.86</v>
      </c>
      <c r="M704" s="1">
        <v>46273</v>
      </c>
      <c r="N704" t="s">
        <v>48</v>
      </c>
      <c r="O704">
        <v>8</v>
      </c>
      <c r="P704">
        <v>9</v>
      </c>
      <c r="Q704">
        <v>3</v>
      </c>
      <c r="R704">
        <v>2026</v>
      </c>
    </row>
    <row r="705" spans="1:18">
      <c r="A705">
        <v>58.48</v>
      </c>
      <c r="B705">
        <v>4</v>
      </c>
      <c r="C705">
        <v>704</v>
      </c>
      <c r="D705" s="2">
        <v>0.8249616666666667</v>
      </c>
      <c r="E705" t="s">
        <v>3504</v>
      </c>
      <c r="F705" t="s">
        <v>3505</v>
      </c>
      <c r="G705" t="s">
        <v>2419</v>
      </c>
      <c r="H705" t="s">
        <v>1626</v>
      </c>
      <c r="I705" t="s">
        <v>812</v>
      </c>
      <c r="J705" t="s">
        <v>102</v>
      </c>
      <c r="K705" t="s">
        <v>51</v>
      </c>
      <c r="L705">
        <v>14.62</v>
      </c>
      <c r="M705" s="1">
        <v>45662</v>
      </c>
      <c r="N705" t="s">
        <v>28</v>
      </c>
      <c r="O705">
        <v>5</v>
      </c>
      <c r="P705">
        <v>1</v>
      </c>
      <c r="Q705">
        <v>1</v>
      </c>
      <c r="R705">
        <v>2025</v>
      </c>
    </row>
    <row r="706" spans="1:18">
      <c r="A706">
        <v>5.48</v>
      </c>
      <c r="B706">
        <v>4</v>
      </c>
      <c r="C706">
        <v>705</v>
      </c>
      <c r="D706" s="2">
        <v>0.28858250000000002</v>
      </c>
      <c r="E706" t="s">
        <v>1186</v>
      </c>
      <c r="F706" t="s">
        <v>1187</v>
      </c>
      <c r="G706" t="s">
        <v>1188</v>
      </c>
      <c r="H706" t="s">
        <v>1189</v>
      </c>
      <c r="I706" t="s">
        <v>892</v>
      </c>
      <c r="J706" t="s">
        <v>85</v>
      </c>
      <c r="K706" t="s">
        <v>37</v>
      </c>
      <c r="L706">
        <v>1.37</v>
      </c>
      <c r="M706" s="1">
        <v>46181</v>
      </c>
      <c r="N706" t="s">
        <v>93</v>
      </c>
      <c r="O706">
        <v>8</v>
      </c>
      <c r="P706">
        <v>6</v>
      </c>
      <c r="Q706">
        <v>2</v>
      </c>
      <c r="R706">
        <v>2026</v>
      </c>
    </row>
    <row r="707" spans="1:18">
      <c r="A707">
        <v>35.159999999999997</v>
      </c>
      <c r="B707">
        <v>2</v>
      </c>
      <c r="C707">
        <v>706</v>
      </c>
      <c r="D707" s="2">
        <v>0.8409377199074074</v>
      </c>
      <c r="E707" t="s">
        <v>2226</v>
      </c>
      <c r="F707" t="s">
        <v>2227</v>
      </c>
      <c r="G707" t="s">
        <v>1188</v>
      </c>
      <c r="H707" t="s">
        <v>1089</v>
      </c>
      <c r="I707" t="s">
        <v>812</v>
      </c>
      <c r="J707" t="s">
        <v>469</v>
      </c>
      <c r="K707" t="s">
        <v>46</v>
      </c>
      <c r="L707">
        <v>17.579999999999998</v>
      </c>
      <c r="M707" s="1">
        <v>45897</v>
      </c>
      <c r="N707" t="s">
        <v>105</v>
      </c>
      <c r="O707">
        <v>28</v>
      </c>
      <c r="P707">
        <v>8</v>
      </c>
      <c r="Q707">
        <v>3</v>
      </c>
      <c r="R707">
        <v>2025</v>
      </c>
    </row>
    <row r="708" spans="1:18">
      <c r="A708">
        <v>30.03</v>
      </c>
      <c r="B708">
        <v>3</v>
      </c>
      <c r="C708">
        <v>707</v>
      </c>
      <c r="D708" s="2">
        <v>0.15750289351851851</v>
      </c>
      <c r="E708" t="s">
        <v>1847</v>
      </c>
      <c r="F708" t="s">
        <v>1848</v>
      </c>
      <c r="G708" t="s">
        <v>1849</v>
      </c>
      <c r="H708" t="s">
        <v>825</v>
      </c>
      <c r="I708" t="s">
        <v>781</v>
      </c>
      <c r="J708" t="s">
        <v>163</v>
      </c>
      <c r="K708" t="s">
        <v>97</v>
      </c>
      <c r="L708">
        <v>10.01</v>
      </c>
      <c r="M708" s="1">
        <v>45583</v>
      </c>
      <c r="N708" t="s">
        <v>79</v>
      </c>
      <c r="O708">
        <v>18</v>
      </c>
      <c r="P708">
        <v>10</v>
      </c>
      <c r="Q708">
        <v>4</v>
      </c>
      <c r="R708">
        <v>2024</v>
      </c>
    </row>
    <row r="709" spans="1:18">
      <c r="A709">
        <v>512.25</v>
      </c>
      <c r="B709">
        <v>3</v>
      </c>
      <c r="C709">
        <v>708</v>
      </c>
      <c r="D709" s="2">
        <v>0.44799415509259261</v>
      </c>
      <c r="E709" t="s">
        <v>1583</v>
      </c>
      <c r="F709" t="s">
        <v>1584</v>
      </c>
      <c r="G709" t="s">
        <v>1585</v>
      </c>
      <c r="H709" t="s">
        <v>113</v>
      </c>
      <c r="I709" t="s">
        <v>1247</v>
      </c>
      <c r="J709" t="s">
        <v>652</v>
      </c>
      <c r="K709" t="s">
        <v>37</v>
      </c>
      <c r="L709">
        <v>170.75</v>
      </c>
      <c r="M709" s="1">
        <v>46078</v>
      </c>
      <c r="N709" t="s">
        <v>34</v>
      </c>
      <c r="O709">
        <v>25</v>
      </c>
      <c r="P709">
        <v>2</v>
      </c>
      <c r="Q709">
        <v>1</v>
      </c>
      <c r="R709">
        <v>2026</v>
      </c>
    </row>
    <row r="710" spans="1:18">
      <c r="A710">
        <v>182.64</v>
      </c>
      <c r="B710">
        <v>1</v>
      </c>
      <c r="C710">
        <v>709</v>
      </c>
      <c r="D710" s="2">
        <v>0.50893478009259263</v>
      </c>
      <c r="E710" t="s">
        <v>1834</v>
      </c>
      <c r="F710" t="s">
        <v>1835</v>
      </c>
      <c r="G710" t="s">
        <v>946</v>
      </c>
      <c r="H710" t="s">
        <v>1525</v>
      </c>
      <c r="I710" t="s">
        <v>763</v>
      </c>
      <c r="J710" t="s">
        <v>505</v>
      </c>
      <c r="K710" t="s">
        <v>100</v>
      </c>
      <c r="L710">
        <v>182.64</v>
      </c>
      <c r="M710" s="1">
        <v>45624</v>
      </c>
      <c r="N710" t="s">
        <v>105</v>
      </c>
      <c r="O710">
        <v>28</v>
      </c>
      <c r="P710">
        <v>11</v>
      </c>
      <c r="Q710">
        <v>4</v>
      </c>
      <c r="R710">
        <v>2024</v>
      </c>
    </row>
    <row r="711" spans="1:18">
      <c r="A711">
        <v>384.51</v>
      </c>
      <c r="B711">
        <v>3</v>
      </c>
      <c r="C711">
        <v>710</v>
      </c>
      <c r="D711" s="2">
        <v>0.98369874999999996</v>
      </c>
      <c r="E711" t="s">
        <v>1640</v>
      </c>
      <c r="F711" t="s">
        <v>1641</v>
      </c>
      <c r="G711" t="s">
        <v>1642</v>
      </c>
      <c r="H711" t="s">
        <v>160</v>
      </c>
      <c r="I711" t="s">
        <v>790</v>
      </c>
      <c r="J711" t="s">
        <v>487</v>
      </c>
      <c r="K711" t="s">
        <v>19</v>
      </c>
      <c r="L711">
        <v>128.16999999999999</v>
      </c>
      <c r="M711" s="1">
        <v>45747</v>
      </c>
      <c r="N711" t="s">
        <v>93</v>
      </c>
      <c r="O711">
        <v>31</v>
      </c>
      <c r="P711">
        <v>3</v>
      </c>
      <c r="Q711">
        <v>1</v>
      </c>
      <c r="R711">
        <v>2025</v>
      </c>
    </row>
    <row r="712" spans="1:18">
      <c r="A712">
        <v>1119.0999999999999</v>
      </c>
      <c r="B712">
        <v>5</v>
      </c>
      <c r="C712">
        <v>711</v>
      </c>
      <c r="D712" s="2">
        <v>0.35343364583333331</v>
      </c>
      <c r="E712" t="s">
        <v>1863</v>
      </c>
      <c r="F712" t="s">
        <v>1864</v>
      </c>
      <c r="G712" t="s">
        <v>1865</v>
      </c>
      <c r="H712" t="s">
        <v>1168</v>
      </c>
      <c r="I712" t="s">
        <v>758</v>
      </c>
      <c r="J712" t="s">
        <v>588</v>
      </c>
      <c r="K712" t="s">
        <v>82</v>
      </c>
      <c r="L712">
        <v>223.82</v>
      </c>
      <c r="M712" s="1">
        <v>45737</v>
      </c>
      <c r="N712" t="s">
        <v>79</v>
      </c>
      <c r="O712">
        <v>21</v>
      </c>
      <c r="P712">
        <v>3</v>
      </c>
      <c r="Q712">
        <v>1</v>
      </c>
      <c r="R712">
        <v>2025</v>
      </c>
    </row>
    <row r="713" spans="1:18">
      <c r="A713">
        <v>97.02</v>
      </c>
      <c r="B713">
        <v>2</v>
      </c>
      <c r="C713">
        <v>712</v>
      </c>
      <c r="D713" s="2">
        <v>0.5957805439814815</v>
      </c>
      <c r="E713" t="s">
        <v>1008</v>
      </c>
      <c r="F713" t="s">
        <v>1009</v>
      </c>
      <c r="G713" t="s">
        <v>1010</v>
      </c>
      <c r="H713" t="s">
        <v>829</v>
      </c>
      <c r="I713" t="s">
        <v>830</v>
      </c>
      <c r="J713" t="s">
        <v>243</v>
      </c>
      <c r="K713" t="s">
        <v>57</v>
      </c>
      <c r="L713">
        <v>48.51</v>
      </c>
      <c r="M713" s="1">
        <v>46111</v>
      </c>
      <c r="N713" t="s">
        <v>93</v>
      </c>
      <c r="O713">
        <v>30</v>
      </c>
      <c r="P713">
        <v>3</v>
      </c>
      <c r="Q713">
        <v>1</v>
      </c>
      <c r="R713">
        <v>2026</v>
      </c>
    </row>
    <row r="714" spans="1:18">
      <c r="A714">
        <v>269.54999999999995</v>
      </c>
      <c r="B714">
        <v>3</v>
      </c>
      <c r="C714">
        <v>713</v>
      </c>
      <c r="D714" s="2">
        <v>0.25398118055555557</v>
      </c>
      <c r="E714" t="s">
        <v>967</v>
      </c>
      <c r="F714" t="s">
        <v>968</v>
      </c>
      <c r="G714" t="s">
        <v>969</v>
      </c>
      <c r="H714" t="s">
        <v>970</v>
      </c>
      <c r="I714" t="s">
        <v>790</v>
      </c>
      <c r="J714" t="s">
        <v>381</v>
      </c>
      <c r="K714" t="s">
        <v>27</v>
      </c>
      <c r="L714">
        <v>89.85</v>
      </c>
      <c r="M714" s="1">
        <v>45573</v>
      </c>
      <c r="N714" t="s">
        <v>48</v>
      </c>
      <c r="O714">
        <v>8</v>
      </c>
      <c r="P714">
        <v>10</v>
      </c>
      <c r="Q714">
        <v>4</v>
      </c>
      <c r="R714">
        <v>2024</v>
      </c>
    </row>
    <row r="715" spans="1:18">
      <c r="A715">
        <v>129.30000000000001</v>
      </c>
      <c r="B715">
        <v>5</v>
      </c>
      <c r="C715">
        <v>714</v>
      </c>
      <c r="D715" s="2">
        <v>0.37423998842592593</v>
      </c>
      <c r="E715" t="s">
        <v>1752</v>
      </c>
      <c r="F715" t="s">
        <v>1753</v>
      </c>
      <c r="G715" t="s">
        <v>1754</v>
      </c>
      <c r="H715" t="s">
        <v>1755</v>
      </c>
      <c r="I715" t="s">
        <v>786</v>
      </c>
      <c r="J715" t="s">
        <v>282</v>
      </c>
      <c r="K715" t="s">
        <v>21</v>
      </c>
      <c r="L715">
        <v>25.86</v>
      </c>
      <c r="M715" s="1">
        <v>45726</v>
      </c>
      <c r="N715" t="s">
        <v>93</v>
      </c>
      <c r="O715">
        <v>10</v>
      </c>
      <c r="P715">
        <v>3</v>
      </c>
      <c r="Q715">
        <v>1</v>
      </c>
      <c r="R715">
        <v>2025</v>
      </c>
    </row>
    <row r="716" spans="1:18">
      <c r="A716">
        <v>274.45</v>
      </c>
      <c r="B716">
        <v>5</v>
      </c>
      <c r="C716">
        <v>715</v>
      </c>
      <c r="D716" s="2">
        <v>0.68881040509259261</v>
      </c>
      <c r="E716" t="s">
        <v>791</v>
      </c>
      <c r="F716" t="s">
        <v>792</v>
      </c>
      <c r="G716" t="s">
        <v>793</v>
      </c>
      <c r="H716" t="s">
        <v>794</v>
      </c>
      <c r="I716" t="s">
        <v>795</v>
      </c>
      <c r="J716" t="s">
        <v>431</v>
      </c>
      <c r="K716" t="s">
        <v>17</v>
      </c>
      <c r="L716">
        <v>54.89</v>
      </c>
      <c r="M716" s="1">
        <v>46050</v>
      </c>
      <c r="N716" t="s">
        <v>34</v>
      </c>
      <c r="O716">
        <v>28</v>
      </c>
      <c r="P716">
        <v>1</v>
      </c>
      <c r="Q716">
        <v>1</v>
      </c>
      <c r="R716">
        <v>2026</v>
      </c>
    </row>
    <row r="717" spans="1:18">
      <c r="A717">
        <v>219.26</v>
      </c>
      <c r="B717">
        <v>1</v>
      </c>
      <c r="C717">
        <v>716</v>
      </c>
      <c r="D717" s="2">
        <v>0.42351331018518518</v>
      </c>
      <c r="E717" t="s">
        <v>3009</v>
      </c>
      <c r="F717" t="s">
        <v>3010</v>
      </c>
      <c r="G717" t="s">
        <v>1616</v>
      </c>
      <c r="H717" t="s">
        <v>2489</v>
      </c>
      <c r="I717" t="s">
        <v>1247</v>
      </c>
      <c r="J717" t="s">
        <v>162</v>
      </c>
      <c r="K717" t="s">
        <v>51</v>
      </c>
      <c r="L717">
        <v>219.26</v>
      </c>
      <c r="M717" s="1">
        <v>45675</v>
      </c>
      <c r="N717" t="s">
        <v>14</v>
      </c>
      <c r="O717">
        <v>18</v>
      </c>
      <c r="P717">
        <v>1</v>
      </c>
      <c r="Q717">
        <v>1</v>
      </c>
      <c r="R717">
        <v>2025</v>
      </c>
    </row>
    <row r="718" spans="1:18">
      <c r="A718">
        <v>220.85</v>
      </c>
      <c r="B718">
        <v>1</v>
      </c>
      <c r="C718">
        <v>717</v>
      </c>
      <c r="D718" s="2">
        <v>0.88248166666666672</v>
      </c>
      <c r="E718" t="s">
        <v>3025</v>
      </c>
      <c r="F718" t="s">
        <v>3026</v>
      </c>
      <c r="G718" t="s">
        <v>1010</v>
      </c>
      <c r="H718" t="s">
        <v>806</v>
      </c>
      <c r="I718" t="s">
        <v>807</v>
      </c>
      <c r="J718" t="s">
        <v>309</v>
      </c>
      <c r="K718" t="s">
        <v>100</v>
      </c>
      <c r="L718">
        <v>220.85</v>
      </c>
      <c r="M718" s="1">
        <v>46253</v>
      </c>
      <c r="N718" t="s">
        <v>34</v>
      </c>
      <c r="O718">
        <v>19</v>
      </c>
      <c r="P718">
        <v>8</v>
      </c>
      <c r="Q718">
        <v>3</v>
      </c>
      <c r="R718">
        <v>2026</v>
      </c>
    </row>
    <row r="719" spans="1:18">
      <c r="A719">
        <v>216.1</v>
      </c>
      <c r="B719">
        <v>2</v>
      </c>
      <c r="C719">
        <v>718</v>
      </c>
      <c r="D719" s="2">
        <v>6.5787962962962965E-2</v>
      </c>
      <c r="E719" t="s">
        <v>1193</v>
      </c>
      <c r="F719" t="s">
        <v>1194</v>
      </c>
      <c r="G719" t="s">
        <v>1195</v>
      </c>
      <c r="H719" t="s">
        <v>199</v>
      </c>
      <c r="I719" t="s">
        <v>781</v>
      </c>
      <c r="J719" t="s">
        <v>682</v>
      </c>
      <c r="K719" t="s">
        <v>23</v>
      </c>
      <c r="L719">
        <v>108.05</v>
      </c>
      <c r="M719" s="1">
        <v>45935</v>
      </c>
      <c r="N719" t="s">
        <v>28</v>
      </c>
      <c r="O719">
        <v>5</v>
      </c>
      <c r="P719">
        <v>10</v>
      </c>
      <c r="Q719">
        <v>4</v>
      </c>
      <c r="R719">
        <v>2025</v>
      </c>
    </row>
    <row r="720" spans="1:18">
      <c r="A720">
        <v>11.46</v>
      </c>
      <c r="B720">
        <v>2</v>
      </c>
      <c r="C720">
        <v>719</v>
      </c>
      <c r="D720" s="2">
        <v>0.7072967361111111</v>
      </c>
      <c r="E720" t="s">
        <v>2504</v>
      </c>
      <c r="F720" t="s">
        <v>2505</v>
      </c>
      <c r="G720" t="s">
        <v>1452</v>
      </c>
      <c r="H720" t="s">
        <v>1339</v>
      </c>
      <c r="I720" t="s">
        <v>1247</v>
      </c>
      <c r="J720" t="s">
        <v>407</v>
      </c>
      <c r="K720" t="s">
        <v>21</v>
      </c>
      <c r="L720">
        <v>5.73</v>
      </c>
      <c r="M720" s="1">
        <v>45807</v>
      </c>
      <c r="N720" t="s">
        <v>79</v>
      </c>
      <c r="O720">
        <v>30</v>
      </c>
      <c r="P720">
        <v>5</v>
      </c>
      <c r="Q720">
        <v>2</v>
      </c>
      <c r="R720">
        <v>2025</v>
      </c>
    </row>
    <row r="721" spans="1:18">
      <c r="A721">
        <v>224.2</v>
      </c>
      <c r="B721">
        <v>4</v>
      </c>
      <c r="C721">
        <v>720</v>
      </c>
      <c r="D721" s="2">
        <v>6.0564675925925925E-2</v>
      </c>
      <c r="E721" t="s">
        <v>1671</v>
      </c>
      <c r="F721" t="s">
        <v>1672</v>
      </c>
      <c r="G721" t="s">
        <v>1013</v>
      </c>
      <c r="H721" t="s">
        <v>1673</v>
      </c>
      <c r="I721" t="s">
        <v>821</v>
      </c>
      <c r="J721" t="s">
        <v>32</v>
      </c>
      <c r="K721" t="s">
        <v>19</v>
      </c>
      <c r="L721">
        <v>56.05</v>
      </c>
      <c r="M721" s="1">
        <v>45994</v>
      </c>
      <c r="N721" t="s">
        <v>34</v>
      </c>
      <c r="O721">
        <v>3</v>
      </c>
      <c r="P721">
        <v>12</v>
      </c>
      <c r="Q721">
        <v>4</v>
      </c>
      <c r="R721">
        <v>2025</v>
      </c>
    </row>
    <row r="722" spans="1:18">
      <c r="A722">
        <v>398.40000000000003</v>
      </c>
      <c r="B722">
        <v>5</v>
      </c>
      <c r="C722">
        <v>721</v>
      </c>
      <c r="D722" s="2">
        <v>0.7920318287037037</v>
      </c>
      <c r="E722" t="s">
        <v>1018</v>
      </c>
      <c r="F722" t="s">
        <v>1019</v>
      </c>
      <c r="G722" t="s">
        <v>1020</v>
      </c>
      <c r="H722" t="s">
        <v>995</v>
      </c>
      <c r="I722" t="s">
        <v>781</v>
      </c>
      <c r="J722" t="s">
        <v>565</v>
      </c>
      <c r="K722" t="s">
        <v>17</v>
      </c>
      <c r="L722">
        <v>79.680000000000007</v>
      </c>
      <c r="M722" s="1">
        <v>45880</v>
      </c>
      <c r="N722" t="s">
        <v>93</v>
      </c>
      <c r="O722">
        <v>11</v>
      </c>
      <c r="P722">
        <v>8</v>
      </c>
      <c r="Q722">
        <v>3</v>
      </c>
      <c r="R722">
        <v>2025</v>
      </c>
    </row>
    <row r="723" spans="1:18">
      <c r="A723">
        <v>87.99</v>
      </c>
      <c r="B723">
        <v>3</v>
      </c>
      <c r="C723">
        <v>722</v>
      </c>
      <c r="D723" s="2">
        <v>0.53976815972222225</v>
      </c>
      <c r="E723" t="s">
        <v>835</v>
      </c>
      <c r="F723" t="s">
        <v>836</v>
      </c>
      <c r="G723" t="s">
        <v>837</v>
      </c>
      <c r="H723" t="s">
        <v>838</v>
      </c>
      <c r="I723" t="s">
        <v>839</v>
      </c>
      <c r="J723" t="s">
        <v>289</v>
      </c>
      <c r="K723" t="s">
        <v>60</v>
      </c>
      <c r="L723">
        <v>29.33</v>
      </c>
      <c r="M723" s="1">
        <v>45977</v>
      </c>
      <c r="N723" t="s">
        <v>28</v>
      </c>
      <c r="O723">
        <v>16</v>
      </c>
      <c r="P723">
        <v>11</v>
      </c>
      <c r="Q723">
        <v>4</v>
      </c>
      <c r="R723">
        <v>2025</v>
      </c>
    </row>
    <row r="724" spans="1:18">
      <c r="A724">
        <v>73.739999999999995</v>
      </c>
      <c r="B724">
        <v>3</v>
      </c>
      <c r="C724">
        <v>723</v>
      </c>
      <c r="D724" s="2">
        <v>0.35349616898148151</v>
      </c>
      <c r="E724" t="s">
        <v>3246</v>
      </c>
      <c r="F724" t="s">
        <v>3247</v>
      </c>
      <c r="G724" t="s">
        <v>1192</v>
      </c>
      <c r="H724" t="s">
        <v>29</v>
      </c>
      <c r="I724" t="s">
        <v>821</v>
      </c>
      <c r="J724" t="s">
        <v>370</v>
      </c>
      <c r="K724" t="s">
        <v>43</v>
      </c>
      <c r="L724">
        <v>24.58</v>
      </c>
      <c r="M724" s="1">
        <v>45552</v>
      </c>
      <c r="N724" t="s">
        <v>48</v>
      </c>
      <c r="O724">
        <v>17</v>
      </c>
      <c r="P724">
        <v>9</v>
      </c>
      <c r="Q724">
        <v>3</v>
      </c>
      <c r="R724">
        <v>2024</v>
      </c>
    </row>
    <row r="725" spans="1:18">
      <c r="A725">
        <v>126.21000000000001</v>
      </c>
      <c r="B725">
        <v>3</v>
      </c>
      <c r="C725">
        <v>724</v>
      </c>
      <c r="D725" s="2">
        <v>0.61032966435185187</v>
      </c>
      <c r="E725" t="s">
        <v>1601</v>
      </c>
      <c r="F725" t="s">
        <v>1602</v>
      </c>
      <c r="G725" t="s">
        <v>1603</v>
      </c>
      <c r="H725" t="s">
        <v>1339</v>
      </c>
      <c r="I725" t="s">
        <v>1247</v>
      </c>
      <c r="J725" t="s">
        <v>629</v>
      </c>
      <c r="K725" t="s">
        <v>43</v>
      </c>
      <c r="L725">
        <v>42.07</v>
      </c>
      <c r="M725" s="1">
        <v>45548</v>
      </c>
      <c r="N725" t="s">
        <v>79</v>
      </c>
      <c r="O725">
        <v>13</v>
      </c>
      <c r="P725">
        <v>9</v>
      </c>
      <c r="Q725">
        <v>3</v>
      </c>
      <c r="R725">
        <v>2024</v>
      </c>
    </row>
    <row r="726" spans="1:18">
      <c r="A726">
        <v>680.91</v>
      </c>
      <c r="B726">
        <v>3</v>
      </c>
      <c r="C726">
        <v>725</v>
      </c>
      <c r="D726" s="2">
        <v>0.26871511574074075</v>
      </c>
      <c r="E726" t="s">
        <v>2696</v>
      </c>
      <c r="F726" t="s">
        <v>2697</v>
      </c>
      <c r="G726" t="s">
        <v>2365</v>
      </c>
      <c r="H726" t="s">
        <v>1649</v>
      </c>
      <c r="I726" t="s">
        <v>790</v>
      </c>
      <c r="J726" t="s">
        <v>283</v>
      </c>
      <c r="K726" t="s">
        <v>100</v>
      </c>
      <c r="L726">
        <v>226.97</v>
      </c>
      <c r="M726" s="1">
        <v>45641</v>
      </c>
      <c r="N726" t="s">
        <v>28</v>
      </c>
      <c r="O726">
        <v>15</v>
      </c>
      <c r="P726">
        <v>12</v>
      </c>
      <c r="Q726">
        <v>4</v>
      </c>
      <c r="R726">
        <v>2024</v>
      </c>
    </row>
    <row r="727" spans="1:18">
      <c r="A727">
        <v>71.400000000000006</v>
      </c>
      <c r="B727">
        <v>4</v>
      </c>
      <c r="C727">
        <v>726</v>
      </c>
      <c r="D727" s="2">
        <v>0.25730134259259257</v>
      </c>
      <c r="E727" t="s">
        <v>3227</v>
      </c>
      <c r="F727" t="s">
        <v>3228</v>
      </c>
      <c r="G727" t="s">
        <v>865</v>
      </c>
      <c r="H727" t="s">
        <v>802</v>
      </c>
      <c r="I727" t="s">
        <v>748</v>
      </c>
      <c r="J727" t="s">
        <v>605</v>
      </c>
      <c r="K727" t="s">
        <v>39</v>
      </c>
      <c r="L727">
        <v>17.850000000000001</v>
      </c>
      <c r="M727" s="1">
        <v>45589</v>
      </c>
      <c r="N727" t="s">
        <v>105</v>
      </c>
      <c r="O727">
        <v>24</v>
      </c>
      <c r="P727">
        <v>10</v>
      </c>
      <c r="Q727">
        <v>4</v>
      </c>
      <c r="R727">
        <v>2024</v>
      </c>
    </row>
    <row r="728" spans="1:18">
      <c r="A728">
        <v>69.25</v>
      </c>
      <c r="B728">
        <v>5</v>
      </c>
      <c r="C728">
        <v>727</v>
      </c>
      <c r="D728" s="2">
        <v>1.7142708333333333E-2</v>
      </c>
      <c r="E728" t="s">
        <v>2261</v>
      </c>
      <c r="F728" t="s">
        <v>2262</v>
      </c>
      <c r="G728" t="s">
        <v>1660</v>
      </c>
      <c r="H728" t="s">
        <v>1206</v>
      </c>
      <c r="I728" t="s">
        <v>943</v>
      </c>
      <c r="J728" t="s">
        <v>233</v>
      </c>
      <c r="K728" t="s">
        <v>122</v>
      </c>
      <c r="L728">
        <v>13.85</v>
      </c>
      <c r="M728" s="1">
        <v>46076</v>
      </c>
      <c r="N728" t="s">
        <v>93</v>
      </c>
      <c r="O728">
        <v>23</v>
      </c>
      <c r="P728">
        <v>2</v>
      </c>
      <c r="Q728">
        <v>1</v>
      </c>
      <c r="R728">
        <v>2026</v>
      </c>
    </row>
    <row r="729" spans="1:18">
      <c r="A729">
        <v>715.59</v>
      </c>
      <c r="B729">
        <v>3</v>
      </c>
      <c r="C729">
        <v>728</v>
      </c>
      <c r="D729" s="2">
        <v>0.86980240740740744</v>
      </c>
      <c r="E729" t="s">
        <v>1583</v>
      </c>
      <c r="F729" t="s">
        <v>1584</v>
      </c>
      <c r="G729" t="s">
        <v>1585</v>
      </c>
      <c r="H729" t="s">
        <v>113</v>
      </c>
      <c r="I729" t="s">
        <v>1247</v>
      </c>
      <c r="J729" t="s">
        <v>660</v>
      </c>
      <c r="K729" t="s">
        <v>25</v>
      </c>
      <c r="L729">
        <v>238.53</v>
      </c>
      <c r="M729" s="1">
        <v>45870</v>
      </c>
      <c r="N729" t="s">
        <v>79</v>
      </c>
      <c r="O729">
        <v>1</v>
      </c>
      <c r="P729">
        <v>8</v>
      </c>
      <c r="Q729">
        <v>3</v>
      </c>
      <c r="R729">
        <v>2025</v>
      </c>
    </row>
    <row r="730" spans="1:18">
      <c r="A730">
        <v>125.4</v>
      </c>
      <c r="B730">
        <v>4</v>
      </c>
      <c r="C730">
        <v>729</v>
      </c>
      <c r="D730" s="2">
        <v>0.73957436342592597</v>
      </c>
      <c r="E730" t="s">
        <v>1530</v>
      </c>
      <c r="F730" t="s">
        <v>1531</v>
      </c>
      <c r="G730" t="s">
        <v>1532</v>
      </c>
      <c r="H730" t="s">
        <v>1533</v>
      </c>
      <c r="I730" t="s">
        <v>781</v>
      </c>
      <c r="J730" t="s">
        <v>557</v>
      </c>
      <c r="K730" t="s">
        <v>46</v>
      </c>
      <c r="L730">
        <v>31.35</v>
      </c>
      <c r="M730" s="1">
        <v>46217</v>
      </c>
      <c r="N730" t="s">
        <v>48</v>
      </c>
      <c r="O730">
        <v>14</v>
      </c>
      <c r="P730">
        <v>7</v>
      </c>
      <c r="Q730">
        <v>3</v>
      </c>
      <c r="R730">
        <v>2026</v>
      </c>
    </row>
    <row r="731" spans="1:18">
      <c r="A731">
        <v>242.36</v>
      </c>
      <c r="B731">
        <v>1</v>
      </c>
      <c r="C731">
        <v>730</v>
      </c>
      <c r="D731" s="2">
        <v>0.13312281249999999</v>
      </c>
      <c r="E731" t="s">
        <v>2278</v>
      </c>
      <c r="F731" t="s">
        <v>2279</v>
      </c>
      <c r="G731" t="s">
        <v>2280</v>
      </c>
      <c r="H731" t="s">
        <v>1239</v>
      </c>
      <c r="I731" t="s">
        <v>795</v>
      </c>
      <c r="J731" t="s">
        <v>115</v>
      </c>
      <c r="K731" t="s">
        <v>55</v>
      </c>
      <c r="L731">
        <v>242.36</v>
      </c>
      <c r="M731" s="1">
        <v>46125</v>
      </c>
      <c r="N731" t="s">
        <v>93</v>
      </c>
      <c r="O731">
        <v>13</v>
      </c>
      <c r="P731">
        <v>4</v>
      </c>
      <c r="Q731">
        <v>2</v>
      </c>
      <c r="R731">
        <v>2026</v>
      </c>
    </row>
    <row r="732" spans="1:18">
      <c r="A732">
        <v>31.32</v>
      </c>
      <c r="B732">
        <v>4</v>
      </c>
      <c r="C732">
        <v>731</v>
      </c>
      <c r="D732" s="2">
        <v>0.75699118055555559</v>
      </c>
      <c r="E732" t="s">
        <v>2398</v>
      </c>
      <c r="F732" t="s">
        <v>2399</v>
      </c>
      <c r="G732" t="s">
        <v>1452</v>
      </c>
      <c r="H732" t="s">
        <v>816</v>
      </c>
      <c r="I732" t="s">
        <v>817</v>
      </c>
      <c r="J732" t="s">
        <v>489</v>
      </c>
      <c r="K732" t="s">
        <v>51</v>
      </c>
      <c r="L732">
        <v>7.83</v>
      </c>
      <c r="M732" s="1">
        <v>46028</v>
      </c>
      <c r="N732" t="s">
        <v>48</v>
      </c>
      <c r="O732">
        <v>6</v>
      </c>
      <c r="P732">
        <v>1</v>
      </c>
      <c r="Q732">
        <v>1</v>
      </c>
      <c r="R732">
        <v>2026</v>
      </c>
    </row>
    <row r="733" spans="1:18">
      <c r="A733">
        <v>67.62</v>
      </c>
      <c r="B733">
        <v>1</v>
      </c>
      <c r="C733">
        <v>732</v>
      </c>
      <c r="D733" s="2">
        <v>0.2821091550925926</v>
      </c>
      <c r="E733" t="s">
        <v>1229</v>
      </c>
      <c r="F733" t="s">
        <v>1230</v>
      </c>
      <c r="G733" t="s">
        <v>1231</v>
      </c>
      <c r="H733" t="s">
        <v>1232</v>
      </c>
      <c r="I733" t="s">
        <v>817</v>
      </c>
      <c r="J733" t="s">
        <v>697</v>
      </c>
      <c r="K733" t="s">
        <v>17</v>
      </c>
      <c r="L733">
        <v>67.62</v>
      </c>
      <c r="M733" s="1">
        <v>45564</v>
      </c>
      <c r="N733" t="s">
        <v>28</v>
      </c>
      <c r="O733">
        <v>29</v>
      </c>
      <c r="P733">
        <v>9</v>
      </c>
      <c r="Q733">
        <v>3</v>
      </c>
      <c r="R733">
        <v>2024</v>
      </c>
    </row>
    <row r="734" spans="1:18">
      <c r="A734">
        <v>49.08</v>
      </c>
      <c r="B734">
        <v>3</v>
      </c>
      <c r="C734">
        <v>733</v>
      </c>
      <c r="D734" s="2">
        <v>0.86789196759259257</v>
      </c>
      <c r="E734" t="s">
        <v>3363</v>
      </c>
      <c r="F734" t="s">
        <v>3364</v>
      </c>
      <c r="G734" t="s">
        <v>1968</v>
      </c>
      <c r="H734" t="s">
        <v>853</v>
      </c>
      <c r="I734" t="s">
        <v>854</v>
      </c>
      <c r="J734" t="s">
        <v>1183</v>
      </c>
      <c r="K734" t="s">
        <v>100</v>
      </c>
      <c r="L734">
        <v>16.36</v>
      </c>
      <c r="M734" s="1">
        <v>45935</v>
      </c>
      <c r="N734" t="s">
        <v>28</v>
      </c>
      <c r="O734">
        <v>5</v>
      </c>
      <c r="P734">
        <v>10</v>
      </c>
      <c r="Q734">
        <v>4</v>
      </c>
      <c r="R734">
        <v>2025</v>
      </c>
    </row>
    <row r="735" spans="1:18">
      <c r="A735">
        <v>213.06</v>
      </c>
      <c r="B735">
        <v>2</v>
      </c>
      <c r="C735">
        <v>734</v>
      </c>
      <c r="D735" s="2">
        <v>0.24998607638888889</v>
      </c>
      <c r="E735" t="s">
        <v>1877</v>
      </c>
      <c r="F735" t="s">
        <v>1878</v>
      </c>
      <c r="G735" t="s">
        <v>1380</v>
      </c>
      <c r="H735" t="s">
        <v>932</v>
      </c>
      <c r="I735" t="s">
        <v>776</v>
      </c>
      <c r="J735" t="s">
        <v>377</v>
      </c>
      <c r="K735" t="s">
        <v>27</v>
      </c>
      <c r="L735">
        <v>106.53</v>
      </c>
      <c r="M735" s="1">
        <v>45894</v>
      </c>
      <c r="N735" t="s">
        <v>93</v>
      </c>
      <c r="O735">
        <v>25</v>
      </c>
      <c r="P735">
        <v>8</v>
      </c>
      <c r="Q735">
        <v>3</v>
      </c>
      <c r="R735">
        <v>2025</v>
      </c>
    </row>
    <row r="736" spans="1:18">
      <c r="A736">
        <v>56.92</v>
      </c>
      <c r="B736">
        <v>2</v>
      </c>
      <c r="C736">
        <v>735</v>
      </c>
      <c r="D736" s="2">
        <v>0.68790240740740738</v>
      </c>
      <c r="E736" t="s">
        <v>2525</v>
      </c>
      <c r="F736" t="s">
        <v>2526</v>
      </c>
      <c r="G736" t="s">
        <v>2527</v>
      </c>
      <c r="H736" t="s">
        <v>513</v>
      </c>
      <c r="I736" t="s">
        <v>786</v>
      </c>
      <c r="J736" t="s">
        <v>250</v>
      </c>
      <c r="K736" t="s">
        <v>19</v>
      </c>
      <c r="L736">
        <v>28.46</v>
      </c>
      <c r="M736" s="1">
        <v>45938</v>
      </c>
      <c r="N736" t="s">
        <v>34</v>
      </c>
      <c r="O736">
        <v>8</v>
      </c>
      <c r="P736">
        <v>10</v>
      </c>
      <c r="Q736">
        <v>4</v>
      </c>
      <c r="R736">
        <v>2025</v>
      </c>
    </row>
    <row r="737" spans="1:18">
      <c r="A737">
        <v>584.44000000000005</v>
      </c>
      <c r="B737">
        <v>4</v>
      </c>
      <c r="C737">
        <v>736</v>
      </c>
      <c r="D737" s="2">
        <v>0.40418643518518521</v>
      </c>
      <c r="E737" t="s">
        <v>944</v>
      </c>
      <c r="F737" t="s">
        <v>945</v>
      </c>
      <c r="G737" t="s">
        <v>946</v>
      </c>
      <c r="H737" t="s">
        <v>199</v>
      </c>
      <c r="I737" t="s">
        <v>781</v>
      </c>
      <c r="J737" t="s">
        <v>382</v>
      </c>
      <c r="K737" t="s">
        <v>122</v>
      </c>
      <c r="L737">
        <v>146.11000000000001</v>
      </c>
      <c r="M737" s="1">
        <v>45680</v>
      </c>
      <c r="N737" t="s">
        <v>105</v>
      </c>
      <c r="O737">
        <v>23</v>
      </c>
      <c r="P737">
        <v>1</v>
      </c>
      <c r="Q737">
        <v>1</v>
      </c>
      <c r="R737">
        <v>2025</v>
      </c>
    </row>
    <row r="738" spans="1:18">
      <c r="A738">
        <v>400.96</v>
      </c>
      <c r="B738">
        <v>2</v>
      </c>
      <c r="C738">
        <v>737</v>
      </c>
      <c r="D738" s="2">
        <v>0.19972017361111111</v>
      </c>
      <c r="E738" t="s">
        <v>1312</v>
      </c>
      <c r="F738" t="s">
        <v>1313</v>
      </c>
      <c r="G738" t="s">
        <v>820</v>
      </c>
      <c r="H738" t="s">
        <v>1061</v>
      </c>
      <c r="I738" t="s">
        <v>834</v>
      </c>
      <c r="J738" t="s">
        <v>2254</v>
      </c>
      <c r="K738" t="s">
        <v>43</v>
      </c>
      <c r="L738">
        <v>200.48</v>
      </c>
      <c r="M738" s="1">
        <v>45958</v>
      </c>
      <c r="N738" t="s">
        <v>48</v>
      </c>
      <c r="O738">
        <v>28</v>
      </c>
      <c r="P738">
        <v>10</v>
      </c>
      <c r="Q738">
        <v>4</v>
      </c>
      <c r="R738">
        <v>2025</v>
      </c>
    </row>
    <row r="739" spans="1:18">
      <c r="A739">
        <v>806.12</v>
      </c>
      <c r="B739">
        <v>4</v>
      </c>
      <c r="C739">
        <v>738</v>
      </c>
      <c r="D739" s="2">
        <v>0.55208298611111106</v>
      </c>
      <c r="E739" t="s">
        <v>2189</v>
      </c>
      <c r="F739" t="s">
        <v>2190</v>
      </c>
      <c r="G739" t="s">
        <v>2191</v>
      </c>
      <c r="H739" t="s">
        <v>1410</v>
      </c>
      <c r="I739" t="s">
        <v>812</v>
      </c>
      <c r="J739" t="s">
        <v>476</v>
      </c>
      <c r="K739" t="s">
        <v>31</v>
      </c>
      <c r="L739">
        <v>201.53</v>
      </c>
      <c r="M739" s="1">
        <v>45886</v>
      </c>
      <c r="N739" t="s">
        <v>28</v>
      </c>
      <c r="O739">
        <v>17</v>
      </c>
      <c r="P739">
        <v>8</v>
      </c>
      <c r="Q739">
        <v>3</v>
      </c>
      <c r="R739">
        <v>2025</v>
      </c>
    </row>
    <row r="740" spans="1:18">
      <c r="A740">
        <v>236.61</v>
      </c>
      <c r="B740">
        <v>1</v>
      </c>
      <c r="C740">
        <v>739</v>
      </c>
      <c r="D740" s="2">
        <v>8.2604166666666666E-4</v>
      </c>
      <c r="E740" t="s">
        <v>889</v>
      </c>
      <c r="F740" t="s">
        <v>890</v>
      </c>
      <c r="G740" t="s">
        <v>891</v>
      </c>
      <c r="H740" t="s">
        <v>64</v>
      </c>
      <c r="I740" t="s">
        <v>892</v>
      </c>
      <c r="J740" t="s">
        <v>235</v>
      </c>
      <c r="K740" t="s">
        <v>19</v>
      </c>
      <c r="L740">
        <v>236.61</v>
      </c>
      <c r="M740" s="1">
        <v>46188</v>
      </c>
      <c r="N740" t="s">
        <v>93</v>
      </c>
      <c r="O740">
        <v>15</v>
      </c>
      <c r="P740">
        <v>6</v>
      </c>
      <c r="Q740">
        <v>2</v>
      </c>
      <c r="R740">
        <v>2026</v>
      </c>
    </row>
    <row r="741" spans="1:18">
      <c r="A741">
        <v>466.16</v>
      </c>
      <c r="B741">
        <v>2</v>
      </c>
      <c r="C741">
        <v>740</v>
      </c>
      <c r="D741" s="2">
        <v>0.95568490740740741</v>
      </c>
      <c r="E741" t="s">
        <v>2824</v>
      </c>
      <c r="F741" t="s">
        <v>2825</v>
      </c>
      <c r="G741" t="s">
        <v>2826</v>
      </c>
      <c r="H741" t="s">
        <v>1327</v>
      </c>
      <c r="I741" t="s">
        <v>795</v>
      </c>
      <c r="J741" t="s">
        <v>213</v>
      </c>
      <c r="K741" t="s">
        <v>69</v>
      </c>
      <c r="L741">
        <v>233.08</v>
      </c>
      <c r="M741" s="1">
        <v>45668</v>
      </c>
      <c r="N741" t="s">
        <v>14</v>
      </c>
      <c r="O741">
        <v>11</v>
      </c>
      <c r="P741">
        <v>1</v>
      </c>
      <c r="Q741">
        <v>1</v>
      </c>
      <c r="R741">
        <v>2025</v>
      </c>
    </row>
    <row r="742" spans="1:18">
      <c r="A742">
        <v>116.34</v>
      </c>
      <c r="B742">
        <v>2</v>
      </c>
      <c r="C742">
        <v>741</v>
      </c>
      <c r="D742" s="2">
        <v>0.87548988425925922</v>
      </c>
      <c r="E742" t="s">
        <v>3191</v>
      </c>
      <c r="F742" t="s">
        <v>3192</v>
      </c>
      <c r="G742" t="s">
        <v>1862</v>
      </c>
      <c r="H742" t="s">
        <v>1465</v>
      </c>
      <c r="I742" t="s">
        <v>817</v>
      </c>
      <c r="J742" t="s">
        <v>615</v>
      </c>
      <c r="K742" t="s">
        <v>100</v>
      </c>
      <c r="L742">
        <v>58.17</v>
      </c>
      <c r="M742" s="1">
        <v>45621</v>
      </c>
      <c r="N742" t="s">
        <v>93</v>
      </c>
      <c r="O742">
        <v>25</v>
      </c>
      <c r="P742">
        <v>11</v>
      </c>
      <c r="Q742">
        <v>4</v>
      </c>
      <c r="R742">
        <v>2024</v>
      </c>
    </row>
    <row r="743" spans="1:18">
      <c r="A743">
        <v>499.15</v>
      </c>
      <c r="B743">
        <v>5</v>
      </c>
      <c r="C743">
        <v>742</v>
      </c>
      <c r="D743" s="2">
        <v>0.39320056712962964</v>
      </c>
      <c r="E743" t="s">
        <v>2724</v>
      </c>
      <c r="F743" t="s">
        <v>2860</v>
      </c>
      <c r="G743" t="s">
        <v>1698</v>
      </c>
      <c r="H743" t="s">
        <v>1984</v>
      </c>
      <c r="I743" t="s">
        <v>768</v>
      </c>
      <c r="J743" t="s">
        <v>467</v>
      </c>
      <c r="K743" t="s">
        <v>19</v>
      </c>
      <c r="L743">
        <v>99.83</v>
      </c>
      <c r="M743" s="1">
        <v>45703</v>
      </c>
      <c r="N743" t="s">
        <v>14</v>
      </c>
      <c r="O743">
        <v>15</v>
      </c>
      <c r="P743">
        <v>2</v>
      </c>
      <c r="Q743">
        <v>1</v>
      </c>
      <c r="R743">
        <v>2025</v>
      </c>
    </row>
    <row r="744" spans="1:18">
      <c r="A744">
        <v>23.17</v>
      </c>
      <c r="B744">
        <v>1</v>
      </c>
      <c r="C744">
        <v>743</v>
      </c>
      <c r="D744" s="2">
        <v>0.60660832175925927</v>
      </c>
      <c r="E744" t="s">
        <v>2821</v>
      </c>
      <c r="F744" t="s">
        <v>2822</v>
      </c>
      <c r="G744" t="s">
        <v>2823</v>
      </c>
      <c r="H744" t="s">
        <v>136</v>
      </c>
      <c r="I744" t="s">
        <v>954</v>
      </c>
      <c r="J744" t="s">
        <v>726</v>
      </c>
      <c r="K744" t="s">
        <v>100</v>
      </c>
      <c r="L744">
        <v>23.17</v>
      </c>
      <c r="M744" s="1">
        <v>45993</v>
      </c>
      <c r="N744" t="s">
        <v>48</v>
      </c>
      <c r="O744">
        <v>2</v>
      </c>
      <c r="P744">
        <v>12</v>
      </c>
      <c r="Q744">
        <v>4</v>
      </c>
      <c r="R744">
        <v>2025</v>
      </c>
    </row>
    <row r="745" spans="1:18">
      <c r="A745">
        <v>148.84</v>
      </c>
      <c r="B745">
        <v>2</v>
      </c>
      <c r="C745">
        <v>744</v>
      </c>
      <c r="D745" s="2">
        <v>0.99692124999999998</v>
      </c>
      <c r="E745" t="s">
        <v>2606</v>
      </c>
      <c r="F745" t="s">
        <v>2607</v>
      </c>
      <c r="G745" t="s">
        <v>2078</v>
      </c>
      <c r="H745" t="s">
        <v>1032</v>
      </c>
      <c r="I745" t="s">
        <v>839</v>
      </c>
      <c r="J745" t="s">
        <v>95</v>
      </c>
      <c r="K745" t="s">
        <v>46</v>
      </c>
      <c r="L745">
        <v>74.42</v>
      </c>
      <c r="M745" s="1">
        <v>45615</v>
      </c>
      <c r="N745" t="s">
        <v>48</v>
      </c>
      <c r="O745">
        <v>19</v>
      </c>
      <c r="P745">
        <v>11</v>
      </c>
      <c r="Q745">
        <v>4</v>
      </c>
      <c r="R745">
        <v>2024</v>
      </c>
    </row>
    <row r="746" spans="1:18">
      <c r="A746">
        <v>647.67999999999995</v>
      </c>
      <c r="B746">
        <v>4</v>
      </c>
      <c r="C746">
        <v>745</v>
      </c>
      <c r="D746" s="2">
        <v>0.81687219907407405</v>
      </c>
      <c r="E746" t="s">
        <v>840</v>
      </c>
      <c r="F746" t="s">
        <v>841</v>
      </c>
      <c r="G746" t="s">
        <v>842</v>
      </c>
      <c r="H746" t="s">
        <v>843</v>
      </c>
      <c r="I746" t="s">
        <v>753</v>
      </c>
      <c r="J746" t="s">
        <v>546</v>
      </c>
      <c r="K746" t="s">
        <v>25</v>
      </c>
      <c r="L746">
        <v>161.91999999999999</v>
      </c>
      <c r="M746" s="1">
        <v>45869</v>
      </c>
      <c r="N746" t="s">
        <v>105</v>
      </c>
      <c r="O746">
        <v>31</v>
      </c>
      <c r="P746">
        <v>7</v>
      </c>
      <c r="Q746">
        <v>3</v>
      </c>
      <c r="R746">
        <v>2025</v>
      </c>
    </row>
    <row r="747" spans="1:18">
      <c r="A747">
        <v>845.19999999999993</v>
      </c>
      <c r="B747">
        <v>5</v>
      </c>
      <c r="C747">
        <v>746</v>
      </c>
      <c r="D747" s="2">
        <v>0.13381158564814816</v>
      </c>
      <c r="E747" t="s">
        <v>1207</v>
      </c>
      <c r="F747" t="s">
        <v>1208</v>
      </c>
      <c r="G747" t="s">
        <v>935</v>
      </c>
      <c r="H747" t="s">
        <v>1209</v>
      </c>
      <c r="I747" t="s">
        <v>776</v>
      </c>
      <c r="J747" t="s">
        <v>443</v>
      </c>
      <c r="K747" t="s">
        <v>55</v>
      </c>
      <c r="L747">
        <v>169.04</v>
      </c>
      <c r="M747" s="1">
        <v>45868</v>
      </c>
      <c r="N747" t="s">
        <v>34</v>
      </c>
      <c r="O747">
        <v>30</v>
      </c>
      <c r="P747">
        <v>7</v>
      </c>
      <c r="Q747">
        <v>3</v>
      </c>
      <c r="R747">
        <v>2025</v>
      </c>
    </row>
    <row r="748" spans="1:18">
      <c r="A748">
        <v>370.04999999999995</v>
      </c>
      <c r="B748">
        <v>3</v>
      </c>
      <c r="C748">
        <v>747</v>
      </c>
      <c r="D748" s="2">
        <v>0.1123652199074074</v>
      </c>
      <c r="E748" t="s">
        <v>1021</v>
      </c>
      <c r="F748" t="s">
        <v>1022</v>
      </c>
      <c r="G748" t="s">
        <v>984</v>
      </c>
      <c r="H748" t="s">
        <v>929</v>
      </c>
      <c r="I748" t="s">
        <v>830</v>
      </c>
      <c r="J748" t="s">
        <v>630</v>
      </c>
      <c r="K748" t="s">
        <v>69</v>
      </c>
      <c r="L748">
        <v>123.35</v>
      </c>
      <c r="M748" s="1">
        <v>46127</v>
      </c>
      <c r="N748" t="s">
        <v>34</v>
      </c>
      <c r="O748">
        <v>15</v>
      </c>
      <c r="P748">
        <v>4</v>
      </c>
      <c r="Q748">
        <v>2</v>
      </c>
      <c r="R748">
        <v>2026</v>
      </c>
    </row>
    <row r="749" spans="1:18">
      <c r="A749">
        <v>386.44</v>
      </c>
      <c r="B749">
        <v>2</v>
      </c>
      <c r="C749">
        <v>748</v>
      </c>
      <c r="D749" s="2">
        <v>0.8171353009259259</v>
      </c>
      <c r="E749" t="s">
        <v>1814</v>
      </c>
      <c r="F749" t="s">
        <v>1815</v>
      </c>
      <c r="G749" t="s">
        <v>824</v>
      </c>
      <c r="H749" t="s">
        <v>757</v>
      </c>
      <c r="I749" t="s">
        <v>758</v>
      </c>
      <c r="J749" t="s">
        <v>430</v>
      </c>
      <c r="K749" t="s">
        <v>27</v>
      </c>
      <c r="L749">
        <v>193.22</v>
      </c>
      <c r="M749" s="1">
        <v>45942</v>
      </c>
      <c r="N749" t="s">
        <v>28</v>
      </c>
      <c r="O749">
        <v>12</v>
      </c>
      <c r="P749">
        <v>10</v>
      </c>
      <c r="Q749">
        <v>4</v>
      </c>
      <c r="R749">
        <v>2025</v>
      </c>
    </row>
    <row r="750" spans="1:18">
      <c r="A750">
        <v>162.16</v>
      </c>
      <c r="B750">
        <v>1</v>
      </c>
      <c r="C750">
        <v>749</v>
      </c>
      <c r="D750" s="2">
        <v>0.22365789351851853</v>
      </c>
      <c r="E750" t="s">
        <v>1852</v>
      </c>
      <c r="F750" t="s">
        <v>1853</v>
      </c>
      <c r="G750" t="s">
        <v>1854</v>
      </c>
      <c r="H750" t="s">
        <v>1061</v>
      </c>
      <c r="I750" t="s">
        <v>834</v>
      </c>
      <c r="J750" t="s">
        <v>651</v>
      </c>
      <c r="K750" t="s">
        <v>122</v>
      </c>
      <c r="L750">
        <v>162.16</v>
      </c>
      <c r="M750" s="1">
        <v>45642</v>
      </c>
      <c r="N750" t="s">
        <v>93</v>
      </c>
      <c r="O750">
        <v>16</v>
      </c>
      <c r="P750">
        <v>12</v>
      </c>
      <c r="Q750">
        <v>4</v>
      </c>
      <c r="R750">
        <v>2024</v>
      </c>
    </row>
    <row r="751" spans="1:18">
      <c r="A751">
        <v>201.53</v>
      </c>
      <c r="B751">
        <v>1</v>
      </c>
      <c r="C751">
        <v>750</v>
      </c>
      <c r="D751" s="2">
        <v>0.42941068287037037</v>
      </c>
      <c r="E751" t="s">
        <v>2327</v>
      </c>
      <c r="F751" t="s">
        <v>2328</v>
      </c>
      <c r="G751" t="s">
        <v>1577</v>
      </c>
      <c r="H751" t="s">
        <v>915</v>
      </c>
      <c r="I751" t="s">
        <v>768</v>
      </c>
      <c r="J751" t="s">
        <v>476</v>
      </c>
      <c r="K751" t="s">
        <v>31</v>
      </c>
      <c r="L751">
        <v>201.53</v>
      </c>
      <c r="M751" s="1">
        <v>45555</v>
      </c>
      <c r="N751" t="s">
        <v>79</v>
      </c>
      <c r="O751">
        <v>20</v>
      </c>
      <c r="P751">
        <v>9</v>
      </c>
      <c r="Q751">
        <v>3</v>
      </c>
      <c r="R751">
        <v>2024</v>
      </c>
    </row>
    <row r="752" spans="1:18">
      <c r="A752">
        <v>407.48</v>
      </c>
      <c r="B752">
        <v>2</v>
      </c>
      <c r="C752">
        <v>751</v>
      </c>
      <c r="D752" s="2">
        <v>0.39666223379629628</v>
      </c>
      <c r="E752" t="s">
        <v>3262</v>
      </c>
      <c r="F752" t="s">
        <v>3263</v>
      </c>
      <c r="G752" t="s">
        <v>3264</v>
      </c>
      <c r="H752" t="s">
        <v>1630</v>
      </c>
      <c r="I752" t="s">
        <v>763</v>
      </c>
      <c r="J752" t="s">
        <v>552</v>
      </c>
      <c r="K752" t="s">
        <v>31</v>
      </c>
      <c r="L752">
        <v>203.74</v>
      </c>
      <c r="M752" s="1">
        <v>45674</v>
      </c>
      <c r="N752" t="s">
        <v>79</v>
      </c>
      <c r="O752">
        <v>17</v>
      </c>
      <c r="P752">
        <v>1</v>
      </c>
      <c r="Q752">
        <v>1</v>
      </c>
      <c r="R752">
        <v>2025</v>
      </c>
    </row>
    <row r="753" spans="1:18">
      <c r="A753">
        <v>53.550000000000004</v>
      </c>
      <c r="B753">
        <v>3</v>
      </c>
      <c r="C753">
        <v>752</v>
      </c>
      <c r="D753" s="2">
        <v>0.79820987268518517</v>
      </c>
      <c r="E753" t="s">
        <v>1122</v>
      </c>
      <c r="F753" t="s">
        <v>1123</v>
      </c>
      <c r="G753" t="s">
        <v>1124</v>
      </c>
      <c r="H753" t="s">
        <v>15</v>
      </c>
      <c r="I753" t="s">
        <v>834</v>
      </c>
      <c r="J753" t="s">
        <v>605</v>
      </c>
      <c r="K753" t="s">
        <v>39</v>
      </c>
      <c r="L753">
        <v>17.850000000000001</v>
      </c>
      <c r="M753" s="1">
        <v>46164</v>
      </c>
      <c r="N753" t="s">
        <v>79</v>
      </c>
      <c r="O753">
        <v>22</v>
      </c>
      <c r="P753">
        <v>5</v>
      </c>
      <c r="Q753">
        <v>2</v>
      </c>
      <c r="R753">
        <v>2026</v>
      </c>
    </row>
    <row r="754" spans="1:18">
      <c r="A754">
        <v>104.96</v>
      </c>
      <c r="B754">
        <v>1</v>
      </c>
      <c r="C754">
        <v>753</v>
      </c>
      <c r="D754" s="2">
        <v>9.1542187499999997E-2</v>
      </c>
      <c r="E754" t="s">
        <v>866</v>
      </c>
      <c r="F754" t="s">
        <v>867</v>
      </c>
      <c r="G754" t="s">
        <v>868</v>
      </c>
      <c r="H754" t="s">
        <v>869</v>
      </c>
      <c r="I754" t="s">
        <v>812</v>
      </c>
      <c r="J754" t="s">
        <v>225</v>
      </c>
      <c r="K754" t="s">
        <v>21</v>
      </c>
      <c r="L754">
        <v>104.96</v>
      </c>
      <c r="M754" s="1">
        <v>46026</v>
      </c>
      <c r="N754" t="s">
        <v>28</v>
      </c>
      <c r="O754">
        <v>4</v>
      </c>
      <c r="P754">
        <v>1</v>
      </c>
      <c r="Q754">
        <v>1</v>
      </c>
      <c r="R754">
        <v>2026</v>
      </c>
    </row>
    <row r="755" spans="1:18">
      <c r="A755">
        <v>454.94</v>
      </c>
      <c r="B755">
        <v>2</v>
      </c>
      <c r="C755">
        <v>754</v>
      </c>
      <c r="D755" s="2">
        <v>0.92499418981481485</v>
      </c>
      <c r="E755" t="s">
        <v>1746</v>
      </c>
      <c r="F755" t="s">
        <v>1747</v>
      </c>
      <c r="G755" t="s">
        <v>1050</v>
      </c>
      <c r="H755" t="s">
        <v>1469</v>
      </c>
      <c r="I755" t="s">
        <v>908</v>
      </c>
      <c r="J755" t="s">
        <v>116</v>
      </c>
      <c r="K755" t="s">
        <v>57</v>
      </c>
      <c r="L755">
        <v>227.47</v>
      </c>
      <c r="M755" s="1">
        <v>46200</v>
      </c>
      <c r="N755" t="s">
        <v>14</v>
      </c>
      <c r="O755">
        <v>27</v>
      </c>
      <c r="P755">
        <v>6</v>
      </c>
      <c r="Q755">
        <v>2</v>
      </c>
      <c r="R755">
        <v>2026</v>
      </c>
    </row>
    <row r="756" spans="1:18">
      <c r="A756">
        <v>1237.6000000000001</v>
      </c>
      <c r="B756">
        <v>5</v>
      </c>
      <c r="C756">
        <v>755</v>
      </c>
      <c r="D756" s="2">
        <v>0.82799511574074069</v>
      </c>
      <c r="E756" t="s">
        <v>2458</v>
      </c>
      <c r="F756" t="s">
        <v>2459</v>
      </c>
      <c r="G756" t="s">
        <v>1801</v>
      </c>
      <c r="H756" t="s">
        <v>713</v>
      </c>
      <c r="I756" t="s">
        <v>908</v>
      </c>
      <c r="J756" t="s">
        <v>372</v>
      </c>
      <c r="K756" t="s">
        <v>23</v>
      </c>
      <c r="L756">
        <v>247.52</v>
      </c>
      <c r="M756" s="1">
        <v>45721</v>
      </c>
      <c r="N756" t="s">
        <v>34</v>
      </c>
      <c r="O756">
        <v>5</v>
      </c>
      <c r="P756">
        <v>3</v>
      </c>
      <c r="Q756">
        <v>1</v>
      </c>
      <c r="R756">
        <v>2025</v>
      </c>
    </row>
    <row r="757" spans="1:18">
      <c r="A757">
        <v>173.27</v>
      </c>
      <c r="B757">
        <v>1</v>
      </c>
      <c r="C757">
        <v>756</v>
      </c>
      <c r="D757" s="2">
        <v>5.8223148148148149E-3</v>
      </c>
      <c r="E757" t="s">
        <v>2525</v>
      </c>
      <c r="F757" t="s">
        <v>2526</v>
      </c>
      <c r="G757" t="s">
        <v>2527</v>
      </c>
      <c r="H757" t="s">
        <v>513</v>
      </c>
      <c r="I757" t="s">
        <v>786</v>
      </c>
      <c r="J757" t="s">
        <v>185</v>
      </c>
      <c r="K757" t="s">
        <v>57</v>
      </c>
      <c r="L757">
        <v>173.27</v>
      </c>
      <c r="M757" s="1">
        <v>45882</v>
      </c>
      <c r="N757" t="s">
        <v>34</v>
      </c>
      <c r="O757">
        <v>13</v>
      </c>
      <c r="P757">
        <v>8</v>
      </c>
      <c r="Q757">
        <v>3</v>
      </c>
      <c r="R757">
        <v>2025</v>
      </c>
    </row>
    <row r="758" spans="1:18">
      <c r="A758">
        <v>293.85000000000002</v>
      </c>
      <c r="B758">
        <v>5</v>
      </c>
      <c r="C758">
        <v>757</v>
      </c>
      <c r="D758" s="2">
        <v>0.51820136574074072</v>
      </c>
      <c r="E758" t="s">
        <v>3044</v>
      </c>
      <c r="F758" t="s">
        <v>3045</v>
      </c>
      <c r="G758" t="s">
        <v>2831</v>
      </c>
      <c r="H758" t="s">
        <v>980</v>
      </c>
      <c r="I758" t="s">
        <v>981</v>
      </c>
      <c r="J758" t="s">
        <v>262</v>
      </c>
      <c r="K758" t="s">
        <v>21</v>
      </c>
      <c r="L758">
        <v>58.77</v>
      </c>
      <c r="M758" s="1">
        <v>45951</v>
      </c>
      <c r="N758" t="s">
        <v>48</v>
      </c>
      <c r="O758">
        <v>21</v>
      </c>
      <c r="P758">
        <v>10</v>
      </c>
      <c r="Q758">
        <v>4</v>
      </c>
      <c r="R758">
        <v>2025</v>
      </c>
    </row>
    <row r="759" spans="1:18">
      <c r="A759">
        <v>748.9</v>
      </c>
      <c r="B759">
        <v>5</v>
      </c>
      <c r="C759">
        <v>758</v>
      </c>
      <c r="D759" s="2">
        <v>0.72607427083333331</v>
      </c>
      <c r="E759" t="s">
        <v>2104</v>
      </c>
      <c r="F759" t="s">
        <v>2105</v>
      </c>
      <c r="G759" t="s">
        <v>991</v>
      </c>
      <c r="H759" t="s">
        <v>29</v>
      </c>
      <c r="I759" t="s">
        <v>821</v>
      </c>
      <c r="J759" t="s">
        <v>427</v>
      </c>
      <c r="K759" t="s">
        <v>21</v>
      </c>
      <c r="L759">
        <v>149.78</v>
      </c>
      <c r="M759" s="1">
        <v>46079</v>
      </c>
      <c r="N759" t="s">
        <v>105</v>
      </c>
      <c r="O759">
        <v>26</v>
      </c>
      <c r="P759">
        <v>2</v>
      </c>
      <c r="Q759">
        <v>1</v>
      </c>
      <c r="R759">
        <v>2026</v>
      </c>
    </row>
    <row r="760" spans="1:18">
      <c r="A760">
        <v>56.92</v>
      </c>
      <c r="B760">
        <v>2</v>
      </c>
      <c r="C760">
        <v>759</v>
      </c>
      <c r="D760" s="2">
        <v>0.72898081018518524</v>
      </c>
      <c r="E760" t="s">
        <v>1475</v>
      </c>
      <c r="F760" t="s">
        <v>1476</v>
      </c>
      <c r="G760" t="s">
        <v>1477</v>
      </c>
      <c r="H760" t="s">
        <v>1137</v>
      </c>
      <c r="I760" t="s">
        <v>748</v>
      </c>
      <c r="J760" t="s">
        <v>250</v>
      </c>
      <c r="K760" t="s">
        <v>19</v>
      </c>
      <c r="L760">
        <v>28.46</v>
      </c>
      <c r="M760" s="1">
        <v>46093</v>
      </c>
      <c r="N760" t="s">
        <v>105</v>
      </c>
      <c r="O760">
        <v>12</v>
      </c>
      <c r="P760">
        <v>3</v>
      </c>
      <c r="Q760">
        <v>1</v>
      </c>
      <c r="R760">
        <v>2026</v>
      </c>
    </row>
    <row r="761" spans="1:18">
      <c r="A761">
        <v>33.56</v>
      </c>
      <c r="B761">
        <v>1</v>
      </c>
      <c r="C761">
        <v>760</v>
      </c>
      <c r="D761" s="2">
        <v>0.92905201388888892</v>
      </c>
      <c r="E761" t="s">
        <v>2776</v>
      </c>
      <c r="F761" t="s">
        <v>2777</v>
      </c>
      <c r="G761" t="s">
        <v>1409</v>
      </c>
      <c r="H761" t="s">
        <v>858</v>
      </c>
      <c r="I761" t="s">
        <v>753</v>
      </c>
      <c r="J761" t="s">
        <v>609</v>
      </c>
      <c r="K761" t="s">
        <v>27</v>
      </c>
      <c r="L761">
        <v>33.56</v>
      </c>
      <c r="M761" s="1">
        <v>45895</v>
      </c>
      <c r="N761" t="s">
        <v>48</v>
      </c>
      <c r="O761">
        <v>26</v>
      </c>
      <c r="P761">
        <v>8</v>
      </c>
      <c r="Q761">
        <v>3</v>
      </c>
      <c r="R761">
        <v>2025</v>
      </c>
    </row>
    <row r="762" spans="1:18">
      <c r="A762">
        <v>267.42</v>
      </c>
      <c r="B762">
        <v>2</v>
      </c>
      <c r="C762">
        <v>761</v>
      </c>
      <c r="D762" s="2">
        <v>0.98658912037037039</v>
      </c>
      <c r="E762" t="s">
        <v>782</v>
      </c>
      <c r="F762" t="s">
        <v>783</v>
      </c>
      <c r="G762" t="s">
        <v>784</v>
      </c>
      <c r="H762" t="s">
        <v>785</v>
      </c>
      <c r="I762" t="s">
        <v>786</v>
      </c>
      <c r="J762" t="s">
        <v>539</v>
      </c>
      <c r="K762" t="s">
        <v>69</v>
      </c>
      <c r="L762">
        <v>133.71</v>
      </c>
      <c r="M762" s="1">
        <v>45605</v>
      </c>
      <c r="N762" t="s">
        <v>14</v>
      </c>
      <c r="O762">
        <v>9</v>
      </c>
      <c r="P762">
        <v>11</v>
      </c>
      <c r="Q762">
        <v>4</v>
      </c>
      <c r="R762">
        <v>2024</v>
      </c>
    </row>
    <row r="763" spans="1:18">
      <c r="A763">
        <v>373.92</v>
      </c>
      <c r="B763">
        <v>3</v>
      </c>
      <c r="C763">
        <v>762</v>
      </c>
      <c r="D763" s="2">
        <v>0.66118229166666664</v>
      </c>
      <c r="E763" t="s">
        <v>1758</v>
      </c>
      <c r="F763" t="s">
        <v>1759</v>
      </c>
      <c r="G763" t="s">
        <v>1013</v>
      </c>
      <c r="H763" t="s">
        <v>151</v>
      </c>
      <c r="I763" t="s">
        <v>1003</v>
      </c>
      <c r="J763" t="s">
        <v>356</v>
      </c>
      <c r="K763" t="s">
        <v>69</v>
      </c>
      <c r="L763">
        <v>124.64</v>
      </c>
      <c r="M763" s="1">
        <v>45974</v>
      </c>
      <c r="N763" t="s">
        <v>105</v>
      </c>
      <c r="O763">
        <v>13</v>
      </c>
      <c r="P763">
        <v>11</v>
      </c>
      <c r="Q763">
        <v>4</v>
      </c>
      <c r="R763">
        <v>2025</v>
      </c>
    </row>
    <row r="764" spans="1:18">
      <c r="A764">
        <v>479.96</v>
      </c>
      <c r="B764">
        <v>2</v>
      </c>
      <c r="C764">
        <v>763</v>
      </c>
      <c r="D764" s="2">
        <v>0.20019373842592592</v>
      </c>
      <c r="E764" t="s">
        <v>2070</v>
      </c>
      <c r="F764" t="s">
        <v>2071</v>
      </c>
      <c r="G764" t="s">
        <v>1228</v>
      </c>
      <c r="H764" t="s">
        <v>1670</v>
      </c>
      <c r="I764" t="s">
        <v>1247</v>
      </c>
      <c r="J764" t="s">
        <v>702</v>
      </c>
      <c r="K764" t="s">
        <v>27</v>
      </c>
      <c r="L764">
        <v>239.98</v>
      </c>
      <c r="M764" s="1">
        <v>46142</v>
      </c>
      <c r="N764" t="s">
        <v>105</v>
      </c>
      <c r="O764">
        <v>30</v>
      </c>
      <c r="P764">
        <v>4</v>
      </c>
      <c r="Q764">
        <v>2</v>
      </c>
      <c r="R764">
        <v>2026</v>
      </c>
    </row>
    <row r="765" spans="1:18">
      <c r="A765">
        <v>693.28</v>
      </c>
      <c r="B765">
        <v>4</v>
      </c>
      <c r="C765">
        <v>764</v>
      </c>
      <c r="D765" s="2">
        <v>0.61705225694444443</v>
      </c>
      <c r="E765" t="s">
        <v>2589</v>
      </c>
      <c r="F765" t="s">
        <v>2590</v>
      </c>
      <c r="G765" t="s">
        <v>1220</v>
      </c>
      <c r="H765" t="s">
        <v>1434</v>
      </c>
      <c r="I765" t="s">
        <v>786</v>
      </c>
      <c r="J765" t="s">
        <v>303</v>
      </c>
      <c r="K765" t="s">
        <v>19</v>
      </c>
      <c r="L765">
        <v>173.32</v>
      </c>
      <c r="M765" s="1">
        <v>45581</v>
      </c>
      <c r="N765" t="s">
        <v>34</v>
      </c>
      <c r="O765">
        <v>16</v>
      </c>
      <c r="P765">
        <v>10</v>
      </c>
      <c r="Q765">
        <v>4</v>
      </c>
      <c r="R765">
        <v>2024</v>
      </c>
    </row>
    <row r="766" spans="1:18">
      <c r="A766">
        <v>372.12</v>
      </c>
      <c r="B766">
        <v>3</v>
      </c>
      <c r="C766">
        <v>765</v>
      </c>
      <c r="D766" s="2">
        <v>0.93107491898148154</v>
      </c>
      <c r="E766" t="s">
        <v>2895</v>
      </c>
      <c r="F766" t="s">
        <v>2896</v>
      </c>
      <c r="G766" t="s">
        <v>1987</v>
      </c>
      <c r="H766" t="s">
        <v>2468</v>
      </c>
      <c r="I766" t="s">
        <v>763</v>
      </c>
      <c r="J766" t="s">
        <v>543</v>
      </c>
      <c r="K766" t="s">
        <v>37</v>
      </c>
      <c r="L766">
        <v>124.04</v>
      </c>
      <c r="M766" s="1">
        <v>46165</v>
      </c>
      <c r="N766" t="s">
        <v>14</v>
      </c>
      <c r="O766">
        <v>23</v>
      </c>
      <c r="P766">
        <v>5</v>
      </c>
      <c r="Q766">
        <v>2</v>
      </c>
      <c r="R766">
        <v>2026</v>
      </c>
    </row>
    <row r="767" spans="1:18">
      <c r="A767">
        <v>721.24</v>
      </c>
      <c r="B767">
        <v>4</v>
      </c>
      <c r="C767">
        <v>766</v>
      </c>
      <c r="D767" s="2">
        <v>0.9355223958333333</v>
      </c>
      <c r="E767" t="s">
        <v>1218</v>
      </c>
      <c r="F767" t="s">
        <v>1219</v>
      </c>
      <c r="G767" t="s">
        <v>1220</v>
      </c>
      <c r="H767" t="s">
        <v>1206</v>
      </c>
      <c r="I767" t="s">
        <v>943</v>
      </c>
      <c r="J767" t="s">
        <v>643</v>
      </c>
      <c r="K767" t="s">
        <v>37</v>
      </c>
      <c r="L767">
        <v>180.31</v>
      </c>
      <c r="M767" s="1">
        <v>45790</v>
      </c>
      <c r="N767" t="s">
        <v>48</v>
      </c>
      <c r="O767">
        <v>13</v>
      </c>
      <c r="P767">
        <v>5</v>
      </c>
      <c r="Q767">
        <v>2</v>
      </c>
      <c r="R767">
        <v>2025</v>
      </c>
    </row>
    <row r="768" spans="1:18">
      <c r="A768">
        <v>556.04999999999995</v>
      </c>
      <c r="B768">
        <v>5</v>
      </c>
      <c r="C768">
        <v>767</v>
      </c>
      <c r="D768" s="2">
        <v>0.65113842592592597</v>
      </c>
      <c r="E768" t="s">
        <v>850</v>
      </c>
      <c r="F768" t="s">
        <v>851</v>
      </c>
      <c r="G768" t="s">
        <v>852</v>
      </c>
      <c r="H768" t="s">
        <v>853</v>
      </c>
      <c r="I768" t="s">
        <v>854</v>
      </c>
      <c r="J768" t="s">
        <v>254</v>
      </c>
      <c r="K768" t="s">
        <v>51</v>
      </c>
      <c r="L768">
        <v>111.21</v>
      </c>
      <c r="M768" s="1">
        <v>45770</v>
      </c>
      <c r="N768" t="s">
        <v>34</v>
      </c>
      <c r="O768">
        <v>23</v>
      </c>
      <c r="P768">
        <v>4</v>
      </c>
      <c r="Q768">
        <v>2</v>
      </c>
      <c r="R768">
        <v>2025</v>
      </c>
    </row>
    <row r="769" spans="1:18">
      <c r="A769">
        <v>240.96</v>
      </c>
      <c r="B769">
        <v>1</v>
      </c>
      <c r="C769">
        <v>768</v>
      </c>
      <c r="D769" s="2">
        <v>0.2519195949074074</v>
      </c>
      <c r="E769" t="s">
        <v>1557</v>
      </c>
      <c r="F769" t="s">
        <v>1558</v>
      </c>
      <c r="G769" t="s">
        <v>1559</v>
      </c>
      <c r="H769" t="s">
        <v>635</v>
      </c>
      <c r="I769" t="s">
        <v>768</v>
      </c>
      <c r="J769" t="s">
        <v>357</v>
      </c>
      <c r="K769" t="s">
        <v>39</v>
      </c>
      <c r="L769">
        <v>240.96</v>
      </c>
      <c r="M769" s="1">
        <v>45949</v>
      </c>
      <c r="N769" t="s">
        <v>28</v>
      </c>
      <c r="O769">
        <v>19</v>
      </c>
      <c r="P769">
        <v>10</v>
      </c>
      <c r="Q769">
        <v>4</v>
      </c>
      <c r="R769">
        <v>2025</v>
      </c>
    </row>
    <row r="770" spans="1:18">
      <c r="A770">
        <v>343.76</v>
      </c>
      <c r="B770">
        <v>2</v>
      </c>
      <c r="C770">
        <v>769</v>
      </c>
      <c r="D770" s="2">
        <v>0.50044812500000002</v>
      </c>
      <c r="E770" t="s">
        <v>2215</v>
      </c>
      <c r="F770" t="s">
        <v>2216</v>
      </c>
      <c r="G770" t="s">
        <v>1821</v>
      </c>
      <c r="H770" t="s">
        <v>965</v>
      </c>
      <c r="I770" t="s">
        <v>839</v>
      </c>
      <c r="J770" t="s">
        <v>525</v>
      </c>
      <c r="K770" t="s">
        <v>17</v>
      </c>
      <c r="L770">
        <v>171.88</v>
      </c>
      <c r="M770" s="1">
        <v>45985</v>
      </c>
      <c r="N770" t="s">
        <v>93</v>
      </c>
      <c r="O770">
        <v>24</v>
      </c>
      <c r="P770">
        <v>11</v>
      </c>
      <c r="Q770">
        <v>4</v>
      </c>
      <c r="R770">
        <v>2025</v>
      </c>
    </row>
    <row r="771" spans="1:18">
      <c r="A771">
        <v>191.25</v>
      </c>
      <c r="B771">
        <v>3</v>
      </c>
      <c r="C771">
        <v>770</v>
      </c>
      <c r="D771" s="2">
        <v>0.32978865740740743</v>
      </c>
      <c r="E771" t="s">
        <v>1138</v>
      </c>
      <c r="F771" t="s">
        <v>1139</v>
      </c>
      <c r="G771" t="s">
        <v>1140</v>
      </c>
      <c r="H771" t="s">
        <v>666</v>
      </c>
      <c r="I771" t="s">
        <v>954</v>
      </c>
      <c r="J771" t="s">
        <v>418</v>
      </c>
      <c r="K771" t="s">
        <v>43</v>
      </c>
      <c r="L771">
        <v>63.75</v>
      </c>
      <c r="M771" s="1">
        <v>45658</v>
      </c>
      <c r="N771" t="s">
        <v>34</v>
      </c>
      <c r="O771">
        <v>1</v>
      </c>
      <c r="P771">
        <v>1</v>
      </c>
      <c r="Q771">
        <v>1</v>
      </c>
      <c r="R771">
        <v>2025</v>
      </c>
    </row>
    <row r="772" spans="1:18">
      <c r="A772">
        <v>263.01</v>
      </c>
      <c r="B772">
        <v>3</v>
      </c>
      <c r="C772">
        <v>771</v>
      </c>
      <c r="D772" s="2">
        <v>0.12963116898148147</v>
      </c>
      <c r="E772" t="s">
        <v>2801</v>
      </c>
      <c r="F772" t="s">
        <v>2802</v>
      </c>
      <c r="G772" t="s">
        <v>2535</v>
      </c>
      <c r="H772" t="s">
        <v>713</v>
      </c>
      <c r="I772" t="s">
        <v>908</v>
      </c>
      <c r="J772" t="s">
        <v>1774</v>
      </c>
      <c r="K772" t="s">
        <v>27</v>
      </c>
      <c r="L772">
        <v>87.67</v>
      </c>
      <c r="M772" s="1">
        <v>46253</v>
      </c>
      <c r="N772" t="s">
        <v>34</v>
      </c>
      <c r="O772">
        <v>19</v>
      </c>
      <c r="P772">
        <v>8</v>
      </c>
      <c r="Q772">
        <v>3</v>
      </c>
      <c r="R772">
        <v>2026</v>
      </c>
    </row>
    <row r="773" spans="1:18">
      <c r="A773">
        <v>44.82</v>
      </c>
      <c r="B773">
        <v>2</v>
      </c>
      <c r="C773">
        <v>772</v>
      </c>
      <c r="D773" s="2">
        <v>0.49324951388888888</v>
      </c>
      <c r="E773" t="s">
        <v>2648</v>
      </c>
      <c r="F773" t="s">
        <v>2649</v>
      </c>
      <c r="G773" t="s">
        <v>1212</v>
      </c>
      <c r="H773" t="s">
        <v>1002</v>
      </c>
      <c r="I773" t="s">
        <v>1003</v>
      </c>
      <c r="J773" t="s">
        <v>484</v>
      </c>
      <c r="K773" t="s">
        <v>25</v>
      </c>
      <c r="L773">
        <v>22.41</v>
      </c>
      <c r="M773" s="1">
        <v>45667</v>
      </c>
      <c r="N773" t="s">
        <v>79</v>
      </c>
      <c r="O773">
        <v>10</v>
      </c>
      <c r="P773">
        <v>1</v>
      </c>
      <c r="Q773">
        <v>1</v>
      </c>
      <c r="R773">
        <v>2025</v>
      </c>
    </row>
    <row r="774" spans="1:18">
      <c r="A774">
        <v>676.16</v>
      </c>
      <c r="B774">
        <v>4</v>
      </c>
      <c r="C774">
        <v>773</v>
      </c>
      <c r="D774" s="2">
        <v>0.22688046296296296</v>
      </c>
      <c r="E774" t="s">
        <v>1683</v>
      </c>
      <c r="F774" t="s">
        <v>1684</v>
      </c>
      <c r="G774" t="s">
        <v>1685</v>
      </c>
      <c r="H774" t="s">
        <v>1067</v>
      </c>
      <c r="I774" t="s">
        <v>854</v>
      </c>
      <c r="J774" t="s">
        <v>443</v>
      </c>
      <c r="K774" t="s">
        <v>55</v>
      </c>
      <c r="L774">
        <v>169.04</v>
      </c>
      <c r="M774" s="1">
        <v>46142</v>
      </c>
      <c r="N774" t="s">
        <v>105</v>
      </c>
      <c r="O774">
        <v>30</v>
      </c>
      <c r="P774">
        <v>4</v>
      </c>
      <c r="Q774">
        <v>2</v>
      </c>
      <c r="R774">
        <v>2026</v>
      </c>
    </row>
    <row r="775" spans="1:18">
      <c r="A775">
        <v>429.18</v>
      </c>
      <c r="B775">
        <v>2</v>
      </c>
      <c r="C775">
        <v>774</v>
      </c>
      <c r="D775" s="2">
        <v>0.20999336805555555</v>
      </c>
      <c r="E775" t="s">
        <v>2531</v>
      </c>
      <c r="F775" t="s">
        <v>2532</v>
      </c>
      <c r="G775" t="s">
        <v>756</v>
      </c>
      <c r="H775" t="s">
        <v>29</v>
      </c>
      <c r="I775" t="s">
        <v>821</v>
      </c>
      <c r="J775" t="s">
        <v>571</v>
      </c>
      <c r="K775" t="s">
        <v>23</v>
      </c>
      <c r="L775">
        <v>214.59</v>
      </c>
      <c r="M775" s="1">
        <v>45960</v>
      </c>
      <c r="N775" t="s">
        <v>105</v>
      </c>
      <c r="O775">
        <v>30</v>
      </c>
      <c r="P775">
        <v>10</v>
      </c>
      <c r="Q775">
        <v>4</v>
      </c>
      <c r="R775">
        <v>2025</v>
      </c>
    </row>
    <row r="776" spans="1:18">
      <c r="A776">
        <v>1.29</v>
      </c>
      <c r="B776">
        <v>1</v>
      </c>
      <c r="C776">
        <v>775</v>
      </c>
      <c r="D776" s="2">
        <v>0.56824356481481486</v>
      </c>
      <c r="E776" t="s">
        <v>1530</v>
      </c>
      <c r="F776" t="s">
        <v>1902</v>
      </c>
      <c r="G776" t="s">
        <v>1903</v>
      </c>
      <c r="H776" t="s">
        <v>49</v>
      </c>
      <c r="I776" t="s">
        <v>892</v>
      </c>
      <c r="J776" t="s">
        <v>563</v>
      </c>
      <c r="K776" t="s">
        <v>46</v>
      </c>
      <c r="L776">
        <v>1.29</v>
      </c>
      <c r="M776" s="1">
        <v>46216</v>
      </c>
      <c r="N776" t="s">
        <v>93</v>
      </c>
      <c r="O776">
        <v>13</v>
      </c>
      <c r="P776">
        <v>7</v>
      </c>
      <c r="Q776">
        <v>3</v>
      </c>
      <c r="R776">
        <v>2026</v>
      </c>
    </row>
    <row r="777" spans="1:18">
      <c r="A777">
        <v>666.06000000000006</v>
      </c>
      <c r="B777">
        <v>3</v>
      </c>
      <c r="C777">
        <v>776</v>
      </c>
      <c r="D777" s="2">
        <v>0.27629702546296298</v>
      </c>
      <c r="E777" t="s">
        <v>1277</v>
      </c>
      <c r="F777" t="s">
        <v>1278</v>
      </c>
      <c r="G777" t="s">
        <v>1279</v>
      </c>
      <c r="H777" t="s">
        <v>1280</v>
      </c>
      <c r="I777" t="s">
        <v>908</v>
      </c>
      <c r="J777" t="s">
        <v>501</v>
      </c>
      <c r="K777" t="s">
        <v>25</v>
      </c>
      <c r="L777">
        <v>222.02</v>
      </c>
      <c r="M777" s="1">
        <v>46001</v>
      </c>
      <c r="N777" t="s">
        <v>34</v>
      </c>
      <c r="O777">
        <v>10</v>
      </c>
      <c r="P777">
        <v>12</v>
      </c>
      <c r="Q777">
        <v>4</v>
      </c>
      <c r="R777">
        <v>2025</v>
      </c>
    </row>
    <row r="778" spans="1:18">
      <c r="A778">
        <v>292.22000000000003</v>
      </c>
      <c r="B778">
        <v>2</v>
      </c>
      <c r="C778">
        <v>777</v>
      </c>
      <c r="D778" s="2">
        <v>0.40523329861111113</v>
      </c>
      <c r="E778" t="s">
        <v>1099</v>
      </c>
      <c r="F778" t="s">
        <v>1100</v>
      </c>
      <c r="G778" t="s">
        <v>1035</v>
      </c>
      <c r="H778" t="s">
        <v>211</v>
      </c>
      <c r="I778" t="s">
        <v>812</v>
      </c>
      <c r="J778" t="s">
        <v>382</v>
      </c>
      <c r="K778" t="s">
        <v>122</v>
      </c>
      <c r="L778">
        <v>146.11000000000001</v>
      </c>
      <c r="M778" s="1">
        <v>45583</v>
      </c>
      <c r="N778" t="s">
        <v>79</v>
      </c>
      <c r="O778">
        <v>18</v>
      </c>
      <c r="P778">
        <v>10</v>
      </c>
      <c r="Q778">
        <v>4</v>
      </c>
      <c r="R778">
        <v>2024</v>
      </c>
    </row>
    <row r="779" spans="1:18">
      <c r="A779">
        <v>464.28</v>
      </c>
      <c r="B779">
        <v>2</v>
      </c>
      <c r="C779">
        <v>778</v>
      </c>
      <c r="D779" s="2">
        <v>0.16573552083333334</v>
      </c>
      <c r="E779" t="s">
        <v>3115</v>
      </c>
      <c r="F779" t="s">
        <v>3116</v>
      </c>
      <c r="G779" t="s">
        <v>746</v>
      </c>
      <c r="H779" t="s">
        <v>1254</v>
      </c>
      <c r="I779" t="s">
        <v>781</v>
      </c>
      <c r="J779" t="s">
        <v>439</v>
      </c>
      <c r="K779" t="s">
        <v>21</v>
      </c>
      <c r="L779">
        <v>232.14</v>
      </c>
      <c r="M779" s="1">
        <v>45900</v>
      </c>
      <c r="N779" t="s">
        <v>28</v>
      </c>
      <c r="O779">
        <v>31</v>
      </c>
      <c r="P779">
        <v>8</v>
      </c>
      <c r="Q779">
        <v>3</v>
      </c>
      <c r="R779">
        <v>2025</v>
      </c>
    </row>
    <row r="780" spans="1:18">
      <c r="A780">
        <v>148.29</v>
      </c>
      <c r="B780">
        <v>3</v>
      </c>
      <c r="C780">
        <v>779</v>
      </c>
      <c r="D780" s="2">
        <v>0.11312591435185185</v>
      </c>
      <c r="E780" t="s">
        <v>2228</v>
      </c>
      <c r="F780" t="s">
        <v>2229</v>
      </c>
      <c r="G780" t="s">
        <v>1192</v>
      </c>
      <c r="H780" t="s">
        <v>64</v>
      </c>
      <c r="I780" t="s">
        <v>892</v>
      </c>
      <c r="J780" t="s">
        <v>347</v>
      </c>
      <c r="K780" t="s">
        <v>69</v>
      </c>
      <c r="L780">
        <v>49.43</v>
      </c>
      <c r="M780" s="1">
        <v>46060</v>
      </c>
      <c r="N780" t="s">
        <v>14</v>
      </c>
      <c r="O780">
        <v>7</v>
      </c>
      <c r="P780">
        <v>2</v>
      </c>
      <c r="Q780">
        <v>1</v>
      </c>
      <c r="R780">
        <v>2026</v>
      </c>
    </row>
    <row r="781" spans="1:18">
      <c r="A781">
        <v>166.41</v>
      </c>
      <c r="B781">
        <v>1</v>
      </c>
      <c r="C781">
        <v>780</v>
      </c>
      <c r="D781" s="2">
        <v>0.8687858449074074</v>
      </c>
      <c r="E781" t="s">
        <v>3125</v>
      </c>
      <c r="F781" t="s">
        <v>3126</v>
      </c>
      <c r="G781" t="s">
        <v>925</v>
      </c>
      <c r="H781" t="s">
        <v>1722</v>
      </c>
      <c r="I781" t="s">
        <v>954</v>
      </c>
      <c r="J781" t="s">
        <v>285</v>
      </c>
      <c r="K781" t="s">
        <v>17</v>
      </c>
      <c r="L781">
        <v>166.41</v>
      </c>
      <c r="M781" s="1">
        <v>46030</v>
      </c>
      <c r="N781" t="s">
        <v>105</v>
      </c>
      <c r="O781">
        <v>8</v>
      </c>
      <c r="P781">
        <v>1</v>
      </c>
      <c r="Q781">
        <v>1</v>
      </c>
      <c r="R781">
        <v>2026</v>
      </c>
    </row>
    <row r="782" spans="1:18">
      <c r="A782">
        <v>14.62</v>
      </c>
      <c r="B782">
        <v>1</v>
      </c>
      <c r="C782">
        <v>781</v>
      </c>
      <c r="D782" s="2">
        <v>0.11833516203703703</v>
      </c>
      <c r="E782" t="s">
        <v>1891</v>
      </c>
      <c r="F782" t="s">
        <v>1892</v>
      </c>
      <c r="G782" t="s">
        <v>1893</v>
      </c>
      <c r="H782" t="s">
        <v>806</v>
      </c>
      <c r="I782" t="s">
        <v>807</v>
      </c>
      <c r="J782" t="s">
        <v>102</v>
      </c>
      <c r="K782" t="s">
        <v>51</v>
      </c>
      <c r="L782">
        <v>14.62</v>
      </c>
      <c r="M782" s="1">
        <v>45998</v>
      </c>
      <c r="N782" t="s">
        <v>28</v>
      </c>
      <c r="O782">
        <v>7</v>
      </c>
      <c r="P782">
        <v>12</v>
      </c>
      <c r="Q782">
        <v>4</v>
      </c>
      <c r="R782">
        <v>2025</v>
      </c>
    </row>
    <row r="783" spans="1:18">
      <c r="A783">
        <v>583.47</v>
      </c>
      <c r="B783">
        <v>3</v>
      </c>
      <c r="C783">
        <v>782</v>
      </c>
      <c r="D783" s="2">
        <v>0.48333168981481484</v>
      </c>
      <c r="E783" t="s">
        <v>2487</v>
      </c>
      <c r="F783" t="s">
        <v>2488</v>
      </c>
      <c r="G783" t="s">
        <v>1515</v>
      </c>
      <c r="H783" t="s">
        <v>2489</v>
      </c>
      <c r="I783" t="s">
        <v>1247</v>
      </c>
      <c r="J783" t="s">
        <v>560</v>
      </c>
      <c r="K783" t="s">
        <v>122</v>
      </c>
      <c r="L783">
        <v>194.49</v>
      </c>
      <c r="M783" s="1">
        <v>46092</v>
      </c>
      <c r="N783" t="s">
        <v>34</v>
      </c>
      <c r="O783">
        <v>11</v>
      </c>
      <c r="P783">
        <v>3</v>
      </c>
      <c r="Q783">
        <v>1</v>
      </c>
      <c r="R783">
        <v>2026</v>
      </c>
    </row>
    <row r="784" spans="1:18">
      <c r="A784">
        <v>557.55000000000007</v>
      </c>
      <c r="B784">
        <v>5</v>
      </c>
      <c r="C784">
        <v>783</v>
      </c>
      <c r="D784" s="2">
        <v>0.54871854166666667</v>
      </c>
      <c r="E784" t="s">
        <v>1812</v>
      </c>
      <c r="F784" t="s">
        <v>1813</v>
      </c>
      <c r="G784" t="s">
        <v>925</v>
      </c>
      <c r="H784" t="s">
        <v>548</v>
      </c>
      <c r="I784" t="s">
        <v>790</v>
      </c>
      <c r="J784" t="s">
        <v>416</v>
      </c>
      <c r="K784" t="s">
        <v>57</v>
      </c>
      <c r="L784">
        <v>111.51</v>
      </c>
      <c r="M784" s="1">
        <v>45826</v>
      </c>
      <c r="N784" t="s">
        <v>34</v>
      </c>
      <c r="O784">
        <v>18</v>
      </c>
      <c r="P784">
        <v>6</v>
      </c>
      <c r="Q784">
        <v>2</v>
      </c>
      <c r="R784">
        <v>2025</v>
      </c>
    </row>
    <row r="785" spans="1:18">
      <c r="A785">
        <v>62.199999999999996</v>
      </c>
      <c r="B785">
        <v>5</v>
      </c>
      <c r="C785">
        <v>784</v>
      </c>
      <c r="D785" s="2">
        <v>0.2126127199074074</v>
      </c>
      <c r="E785" t="s">
        <v>1985</v>
      </c>
      <c r="F785" t="s">
        <v>1986</v>
      </c>
      <c r="G785" t="s">
        <v>1987</v>
      </c>
      <c r="H785" t="s">
        <v>785</v>
      </c>
      <c r="I785" t="s">
        <v>786</v>
      </c>
      <c r="J785" t="s">
        <v>310</v>
      </c>
      <c r="K785" t="s">
        <v>60</v>
      </c>
      <c r="L785">
        <v>12.44</v>
      </c>
      <c r="M785" s="1">
        <v>45788</v>
      </c>
      <c r="N785" t="s">
        <v>28</v>
      </c>
      <c r="O785">
        <v>11</v>
      </c>
      <c r="P785">
        <v>5</v>
      </c>
      <c r="Q785">
        <v>2</v>
      </c>
      <c r="R785">
        <v>2025</v>
      </c>
    </row>
    <row r="786" spans="1:18">
      <c r="A786">
        <v>489.41999999999996</v>
      </c>
      <c r="B786">
        <v>3</v>
      </c>
      <c r="C786">
        <v>785</v>
      </c>
      <c r="D786" s="2">
        <v>4.4270370370370366E-3</v>
      </c>
      <c r="E786" t="s">
        <v>2664</v>
      </c>
      <c r="F786" t="s">
        <v>2665</v>
      </c>
      <c r="G786" t="s">
        <v>2666</v>
      </c>
      <c r="H786" t="s">
        <v>869</v>
      </c>
      <c r="I786" t="s">
        <v>807</v>
      </c>
      <c r="J786" t="s">
        <v>183</v>
      </c>
      <c r="K786" t="s">
        <v>19</v>
      </c>
      <c r="L786">
        <v>163.13999999999999</v>
      </c>
      <c r="M786" s="1">
        <v>46093</v>
      </c>
      <c r="N786" t="s">
        <v>105</v>
      </c>
      <c r="O786">
        <v>12</v>
      </c>
      <c r="P786">
        <v>3</v>
      </c>
      <c r="Q786">
        <v>1</v>
      </c>
      <c r="R786">
        <v>2026</v>
      </c>
    </row>
    <row r="787" spans="1:18">
      <c r="A787">
        <v>1002.65</v>
      </c>
      <c r="B787">
        <v>5</v>
      </c>
      <c r="C787">
        <v>786</v>
      </c>
      <c r="D787" s="2">
        <v>0.24659269675925927</v>
      </c>
      <c r="E787" t="s">
        <v>2011</v>
      </c>
      <c r="F787" t="s">
        <v>2012</v>
      </c>
      <c r="G787" t="s">
        <v>2013</v>
      </c>
      <c r="H787" t="s">
        <v>1172</v>
      </c>
      <c r="I787" t="s">
        <v>830</v>
      </c>
      <c r="J787" t="s">
        <v>429</v>
      </c>
      <c r="K787" t="s">
        <v>19</v>
      </c>
      <c r="L787">
        <v>200.53</v>
      </c>
      <c r="M787" s="1">
        <v>45715</v>
      </c>
      <c r="N787" t="s">
        <v>105</v>
      </c>
      <c r="O787">
        <v>27</v>
      </c>
      <c r="P787">
        <v>2</v>
      </c>
      <c r="Q787">
        <v>1</v>
      </c>
      <c r="R787">
        <v>2025</v>
      </c>
    </row>
    <row r="788" spans="1:18">
      <c r="A788">
        <v>601.59</v>
      </c>
      <c r="B788">
        <v>3</v>
      </c>
      <c r="C788">
        <v>787</v>
      </c>
      <c r="D788" s="2">
        <v>0.6419247569444444</v>
      </c>
      <c r="E788" t="s">
        <v>2953</v>
      </c>
      <c r="F788" t="s">
        <v>2954</v>
      </c>
      <c r="G788" t="s">
        <v>1698</v>
      </c>
      <c r="H788" t="s">
        <v>1395</v>
      </c>
      <c r="I788" t="s">
        <v>776</v>
      </c>
      <c r="J788" t="s">
        <v>429</v>
      </c>
      <c r="K788" t="s">
        <v>19</v>
      </c>
      <c r="L788">
        <v>200.53</v>
      </c>
      <c r="M788" s="1">
        <v>46001</v>
      </c>
      <c r="N788" t="s">
        <v>34</v>
      </c>
      <c r="O788">
        <v>10</v>
      </c>
      <c r="P788">
        <v>12</v>
      </c>
      <c r="Q788">
        <v>4</v>
      </c>
      <c r="R788">
        <v>2025</v>
      </c>
    </row>
    <row r="789" spans="1:18">
      <c r="A789">
        <v>469.78</v>
      </c>
      <c r="B789">
        <v>2</v>
      </c>
      <c r="C789">
        <v>788</v>
      </c>
      <c r="D789" s="2">
        <v>7.6100231481481479E-3</v>
      </c>
      <c r="E789" t="s">
        <v>3140</v>
      </c>
      <c r="F789" t="s">
        <v>3141</v>
      </c>
      <c r="G789" t="s">
        <v>2904</v>
      </c>
      <c r="H789" t="s">
        <v>562</v>
      </c>
      <c r="I789" t="s">
        <v>753</v>
      </c>
      <c r="J789" t="s">
        <v>255</v>
      </c>
      <c r="K789" t="s">
        <v>39</v>
      </c>
      <c r="L789">
        <v>234.89</v>
      </c>
      <c r="M789" s="1">
        <v>45801</v>
      </c>
      <c r="N789" t="s">
        <v>14</v>
      </c>
      <c r="O789">
        <v>24</v>
      </c>
      <c r="P789">
        <v>5</v>
      </c>
      <c r="Q789">
        <v>2</v>
      </c>
      <c r="R789">
        <v>2025</v>
      </c>
    </row>
    <row r="790" spans="1:18">
      <c r="A790">
        <v>84.64</v>
      </c>
      <c r="B790">
        <v>2</v>
      </c>
      <c r="C790">
        <v>789</v>
      </c>
      <c r="D790" s="2">
        <v>0.29104692129629628</v>
      </c>
      <c r="E790" t="s">
        <v>2226</v>
      </c>
      <c r="F790" t="s">
        <v>2227</v>
      </c>
      <c r="G790" t="s">
        <v>1188</v>
      </c>
      <c r="H790" t="s">
        <v>1089</v>
      </c>
      <c r="I790" t="s">
        <v>812</v>
      </c>
      <c r="J790" t="s">
        <v>415</v>
      </c>
      <c r="K790" t="s">
        <v>43</v>
      </c>
      <c r="L790">
        <v>42.32</v>
      </c>
      <c r="M790" s="1">
        <v>45722</v>
      </c>
      <c r="N790" t="s">
        <v>105</v>
      </c>
      <c r="O790">
        <v>6</v>
      </c>
      <c r="P790">
        <v>3</v>
      </c>
      <c r="Q790">
        <v>1</v>
      </c>
      <c r="R790">
        <v>2025</v>
      </c>
    </row>
    <row r="791" spans="1:18">
      <c r="A791">
        <v>1007.65</v>
      </c>
      <c r="B791">
        <v>5</v>
      </c>
      <c r="C791">
        <v>790</v>
      </c>
      <c r="D791" s="2">
        <v>0.5890323842592593</v>
      </c>
      <c r="E791" t="s">
        <v>2104</v>
      </c>
      <c r="F791" t="s">
        <v>2105</v>
      </c>
      <c r="G791" t="s">
        <v>991</v>
      </c>
      <c r="H791" t="s">
        <v>29</v>
      </c>
      <c r="I791" t="s">
        <v>821</v>
      </c>
      <c r="J791" t="s">
        <v>476</v>
      </c>
      <c r="K791" t="s">
        <v>31</v>
      </c>
      <c r="L791">
        <v>201.53</v>
      </c>
      <c r="M791" s="1">
        <v>45900</v>
      </c>
      <c r="N791" t="s">
        <v>28</v>
      </c>
      <c r="O791">
        <v>31</v>
      </c>
      <c r="P791">
        <v>8</v>
      </c>
      <c r="Q791">
        <v>3</v>
      </c>
      <c r="R791">
        <v>2025</v>
      </c>
    </row>
    <row r="792" spans="1:18">
      <c r="A792">
        <v>589.95000000000005</v>
      </c>
      <c r="B792">
        <v>3</v>
      </c>
      <c r="C792">
        <v>791</v>
      </c>
      <c r="D792" s="2">
        <v>0.72927241898148143</v>
      </c>
      <c r="E792" t="s">
        <v>2185</v>
      </c>
      <c r="F792" t="s">
        <v>2186</v>
      </c>
      <c r="G792" t="s">
        <v>1429</v>
      </c>
      <c r="H792" t="s">
        <v>1395</v>
      </c>
      <c r="I792" t="s">
        <v>776</v>
      </c>
      <c r="J792" t="s">
        <v>226</v>
      </c>
      <c r="K792" t="s">
        <v>97</v>
      </c>
      <c r="L792">
        <v>196.65</v>
      </c>
      <c r="M792" s="1">
        <v>45551</v>
      </c>
      <c r="N792" t="s">
        <v>93</v>
      </c>
      <c r="O792">
        <v>16</v>
      </c>
      <c r="P792">
        <v>9</v>
      </c>
      <c r="Q792">
        <v>3</v>
      </c>
      <c r="R792">
        <v>2024</v>
      </c>
    </row>
    <row r="793" spans="1:18">
      <c r="A793">
        <v>91.68</v>
      </c>
      <c r="B793">
        <v>4</v>
      </c>
      <c r="C793">
        <v>792</v>
      </c>
      <c r="D793" s="2">
        <v>0.27058863425925928</v>
      </c>
      <c r="E793" t="s">
        <v>939</v>
      </c>
      <c r="F793" t="s">
        <v>940</v>
      </c>
      <c r="G793" t="s">
        <v>941</v>
      </c>
      <c r="H793" t="s">
        <v>942</v>
      </c>
      <c r="I793" t="s">
        <v>943</v>
      </c>
      <c r="J793" t="s">
        <v>167</v>
      </c>
      <c r="K793" t="s">
        <v>23</v>
      </c>
      <c r="L793">
        <v>22.92</v>
      </c>
      <c r="M793" s="1">
        <v>45751</v>
      </c>
      <c r="N793" t="s">
        <v>79</v>
      </c>
      <c r="O793">
        <v>4</v>
      </c>
      <c r="P793">
        <v>4</v>
      </c>
      <c r="Q793">
        <v>2</v>
      </c>
      <c r="R793">
        <v>2025</v>
      </c>
    </row>
    <row r="794" spans="1:18">
      <c r="A794">
        <v>437.49</v>
      </c>
      <c r="B794">
        <v>3</v>
      </c>
      <c r="C794">
        <v>793</v>
      </c>
      <c r="D794" s="2">
        <v>0.22806670138888888</v>
      </c>
      <c r="E794" t="s">
        <v>2700</v>
      </c>
      <c r="F794" t="s">
        <v>2701</v>
      </c>
      <c r="G794" t="s">
        <v>1688</v>
      </c>
      <c r="H794" t="s">
        <v>635</v>
      </c>
      <c r="I794" t="s">
        <v>768</v>
      </c>
      <c r="J794" t="s">
        <v>171</v>
      </c>
      <c r="K794" t="s">
        <v>46</v>
      </c>
      <c r="L794">
        <v>145.83000000000001</v>
      </c>
      <c r="M794" s="1">
        <v>45675</v>
      </c>
      <c r="N794" t="s">
        <v>14</v>
      </c>
      <c r="O794">
        <v>18</v>
      </c>
      <c r="P794">
        <v>1</v>
      </c>
      <c r="Q794">
        <v>1</v>
      </c>
      <c r="R794">
        <v>2025</v>
      </c>
    </row>
    <row r="795" spans="1:18">
      <c r="A795">
        <v>876.04</v>
      </c>
      <c r="B795">
        <v>4</v>
      </c>
      <c r="C795">
        <v>794</v>
      </c>
      <c r="D795" s="2">
        <v>7.018736111111111E-2</v>
      </c>
      <c r="E795" t="s">
        <v>2946</v>
      </c>
      <c r="F795" t="s">
        <v>2947</v>
      </c>
      <c r="G795" t="s">
        <v>2948</v>
      </c>
      <c r="H795" t="s">
        <v>136</v>
      </c>
      <c r="I795" t="s">
        <v>776</v>
      </c>
      <c r="J795" t="s">
        <v>279</v>
      </c>
      <c r="K795" t="s">
        <v>82</v>
      </c>
      <c r="L795">
        <v>219.01</v>
      </c>
      <c r="M795" s="1">
        <v>46016</v>
      </c>
      <c r="N795" t="s">
        <v>105</v>
      </c>
      <c r="O795">
        <v>25</v>
      </c>
      <c r="P795">
        <v>12</v>
      </c>
      <c r="Q795">
        <v>4</v>
      </c>
      <c r="R795">
        <v>2025</v>
      </c>
    </row>
    <row r="796" spans="1:18">
      <c r="A796">
        <v>470.15</v>
      </c>
      <c r="B796">
        <v>5</v>
      </c>
      <c r="C796">
        <v>795</v>
      </c>
      <c r="D796" s="2">
        <v>0.92342642361111116</v>
      </c>
      <c r="E796" t="s">
        <v>1029</v>
      </c>
      <c r="F796" t="s">
        <v>1030</v>
      </c>
      <c r="G796" t="s">
        <v>1031</v>
      </c>
      <c r="H796" t="s">
        <v>1032</v>
      </c>
      <c r="I796" t="s">
        <v>839</v>
      </c>
      <c r="J796" t="s">
        <v>364</v>
      </c>
      <c r="K796" t="s">
        <v>21</v>
      </c>
      <c r="L796">
        <v>94.03</v>
      </c>
      <c r="M796" s="1">
        <v>45609</v>
      </c>
      <c r="N796" t="s">
        <v>34</v>
      </c>
      <c r="O796">
        <v>13</v>
      </c>
      <c r="P796">
        <v>11</v>
      </c>
      <c r="Q796">
        <v>4</v>
      </c>
      <c r="R796">
        <v>2024</v>
      </c>
    </row>
    <row r="797" spans="1:18">
      <c r="A797">
        <v>51.65</v>
      </c>
      <c r="B797">
        <v>1</v>
      </c>
      <c r="C797">
        <v>796</v>
      </c>
      <c r="D797" s="2">
        <v>0.80922321759259264</v>
      </c>
      <c r="E797" t="s">
        <v>1223</v>
      </c>
      <c r="F797" t="s">
        <v>3285</v>
      </c>
      <c r="G797" t="s">
        <v>1380</v>
      </c>
      <c r="H797" t="s">
        <v>1002</v>
      </c>
      <c r="I797" t="s">
        <v>892</v>
      </c>
      <c r="J797" t="s">
        <v>212</v>
      </c>
      <c r="K797" t="s">
        <v>57</v>
      </c>
      <c r="L797">
        <v>51.65</v>
      </c>
      <c r="M797" s="1">
        <v>46138</v>
      </c>
      <c r="N797" t="s">
        <v>28</v>
      </c>
      <c r="O797">
        <v>26</v>
      </c>
      <c r="P797">
        <v>4</v>
      </c>
      <c r="Q797">
        <v>2</v>
      </c>
      <c r="R797">
        <v>2026</v>
      </c>
    </row>
    <row r="798" spans="1:18">
      <c r="A798">
        <v>124.99</v>
      </c>
      <c r="B798">
        <v>1</v>
      </c>
      <c r="C798">
        <v>797</v>
      </c>
      <c r="D798" s="2">
        <v>0.6028355671296296</v>
      </c>
      <c r="E798" t="s">
        <v>1850</v>
      </c>
      <c r="F798" t="s">
        <v>1851</v>
      </c>
      <c r="G798" t="s">
        <v>833</v>
      </c>
      <c r="H798" t="s">
        <v>49</v>
      </c>
      <c r="I798" t="s">
        <v>807</v>
      </c>
      <c r="J798" t="s">
        <v>512</v>
      </c>
      <c r="K798" t="s">
        <v>27</v>
      </c>
      <c r="L798">
        <v>124.99</v>
      </c>
      <c r="M798" s="1">
        <v>45773</v>
      </c>
      <c r="N798" t="s">
        <v>14</v>
      </c>
      <c r="O798">
        <v>26</v>
      </c>
      <c r="P798">
        <v>4</v>
      </c>
      <c r="Q798">
        <v>2</v>
      </c>
      <c r="R798">
        <v>2025</v>
      </c>
    </row>
    <row r="799" spans="1:18">
      <c r="A799">
        <v>308.2</v>
      </c>
      <c r="B799">
        <v>4</v>
      </c>
      <c r="C799">
        <v>798</v>
      </c>
      <c r="D799" s="2">
        <v>0.26543069444444445</v>
      </c>
      <c r="E799" t="s">
        <v>2798</v>
      </c>
      <c r="F799" t="s">
        <v>2799</v>
      </c>
      <c r="G799" t="s">
        <v>2800</v>
      </c>
      <c r="H799" t="s">
        <v>929</v>
      </c>
      <c r="I799" t="s">
        <v>830</v>
      </c>
      <c r="J799" t="s">
        <v>509</v>
      </c>
      <c r="K799" t="s">
        <v>19</v>
      </c>
      <c r="L799">
        <v>77.05</v>
      </c>
      <c r="M799" s="1">
        <v>45734</v>
      </c>
      <c r="N799" t="s">
        <v>48</v>
      </c>
      <c r="O799">
        <v>18</v>
      </c>
      <c r="P799">
        <v>3</v>
      </c>
      <c r="Q799">
        <v>1</v>
      </c>
      <c r="R799">
        <v>2025</v>
      </c>
    </row>
    <row r="800" spans="1:18">
      <c r="A800">
        <v>49.41</v>
      </c>
      <c r="B800">
        <v>1</v>
      </c>
      <c r="C800">
        <v>799</v>
      </c>
      <c r="D800" s="2">
        <v>0.65003188657407407</v>
      </c>
      <c r="E800" t="s">
        <v>2196</v>
      </c>
      <c r="F800" t="s">
        <v>2197</v>
      </c>
      <c r="G800" t="s">
        <v>1777</v>
      </c>
      <c r="H800" t="s">
        <v>953</v>
      </c>
      <c r="I800" t="s">
        <v>954</v>
      </c>
      <c r="J800" t="s">
        <v>144</v>
      </c>
      <c r="K800" t="s">
        <v>97</v>
      </c>
      <c r="L800">
        <v>49.41</v>
      </c>
      <c r="M800" s="1">
        <v>45585</v>
      </c>
      <c r="N800" t="s">
        <v>28</v>
      </c>
      <c r="O800">
        <v>20</v>
      </c>
      <c r="P800">
        <v>10</v>
      </c>
      <c r="Q800">
        <v>4</v>
      </c>
      <c r="R800">
        <v>2024</v>
      </c>
    </row>
    <row r="801" spans="1:18">
      <c r="A801">
        <v>124.99</v>
      </c>
      <c r="B801">
        <v>1</v>
      </c>
      <c r="C801">
        <v>800</v>
      </c>
      <c r="D801" s="2">
        <v>0.21590695601851853</v>
      </c>
      <c r="E801" t="s">
        <v>958</v>
      </c>
      <c r="F801" t="s">
        <v>959</v>
      </c>
      <c r="G801" t="s">
        <v>960</v>
      </c>
      <c r="H801" t="s">
        <v>961</v>
      </c>
      <c r="I801" t="s">
        <v>807</v>
      </c>
      <c r="J801" t="s">
        <v>512</v>
      </c>
      <c r="K801" t="s">
        <v>27</v>
      </c>
      <c r="L801">
        <v>124.99</v>
      </c>
      <c r="M801" s="1">
        <v>45809</v>
      </c>
      <c r="N801" t="s">
        <v>28</v>
      </c>
      <c r="O801">
        <v>1</v>
      </c>
      <c r="P801">
        <v>6</v>
      </c>
      <c r="Q801">
        <v>2</v>
      </c>
      <c r="R801">
        <v>2025</v>
      </c>
    </row>
    <row r="802" spans="1:18">
      <c r="A802">
        <v>27.32</v>
      </c>
      <c r="B802">
        <v>1</v>
      </c>
      <c r="C802">
        <v>801</v>
      </c>
      <c r="D802" s="2">
        <v>6.3905219907407412E-2</v>
      </c>
      <c r="E802" t="s">
        <v>1604</v>
      </c>
      <c r="F802" t="s">
        <v>1605</v>
      </c>
      <c r="G802" t="s">
        <v>1606</v>
      </c>
      <c r="H802" t="s">
        <v>1607</v>
      </c>
      <c r="I802" t="s">
        <v>839</v>
      </c>
      <c r="J802" t="s">
        <v>423</v>
      </c>
      <c r="K802" t="s">
        <v>37</v>
      </c>
      <c r="L802">
        <v>27.32</v>
      </c>
      <c r="M802" s="1">
        <v>45921</v>
      </c>
      <c r="N802" t="s">
        <v>28</v>
      </c>
      <c r="O802">
        <v>21</v>
      </c>
      <c r="P802">
        <v>9</v>
      </c>
      <c r="Q802">
        <v>3</v>
      </c>
      <c r="R802">
        <v>2025</v>
      </c>
    </row>
    <row r="803" spans="1:18">
      <c r="A803">
        <v>57.16</v>
      </c>
      <c r="B803">
        <v>4</v>
      </c>
      <c r="C803">
        <v>802</v>
      </c>
      <c r="D803" s="2">
        <v>0.99125575231481478</v>
      </c>
      <c r="E803" t="s">
        <v>1874</v>
      </c>
      <c r="F803" t="s">
        <v>1875</v>
      </c>
      <c r="G803" t="s">
        <v>1876</v>
      </c>
      <c r="H803" t="s">
        <v>929</v>
      </c>
      <c r="I803" t="s">
        <v>786</v>
      </c>
      <c r="J803" t="s">
        <v>170</v>
      </c>
      <c r="K803" t="s">
        <v>82</v>
      </c>
      <c r="L803">
        <v>14.29</v>
      </c>
      <c r="M803" s="1">
        <v>46230</v>
      </c>
      <c r="N803" t="s">
        <v>93</v>
      </c>
      <c r="O803">
        <v>27</v>
      </c>
      <c r="P803">
        <v>7</v>
      </c>
      <c r="Q803">
        <v>3</v>
      </c>
      <c r="R803">
        <v>2026</v>
      </c>
    </row>
    <row r="804" spans="1:18">
      <c r="A804">
        <v>202.27</v>
      </c>
      <c r="B804">
        <v>1</v>
      </c>
      <c r="C804">
        <v>803</v>
      </c>
      <c r="D804" s="2">
        <v>0.96094747685185189</v>
      </c>
      <c r="E804" t="s">
        <v>977</v>
      </c>
      <c r="F804" t="s">
        <v>978</v>
      </c>
      <c r="G804" t="s">
        <v>979</v>
      </c>
      <c r="H804" t="s">
        <v>980</v>
      </c>
      <c r="I804" t="s">
        <v>981</v>
      </c>
      <c r="J804" t="s">
        <v>541</v>
      </c>
      <c r="K804" t="s">
        <v>43</v>
      </c>
      <c r="L804">
        <v>202.27</v>
      </c>
      <c r="M804" s="1">
        <v>45801</v>
      </c>
      <c r="N804" t="s">
        <v>14</v>
      </c>
      <c r="O804">
        <v>24</v>
      </c>
      <c r="P804">
        <v>5</v>
      </c>
      <c r="Q804">
        <v>2</v>
      </c>
      <c r="R804">
        <v>2025</v>
      </c>
    </row>
    <row r="805" spans="1:18">
      <c r="A805">
        <v>38.85</v>
      </c>
      <c r="B805">
        <v>1</v>
      </c>
      <c r="C805">
        <v>804</v>
      </c>
      <c r="D805" s="2">
        <v>0.79723542824074078</v>
      </c>
      <c r="E805" t="s">
        <v>2442</v>
      </c>
      <c r="F805" t="s">
        <v>2443</v>
      </c>
      <c r="G805" t="s">
        <v>872</v>
      </c>
      <c r="H805" t="s">
        <v>1525</v>
      </c>
      <c r="I805" t="s">
        <v>763</v>
      </c>
      <c r="J805" t="s">
        <v>586</v>
      </c>
      <c r="K805" t="s">
        <v>43</v>
      </c>
      <c r="L805">
        <v>38.85</v>
      </c>
      <c r="M805" s="1">
        <v>45955</v>
      </c>
      <c r="N805" t="s">
        <v>14</v>
      </c>
      <c r="O805">
        <v>25</v>
      </c>
      <c r="P805">
        <v>10</v>
      </c>
      <c r="Q805">
        <v>4</v>
      </c>
      <c r="R805">
        <v>2025</v>
      </c>
    </row>
    <row r="806" spans="1:18">
      <c r="A806">
        <v>729.2</v>
      </c>
      <c r="B806">
        <v>5</v>
      </c>
      <c r="C806">
        <v>805</v>
      </c>
      <c r="D806" s="2">
        <v>0.62475734953703699</v>
      </c>
      <c r="E806" t="s">
        <v>1363</v>
      </c>
      <c r="F806" t="s">
        <v>1364</v>
      </c>
      <c r="G806" t="s">
        <v>1365</v>
      </c>
      <c r="H806" t="s">
        <v>965</v>
      </c>
      <c r="I806" t="s">
        <v>966</v>
      </c>
      <c r="J806" t="s">
        <v>178</v>
      </c>
      <c r="K806" t="s">
        <v>122</v>
      </c>
      <c r="L806">
        <v>145.84</v>
      </c>
      <c r="M806" s="1">
        <v>45628</v>
      </c>
      <c r="N806" t="s">
        <v>93</v>
      </c>
      <c r="O806">
        <v>2</v>
      </c>
      <c r="P806">
        <v>12</v>
      </c>
      <c r="Q806">
        <v>4</v>
      </c>
      <c r="R806">
        <v>2024</v>
      </c>
    </row>
    <row r="807" spans="1:18">
      <c r="A807">
        <v>701.46</v>
      </c>
      <c r="B807">
        <v>3</v>
      </c>
      <c r="C807">
        <v>806</v>
      </c>
      <c r="D807" s="2">
        <v>0.68456575231481487</v>
      </c>
      <c r="E807" t="s">
        <v>1200</v>
      </c>
      <c r="F807" t="s">
        <v>1201</v>
      </c>
      <c r="G807" t="s">
        <v>1202</v>
      </c>
      <c r="H807" t="s">
        <v>1137</v>
      </c>
      <c r="I807" t="s">
        <v>748</v>
      </c>
      <c r="J807" t="s">
        <v>390</v>
      </c>
      <c r="K807" t="s">
        <v>82</v>
      </c>
      <c r="L807">
        <v>233.82</v>
      </c>
      <c r="M807" s="1">
        <v>46269</v>
      </c>
      <c r="N807" t="s">
        <v>79</v>
      </c>
      <c r="O807">
        <v>4</v>
      </c>
      <c r="P807">
        <v>9</v>
      </c>
      <c r="Q807">
        <v>3</v>
      </c>
      <c r="R807">
        <v>2026</v>
      </c>
    </row>
    <row r="808" spans="1:18">
      <c r="A808">
        <v>645.75</v>
      </c>
      <c r="B808">
        <v>3</v>
      </c>
      <c r="C808">
        <v>807</v>
      </c>
      <c r="D808" s="2">
        <v>0.17076611111111112</v>
      </c>
      <c r="E808" t="s">
        <v>2370</v>
      </c>
      <c r="F808" t="s">
        <v>2371</v>
      </c>
      <c r="G808" t="s">
        <v>1633</v>
      </c>
      <c r="H808" t="s">
        <v>757</v>
      </c>
      <c r="I808" t="s">
        <v>758</v>
      </c>
      <c r="J808" t="s">
        <v>148</v>
      </c>
      <c r="K808" t="s">
        <v>51</v>
      </c>
      <c r="L808">
        <v>215.25</v>
      </c>
      <c r="M808" s="1">
        <v>46067</v>
      </c>
      <c r="N808" t="s">
        <v>14</v>
      </c>
      <c r="O808">
        <v>14</v>
      </c>
      <c r="P808">
        <v>2</v>
      </c>
      <c r="Q808">
        <v>1</v>
      </c>
      <c r="R808">
        <v>2026</v>
      </c>
    </row>
    <row r="809" spans="1:18">
      <c r="A809">
        <v>65.02</v>
      </c>
      <c r="B809">
        <v>1</v>
      </c>
      <c r="C809">
        <v>808</v>
      </c>
      <c r="D809" s="2">
        <v>0.30146302083333332</v>
      </c>
      <c r="E809" t="s">
        <v>2888</v>
      </c>
      <c r="F809" t="s">
        <v>2889</v>
      </c>
      <c r="G809" t="s">
        <v>2114</v>
      </c>
      <c r="H809" t="s">
        <v>929</v>
      </c>
      <c r="I809" t="s">
        <v>830</v>
      </c>
      <c r="J809" t="s">
        <v>510</v>
      </c>
      <c r="K809" t="s">
        <v>43</v>
      </c>
      <c r="L809">
        <v>65.02</v>
      </c>
      <c r="M809" s="1">
        <v>46262</v>
      </c>
      <c r="N809" t="s">
        <v>79</v>
      </c>
      <c r="O809">
        <v>28</v>
      </c>
      <c r="P809">
        <v>8</v>
      </c>
      <c r="Q809">
        <v>3</v>
      </c>
      <c r="R809">
        <v>2026</v>
      </c>
    </row>
    <row r="810" spans="1:18">
      <c r="A810">
        <v>423.15</v>
      </c>
      <c r="B810">
        <v>5</v>
      </c>
      <c r="C810">
        <v>809</v>
      </c>
      <c r="D810" s="2">
        <v>0.97731034722222221</v>
      </c>
      <c r="E810" t="s">
        <v>1608</v>
      </c>
      <c r="F810" t="s">
        <v>1609</v>
      </c>
      <c r="G810" t="s">
        <v>998</v>
      </c>
      <c r="H810" t="s">
        <v>1502</v>
      </c>
      <c r="I810" t="s">
        <v>817</v>
      </c>
      <c r="J810" t="s">
        <v>495</v>
      </c>
      <c r="K810" t="s">
        <v>39</v>
      </c>
      <c r="L810">
        <v>84.63</v>
      </c>
      <c r="M810" s="1">
        <v>45680</v>
      </c>
      <c r="N810" t="s">
        <v>105</v>
      </c>
      <c r="O810">
        <v>23</v>
      </c>
      <c r="P810">
        <v>1</v>
      </c>
      <c r="Q810">
        <v>1</v>
      </c>
      <c r="R810">
        <v>2025</v>
      </c>
    </row>
    <row r="811" spans="1:18">
      <c r="A811">
        <v>134.99</v>
      </c>
      <c r="B811">
        <v>1</v>
      </c>
      <c r="C811">
        <v>810</v>
      </c>
      <c r="D811" s="2">
        <v>0.66514327546296292</v>
      </c>
      <c r="E811" t="s">
        <v>2307</v>
      </c>
      <c r="F811" t="s">
        <v>2308</v>
      </c>
      <c r="G811" t="s">
        <v>761</v>
      </c>
      <c r="H811" t="s">
        <v>1032</v>
      </c>
      <c r="I811" t="s">
        <v>839</v>
      </c>
      <c r="J811" t="s">
        <v>428</v>
      </c>
      <c r="K811" t="s">
        <v>31</v>
      </c>
      <c r="L811">
        <v>134.99</v>
      </c>
      <c r="M811" s="1">
        <v>46018</v>
      </c>
      <c r="N811" t="s">
        <v>14</v>
      </c>
      <c r="O811">
        <v>27</v>
      </c>
      <c r="P811">
        <v>12</v>
      </c>
      <c r="Q811">
        <v>4</v>
      </c>
      <c r="R811">
        <v>2025</v>
      </c>
    </row>
    <row r="812" spans="1:18">
      <c r="A812">
        <v>54.54</v>
      </c>
      <c r="B812">
        <v>1</v>
      </c>
      <c r="C812">
        <v>811</v>
      </c>
      <c r="D812" s="2">
        <v>0.33264324074074075</v>
      </c>
      <c r="E812" t="s">
        <v>2171</v>
      </c>
      <c r="F812" t="s">
        <v>2172</v>
      </c>
      <c r="G812" t="s">
        <v>2173</v>
      </c>
      <c r="H812" t="s">
        <v>762</v>
      </c>
      <c r="I812" t="s">
        <v>763</v>
      </c>
      <c r="J812" t="s">
        <v>292</v>
      </c>
      <c r="K812" t="s">
        <v>97</v>
      </c>
      <c r="L812">
        <v>54.54</v>
      </c>
      <c r="M812" s="1">
        <v>45816</v>
      </c>
      <c r="N812" t="s">
        <v>28</v>
      </c>
      <c r="O812">
        <v>8</v>
      </c>
      <c r="P812">
        <v>6</v>
      </c>
      <c r="Q812">
        <v>2</v>
      </c>
      <c r="R812">
        <v>2025</v>
      </c>
    </row>
    <row r="813" spans="1:18">
      <c r="A813">
        <v>245.01</v>
      </c>
      <c r="B813">
        <v>1</v>
      </c>
      <c r="C813">
        <v>812</v>
      </c>
      <c r="D813" s="2">
        <v>0.63899471064814817</v>
      </c>
      <c r="E813" t="s">
        <v>1914</v>
      </c>
      <c r="F813" t="s">
        <v>1915</v>
      </c>
      <c r="G813" t="s">
        <v>976</v>
      </c>
      <c r="H813" t="s">
        <v>1199</v>
      </c>
      <c r="I813" t="s">
        <v>839</v>
      </c>
      <c r="J813" t="s">
        <v>53</v>
      </c>
      <c r="K813" t="s">
        <v>43</v>
      </c>
      <c r="L813">
        <v>245.01</v>
      </c>
      <c r="M813" s="1">
        <v>45692</v>
      </c>
      <c r="N813" t="s">
        <v>48</v>
      </c>
      <c r="O813">
        <v>4</v>
      </c>
      <c r="P813">
        <v>2</v>
      </c>
      <c r="Q813">
        <v>1</v>
      </c>
      <c r="R813">
        <v>2025</v>
      </c>
    </row>
    <row r="814" spans="1:18">
      <c r="A814">
        <v>514.88</v>
      </c>
      <c r="B814">
        <v>4</v>
      </c>
      <c r="C814">
        <v>813</v>
      </c>
      <c r="D814" s="2">
        <v>0.25905881944444442</v>
      </c>
      <c r="E814" t="s">
        <v>2508</v>
      </c>
      <c r="F814" t="s">
        <v>2509</v>
      </c>
      <c r="G814" t="s">
        <v>2510</v>
      </c>
      <c r="H814" t="s">
        <v>1670</v>
      </c>
      <c r="I814" t="s">
        <v>1247</v>
      </c>
      <c r="J814" t="s">
        <v>693</v>
      </c>
      <c r="K814" t="s">
        <v>46</v>
      </c>
      <c r="L814">
        <v>128.72</v>
      </c>
      <c r="M814" s="1">
        <v>45799</v>
      </c>
      <c r="N814" t="s">
        <v>105</v>
      </c>
      <c r="O814">
        <v>22</v>
      </c>
      <c r="P814">
        <v>5</v>
      </c>
      <c r="Q814">
        <v>2</v>
      </c>
      <c r="R814">
        <v>2025</v>
      </c>
    </row>
    <row r="815" spans="1:18">
      <c r="A815">
        <v>141.08000000000001</v>
      </c>
      <c r="B815">
        <v>4</v>
      </c>
      <c r="C815">
        <v>814</v>
      </c>
      <c r="D815" s="2">
        <v>0.34142766203703706</v>
      </c>
      <c r="E815" t="s">
        <v>1396</v>
      </c>
      <c r="F815" t="s">
        <v>1397</v>
      </c>
      <c r="G815" t="s">
        <v>1398</v>
      </c>
      <c r="H815" t="s">
        <v>903</v>
      </c>
      <c r="I815" t="s">
        <v>786</v>
      </c>
      <c r="J815" t="s">
        <v>33</v>
      </c>
      <c r="K815" t="s">
        <v>19</v>
      </c>
      <c r="L815">
        <v>35.270000000000003</v>
      </c>
      <c r="M815" s="1">
        <v>46149</v>
      </c>
      <c r="N815" t="s">
        <v>105</v>
      </c>
      <c r="O815">
        <v>7</v>
      </c>
      <c r="P815">
        <v>5</v>
      </c>
      <c r="Q815">
        <v>2</v>
      </c>
      <c r="R815">
        <v>2026</v>
      </c>
    </row>
    <row r="816" spans="1:18">
      <c r="A816">
        <v>203.23</v>
      </c>
      <c r="B816">
        <v>1</v>
      </c>
      <c r="C816">
        <v>815</v>
      </c>
      <c r="D816" s="2">
        <v>0.9149249421296296</v>
      </c>
      <c r="E816" t="s">
        <v>2851</v>
      </c>
      <c r="F816" t="s">
        <v>2852</v>
      </c>
      <c r="G816" t="s">
        <v>1418</v>
      </c>
      <c r="H816" t="s">
        <v>106</v>
      </c>
      <c r="I816" t="s">
        <v>896</v>
      </c>
      <c r="J816" t="s">
        <v>417</v>
      </c>
      <c r="K816" t="s">
        <v>51</v>
      </c>
      <c r="L816">
        <v>203.23</v>
      </c>
      <c r="M816" s="1">
        <v>45958</v>
      </c>
      <c r="N816" t="s">
        <v>48</v>
      </c>
      <c r="O816">
        <v>28</v>
      </c>
      <c r="P816">
        <v>10</v>
      </c>
      <c r="Q816">
        <v>4</v>
      </c>
      <c r="R816">
        <v>2025</v>
      </c>
    </row>
    <row r="817" spans="1:18">
      <c r="A817">
        <v>727.52</v>
      </c>
      <c r="B817">
        <v>4</v>
      </c>
      <c r="C817">
        <v>816</v>
      </c>
      <c r="D817" s="2">
        <v>0.16666002314814815</v>
      </c>
      <c r="E817" t="s">
        <v>3185</v>
      </c>
      <c r="F817" t="s">
        <v>3186</v>
      </c>
      <c r="G817" t="s">
        <v>1324</v>
      </c>
      <c r="H817" t="s">
        <v>211</v>
      </c>
      <c r="I817" t="s">
        <v>966</v>
      </c>
      <c r="J817" t="s">
        <v>549</v>
      </c>
      <c r="K817" t="s">
        <v>82</v>
      </c>
      <c r="L817">
        <v>181.88</v>
      </c>
      <c r="M817" s="1">
        <v>46236</v>
      </c>
      <c r="N817" t="s">
        <v>28</v>
      </c>
      <c r="O817">
        <v>2</v>
      </c>
      <c r="P817">
        <v>8</v>
      </c>
      <c r="Q817">
        <v>3</v>
      </c>
      <c r="R817">
        <v>2026</v>
      </c>
    </row>
    <row r="818" spans="1:18">
      <c r="A818">
        <v>207.32</v>
      </c>
      <c r="B818">
        <v>2</v>
      </c>
      <c r="C818">
        <v>817</v>
      </c>
      <c r="D818" s="2">
        <v>0.53037300925925923</v>
      </c>
      <c r="E818" t="s">
        <v>1177</v>
      </c>
      <c r="F818" t="s">
        <v>1178</v>
      </c>
      <c r="G818" t="s">
        <v>1179</v>
      </c>
      <c r="H818" t="s">
        <v>879</v>
      </c>
      <c r="I818" t="s">
        <v>748</v>
      </c>
      <c r="J818" t="s">
        <v>193</v>
      </c>
      <c r="K818" t="s">
        <v>55</v>
      </c>
      <c r="L818">
        <v>103.66</v>
      </c>
      <c r="M818" s="1">
        <v>45631</v>
      </c>
      <c r="N818" t="s">
        <v>105</v>
      </c>
      <c r="O818">
        <v>5</v>
      </c>
      <c r="P818">
        <v>12</v>
      </c>
      <c r="Q818">
        <v>4</v>
      </c>
      <c r="R818">
        <v>2024</v>
      </c>
    </row>
    <row r="819" spans="1:18">
      <c r="A819">
        <v>665.15</v>
      </c>
      <c r="B819">
        <v>5</v>
      </c>
      <c r="C819">
        <v>818</v>
      </c>
      <c r="D819" s="2">
        <v>0.3239785648148148</v>
      </c>
      <c r="E819" t="s">
        <v>1269</v>
      </c>
      <c r="F819" t="s">
        <v>1270</v>
      </c>
      <c r="G819" t="s">
        <v>1271</v>
      </c>
      <c r="H819" t="s">
        <v>932</v>
      </c>
      <c r="I819" t="s">
        <v>776</v>
      </c>
      <c r="J819" t="s">
        <v>112</v>
      </c>
      <c r="K819" t="s">
        <v>21</v>
      </c>
      <c r="L819">
        <v>133.03</v>
      </c>
      <c r="M819" s="1">
        <v>45941</v>
      </c>
      <c r="N819" t="s">
        <v>14</v>
      </c>
      <c r="O819">
        <v>11</v>
      </c>
      <c r="P819">
        <v>10</v>
      </c>
      <c r="Q819">
        <v>4</v>
      </c>
      <c r="R819">
        <v>2025</v>
      </c>
    </row>
    <row r="820" spans="1:18">
      <c r="A820">
        <v>416.16</v>
      </c>
      <c r="B820">
        <v>4</v>
      </c>
      <c r="C820">
        <v>819</v>
      </c>
      <c r="D820" s="2">
        <v>0.73753025462962962</v>
      </c>
      <c r="E820" t="s">
        <v>1442</v>
      </c>
      <c r="F820" t="s">
        <v>1443</v>
      </c>
      <c r="G820" t="s">
        <v>1444</v>
      </c>
      <c r="H820" t="s">
        <v>380</v>
      </c>
      <c r="I820" t="s">
        <v>896</v>
      </c>
      <c r="J820" t="s">
        <v>507</v>
      </c>
      <c r="K820" t="s">
        <v>55</v>
      </c>
      <c r="L820">
        <v>104.04</v>
      </c>
      <c r="M820" s="1">
        <v>45920</v>
      </c>
      <c r="N820" t="s">
        <v>14</v>
      </c>
      <c r="O820">
        <v>20</v>
      </c>
      <c r="P820">
        <v>9</v>
      </c>
      <c r="Q820">
        <v>3</v>
      </c>
      <c r="R820">
        <v>2025</v>
      </c>
    </row>
    <row r="821" spans="1:18">
      <c r="A821">
        <v>74.42</v>
      </c>
      <c r="B821">
        <v>1</v>
      </c>
      <c r="C821">
        <v>820</v>
      </c>
      <c r="D821" s="2">
        <v>0.5184898726851852</v>
      </c>
      <c r="E821" t="s">
        <v>1598</v>
      </c>
      <c r="F821" t="s">
        <v>1599</v>
      </c>
      <c r="G821" t="s">
        <v>1283</v>
      </c>
      <c r="H821" t="s">
        <v>1600</v>
      </c>
      <c r="I821" t="s">
        <v>768</v>
      </c>
      <c r="J821" t="s">
        <v>95</v>
      </c>
      <c r="K821" t="s">
        <v>46</v>
      </c>
      <c r="L821">
        <v>74.42</v>
      </c>
      <c r="M821" s="1">
        <v>46057</v>
      </c>
      <c r="N821" t="s">
        <v>34</v>
      </c>
      <c r="O821">
        <v>4</v>
      </c>
      <c r="P821">
        <v>2</v>
      </c>
      <c r="Q821">
        <v>1</v>
      </c>
      <c r="R821">
        <v>2026</v>
      </c>
    </row>
    <row r="822" spans="1:18">
      <c r="A822">
        <v>366.54</v>
      </c>
      <c r="B822">
        <v>3</v>
      </c>
      <c r="C822">
        <v>821</v>
      </c>
      <c r="D822" s="2">
        <v>5.3970081018518516E-2</v>
      </c>
      <c r="E822" t="s">
        <v>2893</v>
      </c>
      <c r="F822" t="s">
        <v>2894</v>
      </c>
      <c r="G822" t="s">
        <v>2141</v>
      </c>
      <c r="H822" t="s">
        <v>1302</v>
      </c>
      <c r="I822" t="s">
        <v>786</v>
      </c>
      <c r="J822" t="s">
        <v>433</v>
      </c>
      <c r="K822" t="s">
        <v>100</v>
      </c>
      <c r="L822">
        <v>122.18</v>
      </c>
      <c r="M822" s="1">
        <v>45550</v>
      </c>
      <c r="N822" t="s">
        <v>28</v>
      </c>
      <c r="O822">
        <v>15</v>
      </c>
      <c r="P822">
        <v>9</v>
      </c>
      <c r="Q822">
        <v>3</v>
      </c>
      <c r="R822">
        <v>2024</v>
      </c>
    </row>
    <row r="823" spans="1:18">
      <c r="A823">
        <v>36.76</v>
      </c>
      <c r="B823">
        <v>4</v>
      </c>
      <c r="C823">
        <v>822</v>
      </c>
      <c r="D823" s="2">
        <v>0.59853413194444449</v>
      </c>
      <c r="E823" t="s">
        <v>1551</v>
      </c>
      <c r="F823" t="s">
        <v>1552</v>
      </c>
      <c r="G823" t="s">
        <v>1553</v>
      </c>
      <c r="H823" t="s">
        <v>196</v>
      </c>
      <c r="I823" t="s">
        <v>830</v>
      </c>
      <c r="J823" t="s">
        <v>413</v>
      </c>
      <c r="K823" t="s">
        <v>57</v>
      </c>
      <c r="L823">
        <v>9.19</v>
      </c>
      <c r="M823" s="1">
        <v>46093</v>
      </c>
      <c r="N823" t="s">
        <v>105</v>
      </c>
      <c r="O823">
        <v>12</v>
      </c>
      <c r="P823">
        <v>3</v>
      </c>
      <c r="Q823">
        <v>1</v>
      </c>
      <c r="R823">
        <v>2026</v>
      </c>
    </row>
    <row r="824" spans="1:18">
      <c r="A824">
        <v>19.38</v>
      </c>
      <c r="B824">
        <v>1</v>
      </c>
      <c r="C824">
        <v>823</v>
      </c>
      <c r="D824" s="2">
        <v>0.46311909722222222</v>
      </c>
      <c r="E824" t="s">
        <v>1411</v>
      </c>
      <c r="F824" t="s">
        <v>1412</v>
      </c>
      <c r="G824" t="s">
        <v>1374</v>
      </c>
      <c r="H824" t="s">
        <v>113</v>
      </c>
      <c r="I824" t="s">
        <v>854</v>
      </c>
      <c r="J824" t="s">
        <v>733</v>
      </c>
      <c r="K824" t="s">
        <v>51</v>
      </c>
      <c r="L824">
        <v>19.38</v>
      </c>
      <c r="M824" s="1">
        <v>46176</v>
      </c>
      <c r="N824" t="s">
        <v>34</v>
      </c>
      <c r="O824">
        <v>3</v>
      </c>
      <c r="P824">
        <v>6</v>
      </c>
      <c r="Q824">
        <v>2</v>
      </c>
      <c r="R824">
        <v>2026</v>
      </c>
    </row>
    <row r="825" spans="1:18">
      <c r="A825">
        <v>44.96</v>
      </c>
      <c r="B825">
        <v>2</v>
      </c>
      <c r="C825">
        <v>824</v>
      </c>
      <c r="D825" s="2">
        <v>0.3831409375</v>
      </c>
      <c r="E825" t="s">
        <v>1712</v>
      </c>
      <c r="F825" t="s">
        <v>1713</v>
      </c>
      <c r="G825" t="s">
        <v>938</v>
      </c>
      <c r="H825" t="s">
        <v>1189</v>
      </c>
      <c r="I825" t="s">
        <v>892</v>
      </c>
      <c r="J825" t="s">
        <v>41</v>
      </c>
      <c r="K825" t="s">
        <v>39</v>
      </c>
      <c r="L825">
        <v>22.48</v>
      </c>
      <c r="M825" s="1">
        <v>45865</v>
      </c>
      <c r="N825" t="s">
        <v>28</v>
      </c>
      <c r="O825">
        <v>27</v>
      </c>
      <c r="P825">
        <v>7</v>
      </c>
      <c r="Q825">
        <v>3</v>
      </c>
      <c r="R825">
        <v>2025</v>
      </c>
    </row>
    <row r="826" spans="1:18">
      <c r="A826">
        <v>143.99</v>
      </c>
      <c r="B826">
        <v>1</v>
      </c>
      <c r="C826">
        <v>825</v>
      </c>
      <c r="D826" s="2">
        <v>0.56295562499999996</v>
      </c>
      <c r="E826" t="s">
        <v>2437</v>
      </c>
      <c r="F826" t="s">
        <v>2438</v>
      </c>
      <c r="G826" t="s">
        <v>1025</v>
      </c>
      <c r="H826" t="s">
        <v>1111</v>
      </c>
      <c r="I826" t="s">
        <v>981</v>
      </c>
      <c r="J826" t="s">
        <v>2838</v>
      </c>
      <c r="K826" t="s">
        <v>57</v>
      </c>
      <c r="L826">
        <v>143.99</v>
      </c>
      <c r="M826" s="1">
        <v>45654</v>
      </c>
      <c r="N826" t="s">
        <v>14</v>
      </c>
      <c r="O826">
        <v>28</v>
      </c>
      <c r="P826">
        <v>12</v>
      </c>
      <c r="Q826">
        <v>4</v>
      </c>
      <c r="R826">
        <v>2024</v>
      </c>
    </row>
    <row r="827" spans="1:18">
      <c r="A827">
        <v>877.24</v>
      </c>
      <c r="B827">
        <v>4</v>
      </c>
      <c r="C827">
        <v>826</v>
      </c>
      <c r="D827" s="2">
        <v>0.75370085648148144</v>
      </c>
      <c r="E827" t="s">
        <v>1992</v>
      </c>
      <c r="F827" t="s">
        <v>1993</v>
      </c>
      <c r="G827" t="s">
        <v>1968</v>
      </c>
      <c r="H827" t="s">
        <v>1257</v>
      </c>
      <c r="I827" t="s">
        <v>839</v>
      </c>
      <c r="J827" t="s">
        <v>594</v>
      </c>
      <c r="K827" t="s">
        <v>43</v>
      </c>
      <c r="L827">
        <v>219.31</v>
      </c>
      <c r="M827" s="1">
        <v>46189</v>
      </c>
      <c r="N827" t="s">
        <v>48</v>
      </c>
      <c r="O827">
        <v>16</v>
      </c>
      <c r="P827">
        <v>6</v>
      </c>
      <c r="Q827">
        <v>2</v>
      </c>
      <c r="R827">
        <v>2026</v>
      </c>
    </row>
    <row r="828" spans="1:18">
      <c r="A828">
        <v>45.21</v>
      </c>
      <c r="B828">
        <v>1</v>
      </c>
      <c r="C828">
        <v>827</v>
      </c>
      <c r="D828" s="2">
        <v>0.88052888888888892</v>
      </c>
      <c r="E828" t="s">
        <v>1453</v>
      </c>
      <c r="F828" t="s">
        <v>1454</v>
      </c>
      <c r="G828" t="s">
        <v>1455</v>
      </c>
      <c r="H828" t="s">
        <v>980</v>
      </c>
      <c r="I828" t="s">
        <v>981</v>
      </c>
      <c r="J828" t="s">
        <v>542</v>
      </c>
      <c r="K828" t="s">
        <v>46</v>
      </c>
      <c r="L828">
        <v>45.21</v>
      </c>
      <c r="M828" s="1">
        <v>46099</v>
      </c>
      <c r="N828" t="s">
        <v>34</v>
      </c>
      <c r="O828">
        <v>18</v>
      </c>
      <c r="P828">
        <v>3</v>
      </c>
      <c r="Q828">
        <v>1</v>
      </c>
      <c r="R828">
        <v>2026</v>
      </c>
    </row>
    <row r="829" spans="1:18">
      <c r="A829">
        <v>625.64</v>
      </c>
      <c r="B829">
        <v>4</v>
      </c>
      <c r="C829">
        <v>828</v>
      </c>
      <c r="D829" s="2">
        <v>0.33715357638888888</v>
      </c>
      <c r="E829" t="s">
        <v>1435</v>
      </c>
      <c r="F829" t="s">
        <v>1436</v>
      </c>
      <c r="G829" t="s">
        <v>1437</v>
      </c>
      <c r="H829" t="s">
        <v>387</v>
      </c>
      <c r="I829" t="s">
        <v>821</v>
      </c>
      <c r="J829" t="s">
        <v>238</v>
      </c>
      <c r="K829" t="s">
        <v>97</v>
      </c>
      <c r="L829">
        <v>156.41</v>
      </c>
      <c r="M829" s="1">
        <v>45557</v>
      </c>
      <c r="N829" t="s">
        <v>28</v>
      </c>
      <c r="O829">
        <v>22</v>
      </c>
      <c r="P829">
        <v>9</v>
      </c>
      <c r="Q829">
        <v>3</v>
      </c>
      <c r="R829">
        <v>2024</v>
      </c>
    </row>
    <row r="830" spans="1:18">
      <c r="A830">
        <v>748.65</v>
      </c>
      <c r="B830">
        <v>5</v>
      </c>
      <c r="C830">
        <v>829</v>
      </c>
      <c r="D830" s="2">
        <v>0.25517116898148146</v>
      </c>
      <c r="E830" t="s">
        <v>1620</v>
      </c>
      <c r="F830" t="s">
        <v>1621</v>
      </c>
      <c r="G830" t="s">
        <v>1622</v>
      </c>
      <c r="H830" t="s">
        <v>1566</v>
      </c>
      <c r="I830" t="s">
        <v>763</v>
      </c>
      <c r="J830" t="s">
        <v>425</v>
      </c>
      <c r="K830" t="s">
        <v>51</v>
      </c>
      <c r="L830">
        <v>149.72999999999999</v>
      </c>
      <c r="M830" s="1">
        <v>46181</v>
      </c>
      <c r="N830" t="s">
        <v>93</v>
      </c>
      <c r="O830">
        <v>8</v>
      </c>
      <c r="P830">
        <v>6</v>
      </c>
      <c r="Q830">
        <v>2</v>
      </c>
      <c r="R830">
        <v>2026</v>
      </c>
    </row>
    <row r="831" spans="1:18">
      <c r="A831">
        <v>288.95999999999998</v>
      </c>
      <c r="B831">
        <v>2</v>
      </c>
      <c r="C831">
        <v>830</v>
      </c>
      <c r="D831" s="2">
        <v>0.58822099537037043</v>
      </c>
      <c r="E831" t="s">
        <v>2671</v>
      </c>
      <c r="F831" t="s">
        <v>2672</v>
      </c>
      <c r="G831" t="s">
        <v>1182</v>
      </c>
      <c r="H831" t="s">
        <v>328</v>
      </c>
      <c r="I831" t="s">
        <v>1247</v>
      </c>
      <c r="J831" t="s">
        <v>1441</v>
      </c>
      <c r="K831" t="s">
        <v>19</v>
      </c>
      <c r="L831">
        <v>144.47999999999999</v>
      </c>
      <c r="M831" s="1">
        <v>46039</v>
      </c>
      <c r="N831" t="s">
        <v>14</v>
      </c>
      <c r="O831">
        <v>17</v>
      </c>
      <c r="P831">
        <v>1</v>
      </c>
      <c r="Q831">
        <v>1</v>
      </c>
      <c r="R831">
        <v>2026</v>
      </c>
    </row>
    <row r="832" spans="1:18">
      <c r="A832">
        <v>827.84999999999991</v>
      </c>
      <c r="B832">
        <v>5</v>
      </c>
      <c r="C832">
        <v>831</v>
      </c>
      <c r="D832" s="2">
        <v>0.90248660879629627</v>
      </c>
      <c r="E832" t="s">
        <v>2014</v>
      </c>
      <c r="F832" t="s">
        <v>2015</v>
      </c>
      <c r="G832" t="s">
        <v>1585</v>
      </c>
      <c r="H832" t="s">
        <v>862</v>
      </c>
      <c r="I832" t="s">
        <v>908</v>
      </c>
      <c r="J832" t="s">
        <v>355</v>
      </c>
      <c r="K832" t="s">
        <v>39</v>
      </c>
      <c r="L832">
        <v>165.57</v>
      </c>
      <c r="M832" s="1">
        <v>45803</v>
      </c>
      <c r="N832" t="s">
        <v>93</v>
      </c>
      <c r="O832">
        <v>26</v>
      </c>
      <c r="P832">
        <v>5</v>
      </c>
      <c r="Q832">
        <v>2</v>
      </c>
      <c r="R832">
        <v>2025</v>
      </c>
    </row>
    <row r="833" spans="1:18">
      <c r="A833">
        <v>748.9</v>
      </c>
      <c r="B833">
        <v>5</v>
      </c>
      <c r="C833">
        <v>832</v>
      </c>
      <c r="D833" s="2">
        <v>0.80591699074074075</v>
      </c>
      <c r="E833" t="s">
        <v>1303</v>
      </c>
      <c r="F833" t="s">
        <v>1304</v>
      </c>
      <c r="G833" t="s">
        <v>1305</v>
      </c>
      <c r="H833" t="s">
        <v>1306</v>
      </c>
      <c r="I833" t="s">
        <v>966</v>
      </c>
      <c r="J833" t="s">
        <v>427</v>
      </c>
      <c r="K833" t="s">
        <v>21</v>
      </c>
      <c r="L833">
        <v>149.78</v>
      </c>
      <c r="M833" s="1">
        <v>45906</v>
      </c>
      <c r="N833" t="s">
        <v>14</v>
      </c>
      <c r="O833">
        <v>6</v>
      </c>
      <c r="P833">
        <v>9</v>
      </c>
      <c r="Q833">
        <v>3</v>
      </c>
      <c r="R833">
        <v>2025</v>
      </c>
    </row>
    <row r="834" spans="1:18">
      <c r="A834">
        <v>90.24</v>
      </c>
      <c r="B834">
        <v>4</v>
      </c>
      <c r="C834">
        <v>833</v>
      </c>
      <c r="D834" s="2">
        <v>0.12709971064814815</v>
      </c>
      <c r="E834" t="s">
        <v>2719</v>
      </c>
      <c r="F834" t="s">
        <v>2720</v>
      </c>
      <c r="G834" t="s">
        <v>2721</v>
      </c>
      <c r="H834" t="s">
        <v>1061</v>
      </c>
      <c r="I834" t="s">
        <v>821</v>
      </c>
      <c r="J834" t="s">
        <v>371</v>
      </c>
      <c r="K834" t="s">
        <v>21</v>
      </c>
      <c r="L834">
        <v>22.56</v>
      </c>
      <c r="M834" s="1">
        <v>45690</v>
      </c>
      <c r="N834" t="s">
        <v>28</v>
      </c>
      <c r="O834">
        <v>2</v>
      </c>
      <c r="P834">
        <v>2</v>
      </c>
      <c r="Q834">
        <v>1</v>
      </c>
      <c r="R834">
        <v>2025</v>
      </c>
    </row>
    <row r="835" spans="1:18">
      <c r="A835">
        <v>197.25</v>
      </c>
      <c r="B835">
        <v>5</v>
      </c>
      <c r="C835">
        <v>834</v>
      </c>
      <c r="D835" s="2">
        <v>8.7989236111111115E-3</v>
      </c>
      <c r="E835" t="s">
        <v>2389</v>
      </c>
      <c r="F835" t="s">
        <v>2390</v>
      </c>
      <c r="G835" t="s">
        <v>1925</v>
      </c>
      <c r="H835" t="s">
        <v>816</v>
      </c>
      <c r="I835" t="s">
        <v>817</v>
      </c>
      <c r="J835" t="s">
        <v>668</v>
      </c>
      <c r="K835" t="s">
        <v>46</v>
      </c>
      <c r="L835">
        <v>39.450000000000003</v>
      </c>
      <c r="M835" s="1">
        <v>45655</v>
      </c>
      <c r="N835" t="s">
        <v>28</v>
      </c>
      <c r="O835">
        <v>29</v>
      </c>
      <c r="P835">
        <v>12</v>
      </c>
      <c r="Q835">
        <v>4</v>
      </c>
      <c r="R835">
        <v>2024</v>
      </c>
    </row>
    <row r="836" spans="1:18">
      <c r="A836">
        <v>261.05</v>
      </c>
      <c r="B836">
        <v>5</v>
      </c>
      <c r="C836">
        <v>835</v>
      </c>
      <c r="D836" s="2">
        <v>0.83129320601851853</v>
      </c>
      <c r="E836" t="s">
        <v>1079</v>
      </c>
      <c r="F836" t="s">
        <v>1080</v>
      </c>
      <c r="G836" t="s">
        <v>1081</v>
      </c>
      <c r="H836" t="s">
        <v>772</v>
      </c>
      <c r="I836" t="s">
        <v>758</v>
      </c>
      <c r="J836" t="s">
        <v>137</v>
      </c>
      <c r="K836" t="s">
        <v>82</v>
      </c>
      <c r="L836">
        <v>52.21</v>
      </c>
      <c r="M836" s="1">
        <v>45797</v>
      </c>
      <c r="N836" t="s">
        <v>48</v>
      </c>
      <c r="O836">
        <v>20</v>
      </c>
      <c r="P836">
        <v>5</v>
      </c>
      <c r="Q836">
        <v>2</v>
      </c>
      <c r="R836">
        <v>2025</v>
      </c>
    </row>
    <row r="837" spans="1:18">
      <c r="A837">
        <v>30.03</v>
      </c>
      <c r="B837">
        <v>3</v>
      </c>
      <c r="C837">
        <v>836</v>
      </c>
      <c r="D837" s="2">
        <v>0.34540464120370368</v>
      </c>
      <c r="E837" t="s">
        <v>1221</v>
      </c>
      <c r="F837" t="s">
        <v>1222</v>
      </c>
      <c r="G837" t="s">
        <v>1098</v>
      </c>
      <c r="H837" t="s">
        <v>802</v>
      </c>
      <c r="I837" t="s">
        <v>748</v>
      </c>
      <c r="J837" t="s">
        <v>163</v>
      </c>
      <c r="K837" t="s">
        <v>97</v>
      </c>
      <c r="L837">
        <v>10.01</v>
      </c>
      <c r="M837" s="1">
        <v>46262</v>
      </c>
      <c r="N837" t="s">
        <v>79</v>
      </c>
      <c r="O837">
        <v>28</v>
      </c>
      <c r="P837">
        <v>8</v>
      </c>
      <c r="Q837">
        <v>3</v>
      </c>
      <c r="R837">
        <v>2026</v>
      </c>
    </row>
    <row r="838" spans="1:18">
      <c r="A838">
        <v>81.03</v>
      </c>
      <c r="B838">
        <v>3</v>
      </c>
      <c r="C838">
        <v>837</v>
      </c>
      <c r="D838" s="2">
        <v>0.56794663194444439</v>
      </c>
      <c r="E838" t="s">
        <v>2096</v>
      </c>
      <c r="F838" t="s">
        <v>2097</v>
      </c>
      <c r="G838" t="s">
        <v>2098</v>
      </c>
      <c r="H838" t="s">
        <v>464</v>
      </c>
      <c r="I838" t="s">
        <v>896</v>
      </c>
      <c r="J838" t="s">
        <v>117</v>
      </c>
      <c r="K838" t="s">
        <v>55</v>
      </c>
      <c r="L838">
        <v>27.01</v>
      </c>
      <c r="M838" s="1">
        <v>46275</v>
      </c>
      <c r="N838" t="s">
        <v>105</v>
      </c>
      <c r="O838">
        <v>10</v>
      </c>
      <c r="P838">
        <v>9</v>
      </c>
      <c r="Q838">
        <v>3</v>
      </c>
      <c r="R838">
        <v>2026</v>
      </c>
    </row>
    <row r="839" spans="1:18">
      <c r="A839">
        <v>222.02</v>
      </c>
      <c r="B839">
        <v>1</v>
      </c>
      <c r="C839">
        <v>838</v>
      </c>
      <c r="D839" s="2">
        <v>0.86099364583333338</v>
      </c>
      <c r="E839" t="s">
        <v>1907</v>
      </c>
      <c r="F839" t="s">
        <v>1908</v>
      </c>
      <c r="G839" t="s">
        <v>1909</v>
      </c>
      <c r="H839" t="s">
        <v>965</v>
      </c>
      <c r="I839" t="s">
        <v>839</v>
      </c>
      <c r="J839" t="s">
        <v>501</v>
      </c>
      <c r="K839" t="s">
        <v>25</v>
      </c>
      <c r="L839">
        <v>222.02</v>
      </c>
      <c r="M839" s="1">
        <v>45883</v>
      </c>
      <c r="N839" t="s">
        <v>105</v>
      </c>
      <c r="O839">
        <v>14</v>
      </c>
      <c r="P839">
        <v>8</v>
      </c>
      <c r="Q839">
        <v>3</v>
      </c>
      <c r="R839">
        <v>2025</v>
      </c>
    </row>
    <row r="840" spans="1:18">
      <c r="A840">
        <v>291.70000000000005</v>
      </c>
      <c r="B840">
        <v>5</v>
      </c>
      <c r="C840">
        <v>839</v>
      </c>
      <c r="D840" s="2">
        <v>0.51781121527777774</v>
      </c>
      <c r="E840" t="s">
        <v>2211</v>
      </c>
      <c r="F840" t="s">
        <v>2212</v>
      </c>
      <c r="G840" t="s">
        <v>1298</v>
      </c>
      <c r="H840" t="s">
        <v>862</v>
      </c>
      <c r="I840" t="s">
        <v>807</v>
      </c>
      <c r="J840" t="s">
        <v>305</v>
      </c>
      <c r="K840" t="s">
        <v>55</v>
      </c>
      <c r="L840">
        <v>58.34</v>
      </c>
      <c r="M840" s="1">
        <v>45983</v>
      </c>
      <c r="N840" t="s">
        <v>14</v>
      </c>
      <c r="O840">
        <v>22</v>
      </c>
      <c r="P840">
        <v>11</v>
      </c>
      <c r="Q840">
        <v>4</v>
      </c>
      <c r="R840">
        <v>2025</v>
      </c>
    </row>
    <row r="841" spans="1:18">
      <c r="A841">
        <v>88.92</v>
      </c>
      <c r="B841">
        <v>1</v>
      </c>
      <c r="C841">
        <v>840</v>
      </c>
      <c r="D841" s="2">
        <v>0.14673340277777777</v>
      </c>
      <c r="E841" t="s">
        <v>926</v>
      </c>
      <c r="F841" t="s">
        <v>927</v>
      </c>
      <c r="G841" t="s">
        <v>928</v>
      </c>
      <c r="H841" t="s">
        <v>929</v>
      </c>
      <c r="I841" t="s">
        <v>830</v>
      </c>
      <c r="J841" t="s">
        <v>664</v>
      </c>
      <c r="K841" t="s">
        <v>23</v>
      </c>
      <c r="L841">
        <v>88.92</v>
      </c>
      <c r="M841" s="1">
        <v>46072</v>
      </c>
      <c r="N841" t="s">
        <v>105</v>
      </c>
      <c r="O841">
        <v>19</v>
      </c>
      <c r="P841">
        <v>2</v>
      </c>
      <c r="Q841">
        <v>1</v>
      </c>
      <c r="R841">
        <v>2026</v>
      </c>
    </row>
    <row r="842" spans="1:18">
      <c r="A842">
        <v>122.89999999999999</v>
      </c>
      <c r="B842">
        <v>5</v>
      </c>
      <c r="C842">
        <v>841</v>
      </c>
      <c r="D842" s="2">
        <v>0.4875410648148148</v>
      </c>
      <c r="E842" t="s">
        <v>1046</v>
      </c>
      <c r="F842" t="s">
        <v>1047</v>
      </c>
      <c r="G842" t="s">
        <v>746</v>
      </c>
      <c r="H842" t="s">
        <v>29</v>
      </c>
      <c r="I842" t="s">
        <v>821</v>
      </c>
      <c r="J842" t="s">
        <v>370</v>
      </c>
      <c r="K842" t="s">
        <v>43</v>
      </c>
      <c r="L842">
        <v>24.58</v>
      </c>
      <c r="M842" s="1">
        <v>45801</v>
      </c>
      <c r="N842" t="s">
        <v>14</v>
      </c>
      <c r="O842">
        <v>24</v>
      </c>
      <c r="P842">
        <v>5</v>
      </c>
      <c r="Q842">
        <v>2</v>
      </c>
      <c r="R842">
        <v>2025</v>
      </c>
    </row>
    <row r="843" spans="1:18">
      <c r="A843">
        <v>27.32</v>
      </c>
      <c r="B843">
        <v>1</v>
      </c>
      <c r="C843">
        <v>842</v>
      </c>
      <c r="D843" s="2">
        <v>0.37549337962962964</v>
      </c>
      <c r="E843" t="s">
        <v>2171</v>
      </c>
      <c r="F843" t="s">
        <v>2172</v>
      </c>
      <c r="G843" t="s">
        <v>2173</v>
      </c>
      <c r="H843" t="s">
        <v>762</v>
      </c>
      <c r="I843" t="s">
        <v>763</v>
      </c>
      <c r="J843" t="s">
        <v>423</v>
      </c>
      <c r="K843" t="s">
        <v>37</v>
      </c>
      <c r="L843">
        <v>27.32</v>
      </c>
      <c r="M843" s="1">
        <v>45831</v>
      </c>
      <c r="N843" t="s">
        <v>93</v>
      </c>
      <c r="O843">
        <v>23</v>
      </c>
      <c r="P843">
        <v>6</v>
      </c>
      <c r="Q843">
        <v>2</v>
      </c>
      <c r="R843">
        <v>2025</v>
      </c>
    </row>
    <row r="844" spans="1:18">
      <c r="A844">
        <v>263.01</v>
      </c>
      <c r="B844">
        <v>3</v>
      </c>
      <c r="C844">
        <v>843</v>
      </c>
      <c r="D844" s="2">
        <v>0.93154166666666671</v>
      </c>
      <c r="E844" t="s">
        <v>1772</v>
      </c>
      <c r="F844" t="s">
        <v>1773</v>
      </c>
      <c r="G844" t="s">
        <v>1380</v>
      </c>
      <c r="H844" t="s">
        <v>1032</v>
      </c>
      <c r="I844" t="s">
        <v>839</v>
      </c>
      <c r="J844" t="s">
        <v>1774</v>
      </c>
      <c r="K844" t="s">
        <v>27</v>
      </c>
      <c r="L844">
        <v>87.67</v>
      </c>
      <c r="M844" s="1">
        <v>46064</v>
      </c>
      <c r="N844" t="s">
        <v>34</v>
      </c>
      <c r="O844">
        <v>11</v>
      </c>
      <c r="P844">
        <v>2</v>
      </c>
      <c r="Q844">
        <v>1</v>
      </c>
      <c r="R844">
        <v>2026</v>
      </c>
    </row>
    <row r="845" spans="1:18">
      <c r="A845">
        <v>280.25</v>
      </c>
      <c r="B845">
        <v>5</v>
      </c>
      <c r="C845">
        <v>844</v>
      </c>
      <c r="D845" s="2">
        <v>0.88068030092592597</v>
      </c>
      <c r="E845" t="s">
        <v>2400</v>
      </c>
      <c r="F845" t="s">
        <v>2401</v>
      </c>
      <c r="G845" t="s">
        <v>1536</v>
      </c>
      <c r="H845" t="s">
        <v>1128</v>
      </c>
      <c r="I845" t="s">
        <v>954</v>
      </c>
      <c r="J845" t="s">
        <v>32</v>
      </c>
      <c r="K845" t="s">
        <v>19</v>
      </c>
      <c r="L845">
        <v>56.05</v>
      </c>
      <c r="M845" s="1">
        <v>45678</v>
      </c>
      <c r="N845" t="s">
        <v>48</v>
      </c>
      <c r="O845">
        <v>21</v>
      </c>
      <c r="P845">
        <v>1</v>
      </c>
      <c r="Q845">
        <v>1</v>
      </c>
      <c r="R845">
        <v>2025</v>
      </c>
    </row>
    <row r="846" spans="1:18">
      <c r="A846">
        <v>70.22</v>
      </c>
      <c r="B846">
        <v>2</v>
      </c>
      <c r="C846">
        <v>845</v>
      </c>
      <c r="D846" s="2">
        <v>0.42022072916666664</v>
      </c>
      <c r="E846" t="s">
        <v>1333</v>
      </c>
      <c r="F846" t="s">
        <v>1334</v>
      </c>
      <c r="G846" t="s">
        <v>1335</v>
      </c>
      <c r="H846" t="s">
        <v>1302</v>
      </c>
      <c r="I846" t="s">
        <v>786</v>
      </c>
      <c r="J846" t="s">
        <v>400</v>
      </c>
      <c r="K846" t="s">
        <v>57</v>
      </c>
      <c r="L846">
        <v>35.11</v>
      </c>
      <c r="M846" s="1">
        <v>46229</v>
      </c>
      <c r="N846" t="s">
        <v>28</v>
      </c>
      <c r="O846">
        <v>26</v>
      </c>
      <c r="P846">
        <v>7</v>
      </c>
      <c r="Q846">
        <v>3</v>
      </c>
      <c r="R846">
        <v>2026</v>
      </c>
    </row>
    <row r="847" spans="1:18">
      <c r="A847">
        <v>727.34999999999991</v>
      </c>
      <c r="B847">
        <v>3</v>
      </c>
      <c r="C847">
        <v>846</v>
      </c>
      <c r="D847" s="2">
        <v>4.007784722222222E-2</v>
      </c>
      <c r="E847" t="s">
        <v>1896</v>
      </c>
      <c r="F847" t="s">
        <v>1897</v>
      </c>
      <c r="G847" t="s">
        <v>1114</v>
      </c>
      <c r="H847" t="s">
        <v>1026</v>
      </c>
      <c r="I847" t="s">
        <v>896</v>
      </c>
      <c r="J847" t="s">
        <v>214</v>
      </c>
      <c r="K847" t="s">
        <v>69</v>
      </c>
      <c r="L847">
        <v>242.45</v>
      </c>
      <c r="M847" s="1">
        <v>45750</v>
      </c>
      <c r="N847" t="s">
        <v>105</v>
      </c>
      <c r="O847">
        <v>3</v>
      </c>
      <c r="P847">
        <v>4</v>
      </c>
      <c r="Q847">
        <v>2</v>
      </c>
      <c r="R847">
        <v>2025</v>
      </c>
    </row>
    <row r="848" spans="1:18">
      <c r="A848">
        <v>241.17000000000002</v>
      </c>
      <c r="B848">
        <v>3</v>
      </c>
      <c r="C848">
        <v>847</v>
      </c>
      <c r="D848" s="2">
        <v>0.96977124999999997</v>
      </c>
      <c r="E848" t="s">
        <v>1456</v>
      </c>
      <c r="F848" t="s">
        <v>1457</v>
      </c>
      <c r="G848" t="s">
        <v>779</v>
      </c>
      <c r="H848" t="s">
        <v>1032</v>
      </c>
      <c r="I848" t="s">
        <v>839</v>
      </c>
      <c r="J848" t="s">
        <v>130</v>
      </c>
      <c r="K848" t="s">
        <v>69</v>
      </c>
      <c r="L848">
        <v>80.39</v>
      </c>
      <c r="M848" s="1">
        <v>45728</v>
      </c>
      <c r="N848" t="s">
        <v>34</v>
      </c>
      <c r="O848">
        <v>12</v>
      </c>
      <c r="P848">
        <v>3</v>
      </c>
      <c r="Q848">
        <v>1</v>
      </c>
      <c r="R848">
        <v>2025</v>
      </c>
    </row>
    <row r="849" spans="1:18">
      <c r="A849">
        <v>1035.3499999999999</v>
      </c>
      <c r="B849">
        <v>5</v>
      </c>
      <c r="C849">
        <v>848</v>
      </c>
      <c r="D849" s="2">
        <v>0.99884055555555551</v>
      </c>
      <c r="E849" t="s">
        <v>1322</v>
      </c>
      <c r="F849" t="s">
        <v>1323</v>
      </c>
      <c r="G849" t="s">
        <v>1324</v>
      </c>
      <c r="H849" t="s">
        <v>29</v>
      </c>
      <c r="I849" t="s">
        <v>821</v>
      </c>
      <c r="J849" t="s">
        <v>201</v>
      </c>
      <c r="K849" t="s">
        <v>37</v>
      </c>
      <c r="L849">
        <v>207.07</v>
      </c>
      <c r="M849" s="1">
        <v>45626</v>
      </c>
      <c r="N849" t="s">
        <v>14</v>
      </c>
      <c r="O849">
        <v>30</v>
      </c>
      <c r="P849">
        <v>11</v>
      </c>
      <c r="Q849">
        <v>4</v>
      </c>
      <c r="R849">
        <v>2024</v>
      </c>
    </row>
    <row r="850" spans="1:18">
      <c r="A850">
        <v>361.15000000000003</v>
      </c>
      <c r="B850">
        <v>5</v>
      </c>
      <c r="C850">
        <v>849</v>
      </c>
      <c r="D850" s="2">
        <v>0.75000844907407405</v>
      </c>
      <c r="E850" t="s">
        <v>3163</v>
      </c>
      <c r="F850" t="s">
        <v>3164</v>
      </c>
      <c r="G850" t="s">
        <v>2530</v>
      </c>
      <c r="H850" t="s">
        <v>879</v>
      </c>
      <c r="I850" t="s">
        <v>748</v>
      </c>
      <c r="J850" t="s">
        <v>616</v>
      </c>
      <c r="K850" t="s">
        <v>37</v>
      </c>
      <c r="L850">
        <v>72.23</v>
      </c>
      <c r="M850" s="1">
        <v>46149</v>
      </c>
      <c r="N850" t="s">
        <v>105</v>
      </c>
      <c r="O850">
        <v>7</v>
      </c>
      <c r="P850">
        <v>5</v>
      </c>
      <c r="Q850">
        <v>2</v>
      </c>
      <c r="R850">
        <v>2026</v>
      </c>
    </row>
    <row r="851" spans="1:18">
      <c r="A851">
        <v>346.64</v>
      </c>
      <c r="B851">
        <v>2</v>
      </c>
      <c r="C851">
        <v>850</v>
      </c>
      <c r="D851" s="2">
        <v>0.63456218750000004</v>
      </c>
      <c r="E851" t="s">
        <v>1307</v>
      </c>
      <c r="F851" t="s">
        <v>1308</v>
      </c>
      <c r="G851" t="s">
        <v>1212</v>
      </c>
      <c r="H851" t="s">
        <v>151</v>
      </c>
      <c r="I851" t="s">
        <v>1003</v>
      </c>
      <c r="J851" t="s">
        <v>303</v>
      </c>
      <c r="K851" t="s">
        <v>19</v>
      </c>
      <c r="L851">
        <v>173.32</v>
      </c>
      <c r="M851" s="1">
        <v>45605</v>
      </c>
      <c r="N851" t="s">
        <v>14</v>
      </c>
      <c r="O851">
        <v>9</v>
      </c>
      <c r="P851">
        <v>11</v>
      </c>
      <c r="Q851">
        <v>4</v>
      </c>
      <c r="R851">
        <v>2024</v>
      </c>
    </row>
    <row r="852" spans="1:18">
      <c r="A852">
        <v>43.75</v>
      </c>
      <c r="B852">
        <v>1</v>
      </c>
      <c r="C852">
        <v>851</v>
      </c>
      <c r="D852" s="2">
        <v>0.21240802083333332</v>
      </c>
      <c r="E852" t="s">
        <v>1048</v>
      </c>
      <c r="F852" t="s">
        <v>1049</v>
      </c>
      <c r="G852" t="s">
        <v>1050</v>
      </c>
      <c r="H852" t="s">
        <v>29</v>
      </c>
      <c r="I852" t="s">
        <v>763</v>
      </c>
      <c r="J852" t="s">
        <v>386</v>
      </c>
      <c r="K852" t="s">
        <v>21</v>
      </c>
      <c r="L852">
        <v>43.75</v>
      </c>
      <c r="M852" s="1">
        <v>45726</v>
      </c>
      <c r="N852" t="s">
        <v>93</v>
      </c>
      <c r="O852">
        <v>10</v>
      </c>
      <c r="P852">
        <v>3</v>
      </c>
      <c r="Q852">
        <v>1</v>
      </c>
      <c r="R852">
        <v>2025</v>
      </c>
    </row>
    <row r="853" spans="1:18">
      <c r="A853">
        <v>986.3</v>
      </c>
      <c r="B853">
        <v>5</v>
      </c>
      <c r="C853">
        <v>852</v>
      </c>
      <c r="D853" s="2">
        <v>0.40681199074074076</v>
      </c>
      <c r="E853" t="s">
        <v>2311</v>
      </c>
      <c r="F853" t="s">
        <v>2312</v>
      </c>
      <c r="G853" t="s">
        <v>1205</v>
      </c>
      <c r="H853" t="s">
        <v>825</v>
      </c>
      <c r="I853" t="s">
        <v>781</v>
      </c>
      <c r="J853" t="s">
        <v>293</v>
      </c>
      <c r="K853" t="s">
        <v>100</v>
      </c>
      <c r="L853">
        <v>197.26</v>
      </c>
      <c r="M853" s="1">
        <v>45777</v>
      </c>
      <c r="N853" t="s">
        <v>34</v>
      </c>
      <c r="O853">
        <v>30</v>
      </c>
      <c r="P853">
        <v>4</v>
      </c>
      <c r="Q853">
        <v>2</v>
      </c>
      <c r="R853">
        <v>2025</v>
      </c>
    </row>
    <row r="854" spans="1:18">
      <c r="A854">
        <v>913.04</v>
      </c>
      <c r="B854">
        <v>4</v>
      </c>
      <c r="C854">
        <v>853</v>
      </c>
      <c r="D854" s="2">
        <v>0.49024123842592593</v>
      </c>
      <c r="E854" t="s">
        <v>3063</v>
      </c>
      <c r="F854" t="s">
        <v>3064</v>
      </c>
      <c r="G854" t="s">
        <v>1390</v>
      </c>
      <c r="H854" t="s">
        <v>772</v>
      </c>
      <c r="I854" t="s">
        <v>758</v>
      </c>
      <c r="J854" t="s">
        <v>268</v>
      </c>
      <c r="K854" t="s">
        <v>97</v>
      </c>
      <c r="L854">
        <v>228.26</v>
      </c>
      <c r="M854" s="1">
        <v>46223</v>
      </c>
      <c r="N854" t="s">
        <v>93</v>
      </c>
      <c r="O854">
        <v>20</v>
      </c>
      <c r="P854">
        <v>7</v>
      </c>
      <c r="Q854">
        <v>3</v>
      </c>
      <c r="R854">
        <v>2026</v>
      </c>
    </row>
    <row r="855" spans="1:18">
      <c r="A855">
        <v>496.16</v>
      </c>
      <c r="B855">
        <v>4</v>
      </c>
      <c r="C855">
        <v>854</v>
      </c>
      <c r="D855" s="2">
        <v>0.8159704166666667</v>
      </c>
      <c r="E855" t="s">
        <v>1789</v>
      </c>
      <c r="F855" t="s">
        <v>1790</v>
      </c>
      <c r="G855" t="s">
        <v>1791</v>
      </c>
      <c r="H855" t="s">
        <v>1630</v>
      </c>
      <c r="I855" t="s">
        <v>763</v>
      </c>
      <c r="J855" t="s">
        <v>543</v>
      </c>
      <c r="K855" t="s">
        <v>37</v>
      </c>
      <c r="L855">
        <v>124.04</v>
      </c>
      <c r="M855" s="1">
        <v>45999</v>
      </c>
      <c r="N855" t="s">
        <v>93</v>
      </c>
      <c r="O855">
        <v>8</v>
      </c>
      <c r="P855">
        <v>12</v>
      </c>
      <c r="Q855">
        <v>4</v>
      </c>
      <c r="R855">
        <v>2025</v>
      </c>
    </row>
    <row r="856" spans="1:18">
      <c r="A856">
        <v>205.45</v>
      </c>
      <c r="B856">
        <v>1</v>
      </c>
      <c r="C856">
        <v>855</v>
      </c>
      <c r="D856" s="2">
        <v>0.96578439814814809</v>
      </c>
      <c r="E856" t="s">
        <v>2888</v>
      </c>
      <c r="F856" t="s">
        <v>2889</v>
      </c>
      <c r="G856" t="s">
        <v>2114</v>
      </c>
      <c r="H856" t="s">
        <v>929</v>
      </c>
      <c r="I856" t="s">
        <v>830</v>
      </c>
      <c r="J856" t="s">
        <v>107</v>
      </c>
      <c r="K856" t="s">
        <v>17</v>
      </c>
      <c r="L856">
        <v>205.45</v>
      </c>
      <c r="M856" s="1">
        <v>45606</v>
      </c>
      <c r="N856" t="s">
        <v>28</v>
      </c>
      <c r="O856">
        <v>10</v>
      </c>
      <c r="P856">
        <v>11</v>
      </c>
      <c r="Q856">
        <v>4</v>
      </c>
      <c r="R856">
        <v>2024</v>
      </c>
    </row>
    <row r="857" spans="1:18">
      <c r="A857">
        <v>668.88</v>
      </c>
      <c r="B857">
        <v>3</v>
      </c>
      <c r="C857">
        <v>856</v>
      </c>
      <c r="D857" s="2">
        <v>0.99005578703703701</v>
      </c>
      <c r="E857" t="s">
        <v>2680</v>
      </c>
      <c r="F857" t="s">
        <v>2681</v>
      </c>
      <c r="G857" t="s">
        <v>1260</v>
      </c>
      <c r="H857" t="s">
        <v>825</v>
      </c>
      <c r="I857" t="s">
        <v>781</v>
      </c>
      <c r="J857" t="s">
        <v>715</v>
      </c>
      <c r="K857" t="s">
        <v>55</v>
      </c>
      <c r="L857">
        <v>222.96</v>
      </c>
      <c r="M857" s="1">
        <v>46069</v>
      </c>
      <c r="N857" t="s">
        <v>93</v>
      </c>
      <c r="O857">
        <v>16</v>
      </c>
      <c r="P857">
        <v>2</v>
      </c>
      <c r="Q857">
        <v>1</v>
      </c>
      <c r="R857">
        <v>2026</v>
      </c>
    </row>
    <row r="858" spans="1:18">
      <c r="A858">
        <v>60.91</v>
      </c>
      <c r="B858">
        <v>1</v>
      </c>
      <c r="C858">
        <v>857</v>
      </c>
      <c r="D858" s="2">
        <v>0.64673035879629626</v>
      </c>
      <c r="E858" t="s">
        <v>2109</v>
      </c>
      <c r="F858" t="s">
        <v>2110</v>
      </c>
      <c r="G858" t="s">
        <v>2111</v>
      </c>
      <c r="H858" t="s">
        <v>1156</v>
      </c>
      <c r="I858" t="s">
        <v>821</v>
      </c>
      <c r="J858" t="s">
        <v>550</v>
      </c>
      <c r="K858" t="s">
        <v>55</v>
      </c>
      <c r="L858">
        <v>60.91</v>
      </c>
      <c r="M858" s="1">
        <v>45924</v>
      </c>
      <c r="N858" t="s">
        <v>34</v>
      </c>
      <c r="O858">
        <v>24</v>
      </c>
      <c r="P858">
        <v>9</v>
      </c>
      <c r="Q858">
        <v>3</v>
      </c>
      <c r="R858">
        <v>2025</v>
      </c>
    </row>
    <row r="859" spans="1:18">
      <c r="A859">
        <v>84.76</v>
      </c>
      <c r="B859">
        <v>1</v>
      </c>
      <c r="C859">
        <v>858</v>
      </c>
      <c r="D859" s="2">
        <v>0.39392640046296296</v>
      </c>
      <c r="E859" t="s">
        <v>2684</v>
      </c>
      <c r="F859" t="s">
        <v>2685</v>
      </c>
      <c r="G859" t="s">
        <v>1793</v>
      </c>
      <c r="H859" t="s">
        <v>961</v>
      </c>
      <c r="I859" t="s">
        <v>807</v>
      </c>
      <c r="J859" t="s">
        <v>363</v>
      </c>
      <c r="K859" t="s">
        <v>100</v>
      </c>
      <c r="L859">
        <v>84.76</v>
      </c>
      <c r="M859" s="1">
        <v>46195</v>
      </c>
      <c r="N859" t="s">
        <v>93</v>
      </c>
      <c r="O859">
        <v>22</v>
      </c>
      <c r="P859">
        <v>6</v>
      </c>
      <c r="Q859">
        <v>2</v>
      </c>
      <c r="R859">
        <v>2026</v>
      </c>
    </row>
    <row r="860" spans="1:18">
      <c r="A860">
        <v>467.12</v>
      </c>
      <c r="B860">
        <v>2</v>
      </c>
      <c r="C860">
        <v>859</v>
      </c>
      <c r="D860" s="2">
        <v>0.4212883564814815</v>
      </c>
      <c r="E860" t="s">
        <v>3214</v>
      </c>
      <c r="F860" t="s">
        <v>3215</v>
      </c>
      <c r="G860" t="s">
        <v>1182</v>
      </c>
      <c r="H860" t="s">
        <v>29</v>
      </c>
      <c r="I860" t="s">
        <v>763</v>
      </c>
      <c r="J860" t="s">
        <v>247</v>
      </c>
      <c r="K860" t="s">
        <v>55</v>
      </c>
      <c r="L860">
        <v>233.56</v>
      </c>
      <c r="M860" s="1">
        <v>45737</v>
      </c>
      <c r="N860" t="s">
        <v>79</v>
      </c>
      <c r="O860">
        <v>21</v>
      </c>
      <c r="P860">
        <v>3</v>
      </c>
      <c r="Q860">
        <v>1</v>
      </c>
      <c r="R860">
        <v>2025</v>
      </c>
    </row>
    <row r="861" spans="1:18">
      <c r="A861">
        <v>456.52</v>
      </c>
      <c r="B861">
        <v>2</v>
      </c>
      <c r="C861">
        <v>860</v>
      </c>
      <c r="D861" s="2">
        <v>0.16206341435185184</v>
      </c>
      <c r="E861" t="s">
        <v>799</v>
      </c>
      <c r="F861" t="s">
        <v>800</v>
      </c>
      <c r="G861" t="s">
        <v>801</v>
      </c>
      <c r="H861" t="s">
        <v>802</v>
      </c>
      <c r="I861" t="s">
        <v>748</v>
      </c>
      <c r="J861" t="s">
        <v>268</v>
      </c>
      <c r="K861" t="s">
        <v>97</v>
      </c>
      <c r="L861">
        <v>228.26</v>
      </c>
      <c r="M861" s="1">
        <v>45718</v>
      </c>
      <c r="N861" t="s">
        <v>28</v>
      </c>
      <c r="O861">
        <v>2</v>
      </c>
      <c r="P861">
        <v>3</v>
      </c>
      <c r="Q861">
        <v>1</v>
      </c>
      <c r="R861">
        <v>2025</v>
      </c>
    </row>
    <row r="862" spans="1:18">
      <c r="A862">
        <v>630.56999999999994</v>
      </c>
      <c r="B862">
        <v>3</v>
      </c>
      <c r="C862">
        <v>861</v>
      </c>
      <c r="D862" s="2">
        <v>0.76963703703703701</v>
      </c>
      <c r="E862" t="s">
        <v>2543</v>
      </c>
      <c r="F862" t="s">
        <v>2544</v>
      </c>
      <c r="G862" t="s">
        <v>1565</v>
      </c>
      <c r="H862" t="s">
        <v>1509</v>
      </c>
      <c r="I862" t="s">
        <v>821</v>
      </c>
      <c r="J862" t="s">
        <v>157</v>
      </c>
      <c r="K862" t="s">
        <v>19</v>
      </c>
      <c r="L862">
        <v>210.19</v>
      </c>
      <c r="M862" s="1">
        <v>45921</v>
      </c>
      <c r="N862" t="s">
        <v>28</v>
      </c>
      <c r="O862">
        <v>21</v>
      </c>
      <c r="P862">
        <v>9</v>
      </c>
      <c r="Q862">
        <v>3</v>
      </c>
      <c r="R862">
        <v>2025</v>
      </c>
    </row>
    <row r="863" spans="1:18">
      <c r="A863">
        <v>172.29</v>
      </c>
      <c r="B863">
        <v>3</v>
      </c>
      <c r="C863">
        <v>862</v>
      </c>
      <c r="D863" s="2">
        <v>0.40057855324074076</v>
      </c>
      <c r="E863" t="s">
        <v>1336</v>
      </c>
      <c r="F863" t="s">
        <v>1337</v>
      </c>
      <c r="G863" t="s">
        <v>1338</v>
      </c>
      <c r="H863" t="s">
        <v>1339</v>
      </c>
      <c r="I863" t="s">
        <v>1247</v>
      </c>
      <c r="J863" t="s">
        <v>730</v>
      </c>
      <c r="K863" t="s">
        <v>51</v>
      </c>
      <c r="L863">
        <v>57.43</v>
      </c>
      <c r="M863" s="1">
        <v>45578</v>
      </c>
      <c r="N863" t="s">
        <v>28</v>
      </c>
      <c r="O863">
        <v>13</v>
      </c>
      <c r="P863">
        <v>10</v>
      </c>
      <c r="Q863">
        <v>4</v>
      </c>
      <c r="R863">
        <v>2024</v>
      </c>
    </row>
    <row r="864" spans="1:18">
      <c r="A864">
        <v>374.96999999999997</v>
      </c>
      <c r="B864">
        <v>3</v>
      </c>
      <c r="C864">
        <v>863</v>
      </c>
      <c r="D864" s="2">
        <v>7.4106724537037039E-2</v>
      </c>
      <c r="E864" t="s">
        <v>1646</v>
      </c>
      <c r="F864" t="s">
        <v>1647</v>
      </c>
      <c r="G864" t="s">
        <v>1648</v>
      </c>
      <c r="H864" t="s">
        <v>1649</v>
      </c>
      <c r="I864" t="s">
        <v>790</v>
      </c>
      <c r="J864" t="s">
        <v>512</v>
      </c>
      <c r="K864" t="s">
        <v>27</v>
      </c>
      <c r="L864">
        <v>124.99</v>
      </c>
      <c r="M864" s="1">
        <v>45651</v>
      </c>
      <c r="N864" t="s">
        <v>34</v>
      </c>
      <c r="O864">
        <v>25</v>
      </c>
      <c r="P864">
        <v>12</v>
      </c>
      <c r="Q864">
        <v>4</v>
      </c>
      <c r="R864">
        <v>2024</v>
      </c>
    </row>
    <row r="865" spans="1:18">
      <c r="A865">
        <v>159.24</v>
      </c>
      <c r="B865">
        <v>4</v>
      </c>
      <c r="C865">
        <v>864</v>
      </c>
      <c r="D865" s="2">
        <v>0.84644932870370371</v>
      </c>
      <c r="E865" t="s">
        <v>1368</v>
      </c>
      <c r="F865" t="s">
        <v>1369</v>
      </c>
      <c r="G865" t="s">
        <v>1370</v>
      </c>
      <c r="H865" t="s">
        <v>1371</v>
      </c>
      <c r="I865" t="s">
        <v>786</v>
      </c>
      <c r="J865" t="s">
        <v>154</v>
      </c>
      <c r="K865" t="s">
        <v>37</v>
      </c>
      <c r="L865">
        <v>39.81</v>
      </c>
      <c r="M865" s="1">
        <v>45707</v>
      </c>
      <c r="N865" t="s">
        <v>34</v>
      </c>
      <c r="O865">
        <v>19</v>
      </c>
      <c r="P865">
        <v>2</v>
      </c>
      <c r="Q865">
        <v>1</v>
      </c>
      <c r="R865">
        <v>2025</v>
      </c>
    </row>
    <row r="866" spans="1:18">
      <c r="A866">
        <v>45.94</v>
      </c>
      <c r="B866">
        <v>2</v>
      </c>
      <c r="C866">
        <v>865</v>
      </c>
      <c r="D866" s="2">
        <v>0.40375621527777777</v>
      </c>
      <c r="E866" t="s">
        <v>1806</v>
      </c>
      <c r="F866" t="s">
        <v>1807</v>
      </c>
      <c r="G866" t="s">
        <v>1235</v>
      </c>
      <c r="H866" t="s">
        <v>1061</v>
      </c>
      <c r="I866" t="s">
        <v>834</v>
      </c>
      <c r="J866" t="s">
        <v>90</v>
      </c>
      <c r="K866" t="s">
        <v>23</v>
      </c>
      <c r="L866">
        <v>22.97</v>
      </c>
      <c r="M866" s="1">
        <v>45614</v>
      </c>
      <c r="N866" t="s">
        <v>93</v>
      </c>
      <c r="O866">
        <v>18</v>
      </c>
      <c r="P866">
        <v>11</v>
      </c>
      <c r="Q866">
        <v>4</v>
      </c>
      <c r="R866">
        <v>2024</v>
      </c>
    </row>
    <row r="867" spans="1:18">
      <c r="A867">
        <v>50.28</v>
      </c>
      <c r="B867">
        <v>1</v>
      </c>
      <c r="C867">
        <v>866</v>
      </c>
      <c r="D867" s="2">
        <v>0.22118077546296297</v>
      </c>
      <c r="E867" t="s">
        <v>2466</v>
      </c>
      <c r="F867" t="s">
        <v>2467</v>
      </c>
      <c r="G867" t="s">
        <v>1657</v>
      </c>
      <c r="H867" t="s">
        <v>2468</v>
      </c>
      <c r="I867" t="s">
        <v>763</v>
      </c>
      <c r="J867" t="s">
        <v>519</v>
      </c>
      <c r="K867" t="s">
        <v>51</v>
      </c>
      <c r="L867">
        <v>50.28</v>
      </c>
      <c r="M867" s="1">
        <v>45990</v>
      </c>
      <c r="N867" t="s">
        <v>14</v>
      </c>
      <c r="O867">
        <v>29</v>
      </c>
      <c r="P867">
        <v>11</v>
      </c>
      <c r="Q867">
        <v>4</v>
      </c>
      <c r="R867">
        <v>2025</v>
      </c>
    </row>
    <row r="868" spans="1:18">
      <c r="A868">
        <v>488.72</v>
      </c>
      <c r="B868">
        <v>4</v>
      </c>
      <c r="C868">
        <v>867</v>
      </c>
      <c r="D868" s="2">
        <v>0.56506790509259264</v>
      </c>
      <c r="E868" t="s">
        <v>1072</v>
      </c>
      <c r="F868" t="s">
        <v>1073</v>
      </c>
      <c r="G868" t="s">
        <v>1074</v>
      </c>
      <c r="H868" t="s">
        <v>1002</v>
      </c>
      <c r="I868" t="s">
        <v>1003</v>
      </c>
      <c r="J868" t="s">
        <v>433</v>
      </c>
      <c r="K868" t="s">
        <v>100</v>
      </c>
      <c r="L868">
        <v>122.18</v>
      </c>
      <c r="M868" s="1">
        <v>46026</v>
      </c>
      <c r="N868" t="s">
        <v>28</v>
      </c>
      <c r="O868">
        <v>4</v>
      </c>
      <c r="P868">
        <v>1</v>
      </c>
      <c r="Q868">
        <v>1</v>
      </c>
      <c r="R868">
        <v>2026</v>
      </c>
    </row>
    <row r="869" spans="1:18">
      <c r="A869">
        <v>33.17</v>
      </c>
      <c r="B869">
        <v>1</v>
      </c>
      <c r="C869">
        <v>868</v>
      </c>
      <c r="D869" s="2">
        <v>0.99595923611111115</v>
      </c>
      <c r="E869" t="s">
        <v>2846</v>
      </c>
      <c r="F869" t="s">
        <v>2847</v>
      </c>
      <c r="G869" t="s">
        <v>2848</v>
      </c>
      <c r="H869" t="s">
        <v>985</v>
      </c>
      <c r="I869" t="s">
        <v>817</v>
      </c>
      <c r="J869" t="s">
        <v>481</v>
      </c>
      <c r="K869" t="s">
        <v>69</v>
      </c>
      <c r="L869">
        <v>33.17</v>
      </c>
      <c r="M869" s="1">
        <v>45920</v>
      </c>
      <c r="N869" t="s">
        <v>14</v>
      </c>
      <c r="O869">
        <v>20</v>
      </c>
      <c r="P869">
        <v>9</v>
      </c>
      <c r="Q869">
        <v>3</v>
      </c>
      <c r="R869">
        <v>2025</v>
      </c>
    </row>
    <row r="870" spans="1:18">
      <c r="A870">
        <v>727.08</v>
      </c>
      <c r="B870">
        <v>3</v>
      </c>
      <c r="C870">
        <v>869</v>
      </c>
      <c r="D870" s="2">
        <v>0.32658361111111112</v>
      </c>
      <c r="E870" t="s">
        <v>884</v>
      </c>
      <c r="F870" t="s">
        <v>885</v>
      </c>
      <c r="G870" t="s">
        <v>837</v>
      </c>
      <c r="H870" t="s">
        <v>762</v>
      </c>
      <c r="I870" t="s">
        <v>763</v>
      </c>
      <c r="J870" t="s">
        <v>115</v>
      </c>
      <c r="K870" t="s">
        <v>55</v>
      </c>
      <c r="L870">
        <v>242.36</v>
      </c>
      <c r="M870" s="1">
        <v>46112</v>
      </c>
      <c r="N870" t="s">
        <v>48</v>
      </c>
      <c r="O870">
        <v>31</v>
      </c>
      <c r="P870">
        <v>3</v>
      </c>
      <c r="Q870">
        <v>1</v>
      </c>
      <c r="R870">
        <v>2026</v>
      </c>
    </row>
    <row r="871" spans="1:18">
      <c r="A871">
        <v>31.400000000000002</v>
      </c>
      <c r="B871">
        <v>5</v>
      </c>
      <c r="C871">
        <v>870</v>
      </c>
      <c r="D871" s="2">
        <v>0.71330636574074069</v>
      </c>
      <c r="E871" t="s">
        <v>3131</v>
      </c>
      <c r="F871" t="s">
        <v>3132</v>
      </c>
      <c r="G871" t="s">
        <v>1987</v>
      </c>
      <c r="H871" t="s">
        <v>1092</v>
      </c>
      <c r="I871" t="s">
        <v>763</v>
      </c>
      <c r="J871" t="s">
        <v>601</v>
      </c>
      <c r="K871" t="s">
        <v>19</v>
      </c>
      <c r="L871">
        <v>6.28</v>
      </c>
      <c r="M871" s="1">
        <v>45877</v>
      </c>
      <c r="N871" t="s">
        <v>79</v>
      </c>
      <c r="O871">
        <v>8</v>
      </c>
      <c r="P871">
        <v>8</v>
      </c>
      <c r="Q871">
        <v>3</v>
      </c>
      <c r="R871">
        <v>2025</v>
      </c>
    </row>
    <row r="872" spans="1:18">
      <c r="A872">
        <v>909.4</v>
      </c>
      <c r="B872">
        <v>5</v>
      </c>
      <c r="C872">
        <v>871</v>
      </c>
      <c r="D872" s="2">
        <v>0.40580303240740739</v>
      </c>
      <c r="E872" t="s">
        <v>2733</v>
      </c>
      <c r="F872" t="s">
        <v>2734</v>
      </c>
      <c r="G872" t="s">
        <v>1212</v>
      </c>
      <c r="H872" t="s">
        <v>1600</v>
      </c>
      <c r="I872" t="s">
        <v>768</v>
      </c>
      <c r="J872" t="s">
        <v>549</v>
      </c>
      <c r="K872" t="s">
        <v>82</v>
      </c>
      <c r="L872">
        <v>181.88</v>
      </c>
      <c r="M872" s="1">
        <v>45732</v>
      </c>
      <c r="N872" t="s">
        <v>28</v>
      </c>
      <c r="O872">
        <v>16</v>
      </c>
      <c r="P872">
        <v>3</v>
      </c>
      <c r="Q872">
        <v>1</v>
      </c>
      <c r="R872">
        <v>2025</v>
      </c>
    </row>
    <row r="873" spans="1:18">
      <c r="A873">
        <v>1022.75</v>
      </c>
      <c r="B873">
        <v>5</v>
      </c>
      <c r="C873">
        <v>872</v>
      </c>
      <c r="D873" s="2">
        <v>0.62870572916666667</v>
      </c>
      <c r="E873" t="s">
        <v>2298</v>
      </c>
      <c r="F873" t="s">
        <v>2299</v>
      </c>
      <c r="G873" t="s">
        <v>1498</v>
      </c>
      <c r="H873" t="s">
        <v>1318</v>
      </c>
      <c r="I873" t="s">
        <v>807</v>
      </c>
      <c r="J873" t="s">
        <v>323</v>
      </c>
      <c r="K873" t="s">
        <v>100</v>
      </c>
      <c r="L873">
        <v>204.55</v>
      </c>
      <c r="M873" s="1">
        <v>46168</v>
      </c>
      <c r="N873" t="s">
        <v>48</v>
      </c>
      <c r="O873">
        <v>26</v>
      </c>
      <c r="P873">
        <v>5</v>
      </c>
      <c r="Q873">
        <v>2</v>
      </c>
      <c r="R873">
        <v>2026</v>
      </c>
    </row>
    <row r="874" spans="1:18">
      <c r="A874">
        <v>145.80000000000001</v>
      </c>
      <c r="B874">
        <v>5</v>
      </c>
      <c r="C874">
        <v>873</v>
      </c>
      <c r="D874" s="2">
        <v>0.65214666666666665</v>
      </c>
      <c r="E874" t="s">
        <v>2023</v>
      </c>
      <c r="F874" t="s">
        <v>2024</v>
      </c>
      <c r="G874" t="s">
        <v>1865</v>
      </c>
      <c r="H874" t="s">
        <v>1246</v>
      </c>
      <c r="I874" t="s">
        <v>1247</v>
      </c>
      <c r="J874" t="s">
        <v>511</v>
      </c>
      <c r="K874" t="s">
        <v>27</v>
      </c>
      <c r="L874">
        <v>29.16</v>
      </c>
      <c r="M874" s="1">
        <v>46017</v>
      </c>
      <c r="N874" t="s">
        <v>79</v>
      </c>
      <c r="O874">
        <v>26</v>
      </c>
      <c r="P874">
        <v>12</v>
      </c>
      <c r="Q874">
        <v>4</v>
      </c>
      <c r="R874">
        <v>2025</v>
      </c>
    </row>
    <row r="875" spans="1:18">
      <c r="A875">
        <v>274.02</v>
      </c>
      <c r="B875">
        <v>2</v>
      </c>
      <c r="C875">
        <v>874</v>
      </c>
      <c r="D875" s="2">
        <v>0.78723238425925923</v>
      </c>
      <c r="E875" t="s">
        <v>2561</v>
      </c>
      <c r="F875" t="s">
        <v>2562</v>
      </c>
      <c r="G875" t="s">
        <v>2563</v>
      </c>
      <c r="H875" t="s">
        <v>691</v>
      </c>
      <c r="I875" t="s">
        <v>776</v>
      </c>
      <c r="J875" t="s">
        <v>138</v>
      </c>
      <c r="K875" t="s">
        <v>97</v>
      </c>
      <c r="L875">
        <v>137.01</v>
      </c>
      <c r="M875" s="1">
        <v>45713</v>
      </c>
      <c r="N875" t="s">
        <v>48</v>
      </c>
      <c r="O875">
        <v>25</v>
      </c>
      <c r="P875">
        <v>2</v>
      </c>
      <c r="Q875">
        <v>1</v>
      </c>
      <c r="R875">
        <v>2025</v>
      </c>
    </row>
    <row r="876" spans="1:18">
      <c r="A876">
        <v>314.42</v>
      </c>
      <c r="B876">
        <v>2</v>
      </c>
      <c r="C876">
        <v>875</v>
      </c>
      <c r="D876" s="2">
        <v>0.52929900462962964</v>
      </c>
      <c r="E876" t="s">
        <v>764</v>
      </c>
      <c r="F876" t="s">
        <v>765</v>
      </c>
      <c r="G876" t="s">
        <v>766</v>
      </c>
      <c r="H876" t="s">
        <v>767</v>
      </c>
      <c r="I876" t="s">
        <v>768</v>
      </c>
      <c r="J876" t="s">
        <v>576</v>
      </c>
      <c r="K876" t="s">
        <v>27</v>
      </c>
      <c r="L876">
        <v>157.21</v>
      </c>
      <c r="M876" s="1">
        <v>45877</v>
      </c>
      <c r="N876" t="s">
        <v>79</v>
      </c>
      <c r="O876">
        <v>8</v>
      </c>
      <c r="P876">
        <v>8</v>
      </c>
      <c r="Q876">
        <v>3</v>
      </c>
      <c r="R876">
        <v>2025</v>
      </c>
    </row>
    <row r="877" spans="1:18">
      <c r="A877">
        <v>136.6</v>
      </c>
      <c r="B877">
        <v>5</v>
      </c>
      <c r="C877">
        <v>876</v>
      </c>
      <c r="D877" s="2">
        <v>8.2489467592592597E-3</v>
      </c>
      <c r="E877" t="s">
        <v>1910</v>
      </c>
      <c r="F877" t="s">
        <v>1911</v>
      </c>
      <c r="G877" t="s">
        <v>846</v>
      </c>
      <c r="H877" t="s">
        <v>883</v>
      </c>
      <c r="I877" t="s">
        <v>807</v>
      </c>
      <c r="J877" t="s">
        <v>423</v>
      </c>
      <c r="K877" t="s">
        <v>37</v>
      </c>
      <c r="L877">
        <v>27.32</v>
      </c>
      <c r="M877" s="1">
        <v>46111</v>
      </c>
      <c r="N877" t="s">
        <v>93</v>
      </c>
      <c r="O877">
        <v>30</v>
      </c>
      <c r="P877">
        <v>3</v>
      </c>
      <c r="Q877">
        <v>1</v>
      </c>
      <c r="R877">
        <v>2026</v>
      </c>
    </row>
    <row r="878" spans="1:18">
      <c r="A878">
        <v>687.24</v>
      </c>
      <c r="B878">
        <v>4</v>
      </c>
      <c r="C878">
        <v>877</v>
      </c>
      <c r="D878" s="2">
        <v>0.19054300925925927</v>
      </c>
      <c r="E878" t="s">
        <v>1928</v>
      </c>
      <c r="F878" t="s">
        <v>1929</v>
      </c>
      <c r="G878" t="s">
        <v>1577</v>
      </c>
      <c r="H878" t="s">
        <v>747</v>
      </c>
      <c r="I878" t="s">
        <v>748</v>
      </c>
      <c r="J878" t="s">
        <v>129</v>
      </c>
      <c r="K878" t="s">
        <v>25</v>
      </c>
      <c r="L878">
        <v>171.81</v>
      </c>
      <c r="M878" s="1">
        <v>46226</v>
      </c>
      <c r="N878" t="s">
        <v>105</v>
      </c>
      <c r="O878">
        <v>23</v>
      </c>
      <c r="P878">
        <v>7</v>
      </c>
      <c r="Q878">
        <v>3</v>
      </c>
      <c r="R878">
        <v>2026</v>
      </c>
    </row>
    <row r="879" spans="1:18">
      <c r="A879">
        <v>120.98</v>
      </c>
      <c r="B879">
        <v>2</v>
      </c>
      <c r="C879">
        <v>878</v>
      </c>
      <c r="D879" s="2">
        <v>0.17897086805555557</v>
      </c>
      <c r="E879" t="s">
        <v>1966</v>
      </c>
      <c r="F879" t="s">
        <v>1967</v>
      </c>
      <c r="G879" t="s">
        <v>1968</v>
      </c>
      <c r="H879" t="s">
        <v>1421</v>
      </c>
      <c r="I879" t="s">
        <v>776</v>
      </c>
      <c r="J879" t="s">
        <v>558</v>
      </c>
      <c r="K879" t="s">
        <v>43</v>
      </c>
      <c r="L879">
        <v>60.49</v>
      </c>
      <c r="M879" s="1">
        <v>45614</v>
      </c>
      <c r="N879" t="s">
        <v>93</v>
      </c>
      <c r="O879">
        <v>18</v>
      </c>
      <c r="P879">
        <v>11</v>
      </c>
      <c r="Q879">
        <v>4</v>
      </c>
      <c r="R879">
        <v>2024</v>
      </c>
    </row>
    <row r="880" spans="1:18">
      <c r="A880">
        <v>20.420000000000002</v>
      </c>
      <c r="B880">
        <v>1</v>
      </c>
      <c r="C880">
        <v>879</v>
      </c>
      <c r="D880" s="2">
        <v>0.16384499999999999</v>
      </c>
      <c r="E880" t="s">
        <v>818</v>
      </c>
      <c r="F880" t="s">
        <v>819</v>
      </c>
      <c r="G880" t="s">
        <v>820</v>
      </c>
      <c r="H880" t="s">
        <v>29</v>
      </c>
      <c r="I880" t="s">
        <v>821</v>
      </c>
      <c r="J880" t="s">
        <v>698</v>
      </c>
      <c r="K880" t="s">
        <v>69</v>
      </c>
      <c r="L880">
        <v>20.420000000000002</v>
      </c>
      <c r="M880" s="1">
        <v>46214</v>
      </c>
      <c r="N880" t="s">
        <v>14</v>
      </c>
      <c r="O880">
        <v>11</v>
      </c>
      <c r="P880">
        <v>7</v>
      </c>
      <c r="Q880">
        <v>3</v>
      </c>
      <c r="R880">
        <v>2026</v>
      </c>
    </row>
    <row r="881" spans="1:18">
      <c r="A881">
        <v>774.4</v>
      </c>
      <c r="B881">
        <v>5</v>
      </c>
      <c r="C881">
        <v>880</v>
      </c>
      <c r="D881" s="2">
        <v>0.27737259259259262</v>
      </c>
      <c r="E881" t="s">
        <v>1251</v>
      </c>
      <c r="F881" t="s">
        <v>1252</v>
      </c>
      <c r="G881" t="s">
        <v>1253</v>
      </c>
      <c r="H881" t="s">
        <v>1254</v>
      </c>
      <c r="I881" t="s">
        <v>781</v>
      </c>
      <c r="J881" t="s">
        <v>704</v>
      </c>
      <c r="K881" t="s">
        <v>51</v>
      </c>
      <c r="L881">
        <v>154.88</v>
      </c>
      <c r="M881" s="1">
        <v>46000</v>
      </c>
      <c r="N881" t="s">
        <v>48</v>
      </c>
      <c r="O881">
        <v>9</v>
      </c>
      <c r="P881">
        <v>12</v>
      </c>
      <c r="Q881">
        <v>4</v>
      </c>
      <c r="R881">
        <v>2025</v>
      </c>
    </row>
    <row r="882" spans="1:18">
      <c r="A882">
        <v>93.88</v>
      </c>
      <c r="B882">
        <v>2</v>
      </c>
      <c r="C882">
        <v>881</v>
      </c>
      <c r="D882" s="2">
        <v>0.85720223379629634</v>
      </c>
      <c r="E882" t="s">
        <v>2370</v>
      </c>
      <c r="F882" t="s">
        <v>2371</v>
      </c>
      <c r="G882" t="s">
        <v>1633</v>
      </c>
      <c r="H882" t="s">
        <v>757</v>
      </c>
      <c r="I882" t="s">
        <v>758</v>
      </c>
      <c r="J882" t="s">
        <v>365</v>
      </c>
      <c r="K882" t="s">
        <v>51</v>
      </c>
      <c r="L882">
        <v>46.94</v>
      </c>
      <c r="M882" s="1">
        <v>46234</v>
      </c>
      <c r="N882" t="s">
        <v>79</v>
      </c>
      <c r="O882">
        <v>31</v>
      </c>
      <c r="P882">
        <v>7</v>
      </c>
      <c r="Q882">
        <v>3</v>
      </c>
      <c r="R882">
        <v>2026</v>
      </c>
    </row>
    <row r="883" spans="1:18">
      <c r="A883">
        <v>519.81000000000006</v>
      </c>
      <c r="B883">
        <v>3</v>
      </c>
      <c r="C883">
        <v>882</v>
      </c>
      <c r="D883" s="2">
        <v>0.3251970023148148</v>
      </c>
      <c r="E883" t="s">
        <v>2171</v>
      </c>
      <c r="F883" t="s">
        <v>2172</v>
      </c>
      <c r="G883" t="s">
        <v>2173</v>
      </c>
      <c r="H883" t="s">
        <v>762</v>
      </c>
      <c r="I883" t="s">
        <v>763</v>
      </c>
      <c r="J883" t="s">
        <v>185</v>
      </c>
      <c r="K883" t="s">
        <v>57</v>
      </c>
      <c r="L883">
        <v>173.27</v>
      </c>
      <c r="M883" s="1">
        <v>45808</v>
      </c>
      <c r="N883" t="s">
        <v>14</v>
      </c>
      <c r="O883">
        <v>31</v>
      </c>
      <c r="P883">
        <v>5</v>
      </c>
      <c r="Q883">
        <v>2</v>
      </c>
      <c r="R883">
        <v>2025</v>
      </c>
    </row>
    <row r="884" spans="1:18">
      <c r="A884">
        <v>239.19</v>
      </c>
      <c r="B884">
        <v>3</v>
      </c>
      <c r="C884">
        <v>883</v>
      </c>
      <c r="D884" s="2">
        <v>8.6979699074074074E-2</v>
      </c>
      <c r="E884" t="s">
        <v>977</v>
      </c>
      <c r="F884" t="s">
        <v>978</v>
      </c>
      <c r="G884" t="s">
        <v>979</v>
      </c>
      <c r="H884" t="s">
        <v>980</v>
      </c>
      <c r="I884" t="s">
        <v>981</v>
      </c>
      <c r="J884" t="s">
        <v>621</v>
      </c>
      <c r="K884" t="s">
        <v>19</v>
      </c>
      <c r="L884">
        <v>79.73</v>
      </c>
      <c r="M884" s="1">
        <v>45915</v>
      </c>
      <c r="N884" t="s">
        <v>93</v>
      </c>
      <c r="O884">
        <v>15</v>
      </c>
      <c r="P884">
        <v>9</v>
      </c>
      <c r="Q884">
        <v>3</v>
      </c>
      <c r="R884">
        <v>2025</v>
      </c>
    </row>
    <row r="885" spans="1:18">
      <c r="A885">
        <v>183.93</v>
      </c>
      <c r="B885">
        <v>1</v>
      </c>
      <c r="C885">
        <v>884</v>
      </c>
      <c r="D885" s="2">
        <v>0.2737219675925926</v>
      </c>
      <c r="E885" t="s">
        <v>2863</v>
      </c>
      <c r="F885" t="s">
        <v>2864</v>
      </c>
      <c r="G885" t="s">
        <v>2114</v>
      </c>
      <c r="H885" t="s">
        <v>1594</v>
      </c>
      <c r="I885" t="s">
        <v>1247</v>
      </c>
      <c r="J885" t="s">
        <v>359</v>
      </c>
      <c r="K885" t="s">
        <v>23</v>
      </c>
      <c r="L885">
        <v>183.93</v>
      </c>
      <c r="M885" s="1">
        <v>46003</v>
      </c>
      <c r="N885" t="s">
        <v>79</v>
      </c>
      <c r="O885">
        <v>12</v>
      </c>
      <c r="P885">
        <v>12</v>
      </c>
      <c r="Q885">
        <v>4</v>
      </c>
      <c r="R885">
        <v>2025</v>
      </c>
    </row>
    <row r="886" spans="1:18">
      <c r="A886">
        <v>182.37</v>
      </c>
      <c r="B886">
        <v>1</v>
      </c>
      <c r="C886">
        <v>885</v>
      </c>
      <c r="D886" s="2">
        <v>0.44295909722222221</v>
      </c>
      <c r="E886" t="s">
        <v>2737</v>
      </c>
      <c r="F886" t="s">
        <v>2738</v>
      </c>
      <c r="G886" t="s">
        <v>1110</v>
      </c>
      <c r="H886" t="s">
        <v>825</v>
      </c>
      <c r="I886" t="s">
        <v>781</v>
      </c>
      <c r="J886" t="s">
        <v>661</v>
      </c>
      <c r="K886" t="s">
        <v>122</v>
      </c>
      <c r="L886">
        <v>182.37</v>
      </c>
      <c r="M886" s="1">
        <v>45988</v>
      </c>
      <c r="N886" t="s">
        <v>105</v>
      </c>
      <c r="O886">
        <v>27</v>
      </c>
      <c r="P886">
        <v>11</v>
      </c>
      <c r="Q886">
        <v>4</v>
      </c>
      <c r="R886">
        <v>2025</v>
      </c>
    </row>
    <row r="887" spans="1:18">
      <c r="A887">
        <v>317</v>
      </c>
      <c r="B887">
        <v>4</v>
      </c>
      <c r="C887">
        <v>886</v>
      </c>
      <c r="D887" s="2">
        <v>0.68389762731481485</v>
      </c>
      <c r="E887" t="s">
        <v>1586</v>
      </c>
      <c r="F887" t="s">
        <v>1587</v>
      </c>
      <c r="G887" t="s">
        <v>1577</v>
      </c>
      <c r="H887" t="s">
        <v>961</v>
      </c>
      <c r="I887" t="s">
        <v>753</v>
      </c>
      <c r="J887" t="s">
        <v>253</v>
      </c>
      <c r="K887" t="s">
        <v>23</v>
      </c>
      <c r="L887">
        <v>79.25</v>
      </c>
      <c r="M887" s="1">
        <v>45651</v>
      </c>
      <c r="N887" t="s">
        <v>34</v>
      </c>
      <c r="O887">
        <v>25</v>
      </c>
      <c r="P887">
        <v>12</v>
      </c>
      <c r="Q887">
        <v>4</v>
      </c>
      <c r="R887">
        <v>2024</v>
      </c>
    </row>
    <row r="888" spans="1:18">
      <c r="A888">
        <v>37.86</v>
      </c>
      <c r="B888">
        <v>3</v>
      </c>
      <c r="C888">
        <v>887</v>
      </c>
      <c r="D888" s="2">
        <v>0.81036126157407407</v>
      </c>
      <c r="E888" t="s">
        <v>2464</v>
      </c>
      <c r="F888" t="s">
        <v>2465</v>
      </c>
      <c r="G888" t="s">
        <v>1660</v>
      </c>
      <c r="H888" t="s">
        <v>513</v>
      </c>
      <c r="I888" t="s">
        <v>786</v>
      </c>
      <c r="J888" t="s">
        <v>256</v>
      </c>
      <c r="K888" t="s">
        <v>31</v>
      </c>
      <c r="L888">
        <v>12.62</v>
      </c>
      <c r="M888" s="1">
        <v>45766</v>
      </c>
      <c r="N888" t="s">
        <v>14</v>
      </c>
      <c r="O888">
        <v>19</v>
      </c>
      <c r="P888">
        <v>4</v>
      </c>
      <c r="Q888">
        <v>2</v>
      </c>
      <c r="R888">
        <v>2025</v>
      </c>
    </row>
    <row r="889" spans="1:18">
      <c r="A889">
        <v>62.91</v>
      </c>
      <c r="B889">
        <v>3</v>
      </c>
      <c r="C889">
        <v>888</v>
      </c>
      <c r="D889" s="2">
        <v>0.65923239583333337</v>
      </c>
      <c r="E889" t="s">
        <v>2129</v>
      </c>
      <c r="F889" t="s">
        <v>2130</v>
      </c>
      <c r="G889" t="s">
        <v>998</v>
      </c>
      <c r="H889" t="s">
        <v>380</v>
      </c>
      <c r="I889" t="s">
        <v>776</v>
      </c>
      <c r="J889" t="s">
        <v>472</v>
      </c>
      <c r="K889" t="s">
        <v>122</v>
      </c>
      <c r="L889">
        <v>20.97</v>
      </c>
      <c r="M889" s="1">
        <v>45711</v>
      </c>
      <c r="N889" t="s">
        <v>28</v>
      </c>
      <c r="O889">
        <v>23</v>
      </c>
      <c r="P889">
        <v>2</v>
      </c>
      <c r="Q889">
        <v>1</v>
      </c>
      <c r="R889">
        <v>2025</v>
      </c>
    </row>
    <row r="890" spans="1:18">
      <c r="A890">
        <v>159.66</v>
      </c>
      <c r="B890">
        <v>2</v>
      </c>
      <c r="C890">
        <v>889</v>
      </c>
      <c r="D890" s="2">
        <v>0.74468415509259256</v>
      </c>
      <c r="E890" t="s">
        <v>2696</v>
      </c>
      <c r="F890" t="s">
        <v>2697</v>
      </c>
      <c r="G890" t="s">
        <v>2365</v>
      </c>
      <c r="H890" t="s">
        <v>1649</v>
      </c>
      <c r="I890" t="s">
        <v>790</v>
      </c>
      <c r="J890" t="s">
        <v>234</v>
      </c>
      <c r="K890" t="s">
        <v>82</v>
      </c>
      <c r="L890">
        <v>79.83</v>
      </c>
      <c r="M890" s="1">
        <v>46266</v>
      </c>
      <c r="N890" t="s">
        <v>48</v>
      </c>
      <c r="O890">
        <v>1</v>
      </c>
      <c r="P890">
        <v>9</v>
      </c>
      <c r="Q890">
        <v>3</v>
      </c>
      <c r="R890">
        <v>2026</v>
      </c>
    </row>
    <row r="891" spans="1:18">
      <c r="A891">
        <v>67.66</v>
      </c>
      <c r="B891">
        <v>1</v>
      </c>
      <c r="C891">
        <v>890</v>
      </c>
      <c r="D891" s="2">
        <v>0.63350244212962958</v>
      </c>
      <c r="E891" t="s">
        <v>3137</v>
      </c>
      <c r="F891" t="s">
        <v>3138</v>
      </c>
      <c r="G891" t="s">
        <v>2383</v>
      </c>
      <c r="H891" t="s">
        <v>3139</v>
      </c>
      <c r="I891" t="s">
        <v>908</v>
      </c>
      <c r="J891" t="s">
        <v>2624</v>
      </c>
      <c r="K891" t="s">
        <v>82</v>
      </c>
      <c r="L891">
        <v>67.66</v>
      </c>
      <c r="M891" s="1">
        <v>45880</v>
      </c>
      <c r="N891" t="s">
        <v>93</v>
      </c>
      <c r="O891">
        <v>11</v>
      </c>
      <c r="P891">
        <v>8</v>
      </c>
      <c r="Q891">
        <v>3</v>
      </c>
      <c r="R891">
        <v>2025</v>
      </c>
    </row>
    <row r="892" spans="1:18">
      <c r="A892">
        <v>292.22000000000003</v>
      </c>
      <c r="B892">
        <v>2</v>
      </c>
      <c r="C892">
        <v>891</v>
      </c>
      <c r="D892" s="2">
        <v>0.52282354166666667</v>
      </c>
      <c r="E892" t="s">
        <v>1255</v>
      </c>
      <c r="F892" t="s">
        <v>1256</v>
      </c>
      <c r="G892" t="s">
        <v>969</v>
      </c>
      <c r="H892" t="s">
        <v>1257</v>
      </c>
      <c r="I892" t="s">
        <v>839</v>
      </c>
      <c r="J892" t="s">
        <v>382</v>
      </c>
      <c r="K892" t="s">
        <v>122</v>
      </c>
      <c r="L892">
        <v>146.11000000000001</v>
      </c>
      <c r="M892" s="1">
        <v>45648</v>
      </c>
      <c r="N892" t="s">
        <v>28</v>
      </c>
      <c r="O892">
        <v>22</v>
      </c>
      <c r="P892">
        <v>12</v>
      </c>
      <c r="Q892">
        <v>4</v>
      </c>
      <c r="R892">
        <v>2024</v>
      </c>
    </row>
    <row r="893" spans="1:18">
      <c r="A893">
        <v>194.43</v>
      </c>
      <c r="B893">
        <v>3</v>
      </c>
      <c r="C893">
        <v>892</v>
      </c>
      <c r="D893" s="2">
        <v>0.26422810185185186</v>
      </c>
      <c r="E893" t="s">
        <v>1068</v>
      </c>
      <c r="F893" t="s">
        <v>1069</v>
      </c>
      <c r="G893" t="s">
        <v>1070</v>
      </c>
      <c r="H893" t="s">
        <v>1071</v>
      </c>
      <c r="I893" t="s">
        <v>817</v>
      </c>
      <c r="J893" t="s">
        <v>471</v>
      </c>
      <c r="K893" t="s">
        <v>19</v>
      </c>
      <c r="L893">
        <v>64.81</v>
      </c>
      <c r="M893" s="1">
        <v>46261</v>
      </c>
      <c r="N893" t="s">
        <v>105</v>
      </c>
      <c r="O893">
        <v>27</v>
      </c>
      <c r="P893">
        <v>8</v>
      </c>
      <c r="Q893">
        <v>3</v>
      </c>
      <c r="R893">
        <v>2026</v>
      </c>
    </row>
    <row r="894" spans="1:18">
      <c r="A894">
        <v>139.78</v>
      </c>
      <c r="B894">
        <v>2</v>
      </c>
      <c r="C894">
        <v>893</v>
      </c>
      <c r="D894" s="2">
        <v>7.6250370370370371E-2</v>
      </c>
      <c r="E894" t="s">
        <v>2531</v>
      </c>
      <c r="F894" t="s">
        <v>2532</v>
      </c>
      <c r="G894" t="s">
        <v>756</v>
      </c>
      <c r="H894" t="s">
        <v>29</v>
      </c>
      <c r="I894" t="s">
        <v>821</v>
      </c>
      <c r="J894" t="s">
        <v>366</v>
      </c>
      <c r="K894" t="s">
        <v>19</v>
      </c>
      <c r="L894">
        <v>69.89</v>
      </c>
      <c r="M894" s="1">
        <v>45994</v>
      </c>
      <c r="N894" t="s">
        <v>34</v>
      </c>
      <c r="O894">
        <v>3</v>
      </c>
      <c r="P894">
        <v>12</v>
      </c>
      <c r="Q894">
        <v>4</v>
      </c>
      <c r="R894">
        <v>2025</v>
      </c>
    </row>
    <row r="895" spans="1:18">
      <c r="A895">
        <v>852.84999999999991</v>
      </c>
      <c r="B895">
        <v>5</v>
      </c>
      <c r="C895">
        <v>894</v>
      </c>
      <c r="D895" s="2">
        <v>0.25970505787037035</v>
      </c>
      <c r="E895" t="s">
        <v>3087</v>
      </c>
      <c r="F895" t="s">
        <v>3088</v>
      </c>
      <c r="G895" t="s">
        <v>2241</v>
      </c>
      <c r="H895" t="s">
        <v>280</v>
      </c>
      <c r="I895" t="s">
        <v>786</v>
      </c>
      <c r="J895" t="s">
        <v>482</v>
      </c>
      <c r="K895" t="s">
        <v>82</v>
      </c>
      <c r="L895">
        <v>170.57</v>
      </c>
      <c r="M895" s="1">
        <v>45924</v>
      </c>
      <c r="N895" t="s">
        <v>34</v>
      </c>
      <c r="O895">
        <v>24</v>
      </c>
      <c r="P895">
        <v>9</v>
      </c>
      <c r="Q895">
        <v>3</v>
      </c>
      <c r="R895">
        <v>2025</v>
      </c>
    </row>
    <row r="896" spans="1:18">
      <c r="A896">
        <v>140.91999999999999</v>
      </c>
      <c r="B896">
        <v>4</v>
      </c>
      <c r="C896">
        <v>895</v>
      </c>
      <c r="D896" s="2">
        <v>0.96895410879629629</v>
      </c>
      <c r="E896" t="s">
        <v>2005</v>
      </c>
      <c r="F896" t="s">
        <v>2006</v>
      </c>
      <c r="G896" t="s">
        <v>2007</v>
      </c>
      <c r="H896" t="s">
        <v>1156</v>
      </c>
      <c r="I896" t="s">
        <v>821</v>
      </c>
      <c r="J896" t="s">
        <v>261</v>
      </c>
      <c r="K896" t="s">
        <v>31</v>
      </c>
      <c r="L896">
        <v>35.229999999999997</v>
      </c>
      <c r="M896" s="1">
        <v>45650</v>
      </c>
      <c r="N896" t="s">
        <v>48</v>
      </c>
      <c r="O896">
        <v>24</v>
      </c>
      <c r="P896">
        <v>12</v>
      </c>
      <c r="Q896">
        <v>4</v>
      </c>
      <c r="R896">
        <v>2024</v>
      </c>
    </row>
    <row r="897" spans="1:18">
      <c r="A897">
        <v>646.24</v>
      </c>
      <c r="B897">
        <v>4</v>
      </c>
      <c r="C897">
        <v>896</v>
      </c>
      <c r="D897" s="2">
        <v>0.53075787037037037</v>
      </c>
      <c r="E897" t="s">
        <v>2873</v>
      </c>
      <c r="F897" t="s">
        <v>2874</v>
      </c>
      <c r="G897" t="s">
        <v>1657</v>
      </c>
      <c r="H897" t="s">
        <v>1002</v>
      </c>
      <c r="I897" t="s">
        <v>1003</v>
      </c>
      <c r="J897" t="s">
        <v>422</v>
      </c>
      <c r="K897" t="s">
        <v>122</v>
      </c>
      <c r="L897">
        <v>161.56</v>
      </c>
      <c r="M897" s="1">
        <v>45913</v>
      </c>
      <c r="N897" t="s">
        <v>14</v>
      </c>
      <c r="O897">
        <v>13</v>
      </c>
      <c r="P897">
        <v>9</v>
      </c>
      <c r="Q897">
        <v>3</v>
      </c>
      <c r="R897">
        <v>2025</v>
      </c>
    </row>
    <row r="898" spans="1:18">
      <c r="A898">
        <v>431.61</v>
      </c>
      <c r="B898">
        <v>3</v>
      </c>
      <c r="C898">
        <v>897</v>
      </c>
      <c r="D898" s="2">
        <v>4.3522662037037037E-2</v>
      </c>
      <c r="E898" t="s">
        <v>2861</v>
      </c>
      <c r="F898" t="s">
        <v>2862</v>
      </c>
      <c r="G898" t="s">
        <v>1642</v>
      </c>
      <c r="H898" t="s">
        <v>2468</v>
      </c>
      <c r="I898" t="s">
        <v>763</v>
      </c>
      <c r="J898" t="s">
        <v>587</v>
      </c>
      <c r="K898" t="s">
        <v>27</v>
      </c>
      <c r="L898">
        <v>143.87</v>
      </c>
      <c r="M898" s="1">
        <v>45955</v>
      </c>
      <c r="N898" t="s">
        <v>14</v>
      </c>
      <c r="O898">
        <v>25</v>
      </c>
      <c r="P898">
        <v>10</v>
      </c>
      <c r="Q898">
        <v>4</v>
      </c>
      <c r="R898">
        <v>2025</v>
      </c>
    </row>
    <row r="899" spans="1:18">
      <c r="A899">
        <v>784.30000000000007</v>
      </c>
      <c r="B899">
        <v>5</v>
      </c>
      <c r="C899">
        <v>898</v>
      </c>
      <c r="D899" s="2">
        <v>0.19527232638888889</v>
      </c>
      <c r="E899" t="s">
        <v>2934</v>
      </c>
      <c r="F899" t="s">
        <v>2935</v>
      </c>
      <c r="G899" t="s">
        <v>2043</v>
      </c>
      <c r="H899" t="s">
        <v>1509</v>
      </c>
      <c r="I899" t="s">
        <v>821</v>
      </c>
      <c r="J899" t="s">
        <v>602</v>
      </c>
      <c r="K899" t="s">
        <v>17</v>
      </c>
      <c r="L899">
        <v>156.86000000000001</v>
      </c>
      <c r="M899" s="1">
        <v>45705</v>
      </c>
      <c r="N899" t="s">
        <v>93</v>
      </c>
      <c r="O899">
        <v>17</v>
      </c>
      <c r="P899">
        <v>2</v>
      </c>
      <c r="Q899">
        <v>1</v>
      </c>
      <c r="R899">
        <v>2025</v>
      </c>
    </row>
    <row r="900" spans="1:18">
      <c r="A900">
        <v>67.56</v>
      </c>
      <c r="B900">
        <v>2</v>
      </c>
      <c r="C900">
        <v>899</v>
      </c>
      <c r="D900" s="2">
        <v>0.39314077546296294</v>
      </c>
      <c r="E900" t="s">
        <v>1255</v>
      </c>
      <c r="F900" t="s">
        <v>1256</v>
      </c>
      <c r="G900" t="s">
        <v>969</v>
      </c>
      <c r="H900" t="s">
        <v>1257</v>
      </c>
      <c r="I900" t="s">
        <v>839</v>
      </c>
      <c r="J900" t="s">
        <v>625</v>
      </c>
      <c r="K900" t="s">
        <v>43</v>
      </c>
      <c r="L900">
        <v>33.78</v>
      </c>
      <c r="M900" s="1">
        <v>45704</v>
      </c>
      <c r="N900" t="s">
        <v>28</v>
      </c>
      <c r="O900">
        <v>16</v>
      </c>
      <c r="P900">
        <v>2</v>
      </c>
      <c r="Q900">
        <v>1</v>
      </c>
      <c r="R900">
        <v>2025</v>
      </c>
    </row>
    <row r="901" spans="1:18">
      <c r="A901">
        <v>223.72</v>
      </c>
      <c r="B901">
        <v>2</v>
      </c>
      <c r="C901">
        <v>900</v>
      </c>
      <c r="D901" s="2">
        <v>0.70855247685185185</v>
      </c>
      <c r="E901" t="s">
        <v>2724</v>
      </c>
      <c r="F901" t="s">
        <v>2860</v>
      </c>
      <c r="G901" t="s">
        <v>1698</v>
      </c>
      <c r="H901" t="s">
        <v>1984</v>
      </c>
      <c r="I901" t="s">
        <v>768</v>
      </c>
      <c r="J901" t="s">
        <v>432</v>
      </c>
      <c r="K901" t="s">
        <v>46</v>
      </c>
      <c r="L901">
        <v>111.86</v>
      </c>
      <c r="M901" s="1">
        <v>46050</v>
      </c>
      <c r="N901" t="s">
        <v>34</v>
      </c>
      <c r="O901">
        <v>28</v>
      </c>
      <c r="P901">
        <v>1</v>
      </c>
      <c r="Q901">
        <v>1</v>
      </c>
      <c r="R901">
        <v>2026</v>
      </c>
    </row>
    <row r="902" spans="1:18">
      <c r="A902">
        <v>35.11</v>
      </c>
      <c r="B902">
        <v>1</v>
      </c>
      <c r="C902">
        <v>901</v>
      </c>
      <c r="D902" s="2">
        <v>0.90253974537037041</v>
      </c>
      <c r="E902" t="s">
        <v>2748</v>
      </c>
      <c r="F902" t="s">
        <v>2749</v>
      </c>
      <c r="G902" t="s">
        <v>911</v>
      </c>
      <c r="H902" t="s">
        <v>1209</v>
      </c>
      <c r="I902" t="s">
        <v>776</v>
      </c>
      <c r="J902" t="s">
        <v>400</v>
      </c>
      <c r="K902" t="s">
        <v>57</v>
      </c>
      <c r="L902">
        <v>35.11</v>
      </c>
      <c r="M902" s="1">
        <v>46270</v>
      </c>
      <c r="N902" t="s">
        <v>14</v>
      </c>
      <c r="O902">
        <v>5</v>
      </c>
      <c r="P902">
        <v>9</v>
      </c>
      <c r="Q902">
        <v>3</v>
      </c>
      <c r="R902">
        <v>2026</v>
      </c>
    </row>
    <row r="903" spans="1:18">
      <c r="A903">
        <v>213.16</v>
      </c>
      <c r="B903">
        <v>2</v>
      </c>
      <c r="C903">
        <v>902</v>
      </c>
      <c r="D903" s="2">
        <v>0.40669765046296297</v>
      </c>
      <c r="E903" t="s">
        <v>2109</v>
      </c>
      <c r="F903" t="s">
        <v>2110</v>
      </c>
      <c r="G903" t="s">
        <v>2111</v>
      </c>
      <c r="H903" t="s">
        <v>1156</v>
      </c>
      <c r="I903" t="s">
        <v>821</v>
      </c>
      <c r="J903" t="s">
        <v>670</v>
      </c>
      <c r="K903" t="s">
        <v>57</v>
      </c>
      <c r="L903">
        <v>106.58</v>
      </c>
      <c r="M903" s="1">
        <v>45638</v>
      </c>
      <c r="N903" t="s">
        <v>105</v>
      </c>
      <c r="O903">
        <v>12</v>
      </c>
      <c r="P903">
        <v>12</v>
      </c>
      <c r="Q903">
        <v>4</v>
      </c>
      <c r="R903">
        <v>2024</v>
      </c>
    </row>
    <row r="904" spans="1:18">
      <c r="A904">
        <v>59.22</v>
      </c>
      <c r="B904">
        <v>1</v>
      </c>
      <c r="C904">
        <v>903</v>
      </c>
      <c r="D904" s="2">
        <v>8.2505972222222224E-2</v>
      </c>
      <c r="E904" t="s">
        <v>2339</v>
      </c>
      <c r="F904" t="s">
        <v>2340</v>
      </c>
      <c r="G904" t="s">
        <v>2341</v>
      </c>
      <c r="H904" t="s">
        <v>1469</v>
      </c>
      <c r="I904" t="s">
        <v>908</v>
      </c>
      <c r="J904" t="s">
        <v>516</v>
      </c>
      <c r="K904" t="s">
        <v>31</v>
      </c>
      <c r="L904">
        <v>59.22</v>
      </c>
      <c r="M904" s="1">
        <v>45796</v>
      </c>
      <c r="N904" t="s">
        <v>93</v>
      </c>
      <c r="O904">
        <v>19</v>
      </c>
      <c r="P904">
        <v>5</v>
      </c>
      <c r="Q904">
        <v>2</v>
      </c>
      <c r="R904">
        <v>2025</v>
      </c>
    </row>
    <row r="905" spans="1:18">
      <c r="A905">
        <v>469.76</v>
      </c>
      <c r="B905">
        <v>4</v>
      </c>
      <c r="C905">
        <v>904</v>
      </c>
      <c r="D905" s="2">
        <v>0.40985574074074071</v>
      </c>
      <c r="E905" t="s">
        <v>3181</v>
      </c>
      <c r="F905" t="s">
        <v>3182</v>
      </c>
      <c r="G905" t="s">
        <v>784</v>
      </c>
      <c r="H905" t="s">
        <v>929</v>
      </c>
      <c r="I905" t="s">
        <v>830</v>
      </c>
      <c r="J905" t="s">
        <v>419</v>
      </c>
      <c r="K905" t="s">
        <v>39</v>
      </c>
      <c r="L905">
        <v>117.44</v>
      </c>
      <c r="M905" s="1">
        <v>45673</v>
      </c>
      <c r="N905" t="s">
        <v>105</v>
      </c>
      <c r="O905">
        <v>16</v>
      </c>
      <c r="P905">
        <v>1</v>
      </c>
      <c r="Q905">
        <v>1</v>
      </c>
      <c r="R905">
        <v>2025</v>
      </c>
    </row>
    <row r="906" spans="1:18">
      <c r="A906">
        <v>160.78</v>
      </c>
      <c r="B906">
        <v>2</v>
      </c>
      <c r="C906">
        <v>905</v>
      </c>
      <c r="D906" s="2">
        <v>0.49290112268518521</v>
      </c>
      <c r="E906" t="s">
        <v>1743</v>
      </c>
      <c r="F906" t="s">
        <v>1744</v>
      </c>
      <c r="G906" t="s">
        <v>1745</v>
      </c>
      <c r="H906" t="s">
        <v>666</v>
      </c>
      <c r="I906" t="s">
        <v>954</v>
      </c>
      <c r="J906" t="s">
        <v>130</v>
      </c>
      <c r="K906" t="s">
        <v>69</v>
      </c>
      <c r="L906">
        <v>80.39</v>
      </c>
      <c r="M906" s="1">
        <v>46218</v>
      </c>
      <c r="N906" t="s">
        <v>34</v>
      </c>
      <c r="O906">
        <v>15</v>
      </c>
      <c r="P906">
        <v>7</v>
      </c>
      <c r="Q906">
        <v>3</v>
      </c>
      <c r="R906">
        <v>2026</v>
      </c>
    </row>
    <row r="907" spans="1:18">
      <c r="A907">
        <v>147.75</v>
      </c>
      <c r="B907">
        <v>3</v>
      </c>
      <c r="C907">
        <v>906</v>
      </c>
      <c r="D907" s="2">
        <v>0.8127497569444444</v>
      </c>
      <c r="E907" t="s">
        <v>2355</v>
      </c>
      <c r="F907" t="s">
        <v>2356</v>
      </c>
      <c r="G907" t="s">
        <v>2306</v>
      </c>
      <c r="H907" t="s">
        <v>757</v>
      </c>
      <c r="I907" t="s">
        <v>758</v>
      </c>
      <c r="J907" t="s">
        <v>518</v>
      </c>
      <c r="K907" t="s">
        <v>17</v>
      </c>
      <c r="L907">
        <v>49.25</v>
      </c>
      <c r="M907" s="1">
        <v>45670</v>
      </c>
      <c r="N907" t="s">
        <v>93</v>
      </c>
      <c r="O907">
        <v>13</v>
      </c>
      <c r="P907">
        <v>1</v>
      </c>
      <c r="Q907">
        <v>1</v>
      </c>
      <c r="R907">
        <v>2025</v>
      </c>
    </row>
    <row r="908" spans="1:18">
      <c r="A908">
        <v>65.260000000000005</v>
      </c>
      <c r="B908">
        <v>1</v>
      </c>
      <c r="C908">
        <v>907</v>
      </c>
      <c r="D908" s="2">
        <v>0.82027821759259256</v>
      </c>
      <c r="E908" t="s">
        <v>2664</v>
      </c>
      <c r="F908" t="s">
        <v>2665</v>
      </c>
      <c r="G908" t="s">
        <v>2666</v>
      </c>
      <c r="H908" t="s">
        <v>869</v>
      </c>
      <c r="I908" t="s">
        <v>807</v>
      </c>
      <c r="J908" t="s">
        <v>78</v>
      </c>
      <c r="K908" t="s">
        <v>51</v>
      </c>
      <c r="L908">
        <v>65.260000000000005</v>
      </c>
      <c r="M908" s="1">
        <v>45839</v>
      </c>
      <c r="N908" t="s">
        <v>48</v>
      </c>
      <c r="O908">
        <v>1</v>
      </c>
      <c r="P908">
        <v>7</v>
      </c>
      <c r="Q908">
        <v>3</v>
      </c>
      <c r="R908">
        <v>2025</v>
      </c>
    </row>
    <row r="909" spans="1:18">
      <c r="A909">
        <v>142.15</v>
      </c>
      <c r="B909">
        <v>1</v>
      </c>
      <c r="C909">
        <v>908</v>
      </c>
      <c r="D909" s="2">
        <v>0.65294508101851856</v>
      </c>
      <c r="E909" t="s">
        <v>3262</v>
      </c>
      <c r="F909" t="s">
        <v>3263</v>
      </c>
      <c r="G909" t="s">
        <v>3264</v>
      </c>
      <c r="H909" t="s">
        <v>1630</v>
      </c>
      <c r="I909" t="s">
        <v>763</v>
      </c>
      <c r="J909" t="s">
        <v>216</v>
      </c>
      <c r="K909" t="s">
        <v>100</v>
      </c>
      <c r="L909">
        <v>142.15</v>
      </c>
      <c r="M909" s="1">
        <v>45628</v>
      </c>
      <c r="N909" t="s">
        <v>93</v>
      </c>
      <c r="O909">
        <v>2</v>
      </c>
      <c r="P909">
        <v>12</v>
      </c>
      <c r="Q909">
        <v>4</v>
      </c>
      <c r="R909">
        <v>2024</v>
      </c>
    </row>
    <row r="910" spans="1:18">
      <c r="A910">
        <v>93.05</v>
      </c>
      <c r="B910">
        <v>1</v>
      </c>
      <c r="C910">
        <v>909</v>
      </c>
      <c r="D910" s="2">
        <v>0.95059244212962968</v>
      </c>
      <c r="E910" t="s">
        <v>1018</v>
      </c>
      <c r="F910" t="s">
        <v>1019</v>
      </c>
      <c r="G910" t="s">
        <v>1020</v>
      </c>
      <c r="H910" t="s">
        <v>995</v>
      </c>
      <c r="I910" t="s">
        <v>781</v>
      </c>
      <c r="J910" t="s">
        <v>350</v>
      </c>
      <c r="K910" t="s">
        <v>60</v>
      </c>
      <c r="L910">
        <v>93.05</v>
      </c>
      <c r="M910" s="1">
        <v>46028</v>
      </c>
      <c r="N910" t="s">
        <v>48</v>
      </c>
      <c r="O910">
        <v>6</v>
      </c>
      <c r="P910">
        <v>1</v>
      </c>
      <c r="Q910">
        <v>1</v>
      </c>
      <c r="R910">
        <v>2026</v>
      </c>
    </row>
    <row r="911" spans="1:18">
      <c r="A911">
        <v>456.52</v>
      </c>
      <c r="B911">
        <v>2</v>
      </c>
      <c r="C911">
        <v>910</v>
      </c>
      <c r="D911" s="2">
        <v>1.7045219907407407E-2</v>
      </c>
      <c r="E911" t="s">
        <v>1027</v>
      </c>
      <c r="F911" t="s">
        <v>1028</v>
      </c>
      <c r="G911" t="s">
        <v>805</v>
      </c>
      <c r="H911" t="s">
        <v>825</v>
      </c>
      <c r="I911" t="s">
        <v>781</v>
      </c>
      <c r="J911" t="s">
        <v>268</v>
      </c>
      <c r="K911" t="s">
        <v>97</v>
      </c>
      <c r="L911">
        <v>228.26</v>
      </c>
      <c r="M911" s="1">
        <v>45739</v>
      </c>
      <c r="N911" t="s">
        <v>28</v>
      </c>
      <c r="O911">
        <v>23</v>
      </c>
      <c r="P911">
        <v>3</v>
      </c>
      <c r="Q911">
        <v>1</v>
      </c>
      <c r="R911">
        <v>2025</v>
      </c>
    </row>
    <row r="912" spans="1:18">
      <c r="A912">
        <v>616.44000000000005</v>
      </c>
      <c r="B912">
        <v>4</v>
      </c>
      <c r="C912">
        <v>911</v>
      </c>
      <c r="D912" s="2">
        <v>0.13552395833333333</v>
      </c>
      <c r="E912" t="s">
        <v>1658</v>
      </c>
      <c r="F912" t="s">
        <v>1659</v>
      </c>
      <c r="G912" t="s">
        <v>1660</v>
      </c>
      <c r="H912" t="s">
        <v>785</v>
      </c>
      <c r="I912" t="s">
        <v>786</v>
      </c>
      <c r="J912" t="s">
        <v>161</v>
      </c>
      <c r="K912" t="s">
        <v>37</v>
      </c>
      <c r="L912">
        <v>154.11000000000001</v>
      </c>
      <c r="M912" s="1">
        <v>45842</v>
      </c>
      <c r="N912" t="s">
        <v>79</v>
      </c>
      <c r="O912">
        <v>4</v>
      </c>
      <c r="P912">
        <v>7</v>
      </c>
      <c r="Q912">
        <v>3</v>
      </c>
      <c r="R912">
        <v>2025</v>
      </c>
    </row>
    <row r="913" spans="1:18">
      <c r="A913">
        <v>358.64</v>
      </c>
      <c r="B913">
        <v>2</v>
      </c>
      <c r="C913">
        <v>912</v>
      </c>
      <c r="D913" s="2">
        <v>7.461583333333334E-2</v>
      </c>
      <c r="E913" t="s">
        <v>3323</v>
      </c>
      <c r="F913" t="s">
        <v>3324</v>
      </c>
      <c r="G913" t="s">
        <v>2184</v>
      </c>
      <c r="H913" t="s">
        <v>15</v>
      </c>
      <c r="I913" t="s">
        <v>834</v>
      </c>
      <c r="J913" t="s">
        <v>174</v>
      </c>
      <c r="K913" t="s">
        <v>122</v>
      </c>
      <c r="L913">
        <v>179.32</v>
      </c>
      <c r="M913" s="1">
        <v>45989</v>
      </c>
      <c r="N913" t="s">
        <v>79</v>
      </c>
      <c r="O913">
        <v>28</v>
      </c>
      <c r="P913">
        <v>11</v>
      </c>
      <c r="Q913">
        <v>4</v>
      </c>
      <c r="R913">
        <v>2025</v>
      </c>
    </row>
    <row r="914" spans="1:18">
      <c r="A914">
        <v>209.56</v>
      </c>
      <c r="B914">
        <v>4</v>
      </c>
      <c r="C914">
        <v>913</v>
      </c>
      <c r="D914" s="2">
        <v>0.64609378472222223</v>
      </c>
      <c r="E914" t="s">
        <v>1631</v>
      </c>
      <c r="F914" t="s">
        <v>1632</v>
      </c>
      <c r="G914" t="s">
        <v>1633</v>
      </c>
      <c r="H914" t="s">
        <v>136</v>
      </c>
      <c r="I914" t="s">
        <v>776</v>
      </c>
      <c r="J914" t="s">
        <v>358</v>
      </c>
      <c r="K914" t="s">
        <v>37</v>
      </c>
      <c r="L914">
        <v>52.39</v>
      </c>
      <c r="M914" s="1">
        <v>45908</v>
      </c>
      <c r="N914" t="s">
        <v>93</v>
      </c>
      <c r="O914">
        <v>8</v>
      </c>
      <c r="P914">
        <v>9</v>
      </c>
      <c r="Q914">
        <v>3</v>
      </c>
      <c r="R914">
        <v>2025</v>
      </c>
    </row>
    <row r="915" spans="1:18">
      <c r="A915">
        <v>535.15</v>
      </c>
      <c r="B915">
        <v>5</v>
      </c>
      <c r="C915">
        <v>914</v>
      </c>
      <c r="D915" s="2">
        <v>0.72913520833333334</v>
      </c>
      <c r="E915" t="s">
        <v>2372</v>
      </c>
      <c r="F915" t="s">
        <v>2373</v>
      </c>
      <c r="G915" t="s">
        <v>2319</v>
      </c>
      <c r="H915" t="s">
        <v>713</v>
      </c>
      <c r="I915" t="s">
        <v>908</v>
      </c>
      <c r="J915" t="s">
        <v>529</v>
      </c>
      <c r="K915" t="s">
        <v>37</v>
      </c>
      <c r="L915">
        <v>107.03</v>
      </c>
      <c r="M915" s="1">
        <v>45889</v>
      </c>
      <c r="N915" t="s">
        <v>34</v>
      </c>
      <c r="O915">
        <v>20</v>
      </c>
      <c r="P915">
        <v>8</v>
      </c>
      <c r="Q915">
        <v>3</v>
      </c>
      <c r="R915">
        <v>2025</v>
      </c>
    </row>
    <row r="916" spans="1:18">
      <c r="A916">
        <v>225.56</v>
      </c>
      <c r="B916">
        <v>4</v>
      </c>
      <c r="C916">
        <v>915</v>
      </c>
      <c r="D916" s="2">
        <v>0.50101401620370367</v>
      </c>
      <c r="E916" t="s">
        <v>2667</v>
      </c>
      <c r="F916" t="s">
        <v>2668</v>
      </c>
      <c r="G916" t="s">
        <v>1127</v>
      </c>
      <c r="H916" t="s">
        <v>619</v>
      </c>
      <c r="I916" t="s">
        <v>758</v>
      </c>
      <c r="J916" t="s">
        <v>308</v>
      </c>
      <c r="K916" t="s">
        <v>19</v>
      </c>
      <c r="L916">
        <v>56.39</v>
      </c>
      <c r="M916" s="1">
        <v>45552</v>
      </c>
      <c r="N916" t="s">
        <v>48</v>
      </c>
      <c r="O916">
        <v>17</v>
      </c>
      <c r="P916">
        <v>9</v>
      </c>
      <c r="Q916">
        <v>3</v>
      </c>
      <c r="R916">
        <v>2024</v>
      </c>
    </row>
    <row r="917" spans="1:18">
      <c r="A917">
        <v>11.13</v>
      </c>
      <c r="B917">
        <v>1</v>
      </c>
      <c r="C917">
        <v>916</v>
      </c>
      <c r="D917" s="2">
        <v>6.691606481481481E-2</v>
      </c>
      <c r="E917" t="s">
        <v>2575</v>
      </c>
      <c r="F917" t="s">
        <v>2576</v>
      </c>
      <c r="G917" t="s">
        <v>875</v>
      </c>
      <c r="H917" t="s">
        <v>907</v>
      </c>
      <c r="I917" t="s">
        <v>908</v>
      </c>
      <c r="J917" t="s">
        <v>42</v>
      </c>
      <c r="K917" t="s">
        <v>43</v>
      </c>
      <c r="L917">
        <v>11.13</v>
      </c>
      <c r="M917" s="1">
        <v>45628</v>
      </c>
      <c r="N917" t="s">
        <v>93</v>
      </c>
      <c r="O917">
        <v>2</v>
      </c>
      <c r="P917">
        <v>12</v>
      </c>
      <c r="Q917">
        <v>4</v>
      </c>
      <c r="R917">
        <v>2024</v>
      </c>
    </row>
    <row r="918" spans="1:18">
      <c r="A918">
        <v>469.23</v>
      </c>
      <c r="B918">
        <v>3</v>
      </c>
      <c r="C918">
        <v>917</v>
      </c>
      <c r="D918" s="2">
        <v>0.46330940972222223</v>
      </c>
      <c r="E918" t="s">
        <v>2591</v>
      </c>
      <c r="F918" t="s">
        <v>2592</v>
      </c>
      <c r="G918" t="s">
        <v>875</v>
      </c>
      <c r="H918" t="s">
        <v>985</v>
      </c>
      <c r="I918" t="s">
        <v>817</v>
      </c>
      <c r="J918" t="s">
        <v>238</v>
      </c>
      <c r="K918" t="s">
        <v>97</v>
      </c>
      <c r="L918">
        <v>156.41</v>
      </c>
      <c r="M918" s="1">
        <v>45704</v>
      </c>
      <c r="N918" t="s">
        <v>28</v>
      </c>
      <c r="O918">
        <v>16</v>
      </c>
      <c r="P918">
        <v>2</v>
      </c>
      <c r="Q918">
        <v>1</v>
      </c>
      <c r="R918">
        <v>2025</v>
      </c>
    </row>
    <row r="919" spans="1:18">
      <c r="A919">
        <v>43.74</v>
      </c>
      <c r="B919">
        <v>2</v>
      </c>
      <c r="C919">
        <v>918</v>
      </c>
      <c r="D919" s="2">
        <v>0.16702376157407409</v>
      </c>
      <c r="E919" t="s">
        <v>2442</v>
      </c>
      <c r="F919" t="s">
        <v>2443</v>
      </c>
      <c r="G919" t="s">
        <v>872</v>
      </c>
      <c r="H919" t="s">
        <v>1525</v>
      </c>
      <c r="I919" t="s">
        <v>763</v>
      </c>
      <c r="J919" t="s">
        <v>462</v>
      </c>
      <c r="K919" t="s">
        <v>100</v>
      </c>
      <c r="L919">
        <v>21.87</v>
      </c>
      <c r="M919" s="1">
        <v>46068</v>
      </c>
      <c r="N919" t="s">
        <v>28</v>
      </c>
      <c r="O919">
        <v>15</v>
      </c>
      <c r="P919">
        <v>2</v>
      </c>
      <c r="Q919">
        <v>1</v>
      </c>
      <c r="R919">
        <v>2026</v>
      </c>
    </row>
    <row r="920" spans="1:18">
      <c r="A920">
        <v>236.61</v>
      </c>
      <c r="B920">
        <v>1</v>
      </c>
      <c r="C920">
        <v>919</v>
      </c>
      <c r="D920" s="2">
        <v>7.4483009259259256E-2</v>
      </c>
      <c r="E920" t="s">
        <v>2959</v>
      </c>
      <c r="F920" t="s">
        <v>2960</v>
      </c>
      <c r="G920" t="s">
        <v>1559</v>
      </c>
      <c r="H920" t="s">
        <v>1239</v>
      </c>
      <c r="I920" t="s">
        <v>795</v>
      </c>
      <c r="J920" t="s">
        <v>235</v>
      </c>
      <c r="K920" t="s">
        <v>19</v>
      </c>
      <c r="L920">
        <v>236.61</v>
      </c>
      <c r="M920" s="1">
        <v>45629</v>
      </c>
      <c r="N920" t="s">
        <v>48</v>
      </c>
      <c r="O920">
        <v>3</v>
      </c>
      <c r="P920">
        <v>12</v>
      </c>
      <c r="Q920">
        <v>4</v>
      </c>
      <c r="R920">
        <v>2024</v>
      </c>
    </row>
    <row r="921" spans="1:18">
      <c r="A921">
        <v>284.3</v>
      </c>
      <c r="B921">
        <v>2</v>
      </c>
      <c r="C921">
        <v>920</v>
      </c>
      <c r="D921" s="2">
        <v>0.73654633101851852</v>
      </c>
      <c r="E921" t="s">
        <v>2037</v>
      </c>
      <c r="F921" t="s">
        <v>2038</v>
      </c>
      <c r="G921" t="s">
        <v>849</v>
      </c>
      <c r="H921" t="s">
        <v>322</v>
      </c>
      <c r="I921" t="s">
        <v>795</v>
      </c>
      <c r="J921" t="s">
        <v>216</v>
      </c>
      <c r="K921" t="s">
        <v>100</v>
      </c>
      <c r="L921">
        <v>142.15</v>
      </c>
      <c r="M921" s="1">
        <v>46214</v>
      </c>
      <c r="N921" t="s">
        <v>14</v>
      </c>
      <c r="O921">
        <v>11</v>
      </c>
      <c r="P921">
        <v>7</v>
      </c>
      <c r="Q921">
        <v>3</v>
      </c>
      <c r="R921">
        <v>2026</v>
      </c>
    </row>
    <row r="922" spans="1:18">
      <c r="A922">
        <v>97.83</v>
      </c>
      <c r="B922">
        <v>1</v>
      </c>
      <c r="C922">
        <v>921</v>
      </c>
      <c r="D922" s="2">
        <v>9.4961550925925925E-2</v>
      </c>
      <c r="E922" t="s">
        <v>3175</v>
      </c>
      <c r="F922" t="s">
        <v>3176</v>
      </c>
      <c r="G922" t="s">
        <v>882</v>
      </c>
      <c r="H922" t="s">
        <v>392</v>
      </c>
      <c r="I922" t="s">
        <v>834</v>
      </c>
      <c r="J922" t="s">
        <v>135</v>
      </c>
      <c r="K922" t="s">
        <v>122</v>
      </c>
      <c r="L922">
        <v>97.83</v>
      </c>
      <c r="M922" s="1">
        <v>46090</v>
      </c>
      <c r="N922" t="s">
        <v>93</v>
      </c>
      <c r="O922">
        <v>9</v>
      </c>
      <c r="P922">
        <v>3</v>
      </c>
      <c r="Q922">
        <v>1</v>
      </c>
      <c r="R922">
        <v>2026</v>
      </c>
    </row>
    <row r="923" spans="1:18">
      <c r="A923">
        <v>185.24</v>
      </c>
      <c r="B923">
        <v>4</v>
      </c>
      <c r="C923">
        <v>922</v>
      </c>
      <c r="D923" s="2">
        <v>0.24818746527777777</v>
      </c>
      <c r="E923" t="s">
        <v>1470</v>
      </c>
      <c r="F923" t="s">
        <v>1471</v>
      </c>
      <c r="G923" t="s">
        <v>1472</v>
      </c>
      <c r="H923" t="s">
        <v>1128</v>
      </c>
      <c r="I923" t="s">
        <v>954</v>
      </c>
      <c r="J923" t="s">
        <v>583</v>
      </c>
      <c r="K923" t="s">
        <v>19</v>
      </c>
      <c r="L923">
        <v>46.31</v>
      </c>
      <c r="M923" s="1">
        <v>46155</v>
      </c>
      <c r="N923" t="s">
        <v>34</v>
      </c>
      <c r="O923">
        <v>13</v>
      </c>
      <c r="P923">
        <v>5</v>
      </c>
      <c r="Q923">
        <v>2</v>
      </c>
      <c r="R923">
        <v>2026</v>
      </c>
    </row>
    <row r="924" spans="1:18">
      <c r="A924">
        <v>22.26</v>
      </c>
      <c r="B924">
        <v>2</v>
      </c>
      <c r="C924">
        <v>923</v>
      </c>
      <c r="D924" s="2">
        <v>0.55244703703703701</v>
      </c>
      <c r="E924" t="s">
        <v>1340</v>
      </c>
      <c r="F924" t="s">
        <v>1341</v>
      </c>
      <c r="G924" t="s">
        <v>1152</v>
      </c>
      <c r="H924" t="s">
        <v>1342</v>
      </c>
      <c r="I924" t="s">
        <v>776</v>
      </c>
      <c r="J924" t="s">
        <v>42</v>
      </c>
      <c r="K924" t="s">
        <v>43</v>
      </c>
      <c r="L924">
        <v>11.13</v>
      </c>
      <c r="M924" s="1">
        <v>45887</v>
      </c>
      <c r="N924" t="s">
        <v>93</v>
      </c>
      <c r="O924">
        <v>18</v>
      </c>
      <c r="P924">
        <v>8</v>
      </c>
      <c r="Q924">
        <v>3</v>
      </c>
      <c r="R924">
        <v>2025</v>
      </c>
    </row>
    <row r="925" spans="1:18">
      <c r="A925">
        <v>1226.0999999999999</v>
      </c>
      <c r="B925">
        <v>5</v>
      </c>
      <c r="C925">
        <v>924</v>
      </c>
      <c r="D925" s="2">
        <v>7.572267361111111E-2</v>
      </c>
      <c r="E925" t="s">
        <v>799</v>
      </c>
      <c r="F925" t="s">
        <v>800</v>
      </c>
      <c r="G925" t="s">
        <v>801</v>
      </c>
      <c r="H925" t="s">
        <v>802</v>
      </c>
      <c r="I925" t="s">
        <v>748</v>
      </c>
      <c r="J925" t="s">
        <v>168</v>
      </c>
      <c r="K925" t="s">
        <v>46</v>
      </c>
      <c r="L925">
        <v>245.22</v>
      </c>
      <c r="M925" s="1">
        <v>46247</v>
      </c>
      <c r="N925" t="s">
        <v>105</v>
      </c>
      <c r="O925">
        <v>13</v>
      </c>
      <c r="P925">
        <v>8</v>
      </c>
      <c r="Q925">
        <v>3</v>
      </c>
      <c r="R925">
        <v>2026</v>
      </c>
    </row>
    <row r="926" spans="1:18">
      <c r="A926">
        <v>539.96</v>
      </c>
      <c r="B926">
        <v>4</v>
      </c>
      <c r="C926">
        <v>925</v>
      </c>
      <c r="D926" s="2">
        <v>0.31405399305555554</v>
      </c>
      <c r="E926" t="s">
        <v>3294</v>
      </c>
      <c r="F926" t="s">
        <v>3295</v>
      </c>
      <c r="G926" t="s">
        <v>2250</v>
      </c>
      <c r="H926" t="s">
        <v>862</v>
      </c>
      <c r="I926" t="s">
        <v>908</v>
      </c>
      <c r="J926" t="s">
        <v>428</v>
      </c>
      <c r="K926" t="s">
        <v>31</v>
      </c>
      <c r="L926">
        <v>134.99</v>
      </c>
      <c r="M926" s="1">
        <v>46227</v>
      </c>
      <c r="N926" t="s">
        <v>79</v>
      </c>
      <c r="O926">
        <v>24</v>
      </c>
      <c r="P926">
        <v>7</v>
      </c>
      <c r="Q926">
        <v>3</v>
      </c>
      <c r="R926">
        <v>2026</v>
      </c>
    </row>
    <row r="927" spans="1:18">
      <c r="A927">
        <v>1143.7</v>
      </c>
      <c r="B927">
        <v>5</v>
      </c>
      <c r="C927">
        <v>926</v>
      </c>
      <c r="D927" s="2">
        <v>0.68172722222222226</v>
      </c>
      <c r="E927" t="s">
        <v>2978</v>
      </c>
      <c r="F927" t="s">
        <v>2979</v>
      </c>
      <c r="G927" t="s">
        <v>2306</v>
      </c>
      <c r="H927" t="s">
        <v>862</v>
      </c>
      <c r="I927" t="s">
        <v>807</v>
      </c>
      <c r="J927" t="s">
        <v>566</v>
      </c>
      <c r="K927" t="s">
        <v>69</v>
      </c>
      <c r="L927">
        <v>228.74</v>
      </c>
      <c r="M927" s="1">
        <v>45672</v>
      </c>
      <c r="N927" t="s">
        <v>34</v>
      </c>
      <c r="O927">
        <v>15</v>
      </c>
      <c r="P927">
        <v>1</v>
      </c>
      <c r="Q927">
        <v>1</v>
      </c>
      <c r="R927">
        <v>2025</v>
      </c>
    </row>
    <row r="928" spans="1:18">
      <c r="A928">
        <v>93.88</v>
      </c>
      <c r="B928">
        <v>4</v>
      </c>
      <c r="C928">
        <v>927</v>
      </c>
      <c r="D928" s="2">
        <v>0.15949583333333334</v>
      </c>
      <c r="E928" t="s">
        <v>3201</v>
      </c>
      <c r="F928" t="s">
        <v>3202</v>
      </c>
      <c r="G928" t="s">
        <v>2848</v>
      </c>
      <c r="H928" t="s">
        <v>1061</v>
      </c>
      <c r="I928" t="s">
        <v>834</v>
      </c>
      <c r="J928" t="s">
        <v>492</v>
      </c>
      <c r="K928" t="s">
        <v>21</v>
      </c>
      <c r="L928">
        <v>23.47</v>
      </c>
      <c r="M928" s="1">
        <v>45879</v>
      </c>
      <c r="N928" t="s">
        <v>28</v>
      </c>
      <c r="O928">
        <v>10</v>
      </c>
      <c r="P928">
        <v>8</v>
      </c>
      <c r="Q928">
        <v>3</v>
      </c>
      <c r="R928">
        <v>2025</v>
      </c>
    </row>
    <row r="929" spans="1:18">
      <c r="A929">
        <v>169.52</v>
      </c>
      <c r="B929">
        <v>2</v>
      </c>
      <c r="C929">
        <v>928</v>
      </c>
      <c r="D929" s="2">
        <v>0.1227484375</v>
      </c>
      <c r="E929" t="s">
        <v>2398</v>
      </c>
      <c r="F929" t="s">
        <v>2399</v>
      </c>
      <c r="G929" t="s">
        <v>1452</v>
      </c>
      <c r="H929" t="s">
        <v>816</v>
      </c>
      <c r="I929" t="s">
        <v>817</v>
      </c>
      <c r="J929" t="s">
        <v>363</v>
      </c>
      <c r="K929" t="s">
        <v>100</v>
      </c>
      <c r="L929">
        <v>84.76</v>
      </c>
      <c r="M929" s="1">
        <v>45863</v>
      </c>
      <c r="N929" t="s">
        <v>79</v>
      </c>
      <c r="O929">
        <v>25</v>
      </c>
      <c r="P929">
        <v>7</v>
      </c>
      <c r="Q929">
        <v>3</v>
      </c>
      <c r="R929">
        <v>2025</v>
      </c>
    </row>
    <row r="930" spans="1:18">
      <c r="A930">
        <v>219.31</v>
      </c>
      <c r="B930">
        <v>1</v>
      </c>
      <c r="C930">
        <v>929</v>
      </c>
      <c r="D930" s="2">
        <v>0.92897603009259255</v>
      </c>
      <c r="E930" t="s">
        <v>2785</v>
      </c>
      <c r="F930" t="s">
        <v>2786</v>
      </c>
      <c r="G930" t="s">
        <v>2787</v>
      </c>
      <c r="H930" t="s">
        <v>838</v>
      </c>
      <c r="I930" t="s">
        <v>839</v>
      </c>
      <c r="J930" t="s">
        <v>594</v>
      </c>
      <c r="K930" t="s">
        <v>43</v>
      </c>
      <c r="L930">
        <v>219.31</v>
      </c>
      <c r="M930" s="1">
        <v>45902</v>
      </c>
      <c r="N930" t="s">
        <v>48</v>
      </c>
      <c r="O930">
        <v>2</v>
      </c>
      <c r="P930">
        <v>9</v>
      </c>
      <c r="Q930">
        <v>3</v>
      </c>
      <c r="R930">
        <v>2025</v>
      </c>
    </row>
    <row r="931" spans="1:18">
      <c r="A931">
        <v>582.52</v>
      </c>
      <c r="B931">
        <v>4</v>
      </c>
      <c r="C931">
        <v>930</v>
      </c>
      <c r="D931" s="2">
        <v>0.44475171296296295</v>
      </c>
      <c r="E931" t="s">
        <v>2169</v>
      </c>
      <c r="F931" t="s">
        <v>2170</v>
      </c>
      <c r="G931" t="s">
        <v>1279</v>
      </c>
      <c r="H931" t="s">
        <v>64</v>
      </c>
      <c r="I931" t="s">
        <v>892</v>
      </c>
      <c r="J931" t="s">
        <v>191</v>
      </c>
      <c r="K931" t="s">
        <v>60</v>
      </c>
      <c r="L931">
        <v>145.63</v>
      </c>
      <c r="M931" s="1">
        <v>46076</v>
      </c>
      <c r="N931" t="s">
        <v>93</v>
      </c>
      <c r="O931">
        <v>23</v>
      </c>
      <c r="P931">
        <v>2</v>
      </c>
      <c r="Q931">
        <v>1</v>
      </c>
      <c r="R931">
        <v>2026</v>
      </c>
    </row>
    <row r="932" spans="1:18">
      <c r="A932">
        <v>493.4</v>
      </c>
      <c r="B932">
        <v>4</v>
      </c>
      <c r="C932">
        <v>931</v>
      </c>
      <c r="D932" s="2">
        <v>0.88296350694444448</v>
      </c>
      <c r="E932" t="s">
        <v>1240</v>
      </c>
      <c r="F932" t="s">
        <v>1241</v>
      </c>
      <c r="G932" t="s">
        <v>1242</v>
      </c>
      <c r="H932" t="s">
        <v>1092</v>
      </c>
      <c r="I932" t="s">
        <v>763</v>
      </c>
      <c r="J932" t="s">
        <v>630</v>
      </c>
      <c r="K932" t="s">
        <v>69</v>
      </c>
      <c r="L932">
        <v>123.35</v>
      </c>
      <c r="M932" s="1">
        <v>46164</v>
      </c>
      <c r="N932" t="s">
        <v>79</v>
      </c>
      <c r="O932">
        <v>22</v>
      </c>
      <c r="P932">
        <v>5</v>
      </c>
      <c r="Q932">
        <v>2</v>
      </c>
      <c r="R932">
        <v>2026</v>
      </c>
    </row>
    <row r="933" spans="1:18">
      <c r="A933">
        <v>365.68</v>
      </c>
      <c r="B933">
        <v>4</v>
      </c>
      <c r="C933">
        <v>932</v>
      </c>
      <c r="D933" s="2">
        <v>0.62925229166666663</v>
      </c>
      <c r="E933" t="s">
        <v>1710</v>
      </c>
      <c r="F933" t="s">
        <v>1711</v>
      </c>
      <c r="G933" t="s">
        <v>1539</v>
      </c>
      <c r="H933" t="s">
        <v>1156</v>
      </c>
      <c r="I933" t="s">
        <v>839</v>
      </c>
      <c r="J933" t="s">
        <v>479</v>
      </c>
      <c r="K933" t="s">
        <v>17</v>
      </c>
      <c r="L933">
        <v>91.42</v>
      </c>
      <c r="M933" s="1">
        <v>46168</v>
      </c>
      <c r="N933" t="s">
        <v>48</v>
      </c>
      <c r="O933">
        <v>26</v>
      </c>
      <c r="P933">
        <v>5</v>
      </c>
      <c r="Q933">
        <v>2</v>
      </c>
      <c r="R933">
        <v>2026</v>
      </c>
    </row>
    <row r="934" spans="1:18">
      <c r="A934">
        <v>233.32</v>
      </c>
      <c r="B934">
        <v>4</v>
      </c>
      <c r="C934">
        <v>933</v>
      </c>
      <c r="D934" s="2">
        <v>0.26655033564814817</v>
      </c>
      <c r="E934" t="s">
        <v>2708</v>
      </c>
      <c r="F934" t="s">
        <v>2709</v>
      </c>
      <c r="G934" t="s">
        <v>2710</v>
      </c>
      <c r="H934" t="s">
        <v>1039</v>
      </c>
      <c r="I934" t="s">
        <v>758</v>
      </c>
      <c r="J934" t="s">
        <v>408</v>
      </c>
      <c r="K934" t="s">
        <v>17</v>
      </c>
      <c r="L934">
        <v>58.33</v>
      </c>
      <c r="M934" s="1">
        <v>45819</v>
      </c>
      <c r="N934" t="s">
        <v>34</v>
      </c>
      <c r="O934">
        <v>11</v>
      </c>
      <c r="P934">
        <v>6</v>
      </c>
      <c r="Q934">
        <v>2</v>
      </c>
      <c r="R934">
        <v>2025</v>
      </c>
    </row>
    <row r="935" spans="1:18">
      <c r="A935">
        <v>5.77</v>
      </c>
      <c r="B935">
        <v>1</v>
      </c>
      <c r="C935">
        <v>934</v>
      </c>
      <c r="D935" s="2">
        <v>0.74941568287037041</v>
      </c>
      <c r="E935" t="s">
        <v>2768</v>
      </c>
      <c r="F935" t="s">
        <v>2769</v>
      </c>
      <c r="G935" t="s">
        <v>857</v>
      </c>
      <c r="H935" t="s">
        <v>1209</v>
      </c>
      <c r="I935" t="s">
        <v>776</v>
      </c>
      <c r="J935" t="s">
        <v>140</v>
      </c>
      <c r="K935" t="s">
        <v>17</v>
      </c>
      <c r="L935">
        <v>5.77</v>
      </c>
      <c r="M935" s="1">
        <v>46083</v>
      </c>
      <c r="N935" t="s">
        <v>93</v>
      </c>
      <c r="O935">
        <v>2</v>
      </c>
      <c r="P935">
        <v>3</v>
      </c>
      <c r="Q935">
        <v>1</v>
      </c>
      <c r="R935">
        <v>2026</v>
      </c>
    </row>
    <row r="936" spans="1:18">
      <c r="A936">
        <v>62.7</v>
      </c>
      <c r="B936">
        <v>2</v>
      </c>
      <c r="C936">
        <v>935</v>
      </c>
      <c r="D936" s="2">
        <v>0.69122692129629626</v>
      </c>
      <c r="E936" t="s">
        <v>1916</v>
      </c>
      <c r="F936" t="s">
        <v>1917</v>
      </c>
      <c r="G936" t="s">
        <v>1195</v>
      </c>
      <c r="H936" t="s">
        <v>1384</v>
      </c>
      <c r="I936" t="s">
        <v>908</v>
      </c>
      <c r="J936" t="s">
        <v>557</v>
      </c>
      <c r="K936" t="s">
        <v>46</v>
      </c>
      <c r="L936">
        <v>31.35</v>
      </c>
      <c r="M936" s="1">
        <v>46028</v>
      </c>
      <c r="N936" t="s">
        <v>48</v>
      </c>
      <c r="O936">
        <v>6</v>
      </c>
      <c r="P936">
        <v>1</v>
      </c>
      <c r="Q936">
        <v>1</v>
      </c>
      <c r="R936">
        <v>2026</v>
      </c>
    </row>
    <row r="937" spans="1:18">
      <c r="A937">
        <v>996.64</v>
      </c>
      <c r="B937">
        <v>4</v>
      </c>
      <c r="C937">
        <v>936</v>
      </c>
      <c r="D937" s="2">
        <v>0.10808210648148148</v>
      </c>
      <c r="E937" t="s">
        <v>3142</v>
      </c>
      <c r="F937" t="s">
        <v>3143</v>
      </c>
      <c r="G937" t="s">
        <v>1152</v>
      </c>
      <c r="H937" t="s">
        <v>825</v>
      </c>
      <c r="I937" t="s">
        <v>781</v>
      </c>
      <c r="J937" t="s">
        <v>265</v>
      </c>
      <c r="K937" t="s">
        <v>46</v>
      </c>
      <c r="L937">
        <v>249.16</v>
      </c>
      <c r="M937" s="1">
        <v>46171</v>
      </c>
      <c r="N937" t="s">
        <v>79</v>
      </c>
      <c r="O937">
        <v>29</v>
      </c>
      <c r="P937">
        <v>5</v>
      </c>
      <c r="Q937">
        <v>2</v>
      </c>
      <c r="R937">
        <v>2026</v>
      </c>
    </row>
    <row r="938" spans="1:18">
      <c r="A938">
        <v>601.43999999999994</v>
      </c>
      <c r="B938">
        <v>3</v>
      </c>
      <c r="C938">
        <v>937</v>
      </c>
      <c r="D938" s="2">
        <v>0.98240126157407404</v>
      </c>
      <c r="E938" t="s">
        <v>889</v>
      </c>
      <c r="F938" t="s">
        <v>890</v>
      </c>
      <c r="G938" t="s">
        <v>891</v>
      </c>
      <c r="H938" t="s">
        <v>64</v>
      </c>
      <c r="I938" t="s">
        <v>892</v>
      </c>
      <c r="J938" t="s">
        <v>2254</v>
      </c>
      <c r="K938" t="s">
        <v>43</v>
      </c>
      <c r="L938">
        <v>200.48</v>
      </c>
      <c r="M938" s="1">
        <v>45887</v>
      </c>
      <c r="N938" t="s">
        <v>93</v>
      </c>
      <c r="O938">
        <v>18</v>
      </c>
      <c r="P938">
        <v>8</v>
      </c>
      <c r="Q938">
        <v>3</v>
      </c>
      <c r="R938">
        <v>2025</v>
      </c>
    </row>
    <row r="939" spans="1:18">
      <c r="A939">
        <v>525.67999999999995</v>
      </c>
      <c r="B939">
        <v>4</v>
      </c>
      <c r="C939">
        <v>938</v>
      </c>
      <c r="D939" s="2">
        <v>0.28201879629629628</v>
      </c>
      <c r="E939" t="s">
        <v>2028</v>
      </c>
      <c r="F939" t="s">
        <v>2029</v>
      </c>
      <c r="G939" t="s">
        <v>2030</v>
      </c>
      <c r="H939" t="s">
        <v>1002</v>
      </c>
      <c r="I939" t="s">
        <v>892</v>
      </c>
      <c r="J939" t="s">
        <v>679</v>
      </c>
      <c r="K939" t="s">
        <v>25</v>
      </c>
      <c r="L939">
        <v>131.41999999999999</v>
      </c>
      <c r="M939" s="1">
        <v>46203</v>
      </c>
      <c r="N939" t="s">
        <v>48</v>
      </c>
      <c r="O939">
        <v>30</v>
      </c>
      <c r="P939">
        <v>6</v>
      </c>
      <c r="Q939">
        <v>2</v>
      </c>
      <c r="R939">
        <v>2026</v>
      </c>
    </row>
    <row r="940" spans="1:18">
      <c r="A940">
        <v>11.46</v>
      </c>
      <c r="B940">
        <v>2</v>
      </c>
      <c r="C940">
        <v>939</v>
      </c>
      <c r="D940" s="2">
        <v>0.70014471064814809</v>
      </c>
      <c r="E940" t="s">
        <v>1079</v>
      </c>
      <c r="F940" t="s">
        <v>1080</v>
      </c>
      <c r="G940" t="s">
        <v>1081</v>
      </c>
      <c r="H940" t="s">
        <v>772</v>
      </c>
      <c r="I940" t="s">
        <v>758</v>
      </c>
      <c r="J940" t="s">
        <v>407</v>
      </c>
      <c r="K940" t="s">
        <v>21</v>
      </c>
      <c r="L940">
        <v>5.73</v>
      </c>
      <c r="M940" s="1">
        <v>45912</v>
      </c>
      <c r="N940" t="s">
        <v>79</v>
      </c>
      <c r="O940">
        <v>12</v>
      </c>
      <c r="P940">
        <v>9</v>
      </c>
      <c r="Q940">
        <v>3</v>
      </c>
      <c r="R940">
        <v>2025</v>
      </c>
    </row>
    <row r="941" spans="1:18">
      <c r="A941">
        <v>396.88</v>
      </c>
      <c r="B941">
        <v>2</v>
      </c>
      <c r="C941">
        <v>940</v>
      </c>
      <c r="D941" s="2">
        <v>4.5405300925925929E-2</v>
      </c>
      <c r="E941" t="s">
        <v>1388</v>
      </c>
      <c r="F941" t="s">
        <v>1389</v>
      </c>
      <c r="G941" t="s">
        <v>1390</v>
      </c>
      <c r="H941" t="s">
        <v>322</v>
      </c>
      <c r="I941" t="s">
        <v>795</v>
      </c>
      <c r="J941" t="s">
        <v>40</v>
      </c>
      <c r="K941" t="s">
        <v>37</v>
      </c>
      <c r="L941">
        <v>198.44</v>
      </c>
      <c r="M941" s="1">
        <v>45939</v>
      </c>
      <c r="N941" t="s">
        <v>105</v>
      </c>
      <c r="O941">
        <v>9</v>
      </c>
      <c r="P941">
        <v>10</v>
      </c>
      <c r="Q941">
        <v>4</v>
      </c>
      <c r="R941">
        <v>2025</v>
      </c>
    </row>
    <row r="942" spans="1:18">
      <c r="A942">
        <v>1216.1499999999999</v>
      </c>
      <c r="B942">
        <v>5</v>
      </c>
      <c r="C942">
        <v>941</v>
      </c>
      <c r="D942" s="2">
        <v>0.30917777777777777</v>
      </c>
      <c r="E942" t="s">
        <v>1963</v>
      </c>
      <c r="F942" t="s">
        <v>1964</v>
      </c>
      <c r="G942" t="s">
        <v>1965</v>
      </c>
      <c r="H942" t="s">
        <v>1002</v>
      </c>
      <c r="I942" t="s">
        <v>1003</v>
      </c>
      <c r="J942" t="s">
        <v>126</v>
      </c>
      <c r="K942" t="s">
        <v>43</v>
      </c>
      <c r="L942">
        <v>243.23</v>
      </c>
      <c r="M942" s="1">
        <v>46079</v>
      </c>
      <c r="N942" t="s">
        <v>105</v>
      </c>
      <c r="O942">
        <v>26</v>
      </c>
      <c r="P942">
        <v>2</v>
      </c>
      <c r="Q942">
        <v>1</v>
      </c>
      <c r="R942">
        <v>2026</v>
      </c>
    </row>
    <row r="943" spans="1:18">
      <c r="A943">
        <v>540.25</v>
      </c>
      <c r="B943">
        <v>5</v>
      </c>
      <c r="C943">
        <v>942</v>
      </c>
      <c r="D943" s="2">
        <v>0.37400192129629628</v>
      </c>
      <c r="E943" t="s">
        <v>1186</v>
      </c>
      <c r="F943" t="s">
        <v>1187</v>
      </c>
      <c r="G943" t="s">
        <v>1188</v>
      </c>
      <c r="H943" t="s">
        <v>1189</v>
      </c>
      <c r="I943" t="s">
        <v>892</v>
      </c>
      <c r="J943" t="s">
        <v>682</v>
      </c>
      <c r="K943" t="s">
        <v>23</v>
      </c>
      <c r="L943">
        <v>108.05</v>
      </c>
      <c r="M943" s="1">
        <v>46032</v>
      </c>
      <c r="N943" t="s">
        <v>14</v>
      </c>
      <c r="O943">
        <v>10</v>
      </c>
      <c r="P943">
        <v>1</v>
      </c>
      <c r="Q943">
        <v>1</v>
      </c>
      <c r="R943">
        <v>2026</v>
      </c>
    </row>
    <row r="944" spans="1:18">
      <c r="A944">
        <v>495.04</v>
      </c>
      <c r="B944">
        <v>2</v>
      </c>
      <c r="C944">
        <v>943</v>
      </c>
      <c r="D944" s="2">
        <v>0.76184914351851851</v>
      </c>
      <c r="E944" t="s">
        <v>2161</v>
      </c>
      <c r="F944" t="s">
        <v>2162</v>
      </c>
      <c r="G944" t="s">
        <v>824</v>
      </c>
      <c r="H944" t="s">
        <v>1882</v>
      </c>
      <c r="I944" t="s">
        <v>795</v>
      </c>
      <c r="J944" t="s">
        <v>372</v>
      </c>
      <c r="K944" t="s">
        <v>23</v>
      </c>
      <c r="L944">
        <v>247.52</v>
      </c>
      <c r="M944" s="1">
        <v>45889</v>
      </c>
      <c r="N944" t="s">
        <v>34</v>
      </c>
      <c r="O944">
        <v>20</v>
      </c>
      <c r="P944">
        <v>8</v>
      </c>
      <c r="Q944">
        <v>3</v>
      </c>
      <c r="R944">
        <v>2025</v>
      </c>
    </row>
    <row r="945" spans="1:18">
      <c r="A945">
        <v>270.48</v>
      </c>
      <c r="B945">
        <v>4</v>
      </c>
      <c r="C945">
        <v>944</v>
      </c>
      <c r="D945" s="2">
        <v>0.53567510416666664</v>
      </c>
      <c r="E945" t="s">
        <v>2045</v>
      </c>
      <c r="F945" t="s">
        <v>2046</v>
      </c>
      <c r="G945" t="s">
        <v>833</v>
      </c>
      <c r="H945" t="s">
        <v>1061</v>
      </c>
      <c r="I945" t="s">
        <v>812</v>
      </c>
      <c r="J945" t="s">
        <v>697</v>
      </c>
      <c r="K945" t="s">
        <v>17</v>
      </c>
      <c r="L945">
        <v>67.62</v>
      </c>
      <c r="M945" s="1">
        <v>46071</v>
      </c>
      <c r="N945" t="s">
        <v>34</v>
      </c>
      <c r="O945">
        <v>18</v>
      </c>
      <c r="P945">
        <v>2</v>
      </c>
      <c r="Q945">
        <v>1</v>
      </c>
      <c r="R945">
        <v>2026</v>
      </c>
    </row>
    <row r="946" spans="1:18">
      <c r="A946">
        <v>394.52</v>
      </c>
      <c r="B946">
        <v>2</v>
      </c>
      <c r="C946">
        <v>945</v>
      </c>
      <c r="D946" s="2">
        <v>8.5830300925925931E-2</v>
      </c>
      <c r="E946" t="s">
        <v>1575</v>
      </c>
      <c r="F946" t="s">
        <v>1576</v>
      </c>
      <c r="G946" t="s">
        <v>1577</v>
      </c>
      <c r="H946" t="s">
        <v>392</v>
      </c>
      <c r="I946" t="s">
        <v>834</v>
      </c>
      <c r="J946" t="s">
        <v>402</v>
      </c>
      <c r="K946" t="s">
        <v>19</v>
      </c>
      <c r="L946">
        <v>197.26</v>
      </c>
      <c r="M946" s="1">
        <v>46161</v>
      </c>
      <c r="N946" t="s">
        <v>48</v>
      </c>
      <c r="O946">
        <v>19</v>
      </c>
      <c r="P946">
        <v>5</v>
      </c>
      <c r="Q946">
        <v>2</v>
      </c>
      <c r="R946">
        <v>2026</v>
      </c>
    </row>
    <row r="947" spans="1:18">
      <c r="A947">
        <v>77.47</v>
      </c>
      <c r="B947">
        <v>1</v>
      </c>
      <c r="C947">
        <v>946</v>
      </c>
      <c r="D947" s="2">
        <v>0.16550244212962964</v>
      </c>
      <c r="E947" t="s">
        <v>2869</v>
      </c>
      <c r="F947" t="s">
        <v>2870</v>
      </c>
      <c r="G947" t="s">
        <v>1616</v>
      </c>
      <c r="H947" t="s">
        <v>64</v>
      </c>
      <c r="I947" t="s">
        <v>892</v>
      </c>
      <c r="J947" t="s">
        <v>638</v>
      </c>
      <c r="K947" t="s">
        <v>100</v>
      </c>
      <c r="L947">
        <v>77.47</v>
      </c>
      <c r="M947" s="1">
        <v>45725</v>
      </c>
      <c r="N947" t="s">
        <v>28</v>
      </c>
      <c r="O947">
        <v>9</v>
      </c>
      <c r="P947">
        <v>3</v>
      </c>
      <c r="Q947">
        <v>1</v>
      </c>
      <c r="R947">
        <v>2025</v>
      </c>
    </row>
    <row r="948" spans="1:18">
      <c r="A948">
        <v>236.81</v>
      </c>
      <c r="B948">
        <v>1</v>
      </c>
      <c r="C948">
        <v>947</v>
      </c>
      <c r="D948" s="2">
        <v>0.73162258101851851</v>
      </c>
      <c r="E948" t="s">
        <v>2801</v>
      </c>
      <c r="F948" t="s">
        <v>2802</v>
      </c>
      <c r="G948" t="s">
        <v>2535</v>
      </c>
      <c r="H948" t="s">
        <v>713</v>
      </c>
      <c r="I948" t="s">
        <v>908</v>
      </c>
      <c r="J948" t="s">
        <v>84</v>
      </c>
      <c r="K948" t="s">
        <v>31</v>
      </c>
      <c r="L948">
        <v>236.81</v>
      </c>
      <c r="M948" s="1">
        <v>45805</v>
      </c>
      <c r="N948" t="s">
        <v>34</v>
      </c>
      <c r="O948">
        <v>28</v>
      </c>
      <c r="P948">
        <v>5</v>
      </c>
      <c r="Q948">
        <v>2</v>
      </c>
      <c r="R948">
        <v>2025</v>
      </c>
    </row>
    <row r="949" spans="1:18">
      <c r="A949">
        <v>129.72</v>
      </c>
      <c r="B949">
        <v>4</v>
      </c>
      <c r="C949">
        <v>948</v>
      </c>
      <c r="D949" s="2">
        <v>0.47487107638888887</v>
      </c>
      <c r="E949" t="s">
        <v>2531</v>
      </c>
      <c r="F949" t="s">
        <v>2532</v>
      </c>
      <c r="G949" t="s">
        <v>756</v>
      </c>
      <c r="H949" t="s">
        <v>29</v>
      </c>
      <c r="I949" t="s">
        <v>821</v>
      </c>
      <c r="J949" t="s">
        <v>77</v>
      </c>
      <c r="K949" t="s">
        <v>17</v>
      </c>
      <c r="L949">
        <v>32.43</v>
      </c>
      <c r="M949" s="1">
        <v>45886</v>
      </c>
      <c r="N949" t="s">
        <v>28</v>
      </c>
      <c r="O949">
        <v>17</v>
      </c>
      <c r="P949">
        <v>8</v>
      </c>
      <c r="Q949">
        <v>3</v>
      </c>
      <c r="R949">
        <v>2025</v>
      </c>
    </row>
    <row r="950" spans="1:18">
      <c r="A950">
        <v>68.11</v>
      </c>
      <c r="B950">
        <v>1</v>
      </c>
      <c r="C950">
        <v>949</v>
      </c>
      <c r="D950" s="2">
        <v>0.57632943287037042</v>
      </c>
      <c r="E950" t="s">
        <v>2943</v>
      </c>
      <c r="F950" t="s">
        <v>2137</v>
      </c>
      <c r="G950" t="s">
        <v>1606</v>
      </c>
      <c r="H950" t="s">
        <v>619</v>
      </c>
      <c r="I950" t="s">
        <v>758</v>
      </c>
      <c r="J950" t="s">
        <v>739</v>
      </c>
      <c r="K950" t="s">
        <v>27</v>
      </c>
      <c r="L950">
        <v>68.11</v>
      </c>
      <c r="M950" s="1">
        <v>45817</v>
      </c>
      <c r="N950" t="s">
        <v>93</v>
      </c>
      <c r="O950">
        <v>9</v>
      </c>
      <c r="P950">
        <v>6</v>
      </c>
      <c r="Q950">
        <v>2</v>
      </c>
      <c r="R950">
        <v>2025</v>
      </c>
    </row>
    <row r="951" spans="1:18">
      <c r="A951">
        <v>157.85999999999999</v>
      </c>
      <c r="B951">
        <v>3</v>
      </c>
      <c r="C951">
        <v>950</v>
      </c>
      <c r="D951" s="2">
        <v>0.20583467592592591</v>
      </c>
      <c r="E951" t="s">
        <v>3354</v>
      </c>
      <c r="F951" t="s">
        <v>3355</v>
      </c>
      <c r="G951" t="s">
        <v>1569</v>
      </c>
      <c r="H951" t="s">
        <v>280</v>
      </c>
      <c r="I951" t="s">
        <v>786</v>
      </c>
      <c r="J951" t="s">
        <v>270</v>
      </c>
      <c r="K951" t="s">
        <v>55</v>
      </c>
      <c r="L951">
        <v>52.62</v>
      </c>
      <c r="M951" s="1">
        <v>46185</v>
      </c>
      <c r="N951" t="s">
        <v>79</v>
      </c>
      <c r="O951">
        <v>12</v>
      </c>
      <c r="P951">
        <v>6</v>
      </c>
      <c r="Q951">
        <v>2</v>
      </c>
      <c r="R951">
        <v>2026</v>
      </c>
    </row>
    <row r="952" spans="1:18">
      <c r="A952">
        <v>166.85</v>
      </c>
      <c r="B952">
        <v>5</v>
      </c>
      <c r="C952">
        <v>951</v>
      </c>
      <c r="D952" s="2">
        <v>0.77680712962962961</v>
      </c>
      <c r="E952" t="s">
        <v>1575</v>
      </c>
      <c r="F952" t="s">
        <v>1576</v>
      </c>
      <c r="G952" t="s">
        <v>1577</v>
      </c>
      <c r="H952" t="s">
        <v>392</v>
      </c>
      <c r="I952" t="s">
        <v>834</v>
      </c>
      <c r="J952" t="s">
        <v>388</v>
      </c>
      <c r="K952" t="s">
        <v>46</v>
      </c>
      <c r="L952">
        <v>33.369999999999997</v>
      </c>
      <c r="M952" s="1">
        <v>45769</v>
      </c>
      <c r="N952" t="s">
        <v>48</v>
      </c>
      <c r="O952">
        <v>22</v>
      </c>
      <c r="P952">
        <v>4</v>
      </c>
      <c r="Q952">
        <v>2</v>
      </c>
      <c r="R952">
        <v>2025</v>
      </c>
    </row>
    <row r="953" spans="1:18">
      <c r="A953">
        <v>333.39</v>
      </c>
      <c r="B953">
        <v>3</v>
      </c>
      <c r="C953">
        <v>952</v>
      </c>
      <c r="D953" s="2">
        <v>0.80630719907407411</v>
      </c>
      <c r="E953" t="s">
        <v>2496</v>
      </c>
      <c r="F953" t="s">
        <v>2497</v>
      </c>
      <c r="G953" t="s">
        <v>2498</v>
      </c>
      <c r="H953" t="s">
        <v>1302</v>
      </c>
      <c r="I953" t="s">
        <v>786</v>
      </c>
      <c r="J953" t="s">
        <v>269</v>
      </c>
      <c r="K953" t="s">
        <v>60</v>
      </c>
      <c r="L953">
        <v>111.13</v>
      </c>
      <c r="M953" s="1">
        <v>45687</v>
      </c>
      <c r="N953" t="s">
        <v>105</v>
      </c>
      <c r="O953">
        <v>30</v>
      </c>
      <c r="P953">
        <v>1</v>
      </c>
      <c r="Q953">
        <v>1</v>
      </c>
      <c r="R953">
        <v>2025</v>
      </c>
    </row>
    <row r="954" spans="1:18">
      <c r="A954">
        <v>286.92</v>
      </c>
      <c r="B954">
        <v>2</v>
      </c>
      <c r="C954">
        <v>953</v>
      </c>
      <c r="D954" s="2">
        <v>9.4502164351851853E-2</v>
      </c>
      <c r="E954" t="s">
        <v>2023</v>
      </c>
      <c r="F954" t="s">
        <v>2024</v>
      </c>
      <c r="G954" t="s">
        <v>1865</v>
      </c>
      <c r="H954" t="s">
        <v>1246</v>
      </c>
      <c r="I954" t="s">
        <v>1247</v>
      </c>
      <c r="J954" t="s">
        <v>299</v>
      </c>
      <c r="K954" t="s">
        <v>57</v>
      </c>
      <c r="L954">
        <v>143.46</v>
      </c>
      <c r="M954" s="1">
        <v>45949</v>
      </c>
      <c r="N954" t="s">
        <v>28</v>
      </c>
      <c r="O954">
        <v>19</v>
      </c>
      <c r="P954">
        <v>10</v>
      </c>
      <c r="Q954">
        <v>4</v>
      </c>
      <c r="R954">
        <v>2025</v>
      </c>
    </row>
    <row r="955" spans="1:18">
      <c r="A955">
        <v>121.82</v>
      </c>
      <c r="B955">
        <v>2</v>
      </c>
      <c r="C955">
        <v>954</v>
      </c>
      <c r="D955" s="2">
        <v>0.42141105324074074</v>
      </c>
      <c r="E955" t="s">
        <v>1393</v>
      </c>
      <c r="F955" t="s">
        <v>1394</v>
      </c>
      <c r="G955" t="s">
        <v>1182</v>
      </c>
      <c r="H955" t="s">
        <v>1395</v>
      </c>
      <c r="I955" t="s">
        <v>776</v>
      </c>
      <c r="J955" t="s">
        <v>550</v>
      </c>
      <c r="K955" t="s">
        <v>55</v>
      </c>
      <c r="L955">
        <v>60.91</v>
      </c>
      <c r="M955" s="1">
        <v>46208</v>
      </c>
      <c r="N955" t="s">
        <v>28</v>
      </c>
      <c r="O955">
        <v>5</v>
      </c>
      <c r="P955">
        <v>7</v>
      </c>
      <c r="Q955">
        <v>3</v>
      </c>
      <c r="R955">
        <v>2026</v>
      </c>
    </row>
    <row r="956" spans="1:18">
      <c r="A956">
        <v>1086.8000000000002</v>
      </c>
      <c r="B956">
        <v>5</v>
      </c>
      <c r="C956">
        <v>955</v>
      </c>
      <c r="D956" s="2">
        <v>0.60638721064814816</v>
      </c>
      <c r="E956" t="s">
        <v>2895</v>
      </c>
      <c r="F956" t="s">
        <v>2896</v>
      </c>
      <c r="G956" t="s">
        <v>1987</v>
      </c>
      <c r="H956" t="s">
        <v>2468</v>
      </c>
      <c r="I956" t="s">
        <v>763</v>
      </c>
      <c r="J956" t="s">
        <v>103</v>
      </c>
      <c r="K956" t="s">
        <v>46</v>
      </c>
      <c r="L956">
        <v>217.36</v>
      </c>
      <c r="M956" s="1">
        <v>45642</v>
      </c>
      <c r="N956" t="s">
        <v>93</v>
      </c>
      <c r="O956">
        <v>16</v>
      </c>
      <c r="P956">
        <v>12</v>
      </c>
      <c r="Q956">
        <v>4</v>
      </c>
      <c r="R956">
        <v>2024</v>
      </c>
    </row>
    <row r="957" spans="1:18">
      <c r="A957">
        <v>614.45000000000005</v>
      </c>
      <c r="B957">
        <v>5</v>
      </c>
      <c r="C957">
        <v>956</v>
      </c>
      <c r="D957" s="2">
        <v>0.61281770833333338</v>
      </c>
      <c r="E957" t="s">
        <v>2360</v>
      </c>
      <c r="F957" t="s">
        <v>2361</v>
      </c>
      <c r="G957" t="s">
        <v>2362</v>
      </c>
      <c r="H957" t="s">
        <v>1306</v>
      </c>
      <c r="I957" t="s">
        <v>966</v>
      </c>
      <c r="J957" t="s">
        <v>665</v>
      </c>
      <c r="K957" t="s">
        <v>17</v>
      </c>
      <c r="L957">
        <v>122.89</v>
      </c>
      <c r="M957" s="1">
        <v>46004</v>
      </c>
      <c r="N957" t="s">
        <v>14</v>
      </c>
      <c r="O957">
        <v>13</v>
      </c>
      <c r="P957">
        <v>12</v>
      </c>
      <c r="Q957">
        <v>4</v>
      </c>
      <c r="R957">
        <v>2025</v>
      </c>
    </row>
    <row r="958" spans="1:18">
      <c r="A958">
        <v>413.45</v>
      </c>
      <c r="B958">
        <v>5</v>
      </c>
      <c r="C958">
        <v>957</v>
      </c>
      <c r="D958" s="2">
        <v>9.4215266203703699E-2</v>
      </c>
      <c r="E958" t="s">
        <v>2549</v>
      </c>
      <c r="F958" t="s">
        <v>2550</v>
      </c>
      <c r="G958" t="s">
        <v>2551</v>
      </c>
      <c r="H958" t="s">
        <v>1156</v>
      </c>
      <c r="I958" t="s">
        <v>839</v>
      </c>
      <c r="J958" t="s">
        <v>650</v>
      </c>
      <c r="K958" t="s">
        <v>37</v>
      </c>
      <c r="L958">
        <v>82.69</v>
      </c>
      <c r="M958" s="1">
        <v>46240</v>
      </c>
      <c r="N958" t="s">
        <v>105</v>
      </c>
      <c r="O958">
        <v>6</v>
      </c>
      <c r="P958">
        <v>8</v>
      </c>
      <c r="Q958">
        <v>3</v>
      </c>
      <c r="R958">
        <v>2026</v>
      </c>
    </row>
    <row r="959" spans="1:18">
      <c r="A959">
        <v>74.58</v>
      </c>
      <c r="B959">
        <v>3</v>
      </c>
      <c r="C959">
        <v>958</v>
      </c>
      <c r="D959" s="2">
        <v>3.7952592592592593E-2</v>
      </c>
      <c r="E959" t="s">
        <v>3169</v>
      </c>
      <c r="F959" t="s">
        <v>3170</v>
      </c>
      <c r="G959" t="s">
        <v>2434</v>
      </c>
      <c r="H959" t="s">
        <v>1649</v>
      </c>
      <c r="I959" t="s">
        <v>790</v>
      </c>
      <c r="J959" t="s">
        <v>531</v>
      </c>
      <c r="K959" t="s">
        <v>69</v>
      </c>
      <c r="L959">
        <v>24.86</v>
      </c>
      <c r="M959" s="1">
        <v>45876</v>
      </c>
      <c r="N959" t="s">
        <v>105</v>
      </c>
      <c r="O959">
        <v>7</v>
      </c>
      <c r="P959">
        <v>8</v>
      </c>
      <c r="Q959">
        <v>3</v>
      </c>
      <c r="R959">
        <v>2025</v>
      </c>
    </row>
    <row r="960" spans="1:18">
      <c r="A960">
        <v>705.52</v>
      </c>
      <c r="B960">
        <v>4</v>
      </c>
      <c r="C960">
        <v>959</v>
      </c>
      <c r="D960" s="2">
        <v>0.62709325231481483</v>
      </c>
      <c r="E960" t="s">
        <v>2671</v>
      </c>
      <c r="F960" t="s">
        <v>2672</v>
      </c>
      <c r="G960" t="s">
        <v>1182</v>
      </c>
      <c r="H960" t="s">
        <v>328</v>
      </c>
      <c r="I960" t="s">
        <v>1247</v>
      </c>
      <c r="J960" t="s">
        <v>384</v>
      </c>
      <c r="K960" t="s">
        <v>37</v>
      </c>
      <c r="L960">
        <v>176.38</v>
      </c>
      <c r="M960" s="1">
        <v>45795</v>
      </c>
      <c r="N960" t="s">
        <v>28</v>
      </c>
      <c r="O960">
        <v>18</v>
      </c>
      <c r="P960">
        <v>5</v>
      </c>
      <c r="Q960">
        <v>2</v>
      </c>
      <c r="R960">
        <v>2025</v>
      </c>
    </row>
    <row r="961" spans="1:18">
      <c r="A961">
        <v>934.9</v>
      </c>
      <c r="B961">
        <v>5</v>
      </c>
      <c r="C961">
        <v>960</v>
      </c>
      <c r="D961" s="2">
        <v>0.44312499999999999</v>
      </c>
      <c r="E961" t="s">
        <v>2886</v>
      </c>
      <c r="F961" t="s">
        <v>2887</v>
      </c>
      <c r="G961" t="s">
        <v>935</v>
      </c>
      <c r="H961" t="s">
        <v>843</v>
      </c>
      <c r="I961" t="s">
        <v>753</v>
      </c>
      <c r="J961" t="s">
        <v>139</v>
      </c>
      <c r="K961" t="s">
        <v>122</v>
      </c>
      <c r="L961">
        <v>186.98</v>
      </c>
      <c r="M961" s="1">
        <v>45707</v>
      </c>
      <c r="N961" t="s">
        <v>34</v>
      </c>
      <c r="O961">
        <v>19</v>
      </c>
      <c r="P961">
        <v>2</v>
      </c>
      <c r="Q961">
        <v>1</v>
      </c>
      <c r="R961">
        <v>2025</v>
      </c>
    </row>
    <row r="962" spans="1:18">
      <c r="A962">
        <v>20.97</v>
      </c>
      <c r="B962">
        <v>1</v>
      </c>
      <c r="C962">
        <v>961</v>
      </c>
      <c r="D962" s="2">
        <v>0.14902447916666667</v>
      </c>
      <c r="E962" t="s">
        <v>1894</v>
      </c>
      <c r="F962" t="s">
        <v>1895</v>
      </c>
      <c r="G962" t="s">
        <v>1387</v>
      </c>
      <c r="H962" t="s">
        <v>1213</v>
      </c>
      <c r="I962" t="s">
        <v>839</v>
      </c>
      <c r="J962" t="s">
        <v>472</v>
      </c>
      <c r="K962" t="s">
        <v>122</v>
      </c>
      <c r="L962">
        <v>20.97</v>
      </c>
      <c r="M962" s="1">
        <v>45870</v>
      </c>
      <c r="N962" t="s">
        <v>79</v>
      </c>
      <c r="O962">
        <v>1</v>
      </c>
      <c r="P962">
        <v>8</v>
      </c>
      <c r="Q962">
        <v>3</v>
      </c>
      <c r="R962">
        <v>2025</v>
      </c>
    </row>
    <row r="963" spans="1:18">
      <c r="A963">
        <v>728.15</v>
      </c>
      <c r="B963">
        <v>5</v>
      </c>
      <c r="C963">
        <v>962</v>
      </c>
      <c r="D963" s="2">
        <v>0.48587076388888889</v>
      </c>
      <c r="E963" t="s">
        <v>3060</v>
      </c>
      <c r="F963" t="s">
        <v>2894</v>
      </c>
      <c r="G963" t="s">
        <v>925</v>
      </c>
      <c r="H963" t="s">
        <v>513</v>
      </c>
      <c r="I963" t="s">
        <v>786</v>
      </c>
      <c r="J963" t="s">
        <v>191</v>
      </c>
      <c r="K963" t="s">
        <v>60</v>
      </c>
      <c r="L963">
        <v>145.63</v>
      </c>
      <c r="M963" s="1">
        <v>46272</v>
      </c>
      <c r="N963" t="s">
        <v>93</v>
      </c>
      <c r="O963">
        <v>7</v>
      </c>
      <c r="P963">
        <v>9</v>
      </c>
      <c r="Q963">
        <v>3</v>
      </c>
      <c r="R963">
        <v>2026</v>
      </c>
    </row>
    <row r="964" spans="1:18">
      <c r="A964">
        <v>202.6</v>
      </c>
      <c r="B964">
        <v>4</v>
      </c>
      <c r="C964">
        <v>963</v>
      </c>
      <c r="D964" s="2">
        <v>0.31568284722222223</v>
      </c>
      <c r="E964" t="s">
        <v>2558</v>
      </c>
      <c r="F964" t="s">
        <v>2559</v>
      </c>
      <c r="G964" t="s">
        <v>2560</v>
      </c>
      <c r="H964" t="s">
        <v>1302</v>
      </c>
      <c r="I964" t="s">
        <v>786</v>
      </c>
      <c r="J964" t="s">
        <v>403</v>
      </c>
      <c r="K964" t="s">
        <v>23</v>
      </c>
      <c r="L964">
        <v>50.65</v>
      </c>
      <c r="M964" s="1">
        <v>46061</v>
      </c>
      <c r="N964" t="s">
        <v>28</v>
      </c>
      <c r="O964">
        <v>8</v>
      </c>
      <c r="P964">
        <v>2</v>
      </c>
      <c r="Q964">
        <v>1</v>
      </c>
      <c r="R964">
        <v>2026</v>
      </c>
    </row>
    <row r="965" spans="1:18">
      <c r="A965">
        <v>43.84</v>
      </c>
      <c r="B965">
        <v>2</v>
      </c>
      <c r="C965">
        <v>964</v>
      </c>
      <c r="D965" s="2">
        <v>9.5604629629629623E-2</v>
      </c>
      <c r="E965" t="s">
        <v>1530</v>
      </c>
      <c r="F965" t="s">
        <v>1531</v>
      </c>
      <c r="G965" t="s">
        <v>1532</v>
      </c>
      <c r="H965" t="s">
        <v>1533</v>
      </c>
      <c r="I965" t="s">
        <v>781</v>
      </c>
      <c r="J965" t="s">
        <v>217</v>
      </c>
      <c r="K965" t="s">
        <v>60</v>
      </c>
      <c r="L965">
        <v>21.92</v>
      </c>
      <c r="M965" s="1">
        <v>45573</v>
      </c>
      <c r="N965" t="s">
        <v>48</v>
      </c>
      <c r="O965">
        <v>8</v>
      </c>
      <c r="P965">
        <v>10</v>
      </c>
      <c r="Q965">
        <v>4</v>
      </c>
      <c r="R965">
        <v>2024</v>
      </c>
    </row>
    <row r="966" spans="1:18">
      <c r="A966">
        <v>363.65999999999997</v>
      </c>
      <c r="B966">
        <v>3</v>
      </c>
      <c r="C966">
        <v>965</v>
      </c>
      <c r="D966" s="2">
        <v>0.72235512731481477</v>
      </c>
      <c r="E966" t="s">
        <v>2912</v>
      </c>
      <c r="F966" t="s">
        <v>2913</v>
      </c>
      <c r="G966" t="s">
        <v>1657</v>
      </c>
      <c r="H966" t="s">
        <v>907</v>
      </c>
      <c r="I966" t="s">
        <v>908</v>
      </c>
      <c r="J966" t="s">
        <v>47</v>
      </c>
      <c r="K966" t="s">
        <v>46</v>
      </c>
      <c r="L966">
        <v>121.22</v>
      </c>
      <c r="M966" s="1">
        <v>45876</v>
      </c>
      <c r="N966" t="s">
        <v>105</v>
      </c>
      <c r="O966">
        <v>7</v>
      </c>
      <c r="P966">
        <v>8</v>
      </c>
      <c r="Q966">
        <v>3</v>
      </c>
      <c r="R966">
        <v>2025</v>
      </c>
    </row>
    <row r="967" spans="1:18">
      <c r="A967">
        <v>762.44</v>
      </c>
      <c r="B967">
        <v>4</v>
      </c>
      <c r="C967">
        <v>966</v>
      </c>
      <c r="D967" s="2">
        <v>0.86369583333333333</v>
      </c>
      <c r="E967" t="s">
        <v>2669</v>
      </c>
      <c r="F967" t="s">
        <v>2670</v>
      </c>
      <c r="G967" t="s">
        <v>1025</v>
      </c>
      <c r="H967" t="s">
        <v>942</v>
      </c>
      <c r="I967" t="s">
        <v>943</v>
      </c>
      <c r="J967" t="s">
        <v>156</v>
      </c>
      <c r="K967" t="s">
        <v>57</v>
      </c>
      <c r="L967">
        <v>190.61</v>
      </c>
      <c r="M967" s="1">
        <v>45558</v>
      </c>
      <c r="N967" t="s">
        <v>93</v>
      </c>
      <c r="O967">
        <v>23</v>
      </c>
      <c r="P967">
        <v>9</v>
      </c>
      <c r="Q967">
        <v>3</v>
      </c>
      <c r="R967">
        <v>2024</v>
      </c>
    </row>
    <row r="968" spans="1:18">
      <c r="A968">
        <v>543.72</v>
      </c>
      <c r="B968">
        <v>3</v>
      </c>
      <c r="C968">
        <v>967</v>
      </c>
      <c r="D968" s="2">
        <v>0.14280984953703704</v>
      </c>
      <c r="E968" t="s">
        <v>1806</v>
      </c>
      <c r="F968" t="s">
        <v>1807</v>
      </c>
      <c r="G968" t="s">
        <v>1235</v>
      </c>
      <c r="H968" t="s">
        <v>1061</v>
      </c>
      <c r="I968" t="s">
        <v>834</v>
      </c>
      <c r="J968" t="s">
        <v>81</v>
      </c>
      <c r="K968" t="s">
        <v>82</v>
      </c>
      <c r="L968">
        <v>181.24</v>
      </c>
      <c r="M968" s="1">
        <v>46218</v>
      </c>
      <c r="N968" t="s">
        <v>34</v>
      </c>
      <c r="O968">
        <v>15</v>
      </c>
      <c r="P968">
        <v>7</v>
      </c>
      <c r="Q968">
        <v>3</v>
      </c>
      <c r="R968">
        <v>2026</v>
      </c>
    </row>
    <row r="969" spans="1:18">
      <c r="A969">
        <v>832.05</v>
      </c>
      <c r="B969">
        <v>5</v>
      </c>
      <c r="C969">
        <v>968</v>
      </c>
      <c r="D969" s="2">
        <v>0.94762326388888884</v>
      </c>
      <c r="E969" t="s">
        <v>2611</v>
      </c>
      <c r="F969" t="s">
        <v>2612</v>
      </c>
      <c r="G969" t="s">
        <v>1050</v>
      </c>
      <c r="H969" t="s">
        <v>1395</v>
      </c>
      <c r="I969" t="s">
        <v>776</v>
      </c>
      <c r="J969" t="s">
        <v>285</v>
      </c>
      <c r="K969" t="s">
        <v>17</v>
      </c>
      <c r="L969">
        <v>166.41</v>
      </c>
      <c r="M969" s="1">
        <v>45816</v>
      </c>
      <c r="N969" t="s">
        <v>28</v>
      </c>
      <c r="O969">
        <v>8</v>
      </c>
      <c r="P969">
        <v>6</v>
      </c>
      <c r="Q969">
        <v>2</v>
      </c>
      <c r="R969">
        <v>2025</v>
      </c>
    </row>
    <row r="970" spans="1:18">
      <c r="A970">
        <v>3.06</v>
      </c>
      <c r="B970">
        <v>3</v>
      </c>
      <c r="C970">
        <v>969</v>
      </c>
      <c r="D970" s="2">
        <v>0.76868204861111111</v>
      </c>
      <c r="E970" t="s">
        <v>2460</v>
      </c>
      <c r="F970" t="s">
        <v>2461</v>
      </c>
      <c r="G970" t="s">
        <v>820</v>
      </c>
      <c r="H970" t="s">
        <v>196</v>
      </c>
      <c r="I970" t="s">
        <v>1247</v>
      </c>
      <c r="J970" t="s">
        <v>477</v>
      </c>
      <c r="K970" t="s">
        <v>39</v>
      </c>
      <c r="L970">
        <v>1.02</v>
      </c>
      <c r="M970" s="1">
        <v>46092</v>
      </c>
      <c r="N970" t="s">
        <v>34</v>
      </c>
      <c r="O970">
        <v>11</v>
      </c>
      <c r="P970">
        <v>3</v>
      </c>
      <c r="Q970">
        <v>1</v>
      </c>
      <c r="R970">
        <v>2026</v>
      </c>
    </row>
    <row r="971" spans="1:18">
      <c r="A971">
        <v>362.48</v>
      </c>
      <c r="B971">
        <v>4</v>
      </c>
      <c r="C971">
        <v>970</v>
      </c>
      <c r="D971" s="2">
        <v>0.81069451388888891</v>
      </c>
      <c r="E971" t="s">
        <v>2882</v>
      </c>
      <c r="F971" t="s">
        <v>2883</v>
      </c>
      <c r="G971" t="s">
        <v>2881</v>
      </c>
      <c r="H971" t="s">
        <v>1502</v>
      </c>
      <c r="I971" t="s">
        <v>817</v>
      </c>
      <c r="J971" t="s">
        <v>686</v>
      </c>
      <c r="K971" t="s">
        <v>82</v>
      </c>
      <c r="L971">
        <v>90.62</v>
      </c>
      <c r="M971" s="1">
        <v>45618</v>
      </c>
      <c r="N971" t="s">
        <v>79</v>
      </c>
      <c r="O971">
        <v>22</v>
      </c>
      <c r="P971">
        <v>11</v>
      </c>
      <c r="Q971">
        <v>4</v>
      </c>
      <c r="R971">
        <v>2024</v>
      </c>
    </row>
    <row r="972" spans="1:18">
      <c r="A972">
        <v>740.19999999999993</v>
      </c>
      <c r="B972">
        <v>5</v>
      </c>
      <c r="C972">
        <v>971</v>
      </c>
      <c r="D972" s="2">
        <v>0.23661162037037037</v>
      </c>
      <c r="E972" t="s">
        <v>2104</v>
      </c>
      <c r="F972" t="s">
        <v>2105</v>
      </c>
      <c r="G972" t="s">
        <v>991</v>
      </c>
      <c r="H972" t="s">
        <v>29</v>
      </c>
      <c r="I972" t="s">
        <v>821</v>
      </c>
      <c r="J972" t="s">
        <v>260</v>
      </c>
      <c r="K972" t="s">
        <v>46</v>
      </c>
      <c r="L972">
        <v>148.04</v>
      </c>
      <c r="M972" s="1">
        <v>45963</v>
      </c>
      <c r="N972" t="s">
        <v>28</v>
      </c>
      <c r="O972">
        <v>2</v>
      </c>
      <c r="P972">
        <v>11</v>
      </c>
      <c r="Q972">
        <v>4</v>
      </c>
      <c r="R972">
        <v>2025</v>
      </c>
    </row>
    <row r="973" spans="1:18">
      <c r="A973">
        <v>549.65000000000009</v>
      </c>
      <c r="B973">
        <v>5</v>
      </c>
      <c r="C973">
        <v>972</v>
      </c>
      <c r="D973" s="2">
        <v>9.1807569444444445E-2</v>
      </c>
      <c r="E973" t="s">
        <v>1153</v>
      </c>
      <c r="F973" t="s">
        <v>1154</v>
      </c>
      <c r="G973" t="s">
        <v>1155</v>
      </c>
      <c r="H973" t="s">
        <v>1156</v>
      </c>
      <c r="I973" t="s">
        <v>821</v>
      </c>
      <c r="J973" t="s">
        <v>360</v>
      </c>
      <c r="K973" t="s">
        <v>43</v>
      </c>
      <c r="L973">
        <v>109.93</v>
      </c>
      <c r="M973" s="1">
        <v>46023</v>
      </c>
      <c r="N973" t="s">
        <v>105</v>
      </c>
      <c r="O973">
        <v>1</v>
      </c>
      <c r="P973">
        <v>1</v>
      </c>
      <c r="Q973">
        <v>1</v>
      </c>
      <c r="R973">
        <v>2026</v>
      </c>
    </row>
    <row r="974" spans="1:18">
      <c r="A974">
        <v>61.08</v>
      </c>
      <c r="B974">
        <v>1</v>
      </c>
      <c r="C974">
        <v>973</v>
      </c>
      <c r="D974" s="2">
        <v>0.92726174768518521</v>
      </c>
      <c r="E974" t="s">
        <v>3506</v>
      </c>
      <c r="F974" t="s">
        <v>3507</v>
      </c>
      <c r="G974" t="s">
        <v>2292</v>
      </c>
      <c r="H974" t="s">
        <v>1292</v>
      </c>
      <c r="I974" t="s">
        <v>1247</v>
      </c>
      <c r="J974" t="s">
        <v>385</v>
      </c>
      <c r="K974" t="s">
        <v>39</v>
      </c>
      <c r="L974">
        <v>61.08</v>
      </c>
      <c r="M974" s="1">
        <v>46202</v>
      </c>
      <c r="N974" t="s">
        <v>93</v>
      </c>
      <c r="O974">
        <v>29</v>
      </c>
      <c r="P974">
        <v>6</v>
      </c>
      <c r="Q974">
        <v>2</v>
      </c>
      <c r="R974">
        <v>2026</v>
      </c>
    </row>
    <row r="975" spans="1:18">
      <c r="A975">
        <v>116.34</v>
      </c>
      <c r="B975">
        <v>2</v>
      </c>
      <c r="C975">
        <v>974</v>
      </c>
      <c r="D975" s="2">
        <v>0.91565839120370374</v>
      </c>
      <c r="E975" t="s">
        <v>769</v>
      </c>
      <c r="F975" t="s">
        <v>770</v>
      </c>
      <c r="G975" t="s">
        <v>771</v>
      </c>
      <c r="H975" t="s">
        <v>772</v>
      </c>
      <c r="I975" t="s">
        <v>758</v>
      </c>
      <c r="J975" t="s">
        <v>615</v>
      </c>
      <c r="K975" t="s">
        <v>100</v>
      </c>
      <c r="L975">
        <v>58.17</v>
      </c>
      <c r="M975" s="1">
        <v>45681</v>
      </c>
      <c r="N975" t="s">
        <v>79</v>
      </c>
      <c r="O975">
        <v>24</v>
      </c>
      <c r="P975">
        <v>1</v>
      </c>
      <c r="Q975">
        <v>1</v>
      </c>
      <c r="R975">
        <v>2025</v>
      </c>
    </row>
    <row r="976" spans="1:18">
      <c r="A976">
        <v>313.72000000000003</v>
      </c>
      <c r="B976">
        <v>2</v>
      </c>
      <c r="C976">
        <v>975</v>
      </c>
      <c r="D976" s="2">
        <v>0.53516922453703708</v>
      </c>
      <c r="E976" t="s">
        <v>2127</v>
      </c>
      <c r="F976" t="s">
        <v>2128</v>
      </c>
      <c r="G976" t="s">
        <v>1050</v>
      </c>
      <c r="H976" t="s">
        <v>1371</v>
      </c>
      <c r="I976" t="s">
        <v>786</v>
      </c>
      <c r="J976" t="s">
        <v>602</v>
      </c>
      <c r="K976" t="s">
        <v>17</v>
      </c>
      <c r="L976">
        <v>156.86000000000001</v>
      </c>
      <c r="M976" s="1">
        <v>45812</v>
      </c>
      <c r="N976" t="s">
        <v>34</v>
      </c>
      <c r="O976">
        <v>4</v>
      </c>
      <c r="P976">
        <v>6</v>
      </c>
      <c r="Q976">
        <v>2</v>
      </c>
      <c r="R976">
        <v>2025</v>
      </c>
    </row>
    <row r="977" spans="1:18">
      <c r="A977">
        <v>350.15999999999997</v>
      </c>
      <c r="B977">
        <v>3</v>
      </c>
      <c r="C977">
        <v>976</v>
      </c>
      <c r="D977" s="2">
        <v>9.0781516203703699E-2</v>
      </c>
      <c r="E977" t="s">
        <v>2483</v>
      </c>
      <c r="F977" t="s">
        <v>2484</v>
      </c>
      <c r="G977" t="s">
        <v>1155</v>
      </c>
      <c r="H977" t="s">
        <v>106</v>
      </c>
      <c r="I977" t="s">
        <v>790</v>
      </c>
      <c r="J977" t="s">
        <v>500</v>
      </c>
      <c r="K977" t="s">
        <v>27</v>
      </c>
      <c r="L977">
        <v>116.72</v>
      </c>
      <c r="M977" s="1">
        <v>45911</v>
      </c>
      <c r="N977" t="s">
        <v>105</v>
      </c>
      <c r="O977">
        <v>11</v>
      </c>
      <c r="P977">
        <v>9</v>
      </c>
      <c r="Q977">
        <v>3</v>
      </c>
      <c r="R977">
        <v>2025</v>
      </c>
    </row>
    <row r="978" spans="1:18">
      <c r="A978">
        <v>15.03</v>
      </c>
      <c r="B978">
        <v>1</v>
      </c>
      <c r="C978">
        <v>977</v>
      </c>
      <c r="D978" s="2">
        <v>0.66043248842592595</v>
      </c>
      <c r="E978" t="s">
        <v>1499</v>
      </c>
      <c r="F978" t="s">
        <v>1500</v>
      </c>
      <c r="G978" t="s">
        <v>1501</v>
      </c>
      <c r="H978" t="s">
        <v>1502</v>
      </c>
      <c r="I978" t="s">
        <v>817</v>
      </c>
      <c r="J978" t="s">
        <v>523</v>
      </c>
      <c r="K978" t="s">
        <v>23</v>
      </c>
      <c r="L978">
        <v>15.03</v>
      </c>
      <c r="M978" s="1">
        <v>46036</v>
      </c>
      <c r="N978" t="s">
        <v>34</v>
      </c>
      <c r="O978">
        <v>14</v>
      </c>
      <c r="P978">
        <v>1</v>
      </c>
      <c r="Q978">
        <v>1</v>
      </c>
      <c r="R978">
        <v>2026</v>
      </c>
    </row>
    <row r="979" spans="1:18">
      <c r="A979">
        <v>400.96</v>
      </c>
      <c r="B979">
        <v>2</v>
      </c>
      <c r="C979">
        <v>978</v>
      </c>
      <c r="D979" s="2">
        <v>0.36633927083333334</v>
      </c>
      <c r="E979" t="s">
        <v>3415</v>
      </c>
      <c r="F979" t="s">
        <v>3416</v>
      </c>
      <c r="G979" t="s">
        <v>1324</v>
      </c>
      <c r="H979" t="s">
        <v>392</v>
      </c>
      <c r="I979" t="s">
        <v>943</v>
      </c>
      <c r="J979" t="s">
        <v>2254</v>
      </c>
      <c r="K979" t="s">
        <v>43</v>
      </c>
      <c r="L979">
        <v>200.48</v>
      </c>
      <c r="M979" s="1">
        <v>46139</v>
      </c>
      <c r="N979" t="s">
        <v>93</v>
      </c>
      <c r="O979">
        <v>27</v>
      </c>
      <c r="P979">
        <v>4</v>
      </c>
      <c r="Q979">
        <v>2</v>
      </c>
      <c r="R979">
        <v>2026</v>
      </c>
    </row>
    <row r="980" spans="1:18">
      <c r="A980">
        <v>242.36</v>
      </c>
      <c r="B980">
        <v>1</v>
      </c>
      <c r="C980">
        <v>979</v>
      </c>
      <c r="D980" s="2">
        <v>0.14467983796296296</v>
      </c>
      <c r="E980" t="s">
        <v>3396</v>
      </c>
      <c r="F980" t="s">
        <v>3397</v>
      </c>
      <c r="G980" t="s">
        <v>1688</v>
      </c>
      <c r="H980" t="s">
        <v>106</v>
      </c>
      <c r="I980" t="s">
        <v>896</v>
      </c>
      <c r="J980" t="s">
        <v>115</v>
      </c>
      <c r="K980" t="s">
        <v>55</v>
      </c>
      <c r="L980">
        <v>242.36</v>
      </c>
      <c r="M980" s="1">
        <v>45996</v>
      </c>
      <c r="N980" t="s">
        <v>79</v>
      </c>
      <c r="O980">
        <v>5</v>
      </c>
      <c r="P980">
        <v>12</v>
      </c>
      <c r="Q980">
        <v>4</v>
      </c>
      <c r="R980">
        <v>2025</v>
      </c>
    </row>
    <row r="981" spans="1:18">
      <c r="A981">
        <v>131.25</v>
      </c>
      <c r="B981">
        <v>5</v>
      </c>
      <c r="C981">
        <v>980</v>
      </c>
      <c r="D981" s="2">
        <v>0.96344420138888887</v>
      </c>
      <c r="E981" t="s">
        <v>2504</v>
      </c>
      <c r="F981" t="s">
        <v>2505</v>
      </c>
      <c r="G981" t="s">
        <v>1452</v>
      </c>
      <c r="H981" t="s">
        <v>1339</v>
      </c>
      <c r="I981" t="s">
        <v>1247</v>
      </c>
      <c r="J981" t="s">
        <v>493</v>
      </c>
      <c r="K981" t="s">
        <v>46</v>
      </c>
      <c r="L981">
        <v>26.25</v>
      </c>
      <c r="M981" s="1">
        <v>45652</v>
      </c>
      <c r="N981" t="s">
        <v>105</v>
      </c>
      <c r="O981">
        <v>26</v>
      </c>
      <c r="P981">
        <v>12</v>
      </c>
      <c r="Q981">
        <v>4</v>
      </c>
      <c r="R981">
        <v>2024</v>
      </c>
    </row>
    <row r="982" spans="1:18">
      <c r="A982">
        <v>676.48</v>
      </c>
      <c r="B982">
        <v>4</v>
      </c>
      <c r="C982">
        <v>981</v>
      </c>
      <c r="D982" s="2">
        <v>0.6236401967592593</v>
      </c>
      <c r="E982" t="s">
        <v>3316</v>
      </c>
      <c r="F982" t="s">
        <v>3317</v>
      </c>
      <c r="G982" t="s">
        <v>2479</v>
      </c>
      <c r="H982" t="s">
        <v>513</v>
      </c>
      <c r="I982" t="s">
        <v>786</v>
      </c>
      <c r="J982" t="s">
        <v>368</v>
      </c>
      <c r="K982" t="s">
        <v>31</v>
      </c>
      <c r="L982">
        <v>169.12</v>
      </c>
      <c r="M982" s="1">
        <v>46113</v>
      </c>
      <c r="N982" t="s">
        <v>34</v>
      </c>
      <c r="O982">
        <v>1</v>
      </c>
      <c r="P982">
        <v>4</v>
      </c>
      <c r="Q982">
        <v>2</v>
      </c>
      <c r="R982">
        <v>2026</v>
      </c>
    </row>
    <row r="983" spans="1:18">
      <c r="A983">
        <v>953.8</v>
      </c>
      <c r="B983">
        <v>5</v>
      </c>
      <c r="C983">
        <v>982</v>
      </c>
      <c r="D983" s="2">
        <v>0.62496053240740745</v>
      </c>
      <c r="E983" t="s">
        <v>2350</v>
      </c>
      <c r="F983" t="s">
        <v>2351</v>
      </c>
      <c r="G983" t="s">
        <v>2346</v>
      </c>
      <c r="H983" t="s">
        <v>1306</v>
      </c>
      <c r="I983" t="s">
        <v>966</v>
      </c>
      <c r="J983" t="s">
        <v>1430</v>
      </c>
      <c r="K983" t="s">
        <v>60</v>
      </c>
      <c r="L983">
        <v>190.76</v>
      </c>
      <c r="M983" s="1">
        <v>45691</v>
      </c>
      <c r="N983" t="s">
        <v>93</v>
      </c>
      <c r="O983">
        <v>3</v>
      </c>
      <c r="P983">
        <v>2</v>
      </c>
      <c r="Q983">
        <v>1</v>
      </c>
      <c r="R983">
        <v>2025</v>
      </c>
    </row>
    <row r="984" spans="1:18">
      <c r="A984">
        <v>147.63</v>
      </c>
      <c r="B984">
        <v>3</v>
      </c>
      <c r="C984">
        <v>983</v>
      </c>
      <c r="D984" s="2">
        <v>0.12294811342592593</v>
      </c>
      <c r="E984" t="s">
        <v>3089</v>
      </c>
      <c r="F984" t="s">
        <v>3090</v>
      </c>
      <c r="G984" t="s">
        <v>1642</v>
      </c>
      <c r="H984" t="s">
        <v>2489</v>
      </c>
      <c r="I984" t="s">
        <v>1247</v>
      </c>
      <c r="J984" t="s">
        <v>717</v>
      </c>
      <c r="K984" t="s">
        <v>17</v>
      </c>
      <c r="L984">
        <v>49.21</v>
      </c>
      <c r="M984" s="1">
        <v>46141</v>
      </c>
      <c r="N984" t="s">
        <v>34</v>
      </c>
      <c r="O984">
        <v>29</v>
      </c>
      <c r="P984">
        <v>4</v>
      </c>
      <c r="Q984">
        <v>2</v>
      </c>
      <c r="R984">
        <v>2026</v>
      </c>
    </row>
    <row r="985" spans="1:18">
      <c r="A985">
        <v>19.46</v>
      </c>
      <c r="B985">
        <v>2</v>
      </c>
      <c r="C985">
        <v>984</v>
      </c>
      <c r="D985" s="2">
        <v>0.35306405092592591</v>
      </c>
      <c r="E985" t="s">
        <v>2841</v>
      </c>
      <c r="F985" t="s">
        <v>1063</v>
      </c>
      <c r="G985" t="s">
        <v>2842</v>
      </c>
      <c r="H985" t="s">
        <v>2574</v>
      </c>
      <c r="I985" t="s">
        <v>839</v>
      </c>
      <c r="J985" t="s">
        <v>716</v>
      </c>
      <c r="K985" t="s">
        <v>19</v>
      </c>
      <c r="L985">
        <v>9.73</v>
      </c>
      <c r="M985" s="1">
        <v>46046</v>
      </c>
      <c r="N985" t="s">
        <v>14</v>
      </c>
      <c r="O985">
        <v>24</v>
      </c>
      <c r="P985">
        <v>1</v>
      </c>
      <c r="Q985">
        <v>1</v>
      </c>
      <c r="R985">
        <v>2026</v>
      </c>
    </row>
    <row r="986" spans="1:18">
      <c r="A986">
        <v>16.36</v>
      </c>
      <c r="B986">
        <v>1</v>
      </c>
      <c r="C986">
        <v>985</v>
      </c>
      <c r="D986" s="2">
        <v>0.70739001157407411</v>
      </c>
      <c r="E986" t="s">
        <v>1692</v>
      </c>
      <c r="F986" t="s">
        <v>1693</v>
      </c>
      <c r="G986" t="s">
        <v>941</v>
      </c>
      <c r="H986" t="s">
        <v>211</v>
      </c>
      <c r="I986" t="s">
        <v>812</v>
      </c>
      <c r="J986" t="s">
        <v>1183</v>
      </c>
      <c r="K986" t="s">
        <v>100</v>
      </c>
      <c r="L986">
        <v>16.36</v>
      </c>
      <c r="M986" s="1">
        <v>45855</v>
      </c>
      <c r="N986" t="s">
        <v>105</v>
      </c>
      <c r="O986">
        <v>17</v>
      </c>
      <c r="P986">
        <v>7</v>
      </c>
      <c r="Q986">
        <v>3</v>
      </c>
      <c r="R986">
        <v>2025</v>
      </c>
    </row>
    <row r="987" spans="1:18">
      <c r="A987">
        <v>315.69</v>
      </c>
      <c r="B987">
        <v>3</v>
      </c>
      <c r="C987">
        <v>986</v>
      </c>
      <c r="D987" s="2">
        <v>0.43895343749999999</v>
      </c>
      <c r="E987" t="s">
        <v>2946</v>
      </c>
      <c r="F987" t="s">
        <v>2947</v>
      </c>
      <c r="G987" t="s">
        <v>2948</v>
      </c>
      <c r="H987" t="s">
        <v>136</v>
      </c>
      <c r="I987" t="s">
        <v>776</v>
      </c>
      <c r="J987" t="s">
        <v>175</v>
      </c>
      <c r="K987" t="s">
        <v>21</v>
      </c>
      <c r="L987">
        <v>105.23</v>
      </c>
      <c r="M987" s="1">
        <v>45661</v>
      </c>
      <c r="N987" t="s">
        <v>14</v>
      </c>
      <c r="O987">
        <v>4</v>
      </c>
      <c r="P987">
        <v>1</v>
      </c>
      <c r="Q987">
        <v>1</v>
      </c>
      <c r="R987">
        <v>2025</v>
      </c>
    </row>
    <row r="988" spans="1:18">
      <c r="A988">
        <v>208.08</v>
      </c>
      <c r="B988">
        <v>2</v>
      </c>
      <c r="C988">
        <v>987</v>
      </c>
      <c r="D988" s="2">
        <v>0.62500344907407412</v>
      </c>
      <c r="E988" t="s">
        <v>2877</v>
      </c>
      <c r="F988" t="s">
        <v>2878</v>
      </c>
      <c r="G988" t="s">
        <v>2111</v>
      </c>
      <c r="H988" t="s">
        <v>280</v>
      </c>
      <c r="I988" t="s">
        <v>812</v>
      </c>
      <c r="J988" t="s">
        <v>507</v>
      </c>
      <c r="K988" t="s">
        <v>55</v>
      </c>
      <c r="L988">
        <v>104.04</v>
      </c>
      <c r="M988" s="1">
        <v>45602</v>
      </c>
      <c r="N988" t="s">
        <v>34</v>
      </c>
      <c r="O988">
        <v>6</v>
      </c>
      <c r="P988">
        <v>11</v>
      </c>
      <c r="Q988">
        <v>4</v>
      </c>
      <c r="R988">
        <v>2024</v>
      </c>
    </row>
    <row r="989" spans="1:18">
      <c r="A989">
        <v>22.97</v>
      </c>
      <c r="B989">
        <v>1</v>
      </c>
      <c r="C989">
        <v>988</v>
      </c>
      <c r="D989" s="2">
        <v>0.49328636574074075</v>
      </c>
      <c r="E989" t="s">
        <v>2238</v>
      </c>
      <c r="F989" t="s">
        <v>1357</v>
      </c>
      <c r="G989" t="s">
        <v>1515</v>
      </c>
      <c r="H989" t="s">
        <v>1626</v>
      </c>
      <c r="I989" t="s">
        <v>812</v>
      </c>
      <c r="J989" t="s">
        <v>90</v>
      </c>
      <c r="K989" t="s">
        <v>23</v>
      </c>
      <c r="L989">
        <v>22.97</v>
      </c>
      <c r="M989" s="1">
        <v>46218</v>
      </c>
      <c r="N989" t="s">
        <v>34</v>
      </c>
      <c r="O989">
        <v>15</v>
      </c>
      <c r="P989">
        <v>7</v>
      </c>
      <c r="Q989">
        <v>3</v>
      </c>
      <c r="R989">
        <v>2026</v>
      </c>
    </row>
    <row r="990" spans="1:18">
      <c r="A990">
        <v>859.8</v>
      </c>
      <c r="B990">
        <v>4</v>
      </c>
      <c r="C990">
        <v>989</v>
      </c>
      <c r="D990" s="2">
        <v>0.60250649305555559</v>
      </c>
      <c r="E990" t="s">
        <v>1075</v>
      </c>
      <c r="F990" t="s">
        <v>1076</v>
      </c>
      <c r="G990" t="s">
        <v>1077</v>
      </c>
      <c r="H990" t="s">
        <v>1078</v>
      </c>
      <c r="I990" t="s">
        <v>781</v>
      </c>
      <c r="J990" t="s">
        <v>195</v>
      </c>
      <c r="K990" t="s">
        <v>31</v>
      </c>
      <c r="L990">
        <v>214.95</v>
      </c>
      <c r="M990" s="1">
        <v>45642</v>
      </c>
      <c r="N990" t="s">
        <v>93</v>
      </c>
      <c r="O990">
        <v>16</v>
      </c>
      <c r="P990">
        <v>12</v>
      </c>
      <c r="Q990">
        <v>4</v>
      </c>
      <c r="R990">
        <v>2024</v>
      </c>
    </row>
    <row r="991" spans="1:18">
      <c r="A991">
        <v>557.76</v>
      </c>
      <c r="B991">
        <v>3</v>
      </c>
      <c r="C991">
        <v>990</v>
      </c>
      <c r="D991" s="2">
        <v>0.38340585648148146</v>
      </c>
      <c r="E991" t="s">
        <v>3407</v>
      </c>
      <c r="F991" t="s">
        <v>3408</v>
      </c>
      <c r="G991" t="s">
        <v>2503</v>
      </c>
      <c r="H991" t="s">
        <v>1239</v>
      </c>
      <c r="I991" t="s">
        <v>795</v>
      </c>
      <c r="J991" t="s">
        <v>683</v>
      </c>
      <c r="K991" t="s">
        <v>55</v>
      </c>
      <c r="L991">
        <v>185.92</v>
      </c>
      <c r="M991" s="1">
        <v>46230</v>
      </c>
      <c r="N991" t="s">
        <v>93</v>
      </c>
      <c r="O991">
        <v>27</v>
      </c>
      <c r="P991">
        <v>7</v>
      </c>
      <c r="Q991">
        <v>3</v>
      </c>
      <c r="R991">
        <v>2026</v>
      </c>
    </row>
    <row r="992" spans="1:18">
      <c r="A992">
        <v>140.82</v>
      </c>
      <c r="B992">
        <v>3</v>
      </c>
      <c r="C992">
        <v>991</v>
      </c>
      <c r="D992" s="2">
        <v>9.7491956018518525E-2</v>
      </c>
      <c r="E992" t="s">
        <v>1264</v>
      </c>
      <c r="F992" t="s">
        <v>1265</v>
      </c>
      <c r="G992" t="s">
        <v>1266</v>
      </c>
      <c r="H992" t="s">
        <v>392</v>
      </c>
      <c r="I992" t="s">
        <v>943</v>
      </c>
      <c r="J992" t="s">
        <v>365</v>
      </c>
      <c r="K992" t="s">
        <v>51</v>
      </c>
      <c r="L992">
        <v>46.94</v>
      </c>
      <c r="M992" s="1">
        <v>46174</v>
      </c>
      <c r="N992" t="s">
        <v>93</v>
      </c>
      <c r="O992">
        <v>1</v>
      </c>
      <c r="P992">
        <v>6</v>
      </c>
      <c r="Q992">
        <v>2</v>
      </c>
      <c r="R992">
        <v>2026</v>
      </c>
    </row>
    <row r="993" spans="1:18">
      <c r="A993">
        <v>366.24</v>
      </c>
      <c r="B993">
        <v>3</v>
      </c>
      <c r="C993">
        <v>992</v>
      </c>
      <c r="D993" s="2">
        <v>0.78193771990740746</v>
      </c>
      <c r="E993" t="s">
        <v>2129</v>
      </c>
      <c r="F993" t="s">
        <v>2130</v>
      </c>
      <c r="G993" t="s">
        <v>998</v>
      </c>
      <c r="H993" t="s">
        <v>380</v>
      </c>
      <c r="I993" t="s">
        <v>776</v>
      </c>
      <c r="J993" t="s">
        <v>646</v>
      </c>
      <c r="K993" t="s">
        <v>21</v>
      </c>
      <c r="L993">
        <v>122.08</v>
      </c>
      <c r="M993" s="1">
        <v>45651</v>
      </c>
      <c r="N993" t="s">
        <v>34</v>
      </c>
      <c r="O993">
        <v>25</v>
      </c>
      <c r="P993">
        <v>12</v>
      </c>
      <c r="Q993">
        <v>4</v>
      </c>
      <c r="R993">
        <v>2024</v>
      </c>
    </row>
    <row r="994" spans="1:18">
      <c r="A994">
        <v>218.75</v>
      </c>
      <c r="B994">
        <v>5</v>
      </c>
      <c r="C994">
        <v>993</v>
      </c>
      <c r="D994" s="2">
        <v>0.13769466435185185</v>
      </c>
      <c r="E994" t="s">
        <v>1267</v>
      </c>
      <c r="F994" t="s">
        <v>1268</v>
      </c>
      <c r="G994" t="s">
        <v>935</v>
      </c>
      <c r="H994" t="s">
        <v>380</v>
      </c>
      <c r="I994" t="s">
        <v>896</v>
      </c>
      <c r="J994" t="s">
        <v>386</v>
      </c>
      <c r="K994" t="s">
        <v>21</v>
      </c>
      <c r="L994">
        <v>43.75</v>
      </c>
      <c r="M994" s="1">
        <v>45720</v>
      </c>
      <c r="N994" t="s">
        <v>48</v>
      </c>
      <c r="O994">
        <v>4</v>
      </c>
      <c r="P994">
        <v>3</v>
      </c>
      <c r="Q994">
        <v>1</v>
      </c>
      <c r="R994">
        <v>2025</v>
      </c>
    </row>
    <row r="995" spans="1:18">
      <c r="A995">
        <v>682.28</v>
      </c>
      <c r="B995">
        <v>4</v>
      </c>
      <c r="C995">
        <v>994</v>
      </c>
      <c r="D995" s="2">
        <v>4.396570601851852E-2</v>
      </c>
      <c r="E995" t="s">
        <v>1180</v>
      </c>
      <c r="F995" t="s">
        <v>1181</v>
      </c>
      <c r="G995" t="s">
        <v>1182</v>
      </c>
      <c r="H995" t="s">
        <v>953</v>
      </c>
      <c r="I995" t="s">
        <v>954</v>
      </c>
      <c r="J995" t="s">
        <v>482</v>
      </c>
      <c r="K995" t="s">
        <v>82</v>
      </c>
      <c r="L995">
        <v>170.57</v>
      </c>
      <c r="M995" s="1">
        <v>46017</v>
      </c>
      <c r="N995" t="s">
        <v>79</v>
      </c>
      <c r="O995">
        <v>26</v>
      </c>
      <c r="P995">
        <v>12</v>
      </c>
      <c r="Q995">
        <v>4</v>
      </c>
      <c r="R995">
        <v>2025</v>
      </c>
    </row>
    <row r="996" spans="1:18">
      <c r="A996">
        <v>306.48</v>
      </c>
      <c r="B996">
        <v>3</v>
      </c>
      <c r="C996">
        <v>995</v>
      </c>
      <c r="D996" s="2">
        <v>0.16718393518518518</v>
      </c>
      <c r="E996" t="s">
        <v>3191</v>
      </c>
      <c r="F996" t="s">
        <v>3192</v>
      </c>
      <c r="G996" t="s">
        <v>1862</v>
      </c>
      <c r="H996" t="s">
        <v>1465</v>
      </c>
      <c r="I996" t="s">
        <v>817</v>
      </c>
      <c r="J996" t="s">
        <v>286</v>
      </c>
      <c r="K996" t="s">
        <v>97</v>
      </c>
      <c r="L996">
        <v>102.16</v>
      </c>
      <c r="M996" s="1">
        <v>46081</v>
      </c>
      <c r="N996" t="s">
        <v>14</v>
      </c>
      <c r="O996">
        <v>28</v>
      </c>
      <c r="P996">
        <v>2</v>
      </c>
      <c r="Q996">
        <v>1</v>
      </c>
      <c r="R996">
        <v>2026</v>
      </c>
    </row>
    <row r="997" spans="1:18">
      <c r="A997">
        <v>532.9</v>
      </c>
      <c r="B997">
        <v>5</v>
      </c>
      <c r="C997">
        <v>996</v>
      </c>
      <c r="D997" s="2">
        <v>0.64568751157407411</v>
      </c>
      <c r="E997" t="s">
        <v>3135</v>
      </c>
      <c r="F997" t="s">
        <v>3136</v>
      </c>
      <c r="G997" t="s">
        <v>906</v>
      </c>
      <c r="H997" t="s">
        <v>29</v>
      </c>
      <c r="I997" t="s">
        <v>821</v>
      </c>
      <c r="J997" t="s">
        <v>670</v>
      </c>
      <c r="K997" t="s">
        <v>57</v>
      </c>
      <c r="L997">
        <v>106.58</v>
      </c>
      <c r="M997" s="1">
        <v>45634</v>
      </c>
      <c r="N997" t="s">
        <v>28</v>
      </c>
      <c r="O997">
        <v>8</v>
      </c>
      <c r="P997">
        <v>12</v>
      </c>
      <c r="Q997">
        <v>4</v>
      </c>
      <c r="R997">
        <v>2024</v>
      </c>
    </row>
    <row r="998" spans="1:18">
      <c r="A998">
        <v>57.16</v>
      </c>
      <c r="B998">
        <v>4</v>
      </c>
      <c r="C998">
        <v>997</v>
      </c>
      <c r="D998" s="2">
        <v>0.51591406250000005</v>
      </c>
      <c r="E998" t="s">
        <v>2779</v>
      </c>
      <c r="F998" t="s">
        <v>2780</v>
      </c>
      <c r="G998" t="s">
        <v>1020</v>
      </c>
      <c r="H998" t="s">
        <v>883</v>
      </c>
      <c r="I998" t="s">
        <v>807</v>
      </c>
      <c r="J998" t="s">
        <v>685</v>
      </c>
      <c r="K998" t="s">
        <v>69</v>
      </c>
      <c r="L998">
        <v>14.29</v>
      </c>
      <c r="M998" s="1">
        <v>46094</v>
      </c>
      <c r="N998" t="s">
        <v>79</v>
      </c>
      <c r="O998">
        <v>13</v>
      </c>
      <c r="P998">
        <v>3</v>
      </c>
      <c r="Q998">
        <v>1</v>
      </c>
      <c r="R998">
        <v>2026</v>
      </c>
    </row>
    <row r="999" spans="1:18">
      <c r="A999">
        <v>43.62</v>
      </c>
      <c r="B999">
        <v>3</v>
      </c>
      <c r="C999">
        <v>998</v>
      </c>
      <c r="D999" s="2">
        <v>0.82018158564814814</v>
      </c>
      <c r="E999" t="s">
        <v>3093</v>
      </c>
      <c r="F999" t="s">
        <v>3094</v>
      </c>
      <c r="G999" t="s">
        <v>2108</v>
      </c>
      <c r="H999" t="s">
        <v>196</v>
      </c>
      <c r="I999" t="s">
        <v>830</v>
      </c>
      <c r="J999" t="s">
        <v>1349</v>
      </c>
      <c r="K999" t="s">
        <v>97</v>
      </c>
      <c r="L999">
        <v>14.54</v>
      </c>
      <c r="M999" s="1">
        <v>46110</v>
      </c>
      <c r="N999" t="s">
        <v>28</v>
      </c>
      <c r="O999">
        <v>29</v>
      </c>
      <c r="P999">
        <v>3</v>
      </c>
      <c r="Q999">
        <v>1</v>
      </c>
      <c r="R999">
        <v>2026</v>
      </c>
    </row>
    <row r="1000" spans="1:18">
      <c r="A1000">
        <v>717.84999999999991</v>
      </c>
      <c r="B1000">
        <v>5</v>
      </c>
      <c r="C1000">
        <v>999</v>
      </c>
      <c r="D1000" s="2">
        <v>0.96893290509259256</v>
      </c>
      <c r="E1000" t="s">
        <v>1787</v>
      </c>
      <c r="F1000" t="s">
        <v>1788</v>
      </c>
      <c r="G1000" t="s">
        <v>1162</v>
      </c>
      <c r="H1000" t="s">
        <v>767</v>
      </c>
      <c r="I1000" t="s">
        <v>768</v>
      </c>
      <c r="J1000" t="s">
        <v>514</v>
      </c>
      <c r="K1000" t="s">
        <v>23</v>
      </c>
      <c r="L1000">
        <v>143.57</v>
      </c>
      <c r="M1000" s="1">
        <v>45813</v>
      </c>
      <c r="N1000" t="s">
        <v>105</v>
      </c>
      <c r="O1000">
        <v>5</v>
      </c>
      <c r="P1000">
        <v>6</v>
      </c>
      <c r="Q1000">
        <v>2</v>
      </c>
      <c r="R1000">
        <v>2025</v>
      </c>
    </row>
    <row r="1001" spans="1:18">
      <c r="A1001">
        <v>976.96</v>
      </c>
      <c r="B1001">
        <v>4</v>
      </c>
      <c r="C1001">
        <v>1000</v>
      </c>
      <c r="D1001" s="2">
        <v>0.69775303240740738</v>
      </c>
      <c r="E1001" t="s">
        <v>912</v>
      </c>
      <c r="F1001" t="s">
        <v>913</v>
      </c>
      <c r="G1001" t="s">
        <v>914</v>
      </c>
      <c r="H1001" t="s">
        <v>915</v>
      </c>
      <c r="I1001" t="s">
        <v>768</v>
      </c>
      <c r="J1001" t="s">
        <v>61</v>
      </c>
      <c r="K1001" t="s">
        <v>55</v>
      </c>
      <c r="L1001">
        <v>244.24</v>
      </c>
      <c r="M1001" s="1">
        <v>46128</v>
      </c>
      <c r="N1001" t="s">
        <v>105</v>
      </c>
      <c r="O1001">
        <v>16</v>
      </c>
      <c r="P1001">
        <v>4</v>
      </c>
      <c r="Q1001">
        <v>2</v>
      </c>
      <c r="R1001">
        <v>2026</v>
      </c>
    </row>
    <row r="1002" spans="1:18">
      <c r="A1002">
        <v>1016.15</v>
      </c>
      <c r="B1002">
        <v>5</v>
      </c>
      <c r="C1002">
        <v>1001</v>
      </c>
      <c r="D1002" s="2">
        <v>0.14595953703703704</v>
      </c>
      <c r="E1002" t="s">
        <v>1860</v>
      </c>
      <c r="F1002" t="s">
        <v>1861</v>
      </c>
      <c r="G1002" t="s">
        <v>1862</v>
      </c>
      <c r="H1002" t="s">
        <v>879</v>
      </c>
      <c r="I1002" t="s">
        <v>748</v>
      </c>
      <c r="J1002" t="s">
        <v>417</v>
      </c>
      <c r="K1002" t="s">
        <v>51</v>
      </c>
      <c r="L1002">
        <v>203.23</v>
      </c>
      <c r="M1002" s="1">
        <v>45960</v>
      </c>
      <c r="N1002" t="s">
        <v>105</v>
      </c>
      <c r="O1002">
        <v>30</v>
      </c>
      <c r="P1002">
        <v>10</v>
      </c>
      <c r="Q1002">
        <v>4</v>
      </c>
      <c r="R1002">
        <v>2025</v>
      </c>
    </row>
    <row r="1003" spans="1:18">
      <c r="A1003">
        <v>509.52</v>
      </c>
      <c r="B1003">
        <v>4</v>
      </c>
      <c r="C1003">
        <v>1002</v>
      </c>
      <c r="D1003" s="2">
        <v>0.99193877314814816</v>
      </c>
      <c r="E1003" t="s">
        <v>1214</v>
      </c>
      <c r="F1003" t="s">
        <v>1215</v>
      </c>
      <c r="G1003" t="s">
        <v>1216</v>
      </c>
      <c r="H1003" t="s">
        <v>199</v>
      </c>
      <c r="I1003" t="s">
        <v>781</v>
      </c>
      <c r="J1003" t="s">
        <v>1217</v>
      </c>
      <c r="K1003" t="s">
        <v>122</v>
      </c>
      <c r="L1003">
        <v>127.38</v>
      </c>
      <c r="M1003" s="1">
        <v>46173</v>
      </c>
      <c r="N1003" t="s">
        <v>28</v>
      </c>
      <c r="O1003">
        <v>31</v>
      </c>
      <c r="P1003">
        <v>5</v>
      </c>
      <c r="Q1003">
        <v>2</v>
      </c>
      <c r="R1003">
        <v>2026</v>
      </c>
    </row>
    <row r="1004" spans="1:18">
      <c r="A1004">
        <v>426.32</v>
      </c>
      <c r="B1004">
        <v>4</v>
      </c>
      <c r="C1004">
        <v>1003</v>
      </c>
      <c r="D1004" s="2">
        <v>0.79975216435185181</v>
      </c>
      <c r="E1004" t="s">
        <v>2349</v>
      </c>
      <c r="F1004" t="s">
        <v>1571</v>
      </c>
      <c r="G1004" t="s">
        <v>1045</v>
      </c>
      <c r="H1004" t="s">
        <v>919</v>
      </c>
      <c r="I1004" t="s">
        <v>786</v>
      </c>
      <c r="J1004" t="s">
        <v>670</v>
      </c>
      <c r="K1004" t="s">
        <v>57</v>
      </c>
      <c r="L1004">
        <v>106.58</v>
      </c>
      <c r="M1004" s="1">
        <v>46044</v>
      </c>
      <c r="N1004" t="s">
        <v>105</v>
      </c>
      <c r="O1004">
        <v>22</v>
      </c>
      <c r="P1004">
        <v>1</v>
      </c>
      <c r="Q1004">
        <v>1</v>
      </c>
      <c r="R1004">
        <v>2026</v>
      </c>
    </row>
    <row r="1005" spans="1:18">
      <c r="A1005">
        <v>324.14999999999998</v>
      </c>
      <c r="B1005">
        <v>3</v>
      </c>
      <c r="C1005">
        <v>1004</v>
      </c>
      <c r="D1005" s="2">
        <v>0.66530505787037042</v>
      </c>
      <c r="E1005" t="s">
        <v>1992</v>
      </c>
      <c r="F1005" t="s">
        <v>1993</v>
      </c>
      <c r="G1005" t="s">
        <v>1968</v>
      </c>
      <c r="H1005" t="s">
        <v>1257</v>
      </c>
      <c r="I1005" t="s">
        <v>839</v>
      </c>
      <c r="J1005" t="s">
        <v>682</v>
      </c>
      <c r="K1005" t="s">
        <v>23</v>
      </c>
      <c r="L1005">
        <v>108.05</v>
      </c>
      <c r="M1005" s="1">
        <v>45822</v>
      </c>
      <c r="N1005" t="s">
        <v>14</v>
      </c>
      <c r="O1005">
        <v>14</v>
      </c>
      <c r="P1005">
        <v>6</v>
      </c>
      <c r="Q1005">
        <v>2</v>
      </c>
      <c r="R1005">
        <v>2025</v>
      </c>
    </row>
    <row r="1006" spans="1:18">
      <c r="A1006">
        <v>18.43</v>
      </c>
      <c r="B1006">
        <v>1</v>
      </c>
      <c r="C1006">
        <v>1005</v>
      </c>
      <c r="D1006" s="2">
        <v>0.31335582175925925</v>
      </c>
      <c r="E1006" t="s">
        <v>2810</v>
      </c>
      <c r="F1006" t="s">
        <v>2811</v>
      </c>
      <c r="G1006" t="s">
        <v>2775</v>
      </c>
      <c r="H1006" t="s">
        <v>199</v>
      </c>
      <c r="I1006" t="s">
        <v>781</v>
      </c>
      <c r="J1006" t="s">
        <v>1816</v>
      </c>
      <c r="K1006" t="s">
        <v>37</v>
      </c>
      <c r="L1006">
        <v>18.43</v>
      </c>
      <c r="M1006" s="1">
        <v>45719</v>
      </c>
      <c r="N1006" t="s">
        <v>93</v>
      </c>
      <c r="O1006">
        <v>3</v>
      </c>
      <c r="P1006">
        <v>3</v>
      </c>
      <c r="Q1006">
        <v>1</v>
      </c>
      <c r="R1006">
        <v>2025</v>
      </c>
    </row>
    <row r="1007" spans="1:18">
      <c r="A1007">
        <v>51.65</v>
      </c>
      <c r="B1007">
        <v>1</v>
      </c>
      <c r="C1007">
        <v>1006</v>
      </c>
      <c r="D1007" s="2">
        <v>0.82351600694444449</v>
      </c>
      <c r="E1007" t="s">
        <v>1463</v>
      </c>
      <c r="F1007" t="s">
        <v>1464</v>
      </c>
      <c r="G1007" t="s">
        <v>882</v>
      </c>
      <c r="H1007" t="s">
        <v>1465</v>
      </c>
      <c r="I1007" t="s">
        <v>817</v>
      </c>
      <c r="J1007" t="s">
        <v>212</v>
      </c>
      <c r="K1007" t="s">
        <v>57</v>
      </c>
      <c r="L1007">
        <v>51.65</v>
      </c>
      <c r="M1007" s="1">
        <v>46028</v>
      </c>
      <c r="N1007" t="s">
        <v>48</v>
      </c>
      <c r="O1007">
        <v>6</v>
      </c>
      <c r="P1007">
        <v>1</v>
      </c>
      <c r="Q1007">
        <v>1</v>
      </c>
      <c r="R1007">
        <v>2026</v>
      </c>
    </row>
    <row r="1008" spans="1:18">
      <c r="A1008">
        <v>193.22</v>
      </c>
      <c r="B1008">
        <v>1</v>
      </c>
      <c r="C1008">
        <v>1007</v>
      </c>
      <c r="D1008" s="2">
        <v>0.1569625925925926</v>
      </c>
      <c r="E1008" t="s">
        <v>2372</v>
      </c>
      <c r="F1008" t="s">
        <v>2373</v>
      </c>
      <c r="G1008" t="s">
        <v>2319</v>
      </c>
      <c r="H1008" t="s">
        <v>713</v>
      </c>
      <c r="I1008" t="s">
        <v>908</v>
      </c>
      <c r="J1008" t="s">
        <v>430</v>
      </c>
      <c r="K1008" t="s">
        <v>27</v>
      </c>
      <c r="L1008">
        <v>193.22</v>
      </c>
      <c r="M1008" s="1">
        <v>46090</v>
      </c>
      <c r="N1008" t="s">
        <v>93</v>
      </c>
      <c r="O1008">
        <v>9</v>
      </c>
      <c r="P1008">
        <v>3</v>
      </c>
      <c r="Q1008">
        <v>1</v>
      </c>
      <c r="R1008">
        <v>2026</v>
      </c>
    </row>
    <row r="1009" spans="1:18">
      <c r="A1009">
        <v>454.35</v>
      </c>
      <c r="B1009">
        <v>5</v>
      </c>
      <c r="C1009">
        <v>1008</v>
      </c>
      <c r="D1009" s="2">
        <v>0.25093961805555554</v>
      </c>
      <c r="E1009" t="s">
        <v>2182</v>
      </c>
      <c r="F1009" t="s">
        <v>2183</v>
      </c>
      <c r="G1009" t="s">
        <v>2184</v>
      </c>
      <c r="H1009" t="s">
        <v>838</v>
      </c>
      <c r="I1009" t="s">
        <v>839</v>
      </c>
      <c r="J1009" t="s">
        <v>470</v>
      </c>
      <c r="K1009" t="s">
        <v>39</v>
      </c>
      <c r="L1009">
        <v>90.87</v>
      </c>
      <c r="M1009" s="1">
        <v>46129</v>
      </c>
      <c r="N1009" t="s">
        <v>79</v>
      </c>
      <c r="O1009">
        <v>17</v>
      </c>
      <c r="P1009">
        <v>4</v>
      </c>
      <c r="Q1009">
        <v>2</v>
      </c>
      <c r="R1009">
        <v>2026</v>
      </c>
    </row>
    <row r="1010" spans="1:18">
      <c r="A1010">
        <v>338.1</v>
      </c>
      <c r="B1010">
        <v>5</v>
      </c>
      <c r="C1010">
        <v>1009</v>
      </c>
      <c r="D1010" s="2">
        <v>0.83080400462962967</v>
      </c>
      <c r="E1010" t="s">
        <v>955</v>
      </c>
      <c r="F1010" t="s">
        <v>956</v>
      </c>
      <c r="G1010" t="s">
        <v>957</v>
      </c>
      <c r="H1010" t="s">
        <v>825</v>
      </c>
      <c r="I1010" t="s">
        <v>781</v>
      </c>
      <c r="J1010" t="s">
        <v>697</v>
      </c>
      <c r="K1010" t="s">
        <v>17</v>
      </c>
      <c r="L1010">
        <v>67.62</v>
      </c>
      <c r="M1010" s="1">
        <v>46231</v>
      </c>
      <c r="N1010" t="s">
        <v>48</v>
      </c>
      <c r="O1010">
        <v>28</v>
      </c>
      <c r="P1010">
        <v>7</v>
      </c>
      <c r="Q1010">
        <v>3</v>
      </c>
      <c r="R1010">
        <v>2026</v>
      </c>
    </row>
    <row r="1011" spans="1:18">
      <c r="A1011">
        <v>201.03</v>
      </c>
      <c r="B1011">
        <v>1</v>
      </c>
      <c r="C1011">
        <v>1010</v>
      </c>
      <c r="D1011" s="2">
        <v>0.36032701388888888</v>
      </c>
      <c r="E1011" t="s">
        <v>1951</v>
      </c>
      <c r="F1011" t="s">
        <v>1952</v>
      </c>
      <c r="G1011" t="s">
        <v>1953</v>
      </c>
      <c r="H1011" t="s">
        <v>1882</v>
      </c>
      <c r="I1011" t="s">
        <v>795</v>
      </c>
      <c r="J1011" t="s">
        <v>314</v>
      </c>
      <c r="K1011" t="s">
        <v>100</v>
      </c>
      <c r="L1011">
        <v>201.03</v>
      </c>
      <c r="M1011" s="1">
        <v>45904</v>
      </c>
      <c r="N1011" t="s">
        <v>105</v>
      </c>
      <c r="O1011">
        <v>4</v>
      </c>
      <c r="P1011">
        <v>9</v>
      </c>
      <c r="Q1011">
        <v>3</v>
      </c>
      <c r="R1011">
        <v>2025</v>
      </c>
    </row>
    <row r="1012" spans="1:18">
      <c r="A1012">
        <v>525.05000000000007</v>
      </c>
      <c r="B1012">
        <v>5</v>
      </c>
      <c r="C1012">
        <v>1011</v>
      </c>
      <c r="D1012" s="2">
        <v>0.56544745370370375</v>
      </c>
      <c r="E1012" t="s">
        <v>1839</v>
      </c>
      <c r="F1012" t="s">
        <v>1840</v>
      </c>
      <c r="G1012" t="s">
        <v>902</v>
      </c>
      <c r="H1012" t="s">
        <v>1841</v>
      </c>
      <c r="I1012" t="s">
        <v>753</v>
      </c>
      <c r="J1012" t="s">
        <v>448</v>
      </c>
      <c r="K1012" t="s">
        <v>55</v>
      </c>
      <c r="L1012">
        <v>105.01</v>
      </c>
      <c r="M1012" s="1">
        <v>45561</v>
      </c>
      <c r="N1012" t="s">
        <v>105</v>
      </c>
      <c r="O1012">
        <v>26</v>
      </c>
      <c r="P1012">
        <v>9</v>
      </c>
      <c r="Q1012">
        <v>3</v>
      </c>
      <c r="R1012">
        <v>2024</v>
      </c>
    </row>
    <row r="1013" spans="1:18">
      <c r="A1013">
        <v>102.68</v>
      </c>
      <c r="B1013">
        <v>2</v>
      </c>
      <c r="C1013">
        <v>1012</v>
      </c>
      <c r="D1013" s="2">
        <v>0.41464547453703704</v>
      </c>
      <c r="E1013" t="s">
        <v>3140</v>
      </c>
      <c r="F1013" t="s">
        <v>3141</v>
      </c>
      <c r="G1013" t="s">
        <v>2904</v>
      </c>
      <c r="H1013" t="s">
        <v>562</v>
      </c>
      <c r="I1013" t="s">
        <v>753</v>
      </c>
      <c r="J1013" t="s">
        <v>376</v>
      </c>
      <c r="K1013" t="s">
        <v>51</v>
      </c>
      <c r="L1013">
        <v>51.34</v>
      </c>
      <c r="M1013" s="1">
        <v>45602</v>
      </c>
      <c r="N1013" t="s">
        <v>34</v>
      </c>
      <c r="O1013">
        <v>6</v>
      </c>
      <c r="P1013">
        <v>11</v>
      </c>
      <c r="Q1013">
        <v>4</v>
      </c>
      <c r="R1013">
        <v>2024</v>
      </c>
    </row>
    <row r="1014" spans="1:18">
      <c r="A1014">
        <v>214.06</v>
      </c>
      <c r="B1014">
        <v>2</v>
      </c>
      <c r="C1014">
        <v>1013</v>
      </c>
      <c r="D1014" s="2">
        <v>0.11122944444444445</v>
      </c>
      <c r="E1014" t="s">
        <v>1916</v>
      </c>
      <c r="F1014" t="s">
        <v>1917</v>
      </c>
      <c r="G1014" t="s">
        <v>1195</v>
      </c>
      <c r="H1014" t="s">
        <v>1384</v>
      </c>
      <c r="I1014" t="s">
        <v>908</v>
      </c>
      <c r="J1014" t="s">
        <v>529</v>
      </c>
      <c r="K1014" t="s">
        <v>37</v>
      </c>
      <c r="L1014">
        <v>107.03</v>
      </c>
      <c r="M1014" s="1">
        <v>46011</v>
      </c>
      <c r="N1014" t="s">
        <v>14</v>
      </c>
      <c r="O1014">
        <v>20</v>
      </c>
      <c r="P1014">
        <v>12</v>
      </c>
      <c r="Q1014">
        <v>4</v>
      </c>
      <c r="R1014">
        <v>2025</v>
      </c>
    </row>
    <row r="1015" spans="1:18">
      <c r="A1015">
        <v>215.25</v>
      </c>
      <c r="B1015">
        <v>3</v>
      </c>
      <c r="C1015">
        <v>1014</v>
      </c>
      <c r="D1015" s="2">
        <v>0.92766976851851857</v>
      </c>
      <c r="E1015" t="s">
        <v>2406</v>
      </c>
      <c r="F1015" t="s">
        <v>2407</v>
      </c>
      <c r="G1015" t="s">
        <v>994</v>
      </c>
      <c r="H1015" t="s">
        <v>478</v>
      </c>
      <c r="I1015" t="s">
        <v>781</v>
      </c>
      <c r="J1015" t="s">
        <v>645</v>
      </c>
      <c r="K1015" t="s">
        <v>51</v>
      </c>
      <c r="L1015">
        <v>71.75</v>
      </c>
      <c r="M1015" s="1">
        <v>46033</v>
      </c>
      <c r="N1015" t="s">
        <v>28</v>
      </c>
      <c r="O1015">
        <v>11</v>
      </c>
      <c r="P1015">
        <v>1</v>
      </c>
      <c r="Q1015">
        <v>1</v>
      </c>
      <c r="R1015">
        <v>2026</v>
      </c>
    </row>
    <row r="1016" spans="1:18">
      <c r="A1016">
        <v>360.12</v>
      </c>
      <c r="B1016">
        <v>4</v>
      </c>
      <c r="C1016">
        <v>1015</v>
      </c>
      <c r="D1016" s="2">
        <v>0.4612675</v>
      </c>
      <c r="E1016" t="s">
        <v>1356</v>
      </c>
      <c r="F1016" t="s">
        <v>1357</v>
      </c>
      <c r="G1016" t="s">
        <v>1358</v>
      </c>
      <c r="H1016" t="s">
        <v>1359</v>
      </c>
      <c r="I1016" t="s">
        <v>768</v>
      </c>
      <c r="J1016" t="s">
        <v>442</v>
      </c>
      <c r="K1016" t="s">
        <v>100</v>
      </c>
      <c r="L1016">
        <v>90.03</v>
      </c>
      <c r="M1016" s="1">
        <v>45944</v>
      </c>
      <c r="N1016" t="s">
        <v>48</v>
      </c>
      <c r="O1016">
        <v>14</v>
      </c>
      <c r="P1016">
        <v>10</v>
      </c>
      <c r="Q1016">
        <v>4</v>
      </c>
      <c r="R1016">
        <v>2025</v>
      </c>
    </row>
    <row r="1017" spans="1:18">
      <c r="A1017">
        <v>449.18</v>
      </c>
      <c r="B1017">
        <v>2</v>
      </c>
      <c r="C1017">
        <v>1016</v>
      </c>
      <c r="D1017" s="2">
        <v>0.22906050925925925</v>
      </c>
      <c r="E1017" t="s">
        <v>2812</v>
      </c>
      <c r="F1017" t="s">
        <v>2813</v>
      </c>
      <c r="G1017" t="s">
        <v>2098</v>
      </c>
      <c r="H1017" t="s">
        <v>953</v>
      </c>
      <c r="I1017" t="s">
        <v>954</v>
      </c>
      <c r="J1017" t="s">
        <v>121</v>
      </c>
      <c r="K1017" t="s">
        <v>122</v>
      </c>
      <c r="L1017">
        <v>224.59</v>
      </c>
      <c r="M1017" s="1">
        <v>45730</v>
      </c>
      <c r="N1017" t="s">
        <v>79</v>
      </c>
      <c r="O1017">
        <v>14</v>
      </c>
      <c r="P1017">
        <v>3</v>
      </c>
      <c r="Q1017">
        <v>1</v>
      </c>
      <c r="R1017">
        <v>2025</v>
      </c>
    </row>
    <row r="1018" spans="1:18">
      <c r="A1018">
        <v>7.83</v>
      </c>
      <c r="B1018">
        <v>1</v>
      </c>
      <c r="C1018">
        <v>1017</v>
      </c>
      <c r="D1018" s="2">
        <v>0.96374422453703701</v>
      </c>
      <c r="E1018" t="s">
        <v>2846</v>
      </c>
      <c r="F1018" t="s">
        <v>2847</v>
      </c>
      <c r="G1018" t="s">
        <v>2848</v>
      </c>
      <c r="H1018" t="s">
        <v>985</v>
      </c>
      <c r="I1018" t="s">
        <v>817</v>
      </c>
      <c r="J1018" t="s">
        <v>489</v>
      </c>
      <c r="K1018" t="s">
        <v>51</v>
      </c>
      <c r="L1018">
        <v>7.83</v>
      </c>
      <c r="M1018" s="1">
        <v>45618</v>
      </c>
      <c r="N1018" t="s">
        <v>79</v>
      </c>
      <c r="O1018">
        <v>22</v>
      </c>
      <c r="P1018">
        <v>11</v>
      </c>
      <c r="Q1018">
        <v>4</v>
      </c>
      <c r="R1018">
        <v>2024</v>
      </c>
    </row>
    <row r="1019" spans="1:18">
      <c r="A1019">
        <v>141.76</v>
      </c>
      <c r="B1019">
        <v>4</v>
      </c>
      <c r="C1019">
        <v>1018</v>
      </c>
      <c r="D1019" s="2">
        <v>0.58511538194444446</v>
      </c>
      <c r="E1019" t="s">
        <v>967</v>
      </c>
      <c r="F1019" t="s">
        <v>968</v>
      </c>
      <c r="G1019" t="s">
        <v>969</v>
      </c>
      <c r="H1019" t="s">
        <v>970</v>
      </c>
      <c r="I1019" t="s">
        <v>790</v>
      </c>
      <c r="J1019" t="s">
        <v>173</v>
      </c>
      <c r="K1019" t="s">
        <v>55</v>
      </c>
      <c r="L1019">
        <v>35.44</v>
      </c>
      <c r="M1019" s="1">
        <v>45952</v>
      </c>
      <c r="N1019" t="s">
        <v>34</v>
      </c>
      <c r="O1019">
        <v>22</v>
      </c>
      <c r="P1019">
        <v>10</v>
      </c>
      <c r="Q1019">
        <v>4</v>
      </c>
      <c r="R1019">
        <v>2025</v>
      </c>
    </row>
    <row r="1020" spans="1:18">
      <c r="A1020">
        <v>190.61</v>
      </c>
      <c r="B1020">
        <v>1</v>
      </c>
      <c r="C1020">
        <v>1019</v>
      </c>
      <c r="D1020" s="2">
        <v>0.40207831018518519</v>
      </c>
      <c r="E1020" t="s">
        <v>2454</v>
      </c>
      <c r="F1020" t="s">
        <v>2455</v>
      </c>
      <c r="G1020" t="s">
        <v>1447</v>
      </c>
      <c r="H1020" t="s">
        <v>635</v>
      </c>
      <c r="I1020" t="s">
        <v>768</v>
      </c>
      <c r="J1020" t="s">
        <v>156</v>
      </c>
      <c r="K1020" t="s">
        <v>57</v>
      </c>
      <c r="L1020">
        <v>190.61</v>
      </c>
      <c r="M1020" s="1">
        <v>46109</v>
      </c>
      <c r="N1020" t="s">
        <v>14</v>
      </c>
      <c r="O1020">
        <v>28</v>
      </c>
      <c r="P1020">
        <v>3</v>
      </c>
      <c r="Q1020">
        <v>1</v>
      </c>
      <c r="R1020">
        <v>2026</v>
      </c>
    </row>
    <row r="1021" spans="1:18">
      <c r="A1021">
        <v>272.61</v>
      </c>
      <c r="B1021">
        <v>3</v>
      </c>
      <c r="C1021">
        <v>1020</v>
      </c>
      <c r="D1021" s="2">
        <v>0.88638988425925924</v>
      </c>
      <c r="E1021" t="s">
        <v>1058</v>
      </c>
      <c r="F1021" t="s">
        <v>1059</v>
      </c>
      <c r="G1021" t="s">
        <v>1060</v>
      </c>
      <c r="H1021" t="s">
        <v>1061</v>
      </c>
      <c r="I1021" t="s">
        <v>821</v>
      </c>
      <c r="J1021" t="s">
        <v>470</v>
      </c>
      <c r="K1021" t="s">
        <v>39</v>
      </c>
      <c r="L1021">
        <v>90.87</v>
      </c>
      <c r="M1021" s="1">
        <v>46032</v>
      </c>
      <c r="N1021" t="s">
        <v>14</v>
      </c>
      <c r="O1021">
        <v>10</v>
      </c>
      <c r="P1021">
        <v>1</v>
      </c>
      <c r="Q1021">
        <v>1</v>
      </c>
      <c r="R1021">
        <v>2026</v>
      </c>
    </row>
    <row r="1022" spans="1:18">
      <c r="A1022">
        <v>30.58</v>
      </c>
      <c r="B1022">
        <v>1</v>
      </c>
      <c r="C1022">
        <v>1021</v>
      </c>
      <c r="D1022" s="2">
        <v>5.0206956018518517E-2</v>
      </c>
      <c r="E1022" t="s">
        <v>3479</v>
      </c>
      <c r="F1022" t="s">
        <v>3480</v>
      </c>
      <c r="G1022" t="s">
        <v>2043</v>
      </c>
      <c r="H1022" t="s">
        <v>1017</v>
      </c>
      <c r="I1022" t="s">
        <v>966</v>
      </c>
      <c r="J1022" t="s">
        <v>574</v>
      </c>
      <c r="K1022" t="s">
        <v>19</v>
      </c>
      <c r="L1022">
        <v>30.58</v>
      </c>
      <c r="M1022" s="1">
        <v>46003</v>
      </c>
      <c r="N1022" t="s">
        <v>79</v>
      </c>
      <c r="O1022">
        <v>12</v>
      </c>
      <c r="P1022">
        <v>12</v>
      </c>
      <c r="Q1022">
        <v>4</v>
      </c>
      <c r="R1022">
        <v>2025</v>
      </c>
    </row>
    <row r="1023" spans="1:18">
      <c r="A1023">
        <v>102.86</v>
      </c>
      <c r="B1023">
        <v>1</v>
      </c>
      <c r="C1023">
        <v>1022</v>
      </c>
      <c r="D1023" s="2">
        <v>0.47312510416666664</v>
      </c>
      <c r="E1023" t="s">
        <v>2916</v>
      </c>
      <c r="F1023" t="s">
        <v>2917</v>
      </c>
      <c r="G1023" t="s">
        <v>2173</v>
      </c>
      <c r="H1023" t="s">
        <v>328</v>
      </c>
      <c r="I1023" t="s">
        <v>1003</v>
      </c>
      <c r="J1023" t="s">
        <v>460</v>
      </c>
      <c r="K1023" t="s">
        <v>69</v>
      </c>
      <c r="L1023">
        <v>102.86</v>
      </c>
      <c r="M1023" s="1">
        <v>46261</v>
      </c>
      <c r="N1023" t="s">
        <v>105</v>
      </c>
      <c r="O1023">
        <v>27</v>
      </c>
      <c r="P1023">
        <v>8</v>
      </c>
      <c r="Q1023">
        <v>3</v>
      </c>
      <c r="R1023">
        <v>2026</v>
      </c>
    </row>
    <row r="1024" spans="1:18">
      <c r="A1024">
        <v>675.42</v>
      </c>
      <c r="B1024">
        <v>3</v>
      </c>
      <c r="C1024">
        <v>1023</v>
      </c>
      <c r="D1024" s="2">
        <v>0.14241408564814814</v>
      </c>
      <c r="E1024" t="s">
        <v>2256</v>
      </c>
      <c r="F1024" t="s">
        <v>2257</v>
      </c>
      <c r="G1024" t="s">
        <v>2232</v>
      </c>
      <c r="H1024" t="s">
        <v>1649</v>
      </c>
      <c r="I1024" t="s">
        <v>790</v>
      </c>
      <c r="J1024" t="s">
        <v>281</v>
      </c>
      <c r="K1024" t="s">
        <v>51</v>
      </c>
      <c r="L1024">
        <v>225.14</v>
      </c>
      <c r="M1024" s="1">
        <v>46011</v>
      </c>
      <c r="N1024" t="s">
        <v>14</v>
      </c>
      <c r="O1024">
        <v>20</v>
      </c>
      <c r="P1024">
        <v>12</v>
      </c>
      <c r="Q1024">
        <v>4</v>
      </c>
      <c r="R1024">
        <v>2025</v>
      </c>
    </row>
    <row r="1025" spans="1:18">
      <c r="A1025">
        <v>476.61</v>
      </c>
      <c r="B1025">
        <v>3</v>
      </c>
      <c r="C1025">
        <v>1024</v>
      </c>
      <c r="D1025" s="2">
        <v>0.40389614583333333</v>
      </c>
      <c r="E1025" t="s">
        <v>2357</v>
      </c>
      <c r="F1025" t="s">
        <v>2358</v>
      </c>
      <c r="G1025" t="s">
        <v>2359</v>
      </c>
      <c r="H1025" t="s">
        <v>869</v>
      </c>
      <c r="I1025" t="s">
        <v>807</v>
      </c>
      <c r="J1025" t="s">
        <v>332</v>
      </c>
      <c r="K1025" t="s">
        <v>55</v>
      </c>
      <c r="L1025">
        <v>158.87</v>
      </c>
      <c r="M1025" s="1">
        <v>46190</v>
      </c>
      <c r="N1025" t="s">
        <v>34</v>
      </c>
      <c r="O1025">
        <v>17</v>
      </c>
      <c r="P1025">
        <v>6</v>
      </c>
      <c r="Q1025">
        <v>2</v>
      </c>
      <c r="R1025">
        <v>2026</v>
      </c>
    </row>
    <row r="1026" spans="1:18">
      <c r="A1026">
        <v>301.16000000000003</v>
      </c>
      <c r="B1026">
        <v>2</v>
      </c>
      <c r="C1026">
        <v>1025</v>
      </c>
      <c r="D1026" s="2">
        <v>0.9124902777777778</v>
      </c>
      <c r="E1026" t="s">
        <v>2980</v>
      </c>
      <c r="F1026" t="s">
        <v>2981</v>
      </c>
      <c r="G1026" t="s">
        <v>1140</v>
      </c>
      <c r="H1026" t="s">
        <v>2982</v>
      </c>
      <c r="I1026" t="s">
        <v>839</v>
      </c>
      <c r="J1026" t="s">
        <v>398</v>
      </c>
      <c r="K1026" t="s">
        <v>27</v>
      </c>
      <c r="L1026">
        <v>150.58000000000001</v>
      </c>
      <c r="M1026" s="1">
        <v>45746</v>
      </c>
      <c r="N1026" t="s">
        <v>28</v>
      </c>
      <c r="O1026">
        <v>30</v>
      </c>
      <c r="P1026">
        <v>3</v>
      </c>
      <c r="Q1026">
        <v>1</v>
      </c>
      <c r="R1026">
        <v>2025</v>
      </c>
    </row>
    <row r="1027" spans="1:18">
      <c r="A1027">
        <v>44.14</v>
      </c>
      <c r="B1027">
        <v>2</v>
      </c>
      <c r="C1027">
        <v>1026</v>
      </c>
      <c r="D1027" s="2">
        <v>6.9674004629629624E-2</v>
      </c>
      <c r="E1027" t="s">
        <v>1979</v>
      </c>
      <c r="F1027" t="s">
        <v>1980</v>
      </c>
      <c r="G1027" t="s">
        <v>1981</v>
      </c>
      <c r="H1027" t="s">
        <v>1691</v>
      </c>
      <c r="I1027" t="s">
        <v>821</v>
      </c>
      <c r="J1027" t="s">
        <v>700</v>
      </c>
      <c r="K1027" t="s">
        <v>37</v>
      </c>
      <c r="L1027">
        <v>22.07</v>
      </c>
      <c r="M1027" s="1">
        <v>45704</v>
      </c>
      <c r="N1027" t="s">
        <v>28</v>
      </c>
      <c r="O1027">
        <v>16</v>
      </c>
      <c r="P1027">
        <v>2</v>
      </c>
      <c r="Q1027">
        <v>1</v>
      </c>
      <c r="R1027">
        <v>2025</v>
      </c>
    </row>
    <row r="1028" spans="1:18">
      <c r="A1028">
        <v>326.43</v>
      </c>
      <c r="B1028">
        <v>3</v>
      </c>
      <c r="C1028">
        <v>1027</v>
      </c>
      <c r="D1028" s="2">
        <v>0.79271737268518516</v>
      </c>
      <c r="E1028" t="s">
        <v>1661</v>
      </c>
      <c r="F1028" t="s">
        <v>1662</v>
      </c>
      <c r="G1028" t="s">
        <v>1515</v>
      </c>
      <c r="H1028" t="s">
        <v>883</v>
      </c>
      <c r="I1028" t="s">
        <v>807</v>
      </c>
      <c r="J1028" t="s">
        <v>453</v>
      </c>
      <c r="K1028" t="s">
        <v>55</v>
      </c>
      <c r="L1028">
        <v>108.81</v>
      </c>
      <c r="M1028" s="1">
        <v>46221</v>
      </c>
      <c r="N1028" t="s">
        <v>14</v>
      </c>
      <c r="O1028">
        <v>18</v>
      </c>
      <c r="P1028">
        <v>7</v>
      </c>
      <c r="Q1028">
        <v>3</v>
      </c>
      <c r="R1028">
        <v>2026</v>
      </c>
    </row>
    <row r="1029" spans="1:18">
      <c r="A1029">
        <v>147</v>
      </c>
      <c r="B1029">
        <v>4</v>
      </c>
      <c r="C1029">
        <v>1028</v>
      </c>
      <c r="D1029" s="2">
        <v>0.28487415509259262</v>
      </c>
      <c r="E1029" t="s">
        <v>1456</v>
      </c>
      <c r="F1029" t="s">
        <v>1457</v>
      </c>
      <c r="G1029" t="s">
        <v>779</v>
      </c>
      <c r="H1029" t="s">
        <v>1032</v>
      </c>
      <c r="I1029" t="s">
        <v>839</v>
      </c>
      <c r="J1029" t="s">
        <v>637</v>
      </c>
      <c r="K1029" t="s">
        <v>100</v>
      </c>
      <c r="L1029">
        <v>36.75</v>
      </c>
      <c r="M1029" s="1">
        <v>45643</v>
      </c>
      <c r="N1029" t="s">
        <v>48</v>
      </c>
      <c r="O1029">
        <v>17</v>
      </c>
      <c r="P1029">
        <v>12</v>
      </c>
      <c r="Q1029">
        <v>4</v>
      </c>
      <c r="R1029">
        <v>2024</v>
      </c>
    </row>
    <row r="1030" spans="1:18">
      <c r="A1030">
        <v>197</v>
      </c>
      <c r="B1030">
        <v>4</v>
      </c>
      <c r="C1030">
        <v>1029</v>
      </c>
      <c r="D1030" s="2">
        <v>0.94686326388888886</v>
      </c>
      <c r="E1030" t="s">
        <v>754</v>
      </c>
      <c r="F1030" t="s">
        <v>755</v>
      </c>
      <c r="G1030" t="s">
        <v>756</v>
      </c>
      <c r="H1030" t="s">
        <v>757</v>
      </c>
      <c r="I1030" t="s">
        <v>758</v>
      </c>
      <c r="J1030" t="s">
        <v>518</v>
      </c>
      <c r="K1030" t="s">
        <v>17</v>
      </c>
      <c r="L1030">
        <v>49.25</v>
      </c>
      <c r="M1030" s="1">
        <v>45997</v>
      </c>
      <c r="N1030" t="s">
        <v>14</v>
      </c>
      <c r="O1030">
        <v>6</v>
      </c>
      <c r="P1030">
        <v>12</v>
      </c>
      <c r="Q1030">
        <v>4</v>
      </c>
      <c r="R1030">
        <v>2025</v>
      </c>
    </row>
    <row r="1031" spans="1:18">
      <c r="A1031">
        <v>89.85</v>
      </c>
      <c r="B1031">
        <v>1</v>
      </c>
      <c r="C1031">
        <v>1030</v>
      </c>
      <c r="D1031" s="2">
        <v>0.46011879629629632</v>
      </c>
      <c r="E1031" t="s">
        <v>3076</v>
      </c>
      <c r="F1031" t="s">
        <v>3077</v>
      </c>
      <c r="G1031" t="s">
        <v>2666</v>
      </c>
      <c r="H1031" t="s">
        <v>1156</v>
      </c>
      <c r="I1031" t="s">
        <v>839</v>
      </c>
      <c r="J1031" t="s">
        <v>381</v>
      </c>
      <c r="K1031" t="s">
        <v>27</v>
      </c>
      <c r="L1031">
        <v>89.85</v>
      </c>
      <c r="M1031" s="1">
        <v>45954</v>
      </c>
      <c r="N1031" t="s">
        <v>79</v>
      </c>
      <c r="O1031">
        <v>24</v>
      </c>
      <c r="P1031">
        <v>10</v>
      </c>
      <c r="Q1031">
        <v>4</v>
      </c>
      <c r="R1031">
        <v>2025</v>
      </c>
    </row>
    <row r="1032" spans="1:18">
      <c r="A1032">
        <v>1184.75</v>
      </c>
      <c r="B1032">
        <v>5</v>
      </c>
      <c r="C1032">
        <v>1031</v>
      </c>
      <c r="D1032" s="2">
        <v>0.50531144675925921</v>
      </c>
      <c r="E1032" t="s">
        <v>1857</v>
      </c>
      <c r="F1032" t="s">
        <v>1858</v>
      </c>
      <c r="G1032" t="s">
        <v>1859</v>
      </c>
      <c r="H1032" t="s">
        <v>15</v>
      </c>
      <c r="I1032" t="s">
        <v>834</v>
      </c>
      <c r="J1032" t="s">
        <v>50</v>
      </c>
      <c r="K1032" t="s">
        <v>51</v>
      </c>
      <c r="L1032">
        <v>236.95</v>
      </c>
      <c r="M1032" s="1">
        <v>45977</v>
      </c>
      <c r="N1032" t="s">
        <v>28</v>
      </c>
      <c r="O1032">
        <v>16</v>
      </c>
      <c r="P1032">
        <v>11</v>
      </c>
      <c r="Q1032">
        <v>4</v>
      </c>
      <c r="R1032">
        <v>2025</v>
      </c>
    </row>
    <row r="1033" spans="1:18">
      <c r="A1033">
        <v>548.04</v>
      </c>
      <c r="B1033">
        <v>4</v>
      </c>
      <c r="C1033">
        <v>1032</v>
      </c>
      <c r="D1033" s="2">
        <v>0.36874556712962964</v>
      </c>
      <c r="E1033" t="s">
        <v>1560</v>
      </c>
      <c r="F1033" t="s">
        <v>1561</v>
      </c>
      <c r="G1033" t="s">
        <v>1562</v>
      </c>
      <c r="H1033" t="s">
        <v>151</v>
      </c>
      <c r="I1033" t="s">
        <v>1003</v>
      </c>
      <c r="J1033" t="s">
        <v>138</v>
      </c>
      <c r="K1033" t="s">
        <v>97</v>
      </c>
      <c r="L1033">
        <v>137.01</v>
      </c>
      <c r="M1033" s="1">
        <v>45914</v>
      </c>
      <c r="N1033" t="s">
        <v>28</v>
      </c>
      <c r="O1033">
        <v>14</v>
      </c>
      <c r="P1033">
        <v>9</v>
      </c>
      <c r="Q1033">
        <v>3</v>
      </c>
      <c r="R1033">
        <v>2025</v>
      </c>
    </row>
    <row r="1034" spans="1:18">
      <c r="A1034">
        <v>742.65</v>
      </c>
      <c r="B1034">
        <v>5</v>
      </c>
      <c r="C1034">
        <v>1033</v>
      </c>
      <c r="D1034" s="2">
        <v>0.72171340277777773</v>
      </c>
      <c r="E1034" t="s">
        <v>2393</v>
      </c>
      <c r="F1034" t="s">
        <v>2394</v>
      </c>
      <c r="G1034" t="s">
        <v>1348</v>
      </c>
      <c r="H1034" t="s">
        <v>113</v>
      </c>
      <c r="I1034" t="s">
        <v>1247</v>
      </c>
      <c r="J1034" t="s">
        <v>104</v>
      </c>
      <c r="K1034" t="s">
        <v>51</v>
      </c>
      <c r="L1034">
        <v>148.53</v>
      </c>
      <c r="M1034" s="1">
        <v>45628</v>
      </c>
      <c r="N1034" t="s">
        <v>93</v>
      </c>
      <c r="O1034">
        <v>2</v>
      </c>
      <c r="P1034">
        <v>12</v>
      </c>
      <c r="Q1034">
        <v>4</v>
      </c>
      <c r="R1034">
        <v>2024</v>
      </c>
    </row>
    <row r="1035" spans="1:18">
      <c r="A1035">
        <v>74.489999999999995</v>
      </c>
      <c r="B1035">
        <v>3</v>
      </c>
      <c r="C1035">
        <v>1034</v>
      </c>
      <c r="D1035" s="2">
        <v>0.87286879629629632</v>
      </c>
      <c r="E1035" t="s">
        <v>2719</v>
      </c>
      <c r="F1035" t="s">
        <v>2720</v>
      </c>
      <c r="G1035" t="s">
        <v>2721</v>
      </c>
      <c r="H1035" t="s">
        <v>1061</v>
      </c>
      <c r="I1035" t="s">
        <v>821</v>
      </c>
      <c r="J1035" t="s">
        <v>338</v>
      </c>
      <c r="K1035" t="s">
        <v>82</v>
      </c>
      <c r="L1035">
        <v>24.83</v>
      </c>
      <c r="M1035" s="1">
        <v>45982</v>
      </c>
      <c r="N1035" t="s">
        <v>79</v>
      </c>
      <c r="O1035">
        <v>21</v>
      </c>
      <c r="P1035">
        <v>11</v>
      </c>
      <c r="Q1035">
        <v>4</v>
      </c>
      <c r="R1035">
        <v>2025</v>
      </c>
    </row>
    <row r="1036" spans="1:18">
      <c r="A1036">
        <v>280.25</v>
      </c>
      <c r="B1036">
        <v>5</v>
      </c>
      <c r="C1036">
        <v>1035</v>
      </c>
      <c r="D1036" s="2">
        <v>0.67835346064814817</v>
      </c>
      <c r="E1036" t="s">
        <v>3385</v>
      </c>
      <c r="F1036" t="s">
        <v>3386</v>
      </c>
      <c r="G1036" t="s">
        <v>2020</v>
      </c>
      <c r="H1036" t="s">
        <v>644</v>
      </c>
      <c r="I1036" t="s">
        <v>748</v>
      </c>
      <c r="J1036" t="s">
        <v>32</v>
      </c>
      <c r="K1036" t="s">
        <v>19</v>
      </c>
      <c r="L1036">
        <v>56.05</v>
      </c>
      <c r="M1036" s="1">
        <v>45754</v>
      </c>
      <c r="N1036" t="s">
        <v>93</v>
      </c>
      <c r="O1036">
        <v>7</v>
      </c>
      <c r="P1036">
        <v>4</v>
      </c>
      <c r="Q1036">
        <v>2</v>
      </c>
      <c r="R1036">
        <v>2025</v>
      </c>
    </row>
    <row r="1037" spans="1:18">
      <c r="A1037">
        <v>10.58</v>
      </c>
      <c r="B1037">
        <v>2</v>
      </c>
      <c r="C1037">
        <v>1036</v>
      </c>
      <c r="D1037" s="2">
        <v>0.71921199074074071</v>
      </c>
      <c r="E1037" t="s">
        <v>1764</v>
      </c>
      <c r="F1037" t="s">
        <v>1765</v>
      </c>
      <c r="G1037" t="s">
        <v>1311</v>
      </c>
      <c r="H1037" t="s">
        <v>903</v>
      </c>
      <c r="I1037" t="s">
        <v>786</v>
      </c>
      <c r="J1037" t="s">
        <v>394</v>
      </c>
      <c r="K1037" t="s">
        <v>122</v>
      </c>
      <c r="L1037">
        <v>5.29</v>
      </c>
      <c r="M1037" s="1">
        <v>46204</v>
      </c>
      <c r="N1037" t="s">
        <v>34</v>
      </c>
      <c r="O1037">
        <v>1</v>
      </c>
      <c r="P1037">
        <v>7</v>
      </c>
      <c r="Q1037">
        <v>3</v>
      </c>
      <c r="R1037">
        <v>2026</v>
      </c>
    </row>
    <row r="1038" spans="1:18">
      <c r="A1038">
        <v>69.489999999999995</v>
      </c>
      <c r="B1038">
        <v>1</v>
      </c>
      <c r="C1038">
        <v>1037</v>
      </c>
      <c r="D1038" s="2">
        <v>0.78070361111111108</v>
      </c>
      <c r="E1038" t="s">
        <v>870</v>
      </c>
      <c r="F1038" t="s">
        <v>871</v>
      </c>
      <c r="G1038" t="s">
        <v>872</v>
      </c>
      <c r="H1038" t="s">
        <v>869</v>
      </c>
      <c r="I1038" t="s">
        <v>807</v>
      </c>
      <c r="J1038" t="s">
        <v>318</v>
      </c>
      <c r="K1038" t="s">
        <v>39</v>
      </c>
      <c r="L1038">
        <v>69.489999999999995</v>
      </c>
      <c r="M1038" s="1">
        <v>45730</v>
      </c>
      <c r="N1038" t="s">
        <v>79</v>
      </c>
      <c r="O1038">
        <v>14</v>
      </c>
      <c r="P1038">
        <v>3</v>
      </c>
      <c r="Q1038">
        <v>1</v>
      </c>
      <c r="R1038">
        <v>2025</v>
      </c>
    </row>
    <row r="1039" spans="1:18">
      <c r="A1039">
        <v>440.85</v>
      </c>
      <c r="B1039">
        <v>5</v>
      </c>
      <c r="C1039">
        <v>1038</v>
      </c>
      <c r="D1039" s="2">
        <v>0.32231710648148149</v>
      </c>
      <c r="E1039" t="s">
        <v>2688</v>
      </c>
      <c r="F1039" t="s">
        <v>765</v>
      </c>
      <c r="G1039" t="s">
        <v>2689</v>
      </c>
      <c r="H1039" t="s">
        <v>747</v>
      </c>
      <c r="I1039" t="s">
        <v>748</v>
      </c>
      <c r="J1039" t="s">
        <v>177</v>
      </c>
      <c r="K1039" t="s">
        <v>17</v>
      </c>
      <c r="L1039">
        <v>88.17</v>
      </c>
      <c r="M1039" s="1">
        <v>45987</v>
      </c>
      <c r="N1039" t="s">
        <v>34</v>
      </c>
      <c r="O1039">
        <v>26</v>
      </c>
      <c r="P1039">
        <v>11</v>
      </c>
      <c r="Q1039">
        <v>4</v>
      </c>
      <c r="R1039">
        <v>2025</v>
      </c>
    </row>
    <row r="1040" spans="1:18">
      <c r="A1040">
        <v>152.88</v>
      </c>
      <c r="B1040">
        <v>2</v>
      </c>
      <c r="C1040">
        <v>1039</v>
      </c>
      <c r="D1040" s="2">
        <v>0.92075740740740741</v>
      </c>
      <c r="E1040" t="s">
        <v>2047</v>
      </c>
      <c r="F1040" t="s">
        <v>2048</v>
      </c>
      <c r="G1040" t="s">
        <v>2043</v>
      </c>
      <c r="H1040" t="s">
        <v>49</v>
      </c>
      <c r="I1040" t="s">
        <v>807</v>
      </c>
      <c r="J1040" t="s">
        <v>92</v>
      </c>
      <c r="K1040" t="s">
        <v>51</v>
      </c>
      <c r="L1040">
        <v>76.44</v>
      </c>
      <c r="M1040" s="1">
        <v>45962</v>
      </c>
      <c r="N1040" t="s">
        <v>14</v>
      </c>
      <c r="O1040">
        <v>1</v>
      </c>
      <c r="P1040">
        <v>11</v>
      </c>
      <c r="Q1040">
        <v>4</v>
      </c>
      <c r="R1040">
        <v>2025</v>
      </c>
    </row>
    <row r="1041" spans="1:18">
      <c r="A1041">
        <v>157.72</v>
      </c>
      <c r="B1041">
        <v>2</v>
      </c>
      <c r="C1041">
        <v>1040</v>
      </c>
      <c r="D1041" s="2">
        <v>0.26838484953703706</v>
      </c>
      <c r="E1041" t="s">
        <v>2630</v>
      </c>
      <c r="F1041" t="s">
        <v>2631</v>
      </c>
      <c r="G1041" t="s">
        <v>1633</v>
      </c>
      <c r="H1041" t="s">
        <v>1421</v>
      </c>
      <c r="I1041" t="s">
        <v>776</v>
      </c>
      <c r="J1041" t="s">
        <v>208</v>
      </c>
      <c r="K1041" t="s">
        <v>43</v>
      </c>
      <c r="L1041">
        <v>78.86</v>
      </c>
      <c r="M1041" s="1">
        <v>45861</v>
      </c>
      <c r="N1041" t="s">
        <v>34</v>
      </c>
      <c r="O1041">
        <v>23</v>
      </c>
      <c r="P1041">
        <v>7</v>
      </c>
      <c r="Q1041">
        <v>3</v>
      </c>
      <c r="R1041">
        <v>2025</v>
      </c>
    </row>
    <row r="1042" spans="1:18">
      <c r="A1042">
        <v>266.06</v>
      </c>
      <c r="B1042">
        <v>2</v>
      </c>
      <c r="C1042">
        <v>1041</v>
      </c>
      <c r="D1042" s="2">
        <v>0.78746721064814817</v>
      </c>
      <c r="E1042" t="s">
        <v>1157</v>
      </c>
      <c r="F1042" t="s">
        <v>1158</v>
      </c>
      <c r="G1042" t="s">
        <v>1159</v>
      </c>
      <c r="H1042" t="s">
        <v>961</v>
      </c>
      <c r="I1042" t="s">
        <v>753</v>
      </c>
      <c r="J1042" t="s">
        <v>112</v>
      </c>
      <c r="K1042" t="s">
        <v>21</v>
      </c>
      <c r="L1042">
        <v>133.03</v>
      </c>
      <c r="M1042" s="1">
        <v>45709</v>
      </c>
      <c r="N1042" t="s">
        <v>79</v>
      </c>
      <c r="O1042">
        <v>21</v>
      </c>
      <c r="P1042">
        <v>2</v>
      </c>
      <c r="Q1042">
        <v>1</v>
      </c>
      <c r="R1042">
        <v>2025</v>
      </c>
    </row>
    <row r="1043" spans="1:18">
      <c r="A1043">
        <v>105.69</v>
      </c>
      <c r="B1043">
        <v>3</v>
      </c>
      <c r="C1043">
        <v>1042</v>
      </c>
      <c r="D1043" s="2">
        <v>0.14727075231481482</v>
      </c>
      <c r="E1043" t="s">
        <v>818</v>
      </c>
      <c r="F1043" t="s">
        <v>819</v>
      </c>
      <c r="G1043" t="s">
        <v>820</v>
      </c>
      <c r="H1043" t="s">
        <v>29</v>
      </c>
      <c r="I1043" t="s">
        <v>821</v>
      </c>
      <c r="J1043" t="s">
        <v>261</v>
      </c>
      <c r="K1043" t="s">
        <v>31</v>
      </c>
      <c r="L1043">
        <v>35.229999999999997</v>
      </c>
      <c r="M1043" s="1">
        <v>46033</v>
      </c>
      <c r="N1043" t="s">
        <v>28</v>
      </c>
      <c r="O1043">
        <v>11</v>
      </c>
      <c r="P1043">
        <v>1</v>
      </c>
      <c r="Q1043">
        <v>1</v>
      </c>
      <c r="R1043">
        <v>2026</v>
      </c>
    </row>
    <row r="1044" spans="1:18">
      <c r="A1044">
        <v>483.06000000000006</v>
      </c>
      <c r="B1044">
        <v>3</v>
      </c>
      <c r="C1044">
        <v>1043</v>
      </c>
      <c r="D1044" s="2">
        <v>0.49133531250000001</v>
      </c>
      <c r="E1044" t="s">
        <v>2549</v>
      </c>
      <c r="F1044" t="s">
        <v>2550</v>
      </c>
      <c r="G1044" t="s">
        <v>2551</v>
      </c>
      <c r="H1044" t="s">
        <v>1156</v>
      </c>
      <c r="I1044" t="s">
        <v>839</v>
      </c>
      <c r="J1044" t="s">
        <v>544</v>
      </c>
      <c r="K1044" t="s">
        <v>46</v>
      </c>
      <c r="L1044">
        <v>161.02000000000001</v>
      </c>
      <c r="M1044" s="1">
        <v>45782</v>
      </c>
      <c r="N1044" t="s">
        <v>93</v>
      </c>
      <c r="O1044">
        <v>5</v>
      </c>
      <c r="P1044">
        <v>5</v>
      </c>
      <c r="Q1044">
        <v>2</v>
      </c>
      <c r="R1044">
        <v>2025</v>
      </c>
    </row>
    <row r="1045" spans="1:18">
      <c r="A1045">
        <v>573.84</v>
      </c>
      <c r="B1045">
        <v>4</v>
      </c>
      <c r="C1045">
        <v>1044</v>
      </c>
      <c r="D1045" s="2">
        <v>0.34600932870370371</v>
      </c>
      <c r="E1045" t="s">
        <v>1510</v>
      </c>
      <c r="F1045" t="s">
        <v>1511</v>
      </c>
      <c r="G1045" t="s">
        <v>1512</v>
      </c>
      <c r="H1045" t="s">
        <v>1395</v>
      </c>
      <c r="I1045" t="s">
        <v>776</v>
      </c>
      <c r="J1045" t="s">
        <v>299</v>
      </c>
      <c r="K1045" t="s">
        <v>57</v>
      </c>
      <c r="L1045">
        <v>143.46</v>
      </c>
      <c r="M1045" s="1">
        <v>46040</v>
      </c>
      <c r="N1045" t="s">
        <v>28</v>
      </c>
      <c r="O1045">
        <v>18</v>
      </c>
      <c r="P1045">
        <v>1</v>
      </c>
      <c r="Q1045">
        <v>1</v>
      </c>
      <c r="R1045">
        <v>2026</v>
      </c>
    </row>
    <row r="1046" spans="1:18">
      <c r="A1046">
        <v>5.0999999999999996</v>
      </c>
      <c r="B1046">
        <v>5</v>
      </c>
      <c r="C1046">
        <v>1045</v>
      </c>
      <c r="D1046" s="2">
        <v>0.58828590277777781</v>
      </c>
      <c r="E1046" t="s">
        <v>2871</v>
      </c>
      <c r="F1046" t="s">
        <v>2872</v>
      </c>
      <c r="G1046" t="s">
        <v>1633</v>
      </c>
      <c r="H1046" t="s">
        <v>196</v>
      </c>
      <c r="I1046" t="s">
        <v>830</v>
      </c>
      <c r="J1046" t="s">
        <v>477</v>
      </c>
      <c r="K1046" t="s">
        <v>39</v>
      </c>
      <c r="L1046">
        <v>1.02</v>
      </c>
      <c r="M1046" s="1">
        <v>45751</v>
      </c>
      <c r="N1046" t="s">
        <v>79</v>
      </c>
      <c r="O1046">
        <v>4</v>
      </c>
      <c r="P1046">
        <v>4</v>
      </c>
      <c r="Q1046">
        <v>2</v>
      </c>
      <c r="R1046">
        <v>2025</v>
      </c>
    </row>
    <row r="1047" spans="1:18">
      <c r="A1047">
        <v>6.28</v>
      </c>
      <c r="B1047">
        <v>1</v>
      </c>
      <c r="C1047">
        <v>1046</v>
      </c>
      <c r="D1047" s="2">
        <v>0.7722924884259259</v>
      </c>
      <c r="E1047" t="s">
        <v>2239</v>
      </c>
      <c r="F1047" t="s">
        <v>2240</v>
      </c>
      <c r="G1047" t="s">
        <v>2241</v>
      </c>
      <c r="H1047" t="s">
        <v>1002</v>
      </c>
      <c r="I1047" t="s">
        <v>1003</v>
      </c>
      <c r="J1047" t="s">
        <v>274</v>
      </c>
      <c r="K1047" t="s">
        <v>19</v>
      </c>
      <c r="L1047">
        <v>6.28</v>
      </c>
      <c r="M1047" s="1">
        <v>45782</v>
      </c>
      <c r="N1047" t="s">
        <v>93</v>
      </c>
      <c r="O1047">
        <v>5</v>
      </c>
      <c r="P1047">
        <v>5</v>
      </c>
      <c r="Q1047">
        <v>2</v>
      </c>
      <c r="R1047">
        <v>2025</v>
      </c>
    </row>
    <row r="1048" spans="1:18">
      <c r="A1048">
        <v>205.24</v>
      </c>
      <c r="B1048">
        <v>2</v>
      </c>
      <c r="C1048">
        <v>1047</v>
      </c>
      <c r="D1048" s="2">
        <v>0.48819432870370372</v>
      </c>
      <c r="E1048" t="s">
        <v>2914</v>
      </c>
      <c r="F1048" t="s">
        <v>2915</v>
      </c>
      <c r="G1048" t="s">
        <v>2503</v>
      </c>
      <c r="H1048" t="s">
        <v>1061</v>
      </c>
      <c r="I1048" t="s">
        <v>834</v>
      </c>
      <c r="J1048" t="s">
        <v>348</v>
      </c>
      <c r="K1048" t="s">
        <v>60</v>
      </c>
      <c r="L1048">
        <v>102.62</v>
      </c>
      <c r="M1048" s="1">
        <v>45985</v>
      </c>
      <c r="N1048" t="s">
        <v>93</v>
      </c>
      <c r="O1048">
        <v>24</v>
      </c>
      <c r="P1048">
        <v>11</v>
      </c>
      <c r="Q1048">
        <v>4</v>
      </c>
      <c r="R1048">
        <v>2025</v>
      </c>
    </row>
    <row r="1049" spans="1:18">
      <c r="A1049">
        <v>722.4</v>
      </c>
      <c r="B1049">
        <v>5</v>
      </c>
      <c r="C1049">
        <v>1048</v>
      </c>
      <c r="D1049" s="2">
        <v>0.81826267361111116</v>
      </c>
      <c r="E1049" t="s">
        <v>1388</v>
      </c>
      <c r="F1049" t="s">
        <v>1389</v>
      </c>
      <c r="G1049" t="s">
        <v>1390</v>
      </c>
      <c r="H1049" t="s">
        <v>322</v>
      </c>
      <c r="I1049" t="s">
        <v>795</v>
      </c>
      <c r="J1049" t="s">
        <v>1441</v>
      </c>
      <c r="K1049" t="s">
        <v>19</v>
      </c>
      <c r="L1049">
        <v>144.47999999999999</v>
      </c>
      <c r="M1049" s="1">
        <v>45886</v>
      </c>
      <c r="N1049" t="s">
        <v>28</v>
      </c>
      <c r="O1049">
        <v>17</v>
      </c>
      <c r="P1049">
        <v>8</v>
      </c>
      <c r="Q1049">
        <v>3</v>
      </c>
      <c r="R1049">
        <v>2025</v>
      </c>
    </row>
    <row r="1050" spans="1:18">
      <c r="A1050">
        <v>524.79999999999995</v>
      </c>
      <c r="B1050">
        <v>5</v>
      </c>
      <c r="C1050">
        <v>1049</v>
      </c>
      <c r="D1050" s="2">
        <v>0.43955168981481479</v>
      </c>
      <c r="E1050" t="s">
        <v>1096</v>
      </c>
      <c r="F1050" t="s">
        <v>1097</v>
      </c>
      <c r="G1050" t="s">
        <v>1098</v>
      </c>
      <c r="H1050" t="s">
        <v>980</v>
      </c>
      <c r="I1050" t="s">
        <v>981</v>
      </c>
      <c r="J1050" t="s">
        <v>225</v>
      </c>
      <c r="K1050" t="s">
        <v>21</v>
      </c>
      <c r="L1050">
        <v>104.96</v>
      </c>
      <c r="M1050" s="1">
        <v>45588</v>
      </c>
      <c r="N1050" t="s">
        <v>34</v>
      </c>
      <c r="O1050">
        <v>23</v>
      </c>
      <c r="P1050">
        <v>10</v>
      </c>
      <c r="Q1050">
        <v>4</v>
      </c>
      <c r="R1050">
        <v>2024</v>
      </c>
    </row>
    <row r="1051" spans="1:18">
      <c r="A1051">
        <v>22.56</v>
      </c>
      <c r="B1051">
        <v>1</v>
      </c>
      <c r="C1051">
        <v>1050</v>
      </c>
      <c r="D1051" s="2">
        <v>0.77730880787037038</v>
      </c>
      <c r="E1051" t="s">
        <v>1513</v>
      </c>
      <c r="F1051" t="s">
        <v>1514</v>
      </c>
      <c r="G1051" t="s">
        <v>1515</v>
      </c>
      <c r="H1051" t="s">
        <v>1359</v>
      </c>
      <c r="I1051" t="s">
        <v>768</v>
      </c>
      <c r="J1051" t="s">
        <v>371</v>
      </c>
      <c r="K1051" t="s">
        <v>21</v>
      </c>
      <c r="L1051">
        <v>22.56</v>
      </c>
      <c r="M1051" s="1">
        <v>45679</v>
      </c>
      <c r="N1051" t="s">
        <v>34</v>
      </c>
      <c r="O1051">
        <v>22</v>
      </c>
      <c r="P1051">
        <v>1</v>
      </c>
      <c r="Q1051">
        <v>1</v>
      </c>
      <c r="R1051">
        <v>2025</v>
      </c>
    </row>
    <row r="1052" spans="1:18">
      <c r="A1052">
        <v>4.08</v>
      </c>
      <c r="B1052">
        <v>4</v>
      </c>
      <c r="C1052">
        <v>1051</v>
      </c>
      <c r="D1052" s="2">
        <v>0.58133815972222225</v>
      </c>
      <c r="E1052" t="s">
        <v>1478</v>
      </c>
      <c r="F1052" t="s">
        <v>1479</v>
      </c>
      <c r="G1052" t="s">
        <v>1263</v>
      </c>
      <c r="H1052" t="s">
        <v>1395</v>
      </c>
      <c r="I1052" t="s">
        <v>776</v>
      </c>
      <c r="J1052" t="s">
        <v>477</v>
      </c>
      <c r="K1052" t="s">
        <v>39</v>
      </c>
      <c r="L1052">
        <v>1.02</v>
      </c>
      <c r="M1052" s="1">
        <v>45697</v>
      </c>
      <c r="N1052" t="s">
        <v>28</v>
      </c>
      <c r="O1052">
        <v>9</v>
      </c>
      <c r="P1052">
        <v>2</v>
      </c>
      <c r="Q1052">
        <v>1</v>
      </c>
      <c r="R1052">
        <v>2025</v>
      </c>
    </row>
    <row r="1053" spans="1:18">
      <c r="A1053">
        <v>99.390000000000015</v>
      </c>
      <c r="B1053">
        <v>3</v>
      </c>
      <c r="C1053">
        <v>1052</v>
      </c>
      <c r="D1053" s="2">
        <v>0.57830692129629635</v>
      </c>
      <c r="E1053" t="s">
        <v>3335</v>
      </c>
      <c r="F1053" t="s">
        <v>3336</v>
      </c>
      <c r="G1053" t="s">
        <v>1146</v>
      </c>
      <c r="H1053" t="s">
        <v>838</v>
      </c>
      <c r="I1053" t="s">
        <v>839</v>
      </c>
      <c r="J1053" t="s">
        <v>164</v>
      </c>
      <c r="K1053" t="s">
        <v>46</v>
      </c>
      <c r="L1053">
        <v>33.130000000000003</v>
      </c>
      <c r="M1053" s="1">
        <v>46052</v>
      </c>
      <c r="N1053" t="s">
        <v>79</v>
      </c>
      <c r="O1053">
        <v>30</v>
      </c>
      <c r="P1053">
        <v>1</v>
      </c>
      <c r="Q1053">
        <v>1</v>
      </c>
      <c r="R1053">
        <v>2026</v>
      </c>
    </row>
    <row r="1054" spans="1:18">
      <c r="A1054">
        <v>1122.95</v>
      </c>
      <c r="B1054">
        <v>5</v>
      </c>
      <c r="C1054">
        <v>1053</v>
      </c>
      <c r="D1054" s="2">
        <v>0.11531521990740741</v>
      </c>
      <c r="E1054" t="s">
        <v>1842</v>
      </c>
      <c r="F1054" t="s">
        <v>1843</v>
      </c>
      <c r="G1054" t="s">
        <v>1844</v>
      </c>
      <c r="H1054" t="s">
        <v>106</v>
      </c>
      <c r="I1054" t="s">
        <v>790</v>
      </c>
      <c r="J1054" t="s">
        <v>121</v>
      </c>
      <c r="K1054" t="s">
        <v>122</v>
      </c>
      <c r="L1054">
        <v>224.59</v>
      </c>
      <c r="M1054" s="1">
        <v>45678</v>
      </c>
      <c r="N1054" t="s">
        <v>48</v>
      </c>
      <c r="O1054">
        <v>21</v>
      </c>
      <c r="P1054">
        <v>1</v>
      </c>
      <c r="Q1054">
        <v>1</v>
      </c>
      <c r="R1054">
        <v>2025</v>
      </c>
    </row>
    <row r="1055" spans="1:18">
      <c r="A1055">
        <v>742.68</v>
      </c>
      <c r="B1055">
        <v>4</v>
      </c>
      <c r="C1055">
        <v>1054</v>
      </c>
      <c r="D1055" s="2">
        <v>0.27103039351851854</v>
      </c>
      <c r="E1055" t="s">
        <v>1766</v>
      </c>
      <c r="F1055" t="s">
        <v>1767</v>
      </c>
      <c r="G1055" t="s">
        <v>1768</v>
      </c>
      <c r="H1055" t="s">
        <v>932</v>
      </c>
      <c r="I1055" t="s">
        <v>776</v>
      </c>
      <c r="J1055" t="s">
        <v>720</v>
      </c>
      <c r="K1055" t="s">
        <v>100</v>
      </c>
      <c r="L1055">
        <v>185.67</v>
      </c>
      <c r="M1055" s="1">
        <v>45887</v>
      </c>
      <c r="N1055" t="s">
        <v>93</v>
      </c>
      <c r="O1055">
        <v>18</v>
      </c>
      <c r="P1055">
        <v>8</v>
      </c>
      <c r="Q1055">
        <v>3</v>
      </c>
      <c r="R1055">
        <v>2025</v>
      </c>
    </row>
    <row r="1056" spans="1:18">
      <c r="A1056">
        <v>385.25</v>
      </c>
      <c r="B1056">
        <v>5</v>
      </c>
      <c r="C1056">
        <v>1055</v>
      </c>
      <c r="D1056" s="2">
        <v>0.38928615740740741</v>
      </c>
      <c r="E1056" t="s">
        <v>1393</v>
      </c>
      <c r="F1056" t="s">
        <v>1394</v>
      </c>
      <c r="G1056" t="s">
        <v>1182</v>
      </c>
      <c r="H1056" t="s">
        <v>1395</v>
      </c>
      <c r="I1056" t="s">
        <v>776</v>
      </c>
      <c r="J1056" t="s">
        <v>509</v>
      </c>
      <c r="K1056" t="s">
        <v>19</v>
      </c>
      <c r="L1056">
        <v>77.05</v>
      </c>
      <c r="M1056" s="1">
        <v>46123</v>
      </c>
      <c r="N1056" t="s">
        <v>14</v>
      </c>
      <c r="O1056">
        <v>11</v>
      </c>
      <c r="P1056">
        <v>4</v>
      </c>
      <c r="Q1056">
        <v>2</v>
      </c>
      <c r="R1056">
        <v>2026</v>
      </c>
    </row>
    <row r="1057" spans="1:18">
      <c r="A1057">
        <v>742.56000000000006</v>
      </c>
      <c r="B1057">
        <v>3</v>
      </c>
      <c r="C1057">
        <v>1056</v>
      </c>
      <c r="D1057" s="2">
        <v>0.43561594907407408</v>
      </c>
      <c r="E1057" t="s">
        <v>1900</v>
      </c>
      <c r="F1057" t="s">
        <v>1901</v>
      </c>
      <c r="G1057" t="s">
        <v>1477</v>
      </c>
      <c r="H1057" t="s">
        <v>961</v>
      </c>
      <c r="I1057" t="s">
        <v>753</v>
      </c>
      <c r="J1057" t="s">
        <v>372</v>
      </c>
      <c r="K1057" t="s">
        <v>23</v>
      </c>
      <c r="L1057">
        <v>247.52</v>
      </c>
      <c r="M1057" s="1">
        <v>45610</v>
      </c>
      <c r="N1057" t="s">
        <v>105</v>
      </c>
      <c r="O1057">
        <v>14</v>
      </c>
      <c r="P1057">
        <v>11</v>
      </c>
      <c r="Q1057">
        <v>4</v>
      </c>
      <c r="R1057">
        <v>2024</v>
      </c>
    </row>
    <row r="1058" spans="1:18">
      <c r="A1058">
        <v>136.6</v>
      </c>
      <c r="B1058">
        <v>5</v>
      </c>
      <c r="C1058">
        <v>1057</v>
      </c>
      <c r="D1058" s="2">
        <v>0.18831953703703705</v>
      </c>
      <c r="E1058" t="s">
        <v>1131</v>
      </c>
      <c r="F1058" t="s">
        <v>1132</v>
      </c>
      <c r="G1058" t="s">
        <v>1133</v>
      </c>
      <c r="H1058" t="s">
        <v>1107</v>
      </c>
      <c r="I1058" t="s">
        <v>763</v>
      </c>
      <c r="J1058" t="s">
        <v>423</v>
      </c>
      <c r="K1058" t="s">
        <v>37</v>
      </c>
      <c r="L1058">
        <v>27.32</v>
      </c>
      <c r="M1058" s="1">
        <v>45888</v>
      </c>
      <c r="N1058" t="s">
        <v>48</v>
      </c>
      <c r="O1058">
        <v>19</v>
      </c>
      <c r="P1058">
        <v>8</v>
      </c>
      <c r="Q1058">
        <v>3</v>
      </c>
      <c r="R1058">
        <v>2025</v>
      </c>
    </row>
    <row r="1059" spans="1:18">
      <c r="A1059">
        <v>439.36</v>
      </c>
      <c r="B1059">
        <v>4</v>
      </c>
      <c r="C1059">
        <v>1058</v>
      </c>
      <c r="D1059" s="2">
        <v>9.166077546296296E-2</v>
      </c>
      <c r="E1059" t="s">
        <v>2485</v>
      </c>
      <c r="F1059" t="s">
        <v>2486</v>
      </c>
      <c r="G1059" t="s">
        <v>1849</v>
      </c>
      <c r="H1059" t="s">
        <v>1525</v>
      </c>
      <c r="I1059" t="s">
        <v>763</v>
      </c>
      <c r="J1059" t="s">
        <v>663</v>
      </c>
      <c r="K1059" t="s">
        <v>27</v>
      </c>
      <c r="L1059">
        <v>109.84</v>
      </c>
      <c r="M1059" s="1">
        <v>45905</v>
      </c>
      <c r="N1059" t="s">
        <v>79</v>
      </c>
      <c r="O1059">
        <v>5</v>
      </c>
      <c r="P1059">
        <v>9</v>
      </c>
      <c r="Q1059">
        <v>3</v>
      </c>
      <c r="R1059">
        <v>2025</v>
      </c>
    </row>
    <row r="1060" spans="1:18">
      <c r="A1060">
        <v>154.15</v>
      </c>
      <c r="B1060">
        <v>1</v>
      </c>
      <c r="C1060">
        <v>1059</v>
      </c>
      <c r="D1060" s="2">
        <v>0.82501929398148144</v>
      </c>
      <c r="E1060" t="s">
        <v>989</v>
      </c>
      <c r="F1060" t="s">
        <v>990</v>
      </c>
      <c r="G1060" t="s">
        <v>991</v>
      </c>
      <c r="H1060" t="s">
        <v>915</v>
      </c>
      <c r="I1060" t="s">
        <v>768</v>
      </c>
      <c r="J1060" t="s">
        <v>599</v>
      </c>
      <c r="K1060" t="s">
        <v>27</v>
      </c>
      <c r="L1060">
        <v>154.15</v>
      </c>
      <c r="M1060" s="1">
        <v>46146</v>
      </c>
      <c r="N1060" t="s">
        <v>93</v>
      </c>
      <c r="O1060">
        <v>4</v>
      </c>
      <c r="P1060">
        <v>5</v>
      </c>
      <c r="Q1060">
        <v>2</v>
      </c>
      <c r="R1060">
        <v>2026</v>
      </c>
    </row>
    <row r="1061" spans="1:18">
      <c r="A1061">
        <v>623.20000000000005</v>
      </c>
      <c r="B1061">
        <v>5</v>
      </c>
      <c r="C1061">
        <v>1060</v>
      </c>
      <c r="D1061" s="2">
        <v>0.47458724537037039</v>
      </c>
      <c r="E1061" t="s">
        <v>1445</v>
      </c>
      <c r="F1061" t="s">
        <v>1446</v>
      </c>
      <c r="G1061" t="s">
        <v>1447</v>
      </c>
      <c r="H1061" t="s">
        <v>1410</v>
      </c>
      <c r="I1061" t="s">
        <v>812</v>
      </c>
      <c r="J1061" t="s">
        <v>356</v>
      </c>
      <c r="K1061" t="s">
        <v>69</v>
      </c>
      <c r="L1061">
        <v>124.64</v>
      </c>
      <c r="M1061" s="1">
        <v>45562</v>
      </c>
      <c r="N1061" t="s">
        <v>79</v>
      </c>
      <c r="O1061">
        <v>27</v>
      </c>
      <c r="P1061">
        <v>9</v>
      </c>
      <c r="Q1061">
        <v>3</v>
      </c>
      <c r="R1061">
        <v>2024</v>
      </c>
    </row>
    <row r="1062" spans="1:18">
      <c r="A1062">
        <v>1184.75</v>
      </c>
      <c r="B1062">
        <v>5</v>
      </c>
      <c r="C1062">
        <v>1061</v>
      </c>
      <c r="D1062" s="2">
        <v>0.32406247685185186</v>
      </c>
      <c r="E1062" t="s">
        <v>2439</v>
      </c>
      <c r="F1062" t="s">
        <v>2440</v>
      </c>
      <c r="G1062" t="s">
        <v>1716</v>
      </c>
      <c r="H1062" t="s">
        <v>2441</v>
      </c>
      <c r="I1062" t="s">
        <v>834</v>
      </c>
      <c r="J1062" t="s">
        <v>50</v>
      </c>
      <c r="K1062" t="s">
        <v>51</v>
      </c>
      <c r="L1062">
        <v>236.95</v>
      </c>
      <c r="M1062" s="1">
        <v>46067</v>
      </c>
      <c r="N1062" t="s">
        <v>14</v>
      </c>
      <c r="O1062">
        <v>14</v>
      </c>
      <c r="P1062">
        <v>2</v>
      </c>
      <c r="Q1062">
        <v>1</v>
      </c>
      <c r="R1062">
        <v>2026</v>
      </c>
    </row>
    <row r="1063" spans="1:18">
      <c r="A1063">
        <v>457.48</v>
      </c>
      <c r="B1063">
        <v>2</v>
      </c>
      <c r="C1063">
        <v>1062</v>
      </c>
      <c r="D1063" s="2">
        <v>0.35663478009259258</v>
      </c>
      <c r="E1063" t="s">
        <v>2541</v>
      </c>
      <c r="F1063" t="s">
        <v>2542</v>
      </c>
      <c r="G1063" t="s">
        <v>1545</v>
      </c>
      <c r="H1063" t="s">
        <v>1199</v>
      </c>
      <c r="I1063" t="s">
        <v>839</v>
      </c>
      <c r="J1063" t="s">
        <v>566</v>
      </c>
      <c r="K1063" t="s">
        <v>69</v>
      </c>
      <c r="L1063">
        <v>228.74</v>
      </c>
      <c r="M1063" s="1">
        <v>45851</v>
      </c>
      <c r="N1063" t="s">
        <v>28</v>
      </c>
      <c r="O1063">
        <v>13</v>
      </c>
      <c r="P1063">
        <v>7</v>
      </c>
      <c r="Q1063">
        <v>3</v>
      </c>
      <c r="R1063">
        <v>2025</v>
      </c>
    </row>
    <row r="1064" spans="1:18">
      <c r="A1064">
        <v>33.130000000000003</v>
      </c>
      <c r="B1064">
        <v>1</v>
      </c>
      <c r="C1064">
        <v>1063</v>
      </c>
      <c r="D1064" s="2">
        <v>3.631181712962963E-2</v>
      </c>
      <c r="E1064" t="s">
        <v>1221</v>
      </c>
      <c r="F1064" t="s">
        <v>1222</v>
      </c>
      <c r="G1064" t="s">
        <v>1098</v>
      </c>
      <c r="H1064" t="s">
        <v>802</v>
      </c>
      <c r="I1064" t="s">
        <v>748</v>
      </c>
      <c r="J1064" t="s">
        <v>164</v>
      </c>
      <c r="K1064" t="s">
        <v>46</v>
      </c>
      <c r="L1064">
        <v>33.130000000000003</v>
      </c>
      <c r="M1064" s="1">
        <v>46190</v>
      </c>
      <c r="N1064" t="s">
        <v>34</v>
      </c>
      <c r="O1064">
        <v>17</v>
      </c>
      <c r="P1064">
        <v>6</v>
      </c>
      <c r="Q1064">
        <v>2</v>
      </c>
      <c r="R1064">
        <v>2026</v>
      </c>
    </row>
    <row r="1065" spans="1:18">
      <c r="A1065">
        <v>169.88</v>
      </c>
      <c r="B1065">
        <v>2</v>
      </c>
      <c r="C1065">
        <v>1064</v>
      </c>
      <c r="D1065" s="2">
        <v>0.24626782407407408</v>
      </c>
      <c r="E1065" t="s">
        <v>1806</v>
      </c>
      <c r="F1065" t="s">
        <v>1807</v>
      </c>
      <c r="G1065" t="s">
        <v>1235</v>
      </c>
      <c r="H1065" t="s">
        <v>1061</v>
      </c>
      <c r="I1065" t="s">
        <v>834</v>
      </c>
      <c r="J1065" t="s">
        <v>554</v>
      </c>
      <c r="K1065" t="s">
        <v>17</v>
      </c>
      <c r="L1065">
        <v>84.94</v>
      </c>
      <c r="M1065" s="1">
        <v>45620</v>
      </c>
      <c r="N1065" t="s">
        <v>28</v>
      </c>
      <c r="O1065">
        <v>24</v>
      </c>
      <c r="P1065">
        <v>11</v>
      </c>
      <c r="Q1065">
        <v>4</v>
      </c>
      <c r="R1065">
        <v>2024</v>
      </c>
    </row>
    <row r="1066" spans="1:18">
      <c r="A1066">
        <v>478.1</v>
      </c>
      <c r="B1066">
        <v>5</v>
      </c>
      <c r="C1066">
        <v>1065</v>
      </c>
      <c r="D1066" s="2">
        <v>0.87496094907407407</v>
      </c>
      <c r="E1066" t="s">
        <v>826</v>
      </c>
      <c r="F1066" t="s">
        <v>827</v>
      </c>
      <c r="G1066" t="s">
        <v>828</v>
      </c>
      <c r="H1066" t="s">
        <v>829</v>
      </c>
      <c r="I1066" t="s">
        <v>830</v>
      </c>
      <c r="J1066" t="s">
        <v>153</v>
      </c>
      <c r="K1066" t="s">
        <v>37</v>
      </c>
      <c r="L1066">
        <v>95.62</v>
      </c>
      <c r="M1066" s="1">
        <v>45807</v>
      </c>
      <c r="N1066" t="s">
        <v>79</v>
      </c>
      <c r="O1066">
        <v>30</v>
      </c>
      <c r="P1066">
        <v>5</v>
      </c>
      <c r="Q1066">
        <v>2</v>
      </c>
      <c r="R1066">
        <v>2025</v>
      </c>
    </row>
    <row r="1067" spans="1:18">
      <c r="A1067">
        <v>144.04</v>
      </c>
      <c r="B1067">
        <v>2</v>
      </c>
      <c r="C1067">
        <v>1066</v>
      </c>
      <c r="D1067" s="2">
        <v>3.5001261574074072E-2</v>
      </c>
      <c r="E1067" t="s">
        <v>2930</v>
      </c>
      <c r="F1067" t="s">
        <v>2931</v>
      </c>
      <c r="G1067" t="s">
        <v>2354</v>
      </c>
      <c r="H1067" t="s">
        <v>942</v>
      </c>
      <c r="I1067" t="s">
        <v>943</v>
      </c>
      <c r="J1067" t="s">
        <v>108</v>
      </c>
      <c r="K1067" t="s">
        <v>51</v>
      </c>
      <c r="L1067">
        <v>72.02</v>
      </c>
      <c r="M1067" s="1">
        <v>45553</v>
      </c>
      <c r="N1067" t="s">
        <v>34</v>
      </c>
      <c r="O1067">
        <v>18</v>
      </c>
      <c r="P1067">
        <v>9</v>
      </c>
      <c r="Q1067">
        <v>3</v>
      </c>
      <c r="R1067">
        <v>2024</v>
      </c>
    </row>
    <row r="1068" spans="1:18">
      <c r="A1068">
        <v>842.8</v>
      </c>
      <c r="B1068">
        <v>5</v>
      </c>
      <c r="C1068">
        <v>1067</v>
      </c>
      <c r="D1068" s="2">
        <v>0.45498261574074073</v>
      </c>
      <c r="E1068" t="s">
        <v>818</v>
      </c>
      <c r="F1068" t="s">
        <v>819</v>
      </c>
      <c r="G1068" t="s">
        <v>820</v>
      </c>
      <c r="H1068" t="s">
        <v>29</v>
      </c>
      <c r="I1068" t="s">
        <v>821</v>
      </c>
      <c r="J1068" t="s">
        <v>688</v>
      </c>
      <c r="K1068" t="s">
        <v>17</v>
      </c>
      <c r="L1068">
        <v>168.56</v>
      </c>
      <c r="M1068" s="1">
        <v>46273</v>
      </c>
      <c r="N1068" t="s">
        <v>48</v>
      </c>
      <c r="O1068">
        <v>8</v>
      </c>
      <c r="P1068">
        <v>9</v>
      </c>
      <c r="Q1068">
        <v>3</v>
      </c>
      <c r="R1068">
        <v>2026</v>
      </c>
    </row>
    <row r="1069" spans="1:18">
      <c r="A1069">
        <v>270.39</v>
      </c>
      <c r="B1069">
        <v>3</v>
      </c>
      <c r="C1069">
        <v>1068</v>
      </c>
      <c r="D1069" s="2">
        <v>0.21650295138888889</v>
      </c>
      <c r="E1069" t="s">
        <v>2961</v>
      </c>
      <c r="F1069" t="s">
        <v>2962</v>
      </c>
      <c r="G1069" t="s">
        <v>2522</v>
      </c>
      <c r="H1069" t="s">
        <v>211</v>
      </c>
      <c r="I1069" t="s">
        <v>812</v>
      </c>
      <c r="J1069" t="s">
        <v>304</v>
      </c>
      <c r="K1069" t="s">
        <v>100</v>
      </c>
      <c r="L1069">
        <v>90.13</v>
      </c>
      <c r="M1069" s="1">
        <v>46111</v>
      </c>
      <c r="N1069" t="s">
        <v>93</v>
      </c>
      <c r="O1069">
        <v>30</v>
      </c>
      <c r="P1069">
        <v>3</v>
      </c>
      <c r="Q1069">
        <v>1</v>
      </c>
      <c r="R1069">
        <v>2026</v>
      </c>
    </row>
    <row r="1070" spans="1:18">
      <c r="A1070">
        <v>352.32</v>
      </c>
      <c r="B1070">
        <v>3</v>
      </c>
      <c r="C1070">
        <v>1069</v>
      </c>
      <c r="D1070" s="2">
        <v>0.32904615740740739</v>
      </c>
      <c r="E1070" t="s">
        <v>2155</v>
      </c>
      <c r="F1070" t="s">
        <v>2156</v>
      </c>
      <c r="G1070" t="s">
        <v>1865</v>
      </c>
      <c r="H1070" t="s">
        <v>1607</v>
      </c>
      <c r="I1070" t="s">
        <v>839</v>
      </c>
      <c r="J1070" t="s">
        <v>419</v>
      </c>
      <c r="K1070" t="s">
        <v>39</v>
      </c>
      <c r="L1070">
        <v>117.44</v>
      </c>
      <c r="M1070" s="1">
        <v>46273</v>
      </c>
      <c r="N1070" t="s">
        <v>48</v>
      </c>
      <c r="O1070">
        <v>8</v>
      </c>
      <c r="P1070">
        <v>9</v>
      </c>
      <c r="Q1070">
        <v>3</v>
      </c>
      <c r="R1070">
        <v>2026</v>
      </c>
    </row>
    <row r="1071" spans="1:18">
      <c r="A1071">
        <v>95.55</v>
      </c>
      <c r="B1071">
        <v>5</v>
      </c>
      <c r="C1071">
        <v>1070</v>
      </c>
      <c r="D1071" s="2">
        <v>6.1244675925925928E-3</v>
      </c>
      <c r="E1071" t="s">
        <v>3203</v>
      </c>
      <c r="F1071" t="s">
        <v>3204</v>
      </c>
      <c r="G1071" t="s">
        <v>1050</v>
      </c>
      <c r="H1071" t="s">
        <v>961</v>
      </c>
      <c r="I1071" t="s">
        <v>807</v>
      </c>
      <c r="J1071" t="s">
        <v>410</v>
      </c>
      <c r="K1071" t="s">
        <v>97</v>
      </c>
      <c r="L1071">
        <v>19.11</v>
      </c>
      <c r="M1071" s="1">
        <v>46238</v>
      </c>
      <c r="N1071" t="s">
        <v>48</v>
      </c>
      <c r="O1071">
        <v>4</v>
      </c>
      <c r="P1071">
        <v>8</v>
      </c>
      <c r="Q1071">
        <v>3</v>
      </c>
      <c r="R1071">
        <v>2026</v>
      </c>
    </row>
    <row r="1072" spans="1:18">
      <c r="A1072">
        <v>888.08</v>
      </c>
      <c r="B1072">
        <v>4</v>
      </c>
      <c r="C1072">
        <v>1071</v>
      </c>
      <c r="D1072" s="2">
        <v>0.9557444444444444</v>
      </c>
      <c r="E1072" t="s">
        <v>3312</v>
      </c>
      <c r="F1072" t="s">
        <v>3313</v>
      </c>
      <c r="G1072" t="s">
        <v>1556</v>
      </c>
      <c r="H1072" t="s">
        <v>879</v>
      </c>
      <c r="I1072" t="s">
        <v>748</v>
      </c>
      <c r="J1072" t="s">
        <v>501</v>
      </c>
      <c r="K1072" t="s">
        <v>25</v>
      </c>
      <c r="L1072">
        <v>222.02</v>
      </c>
      <c r="M1072" s="1">
        <v>45992</v>
      </c>
      <c r="N1072" t="s">
        <v>93</v>
      </c>
      <c r="O1072">
        <v>1</v>
      </c>
      <c r="P1072">
        <v>12</v>
      </c>
      <c r="Q1072">
        <v>4</v>
      </c>
      <c r="R1072">
        <v>2025</v>
      </c>
    </row>
    <row r="1073" spans="1:18">
      <c r="A1073">
        <v>304.68</v>
      </c>
      <c r="B1073">
        <v>3</v>
      </c>
      <c r="C1073">
        <v>1072</v>
      </c>
      <c r="D1073" s="2">
        <v>0.73277158564814815</v>
      </c>
      <c r="E1073" t="s">
        <v>2638</v>
      </c>
      <c r="F1073" t="s">
        <v>2639</v>
      </c>
      <c r="G1073" t="s">
        <v>2640</v>
      </c>
      <c r="H1073" t="s">
        <v>328</v>
      </c>
      <c r="I1073" t="s">
        <v>1247</v>
      </c>
      <c r="J1073" t="s">
        <v>426</v>
      </c>
      <c r="K1073" t="s">
        <v>37</v>
      </c>
      <c r="L1073">
        <v>101.56</v>
      </c>
      <c r="M1073" s="1">
        <v>46240</v>
      </c>
      <c r="N1073" t="s">
        <v>105</v>
      </c>
      <c r="O1073">
        <v>6</v>
      </c>
      <c r="P1073">
        <v>8</v>
      </c>
      <c r="Q1073">
        <v>3</v>
      </c>
      <c r="R1073">
        <v>2026</v>
      </c>
    </row>
    <row r="1074" spans="1:18">
      <c r="A1074">
        <v>323.24</v>
      </c>
      <c r="B1074">
        <v>2</v>
      </c>
      <c r="C1074">
        <v>1073</v>
      </c>
      <c r="D1074" s="2">
        <v>0.78951158564814816</v>
      </c>
      <c r="E1074" t="s">
        <v>2595</v>
      </c>
      <c r="F1074" t="s">
        <v>2596</v>
      </c>
      <c r="G1074" t="s">
        <v>1556</v>
      </c>
      <c r="H1074" t="s">
        <v>1199</v>
      </c>
      <c r="I1074" t="s">
        <v>839</v>
      </c>
      <c r="J1074" t="s">
        <v>224</v>
      </c>
      <c r="K1074" t="s">
        <v>39</v>
      </c>
      <c r="L1074">
        <v>161.62</v>
      </c>
      <c r="M1074" s="1">
        <v>45724</v>
      </c>
      <c r="N1074" t="s">
        <v>14</v>
      </c>
      <c r="O1074">
        <v>8</v>
      </c>
      <c r="P1074">
        <v>3</v>
      </c>
      <c r="Q1074">
        <v>1</v>
      </c>
      <c r="R1074">
        <v>2025</v>
      </c>
    </row>
    <row r="1075" spans="1:18">
      <c r="A1075">
        <v>454.44</v>
      </c>
      <c r="B1075">
        <v>2</v>
      </c>
      <c r="C1075">
        <v>1074</v>
      </c>
      <c r="D1075" s="2">
        <v>5.0503449074074072E-2</v>
      </c>
      <c r="E1075" t="s">
        <v>1008</v>
      </c>
      <c r="F1075" t="s">
        <v>1009</v>
      </c>
      <c r="G1075" t="s">
        <v>1010</v>
      </c>
      <c r="H1075" t="s">
        <v>829</v>
      </c>
      <c r="I1075" t="s">
        <v>830</v>
      </c>
      <c r="J1075" t="s">
        <v>1314</v>
      </c>
      <c r="K1075" t="s">
        <v>55</v>
      </c>
      <c r="L1075">
        <v>227.22</v>
      </c>
      <c r="M1075" s="1">
        <v>45573</v>
      </c>
      <c r="N1075" t="s">
        <v>48</v>
      </c>
      <c r="O1075">
        <v>8</v>
      </c>
      <c r="P1075">
        <v>10</v>
      </c>
      <c r="Q1075">
        <v>4</v>
      </c>
      <c r="R1075">
        <v>2024</v>
      </c>
    </row>
    <row r="1076" spans="1:18">
      <c r="A1076">
        <v>62.7</v>
      </c>
      <c r="B1076">
        <v>2</v>
      </c>
      <c r="C1076">
        <v>1075</v>
      </c>
      <c r="D1076" s="2">
        <v>0.95870530092592587</v>
      </c>
      <c r="E1076" t="s">
        <v>2606</v>
      </c>
      <c r="F1076" t="s">
        <v>2607</v>
      </c>
      <c r="G1076" t="s">
        <v>2078</v>
      </c>
      <c r="H1076" t="s">
        <v>1032</v>
      </c>
      <c r="I1076" t="s">
        <v>839</v>
      </c>
      <c r="J1076" t="s">
        <v>557</v>
      </c>
      <c r="K1076" t="s">
        <v>46</v>
      </c>
      <c r="L1076">
        <v>31.35</v>
      </c>
      <c r="M1076" s="1">
        <v>45815</v>
      </c>
      <c r="N1076" t="s">
        <v>14</v>
      </c>
      <c r="O1076">
        <v>7</v>
      </c>
      <c r="P1076">
        <v>6</v>
      </c>
      <c r="Q1076">
        <v>2</v>
      </c>
      <c r="R1076">
        <v>2025</v>
      </c>
    </row>
    <row r="1077" spans="1:18">
      <c r="A1077">
        <v>189.85</v>
      </c>
      <c r="B1077">
        <v>1</v>
      </c>
      <c r="C1077">
        <v>1076</v>
      </c>
      <c r="D1077" s="2">
        <v>6.8722222222222226E-2</v>
      </c>
      <c r="E1077" t="s">
        <v>986</v>
      </c>
      <c r="F1077" t="s">
        <v>987</v>
      </c>
      <c r="G1077" t="s">
        <v>988</v>
      </c>
      <c r="H1077" t="s">
        <v>708</v>
      </c>
      <c r="I1077" t="s">
        <v>834</v>
      </c>
      <c r="J1077" t="s">
        <v>569</v>
      </c>
      <c r="K1077" t="s">
        <v>43</v>
      </c>
      <c r="L1077">
        <v>189.85</v>
      </c>
      <c r="M1077" s="1">
        <v>45831</v>
      </c>
      <c r="N1077" t="s">
        <v>93</v>
      </c>
      <c r="O1077">
        <v>23</v>
      </c>
      <c r="P1077">
        <v>6</v>
      </c>
      <c r="Q1077">
        <v>2</v>
      </c>
      <c r="R1077">
        <v>2025</v>
      </c>
    </row>
    <row r="1078" spans="1:18">
      <c r="A1078">
        <v>24.76</v>
      </c>
      <c r="B1078">
        <v>4</v>
      </c>
      <c r="C1078">
        <v>1077</v>
      </c>
      <c r="D1078" s="2">
        <v>0.5428408217592593</v>
      </c>
      <c r="E1078" t="s">
        <v>2682</v>
      </c>
      <c r="F1078" t="s">
        <v>2683</v>
      </c>
      <c r="G1078" t="s">
        <v>1648</v>
      </c>
      <c r="H1078" t="s">
        <v>932</v>
      </c>
      <c r="I1078" t="s">
        <v>776</v>
      </c>
      <c r="J1078" t="s">
        <v>662</v>
      </c>
      <c r="K1078" t="s">
        <v>21</v>
      </c>
      <c r="L1078">
        <v>6.19</v>
      </c>
      <c r="M1078" s="1">
        <v>45588</v>
      </c>
      <c r="N1078" t="s">
        <v>34</v>
      </c>
      <c r="O1078">
        <v>23</v>
      </c>
      <c r="P1078">
        <v>10</v>
      </c>
      <c r="Q1078">
        <v>4</v>
      </c>
      <c r="R1078">
        <v>2024</v>
      </c>
    </row>
    <row r="1079" spans="1:18">
      <c r="A1079">
        <v>239.16</v>
      </c>
      <c r="B1079">
        <v>2</v>
      </c>
      <c r="C1079">
        <v>1078</v>
      </c>
      <c r="D1079" s="2">
        <v>0.13412096064814816</v>
      </c>
      <c r="E1079" t="s">
        <v>2035</v>
      </c>
      <c r="F1079" t="s">
        <v>2036</v>
      </c>
      <c r="G1079" t="s">
        <v>1793</v>
      </c>
      <c r="H1079" t="s">
        <v>1920</v>
      </c>
      <c r="I1079" t="s">
        <v>807</v>
      </c>
      <c r="J1079" t="s">
        <v>143</v>
      </c>
      <c r="K1079" t="s">
        <v>69</v>
      </c>
      <c r="L1079">
        <v>119.58</v>
      </c>
      <c r="M1079" s="1">
        <v>45879</v>
      </c>
      <c r="N1079" t="s">
        <v>28</v>
      </c>
      <c r="O1079">
        <v>10</v>
      </c>
      <c r="P1079">
        <v>8</v>
      </c>
      <c r="Q1079">
        <v>3</v>
      </c>
      <c r="R1079">
        <v>2025</v>
      </c>
    </row>
    <row r="1080" spans="1:18">
      <c r="A1080">
        <v>46.94</v>
      </c>
      <c r="B1080">
        <v>1</v>
      </c>
      <c r="C1080">
        <v>1079</v>
      </c>
      <c r="D1080" s="2">
        <v>0.48249321759259262</v>
      </c>
      <c r="E1080" t="s">
        <v>2266</v>
      </c>
      <c r="F1080" t="s">
        <v>2267</v>
      </c>
      <c r="G1080" t="s">
        <v>1440</v>
      </c>
      <c r="H1080" t="s">
        <v>1469</v>
      </c>
      <c r="I1080" t="s">
        <v>908</v>
      </c>
      <c r="J1080" t="s">
        <v>365</v>
      </c>
      <c r="K1080" t="s">
        <v>51</v>
      </c>
      <c r="L1080">
        <v>46.94</v>
      </c>
      <c r="M1080" s="1">
        <v>45671</v>
      </c>
      <c r="N1080" t="s">
        <v>48</v>
      </c>
      <c r="O1080">
        <v>14</v>
      </c>
      <c r="P1080">
        <v>1</v>
      </c>
      <c r="Q1080">
        <v>1</v>
      </c>
      <c r="R1080">
        <v>2025</v>
      </c>
    </row>
    <row r="1081" spans="1:18">
      <c r="A1081">
        <v>143.87</v>
      </c>
      <c r="B1081">
        <v>1</v>
      </c>
      <c r="C1081">
        <v>1080</v>
      </c>
      <c r="D1081" s="2">
        <v>0.13308130787037037</v>
      </c>
      <c r="E1081" t="s">
        <v>2194</v>
      </c>
      <c r="F1081" t="s">
        <v>2195</v>
      </c>
      <c r="G1081" t="s">
        <v>914</v>
      </c>
      <c r="H1081" t="s">
        <v>414</v>
      </c>
      <c r="I1081" t="s">
        <v>795</v>
      </c>
      <c r="J1081" t="s">
        <v>587</v>
      </c>
      <c r="K1081" t="s">
        <v>27</v>
      </c>
      <c r="L1081">
        <v>143.87</v>
      </c>
      <c r="M1081" s="1">
        <v>45590</v>
      </c>
      <c r="N1081" t="s">
        <v>79</v>
      </c>
      <c r="O1081">
        <v>25</v>
      </c>
      <c r="P1081">
        <v>10</v>
      </c>
      <c r="Q1081">
        <v>4</v>
      </c>
      <c r="R1081">
        <v>2024</v>
      </c>
    </row>
    <row r="1082" spans="1:18">
      <c r="A1082">
        <v>174.45</v>
      </c>
      <c r="B1082">
        <v>5</v>
      </c>
      <c r="C1082">
        <v>1081</v>
      </c>
      <c r="D1082" s="2">
        <v>0.7604486226851852</v>
      </c>
      <c r="E1082" t="s">
        <v>3325</v>
      </c>
      <c r="F1082" t="s">
        <v>3326</v>
      </c>
      <c r="G1082" t="s">
        <v>1462</v>
      </c>
      <c r="H1082" t="s">
        <v>903</v>
      </c>
      <c r="I1082" t="s">
        <v>786</v>
      </c>
      <c r="J1082" t="s">
        <v>488</v>
      </c>
      <c r="K1082" t="s">
        <v>46</v>
      </c>
      <c r="L1082">
        <v>34.89</v>
      </c>
      <c r="M1082" s="1">
        <v>46212</v>
      </c>
      <c r="N1082" t="s">
        <v>105</v>
      </c>
      <c r="O1082">
        <v>9</v>
      </c>
      <c r="P1082">
        <v>7</v>
      </c>
      <c r="Q1082">
        <v>3</v>
      </c>
      <c r="R1082">
        <v>2026</v>
      </c>
    </row>
    <row r="1083" spans="1:18">
      <c r="A1083">
        <v>431.85</v>
      </c>
      <c r="B1083">
        <v>5</v>
      </c>
      <c r="C1083">
        <v>1082</v>
      </c>
      <c r="D1083" s="2">
        <v>0.56984172453703708</v>
      </c>
      <c r="E1083" t="s">
        <v>1923</v>
      </c>
      <c r="F1083" t="s">
        <v>1924</v>
      </c>
      <c r="G1083" t="s">
        <v>1925</v>
      </c>
      <c r="H1083" t="s">
        <v>29</v>
      </c>
      <c r="I1083" t="s">
        <v>821</v>
      </c>
      <c r="J1083" t="s">
        <v>624</v>
      </c>
      <c r="K1083" t="s">
        <v>60</v>
      </c>
      <c r="L1083">
        <v>86.37</v>
      </c>
      <c r="M1083" s="1">
        <v>46053</v>
      </c>
      <c r="N1083" t="s">
        <v>14</v>
      </c>
      <c r="O1083">
        <v>31</v>
      </c>
      <c r="P1083">
        <v>1</v>
      </c>
      <c r="Q1083">
        <v>1</v>
      </c>
      <c r="R1083">
        <v>2026</v>
      </c>
    </row>
    <row r="1084" spans="1:18">
      <c r="A1084">
        <v>104.9</v>
      </c>
      <c r="B1084">
        <v>5</v>
      </c>
      <c r="C1084">
        <v>1083</v>
      </c>
      <c r="D1084" s="2">
        <v>5.1953680555555555E-2</v>
      </c>
      <c r="E1084" t="s">
        <v>2616</v>
      </c>
      <c r="F1084" t="s">
        <v>2617</v>
      </c>
      <c r="G1084" t="s">
        <v>932</v>
      </c>
      <c r="H1084" t="s">
        <v>1111</v>
      </c>
      <c r="I1084" t="s">
        <v>981</v>
      </c>
      <c r="J1084" t="s">
        <v>456</v>
      </c>
      <c r="K1084" t="s">
        <v>19</v>
      </c>
      <c r="L1084">
        <v>20.98</v>
      </c>
      <c r="M1084" s="1">
        <v>45932</v>
      </c>
      <c r="N1084" t="s">
        <v>105</v>
      </c>
      <c r="O1084">
        <v>2</v>
      </c>
      <c r="P1084">
        <v>10</v>
      </c>
      <c r="Q1084">
        <v>4</v>
      </c>
      <c r="R1084">
        <v>2025</v>
      </c>
    </row>
    <row r="1085" spans="1:18">
      <c r="A1085">
        <v>719.35</v>
      </c>
      <c r="B1085">
        <v>5</v>
      </c>
      <c r="C1085">
        <v>1084</v>
      </c>
      <c r="D1085" s="2">
        <v>0.44876371527777775</v>
      </c>
      <c r="E1085" t="s">
        <v>2157</v>
      </c>
      <c r="F1085" t="s">
        <v>2158</v>
      </c>
      <c r="G1085" t="s">
        <v>849</v>
      </c>
      <c r="H1085" t="s">
        <v>1339</v>
      </c>
      <c r="I1085" t="s">
        <v>1247</v>
      </c>
      <c r="J1085" t="s">
        <v>587</v>
      </c>
      <c r="K1085" t="s">
        <v>27</v>
      </c>
      <c r="L1085">
        <v>143.87</v>
      </c>
      <c r="M1085" s="1">
        <v>45982</v>
      </c>
      <c r="N1085" t="s">
        <v>79</v>
      </c>
      <c r="O1085">
        <v>21</v>
      </c>
      <c r="P1085">
        <v>11</v>
      </c>
      <c r="Q1085">
        <v>4</v>
      </c>
      <c r="R1085">
        <v>2025</v>
      </c>
    </row>
    <row r="1086" spans="1:18">
      <c r="A1086">
        <v>470.58000000000004</v>
      </c>
      <c r="B1086">
        <v>3</v>
      </c>
      <c r="C1086">
        <v>1085</v>
      </c>
      <c r="D1086" s="2">
        <v>0.95332556712962968</v>
      </c>
      <c r="E1086" t="s">
        <v>2393</v>
      </c>
      <c r="F1086" t="s">
        <v>2394</v>
      </c>
      <c r="G1086" t="s">
        <v>1348</v>
      </c>
      <c r="H1086" t="s">
        <v>113</v>
      </c>
      <c r="I1086" t="s">
        <v>1247</v>
      </c>
      <c r="J1086" t="s">
        <v>602</v>
      </c>
      <c r="K1086" t="s">
        <v>17</v>
      </c>
      <c r="L1086">
        <v>156.86000000000001</v>
      </c>
      <c r="M1086" s="1">
        <v>46058</v>
      </c>
      <c r="N1086" t="s">
        <v>105</v>
      </c>
      <c r="O1086">
        <v>5</v>
      </c>
      <c r="P1086">
        <v>2</v>
      </c>
      <c r="Q1086">
        <v>1</v>
      </c>
      <c r="R1086">
        <v>2026</v>
      </c>
    </row>
    <row r="1087" spans="1:18">
      <c r="A1087">
        <v>128.58000000000001</v>
      </c>
      <c r="B1087">
        <v>2</v>
      </c>
      <c r="C1087">
        <v>1086</v>
      </c>
      <c r="D1087" s="2">
        <v>0.15446857638888889</v>
      </c>
      <c r="E1087" t="s">
        <v>2715</v>
      </c>
      <c r="F1087" t="s">
        <v>2716</v>
      </c>
      <c r="G1087" t="s">
        <v>2338</v>
      </c>
      <c r="H1087" t="s">
        <v>869</v>
      </c>
      <c r="I1087" t="s">
        <v>1247</v>
      </c>
      <c r="J1087" t="s">
        <v>461</v>
      </c>
      <c r="K1087" t="s">
        <v>60</v>
      </c>
      <c r="L1087">
        <v>64.290000000000006</v>
      </c>
      <c r="M1087" s="1">
        <v>45944</v>
      </c>
      <c r="N1087" t="s">
        <v>48</v>
      </c>
      <c r="O1087">
        <v>14</v>
      </c>
      <c r="P1087">
        <v>10</v>
      </c>
      <c r="Q1087">
        <v>4</v>
      </c>
      <c r="R1087">
        <v>2025</v>
      </c>
    </row>
    <row r="1088" spans="1:18">
      <c r="A1088">
        <v>725.93999999999994</v>
      </c>
      <c r="B1088">
        <v>3</v>
      </c>
      <c r="C1088">
        <v>1087</v>
      </c>
      <c r="D1088" s="2">
        <v>0.44470766203703704</v>
      </c>
      <c r="E1088" t="s">
        <v>787</v>
      </c>
      <c r="F1088" t="s">
        <v>788</v>
      </c>
      <c r="G1088" t="s">
        <v>789</v>
      </c>
      <c r="H1088" t="s">
        <v>160</v>
      </c>
      <c r="I1088" t="s">
        <v>790</v>
      </c>
      <c r="J1088" t="s">
        <v>203</v>
      </c>
      <c r="K1088" t="s">
        <v>100</v>
      </c>
      <c r="L1088">
        <v>241.98</v>
      </c>
      <c r="M1088" s="1">
        <v>45824</v>
      </c>
      <c r="N1088" t="s">
        <v>93</v>
      </c>
      <c r="O1088">
        <v>16</v>
      </c>
      <c r="P1088">
        <v>6</v>
      </c>
      <c r="Q1088">
        <v>2</v>
      </c>
      <c r="R1088">
        <v>2025</v>
      </c>
    </row>
    <row r="1089" spans="1:18">
      <c r="A1089">
        <v>47.55</v>
      </c>
      <c r="B1089">
        <v>5</v>
      </c>
      <c r="C1089">
        <v>1088</v>
      </c>
      <c r="D1089" s="2">
        <v>0.34864105324074074</v>
      </c>
      <c r="E1089" t="s">
        <v>3115</v>
      </c>
      <c r="F1089" t="s">
        <v>3116</v>
      </c>
      <c r="G1089" t="s">
        <v>746</v>
      </c>
      <c r="H1089" t="s">
        <v>1254</v>
      </c>
      <c r="I1089" t="s">
        <v>781</v>
      </c>
      <c r="J1089" t="s">
        <v>727</v>
      </c>
      <c r="K1089" t="s">
        <v>97</v>
      </c>
      <c r="L1089">
        <v>9.51</v>
      </c>
      <c r="M1089" s="1">
        <v>46093</v>
      </c>
      <c r="N1089" t="s">
        <v>105</v>
      </c>
      <c r="O1089">
        <v>12</v>
      </c>
      <c r="P1089">
        <v>3</v>
      </c>
      <c r="Q1089">
        <v>1</v>
      </c>
      <c r="R1089">
        <v>2026</v>
      </c>
    </row>
    <row r="1090" spans="1:18">
      <c r="A1090">
        <v>236.57999999999998</v>
      </c>
      <c r="B1090">
        <v>3</v>
      </c>
      <c r="C1090">
        <v>1089</v>
      </c>
      <c r="D1090" s="2">
        <v>0.22937399305555556</v>
      </c>
      <c r="E1090" t="s">
        <v>2178</v>
      </c>
      <c r="F1090" t="s">
        <v>2179</v>
      </c>
      <c r="G1090" t="s">
        <v>2060</v>
      </c>
      <c r="H1090" t="s">
        <v>1566</v>
      </c>
      <c r="I1090" t="s">
        <v>763</v>
      </c>
      <c r="J1090" t="s">
        <v>208</v>
      </c>
      <c r="K1090" t="s">
        <v>43</v>
      </c>
      <c r="L1090">
        <v>78.86</v>
      </c>
      <c r="M1090" s="1">
        <v>46035</v>
      </c>
      <c r="N1090" t="s">
        <v>48</v>
      </c>
      <c r="O1090">
        <v>13</v>
      </c>
      <c r="P1090">
        <v>1</v>
      </c>
      <c r="Q1090">
        <v>1</v>
      </c>
      <c r="R1090">
        <v>2026</v>
      </c>
    </row>
    <row r="1091" spans="1:18">
      <c r="A1091">
        <v>228.66</v>
      </c>
      <c r="B1091">
        <v>1</v>
      </c>
      <c r="C1091">
        <v>1090</v>
      </c>
      <c r="D1091" s="2">
        <v>0.687248287037037</v>
      </c>
      <c r="E1091" t="s">
        <v>818</v>
      </c>
      <c r="F1091" t="s">
        <v>819</v>
      </c>
      <c r="G1091" t="s">
        <v>820</v>
      </c>
      <c r="H1091" t="s">
        <v>29</v>
      </c>
      <c r="I1091" t="s">
        <v>821</v>
      </c>
      <c r="J1091" t="s">
        <v>480</v>
      </c>
      <c r="K1091" t="s">
        <v>57</v>
      </c>
      <c r="L1091">
        <v>228.66</v>
      </c>
      <c r="M1091" s="1">
        <v>46237</v>
      </c>
      <c r="N1091" t="s">
        <v>93</v>
      </c>
      <c r="O1091">
        <v>3</v>
      </c>
      <c r="P1091">
        <v>8</v>
      </c>
      <c r="Q1091">
        <v>3</v>
      </c>
      <c r="R1091">
        <v>2026</v>
      </c>
    </row>
    <row r="1092" spans="1:18">
      <c r="A1092">
        <v>141.08000000000001</v>
      </c>
      <c r="B1092">
        <v>4</v>
      </c>
      <c r="C1092">
        <v>1091</v>
      </c>
      <c r="D1092" s="2">
        <v>0.93604969907407409</v>
      </c>
      <c r="E1092" t="s">
        <v>2556</v>
      </c>
      <c r="F1092" t="s">
        <v>2557</v>
      </c>
      <c r="G1092" t="s">
        <v>976</v>
      </c>
      <c r="H1092" t="s">
        <v>136</v>
      </c>
      <c r="I1092" t="s">
        <v>776</v>
      </c>
      <c r="J1092" t="s">
        <v>33</v>
      </c>
      <c r="K1092" t="s">
        <v>19</v>
      </c>
      <c r="L1092">
        <v>35.270000000000003</v>
      </c>
      <c r="M1092" s="1">
        <v>45905</v>
      </c>
      <c r="N1092" t="s">
        <v>79</v>
      </c>
      <c r="O1092">
        <v>5</v>
      </c>
      <c r="P1092">
        <v>9</v>
      </c>
      <c r="Q1092">
        <v>3</v>
      </c>
      <c r="R1092">
        <v>2025</v>
      </c>
    </row>
    <row r="1093" spans="1:18">
      <c r="A1093">
        <v>529.14</v>
      </c>
      <c r="B1093">
        <v>3</v>
      </c>
      <c r="C1093">
        <v>1092</v>
      </c>
      <c r="D1093" s="2">
        <v>0.27115854166666664</v>
      </c>
      <c r="E1093" t="s">
        <v>1138</v>
      </c>
      <c r="F1093" t="s">
        <v>1139</v>
      </c>
      <c r="G1093" t="s">
        <v>1140</v>
      </c>
      <c r="H1093" t="s">
        <v>666</v>
      </c>
      <c r="I1093" t="s">
        <v>954</v>
      </c>
      <c r="J1093" t="s">
        <v>384</v>
      </c>
      <c r="K1093" t="s">
        <v>37</v>
      </c>
      <c r="L1093">
        <v>176.38</v>
      </c>
      <c r="M1093" s="1">
        <v>45961</v>
      </c>
      <c r="N1093" t="s">
        <v>79</v>
      </c>
      <c r="O1093">
        <v>31</v>
      </c>
      <c r="P1093">
        <v>10</v>
      </c>
      <c r="Q1093">
        <v>4</v>
      </c>
      <c r="R1093">
        <v>2025</v>
      </c>
    </row>
    <row r="1094" spans="1:18">
      <c r="A1094">
        <v>464.22</v>
      </c>
      <c r="B1094">
        <v>3</v>
      </c>
      <c r="C1094">
        <v>1093</v>
      </c>
      <c r="D1094" s="2">
        <v>0.32124756944444444</v>
      </c>
      <c r="E1094" t="s">
        <v>1503</v>
      </c>
      <c r="F1094" t="s">
        <v>1504</v>
      </c>
      <c r="G1094" t="s">
        <v>1505</v>
      </c>
      <c r="H1094" t="s">
        <v>929</v>
      </c>
      <c r="I1094" t="s">
        <v>830</v>
      </c>
      <c r="J1094" t="s">
        <v>547</v>
      </c>
      <c r="K1094" t="s">
        <v>97</v>
      </c>
      <c r="L1094">
        <v>154.74</v>
      </c>
      <c r="M1094" s="1">
        <v>45946</v>
      </c>
      <c r="N1094" t="s">
        <v>105</v>
      </c>
      <c r="O1094">
        <v>16</v>
      </c>
      <c r="P1094">
        <v>10</v>
      </c>
      <c r="Q1094">
        <v>4</v>
      </c>
      <c r="R1094">
        <v>2025</v>
      </c>
    </row>
    <row r="1095" spans="1:18">
      <c r="A1095">
        <v>165.65</v>
      </c>
      <c r="B1095">
        <v>5</v>
      </c>
      <c r="C1095">
        <v>1094</v>
      </c>
      <c r="D1095" s="2">
        <v>0.93716769675925926</v>
      </c>
      <c r="E1095" t="s">
        <v>900</v>
      </c>
      <c r="F1095" t="s">
        <v>901</v>
      </c>
      <c r="G1095" t="s">
        <v>902</v>
      </c>
      <c r="H1095" t="s">
        <v>903</v>
      </c>
      <c r="I1095" t="s">
        <v>786</v>
      </c>
      <c r="J1095" t="s">
        <v>164</v>
      </c>
      <c r="K1095" t="s">
        <v>46</v>
      </c>
      <c r="L1095">
        <v>33.130000000000003</v>
      </c>
      <c r="M1095" s="1">
        <v>46033</v>
      </c>
      <c r="N1095" t="s">
        <v>28</v>
      </c>
      <c r="O1095">
        <v>11</v>
      </c>
      <c r="P1095">
        <v>1</v>
      </c>
      <c r="Q1095">
        <v>1</v>
      </c>
      <c r="R1095">
        <v>2026</v>
      </c>
    </row>
    <row r="1096" spans="1:18">
      <c r="A1096">
        <v>31.24</v>
      </c>
      <c r="B1096">
        <v>2</v>
      </c>
      <c r="C1096">
        <v>1095</v>
      </c>
      <c r="D1096" s="2">
        <v>0.9039558680555555</v>
      </c>
      <c r="E1096" t="s">
        <v>2918</v>
      </c>
      <c r="F1096" t="s">
        <v>2919</v>
      </c>
      <c r="G1096" t="s">
        <v>2920</v>
      </c>
      <c r="H1096" t="s">
        <v>1649</v>
      </c>
      <c r="I1096" t="s">
        <v>790</v>
      </c>
      <c r="J1096" t="s">
        <v>248</v>
      </c>
      <c r="K1096" t="s">
        <v>100</v>
      </c>
      <c r="L1096">
        <v>15.62</v>
      </c>
      <c r="M1096" s="1">
        <v>45705</v>
      </c>
      <c r="N1096" t="s">
        <v>93</v>
      </c>
      <c r="O1096">
        <v>17</v>
      </c>
      <c r="P1096">
        <v>2</v>
      </c>
      <c r="Q1096">
        <v>1</v>
      </c>
      <c r="R1096">
        <v>2025</v>
      </c>
    </row>
    <row r="1097" spans="1:18">
      <c r="A1097">
        <v>82.320000000000007</v>
      </c>
      <c r="B1097">
        <v>3</v>
      </c>
      <c r="C1097">
        <v>1096</v>
      </c>
      <c r="D1097" s="2">
        <v>0.53942008101851857</v>
      </c>
      <c r="E1097" t="s">
        <v>2205</v>
      </c>
      <c r="F1097" t="s">
        <v>2206</v>
      </c>
      <c r="G1097" t="s">
        <v>1114</v>
      </c>
      <c r="H1097" t="s">
        <v>635</v>
      </c>
      <c r="I1097" t="s">
        <v>768</v>
      </c>
      <c r="J1097" t="s">
        <v>722</v>
      </c>
      <c r="K1097" t="s">
        <v>37</v>
      </c>
      <c r="L1097">
        <v>27.44</v>
      </c>
      <c r="M1097" s="1">
        <v>45939</v>
      </c>
      <c r="N1097" t="s">
        <v>105</v>
      </c>
      <c r="O1097">
        <v>9</v>
      </c>
      <c r="P1097">
        <v>10</v>
      </c>
      <c r="Q1097">
        <v>4</v>
      </c>
      <c r="R1097">
        <v>2025</v>
      </c>
    </row>
    <row r="1098" spans="1:18">
      <c r="A1098">
        <v>659.35</v>
      </c>
      <c r="B1098">
        <v>5</v>
      </c>
      <c r="C1098">
        <v>1097</v>
      </c>
      <c r="D1098" s="2">
        <v>0.87690327546296298</v>
      </c>
      <c r="E1098" t="s">
        <v>831</v>
      </c>
      <c r="F1098" t="s">
        <v>832</v>
      </c>
      <c r="G1098" t="s">
        <v>833</v>
      </c>
      <c r="H1098" t="s">
        <v>392</v>
      </c>
      <c r="I1098" t="s">
        <v>834</v>
      </c>
      <c r="J1098" t="s">
        <v>165</v>
      </c>
      <c r="K1098" t="s">
        <v>69</v>
      </c>
      <c r="L1098">
        <v>131.87</v>
      </c>
      <c r="M1098" s="1">
        <v>45931</v>
      </c>
      <c r="N1098" t="s">
        <v>34</v>
      </c>
      <c r="O1098">
        <v>1</v>
      </c>
      <c r="P1098">
        <v>10</v>
      </c>
      <c r="Q1098">
        <v>4</v>
      </c>
      <c r="R1098">
        <v>2025</v>
      </c>
    </row>
    <row r="1099" spans="1:18">
      <c r="A1099">
        <v>254.54999999999998</v>
      </c>
      <c r="B1099">
        <v>5</v>
      </c>
      <c r="C1099">
        <v>1098</v>
      </c>
      <c r="D1099" s="2">
        <v>0.78003789351851849</v>
      </c>
      <c r="E1099" t="s">
        <v>2055</v>
      </c>
      <c r="F1099" t="s">
        <v>2056</v>
      </c>
      <c r="G1099" t="s">
        <v>2057</v>
      </c>
      <c r="H1099" t="s">
        <v>1591</v>
      </c>
      <c r="I1099" t="s">
        <v>966</v>
      </c>
      <c r="J1099" t="s">
        <v>197</v>
      </c>
      <c r="K1099" t="s">
        <v>19</v>
      </c>
      <c r="L1099">
        <v>50.91</v>
      </c>
      <c r="M1099" s="1">
        <v>46158</v>
      </c>
      <c r="N1099" t="s">
        <v>14</v>
      </c>
      <c r="O1099">
        <v>16</v>
      </c>
      <c r="P1099">
        <v>5</v>
      </c>
      <c r="Q1099">
        <v>2</v>
      </c>
      <c r="R1099">
        <v>2026</v>
      </c>
    </row>
    <row r="1100" spans="1:18">
      <c r="A1100">
        <v>245.79</v>
      </c>
      <c r="B1100">
        <v>1</v>
      </c>
      <c r="C1100">
        <v>1099</v>
      </c>
      <c r="D1100" s="2">
        <v>6.1122754629629628E-2</v>
      </c>
      <c r="E1100" t="s">
        <v>1586</v>
      </c>
      <c r="F1100" t="s">
        <v>1587</v>
      </c>
      <c r="G1100" t="s">
        <v>1577</v>
      </c>
      <c r="H1100" t="s">
        <v>961</v>
      </c>
      <c r="I1100" t="s">
        <v>753</v>
      </c>
      <c r="J1100" t="s">
        <v>344</v>
      </c>
      <c r="K1100" t="s">
        <v>19</v>
      </c>
      <c r="L1100">
        <v>245.79</v>
      </c>
      <c r="M1100" s="1">
        <v>46068</v>
      </c>
      <c r="N1100" t="s">
        <v>28</v>
      </c>
      <c r="O1100">
        <v>15</v>
      </c>
      <c r="P1100">
        <v>2</v>
      </c>
      <c r="Q1100">
        <v>1</v>
      </c>
      <c r="R1100">
        <v>2026</v>
      </c>
    </row>
    <row r="1101" spans="1:18">
      <c r="A1101">
        <v>70.41</v>
      </c>
      <c r="B1101">
        <v>3</v>
      </c>
      <c r="C1101">
        <v>1100</v>
      </c>
      <c r="D1101" s="2">
        <v>8.650758101851852E-2</v>
      </c>
      <c r="E1101" t="s">
        <v>2706</v>
      </c>
      <c r="F1101" t="s">
        <v>2707</v>
      </c>
      <c r="G1101" t="s">
        <v>1909</v>
      </c>
      <c r="H1101" t="s">
        <v>15</v>
      </c>
      <c r="I1101" t="s">
        <v>834</v>
      </c>
      <c r="J1101" t="s">
        <v>492</v>
      </c>
      <c r="K1101" t="s">
        <v>21</v>
      </c>
      <c r="L1101">
        <v>23.47</v>
      </c>
      <c r="M1101" s="1">
        <v>46268</v>
      </c>
      <c r="N1101" t="s">
        <v>105</v>
      </c>
      <c r="O1101">
        <v>3</v>
      </c>
      <c r="P1101">
        <v>9</v>
      </c>
      <c r="Q1101">
        <v>3</v>
      </c>
      <c r="R1101">
        <v>2026</v>
      </c>
    </row>
    <row r="1102" spans="1:18">
      <c r="A1102">
        <v>37.1</v>
      </c>
      <c r="B1102">
        <v>5</v>
      </c>
      <c r="C1102">
        <v>1101</v>
      </c>
      <c r="D1102" s="2">
        <v>8.8357870370370378E-3</v>
      </c>
      <c r="E1102" t="s">
        <v>1696</v>
      </c>
      <c r="F1102" t="s">
        <v>1697</v>
      </c>
      <c r="G1102" t="s">
        <v>1698</v>
      </c>
      <c r="H1102" t="s">
        <v>1172</v>
      </c>
      <c r="I1102" t="s">
        <v>830</v>
      </c>
      <c r="J1102" t="s">
        <v>194</v>
      </c>
      <c r="K1102" t="s">
        <v>39</v>
      </c>
      <c r="L1102">
        <v>7.42</v>
      </c>
      <c r="M1102" s="1">
        <v>46019</v>
      </c>
      <c r="N1102" t="s">
        <v>28</v>
      </c>
      <c r="O1102">
        <v>28</v>
      </c>
      <c r="P1102">
        <v>12</v>
      </c>
      <c r="Q1102">
        <v>4</v>
      </c>
      <c r="R1102">
        <v>2025</v>
      </c>
    </row>
    <row r="1103" spans="1:18">
      <c r="A1103">
        <v>291.68</v>
      </c>
      <c r="B1103">
        <v>2</v>
      </c>
      <c r="C1103">
        <v>1102</v>
      </c>
      <c r="D1103" s="2">
        <v>0.74038759259259257</v>
      </c>
      <c r="E1103" t="s">
        <v>1971</v>
      </c>
      <c r="F1103" t="s">
        <v>1972</v>
      </c>
      <c r="G1103" t="s">
        <v>1973</v>
      </c>
      <c r="H1103" t="s">
        <v>513</v>
      </c>
      <c r="I1103" t="s">
        <v>786</v>
      </c>
      <c r="J1103" t="s">
        <v>178</v>
      </c>
      <c r="K1103" t="s">
        <v>122</v>
      </c>
      <c r="L1103">
        <v>145.84</v>
      </c>
      <c r="M1103" s="1">
        <v>45878</v>
      </c>
      <c r="N1103" t="s">
        <v>14</v>
      </c>
      <c r="O1103">
        <v>9</v>
      </c>
      <c r="P1103">
        <v>8</v>
      </c>
      <c r="Q1103">
        <v>3</v>
      </c>
      <c r="R1103">
        <v>2025</v>
      </c>
    </row>
    <row r="1104" spans="1:18">
      <c r="A1104">
        <v>29.14</v>
      </c>
      <c r="B1104">
        <v>2</v>
      </c>
      <c r="C1104">
        <v>1103</v>
      </c>
      <c r="D1104" s="2">
        <v>0.22183125000000001</v>
      </c>
      <c r="E1104" t="s">
        <v>2698</v>
      </c>
      <c r="F1104" t="s">
        <v>2699</v>
      </c>
      <c r="G1104" t="s">
        <v>1124</v>
      </c>
      <c r="H1104" t="s">
        <v>1666</v>
      </c>
      <c r="I1104" t="s">
        <v>830</v>
      </c>
      <c r="J1104" t="s">
        <v>166</v>
      </c>
      <c r="K1104" t="s">
        <v>23</v>
      </c>
      <c r="L1104">
        <v>14.57</v>
      </c>
      <c r="M1104" s="1">
        <v>45769</v>
      </c>
      <c r="N1104" t="s">
        <v>48</v>
      </c>
      <c r="O1104">
        <v>22</v>
      </c>
      <c r="P1104">
        <v>4</v>
      </c>
      <c r="Q1104">
        <v>2</v>
      </c>
      <c r="R1104">
        <v>2025</v>
      </c>
    </row>
    <row r="1105" spans="1:18">
      <c r="A1105">
        <v>23.66</v>
      </c>
      <c r="B1105">
        <v>2</v>
      </c>
      <c r="C1105">
        <v>1104</v>
      </c>
      <c r="D1105" s="2">
        <v>0.82202042824074073</v>
      </c>
      <c r="E1105" t="s">
        <v>1499</v>
      </c>
      <c r="F1105" t="s">
        <v>1500</v>
      </c>
      <c r="G1105" t="s">
        <v>1501</v>
      </c>
      <c r="H1105" t="s">
        <v>1502</v>
      </c>
      <c r="I1105" t="s">
        <v>817</v>
      </c>
      <c r="J1105" t="s">
        <v>220</v>
      </c>
      <c r="K1105" t="s">
        <v>97</v>
      </c>
      <c r="L1105">
        <v>11.83</v>
      </c>
      <c r="M1105" s="1">
        <v>45912</v>
      </c>
      <c r="N1105" t="s">
        <v>79</v>
      </c>
      <c r="O1105">
        <v>12</v>
      </c>
      <c r="P1105">
        <v>9</v>
      </c>
      <c r="Q1105">
        <v>3</v>
      </c>
      <c r="R1105">
        <v>2025</v>
      </c>
    </row>
    <row r="1106" spans="1:18">
      <c r="A1106">
        <v>1021.25</v>
      </c>
      <c r="B1106">
        <v>5</v>
      </c>
      <c r="C1106">
        <v>1105</v>
      </c>
      <c r="D1106" s="2">
        <v>0.36190570601851851</v>
      </c>
      <c r="E1106" t="s">
        <v>977</v>
      </c>
      <c r="F1106" t="s">
        <v>978</v>
      </c>
      <c r="G1106" t="s">
        <v>979</v>
      </c>
      <c r="H1106" t="s">
        <v>980</v>
      </c>
      <c r="I1106" t="s">
        <v>981</v>
      </c>
      <c r="J1106" t="s">
        <v>341</v>
      </c>
      <c r="K1106" t="s">
        <v>21</v>
      </c>
      <c r="L1106">
        <v>204.25</v>
      </c>
      <c r="M1106" s="1">
        <v>45688</v>
      </c>
      <c r="N1106" t="s">
        <v>79</v>
      </c>
      <c r="O1106">
        <v>31</v>
      </c>
      <c r="P1106">
        <v>1</v>
      </c>
      <c r="Q1106">
        <v>1</v>
      </c>
      <c r="R1106">
        <v>2025</v>
      </c>
    </row>
    <row r="1107" spans="1:18">
      <c r="A1107">
        <v>13.600000000000001</v>
      </c>
      <c r="B1107">
        <v>5</v>
      </c>
      <c r="C1107">
        <v>1106</v>
      </c>
      <c r="D1107" s="2">
        <v>0.81480142361111108</v>
      </c>
      <c r="E1107" t="s">
        <v>2986</v>
      </c>
      <c r="F1107" t="s">
        <v>2987</v>
      </c>
      <c r="G1107" t="s">
        <v>2033</v>
      </c>
      <c r="H1107" t="s">
        <v>562</v>
      </c>
      <c r="I1107" t="s">
        <v>753</v>
      </c>
      <c r="J1107" t="s">
        <v>99</v>
      </c>
      <c r="K1107" t="s">
        <v>100</v>
      </c>
      <c r="L1107">
        <v>2.72</v>
      </c>
      <c r="M1107" s="1">
        <v>45686</v>
      </c>
      <c r="N1107" t="s">
        <v>34</v>
      </c>
      <c r="O1107">
        <v>29</v>
      </c>
      <c r="P1107">
        <v>1</v>
      </c>
      <c r="Q1107">
        <v>1</v>
      </c>
      <c r="R1107">
        <v>2025</v>
      </c>
    </row>
    <row r="1108" spans="1:18">
      <c r="A1108">
        <v>44.14</v>
      </c>
      <c r="B1108">
        <v>2</v>
      </c>
      <c r="C1108">
        <v>1107</v>
      </c>
      <c r="D1108" s="2">
        <v>0.90270581018518514</v>
      </c>
      <c r="E1108" t="s">
        <v>2888</v>
      </c>
      <c r="F1108" t="s">
        <v>2889</v>
      </c>
      <c r="G1108" t="s">
        <v>2114</v>
      </c>
      <c r="H1108" t="s">
        <v>929</v>
      </c>
      <c r="I1108" t="s">
        <v>830</v>
      </c>
      <c r="J1108" t="s">
        <v>700</v>
      </c>
      <c r="K1108" t="s">
        <v>37</v>
      </c>
      <c r="L1108">
        <v>22.07</v>
      </c>
      <c r="M1108" s="1">
        <v>45827</v>
      </c>
      <c r="N1108" t="s">
        <v>105</v>
      </c>
      <c r="O1108">
        <v>19</v>
      </c>
      <c r="P1108">
        <v>6</v>
      </c>
      <c r="Q1108">
        <v>2</v>
      </c>
      <c r="R1108">
        <v>2025</v>
      </c>
    </row>
    <row r="1109" spans="1:18">
      <c r="A1109">
        <v>202.6</v>
      </c>
      <c r="B1109">
        <v>4</v>
      </c>
      <c r="C1109">
        <v>1108</v>
      </c>
      <c r="D1109" s="2">
        <v>4.0803113425925928E-2</v>
      </c>
      <c r="E1109" t="s">
        <v>3091</v>
      </c>
      <c r="F1109" t="s">
        <v>3092</v>
      </c>
      <c r="G1109" t="s">
        <v>1064</v>
      </c>
      <c r="H1109" t="s">
        <v>757</v>
      </c>
      <c r="I1109" t="s">
        <v>758</v>
      </c>
      <c r="J1109" t="s">
        <v>403</v>
      </c>
      <c r="K1109" t="s">
        <v>23</v>
      </c>
      <c r="L1109">
        <v>50.65</v>
      </c>
      <c r="M1109" s="1">
        <v>45836</v>
      </c>
      <c r="N1109" t="s">
        <v>14</v>
      </c>
      <c r="O1109">
        <v>28</v>
      </c>
      <c r="P1109">
        <v>6</v>
      </c>
      <c r="Q1109">
        <v>2</v>
      </c>
      <c r="R1109">
        <v>2025</v>
      </c>
    </row>
    <row r="1110" spans="1:18">
      <c r="A1110">
        <v>64.55</v>
      </c>
      <c r="B1110">
        <v>5</v>
      </c>
      <c r="C1110">
        <v>1109</v>
      </c>
      <c r="D1110" s="2">
        <v>0.27093624999999999</v>
      </c>
      <c r="E1110" t="s">
        <v>3072</v>
      </c>
      <c r="F1110" t="s">
        <v>3073</v>
      </c>
      <c r="G1110" t="s">
        <v>1136</v>
      </c>
      <c r="H1110" t="s">
        <v>747</v>
      </c>
      <c r="I1110" t="s">
        <v>748</v>
      </c>
      <c r="J1110" t="s">
        <v>38</v>
      </c>
      <c r="K1110" t="s">
        <v>39</v>
      </c>
      <c r="L1110">
        <v>12.91</v>
      </c>
      <c r="M1110" s="1">
        <v>45959</v>
      </c>
      <c r="N1110" t="s">
        <v>34</v>
      </c>
      <c r="O1110">
        <v>29</v>
      </c>
      <c r="P1110">
        <v>10</v>
      </c>
      <c r="Q1110">
        <v>4</v>
      </c>
      <c r="R1110">
        <v>2025</v>
      </c>
    </row>
    <row r="1111" spans="1:18">
      <c r="A1111">
        <v>245.78</v>
      </c>
      <c r="B1111">
        <v>2</v>
      </c>
      <c r="C1111">
        <v>1110</v>
      </c>
      <c r="D1111" s="2">
        <v>0.55129082175925925</v>
      </c>
      <c r="E1111" t="s">
        <v>759</v>
      </c>
      <c r="F1111" t="s">
        <v>760</v>
      </c>
      <c r="G1111" t="s">
        <v>761</v>
      </c>
      <c r="H1111" t="s">
        <v>762</v>
      </c>
      <c r="I1111" t="s">
        <v>763</v>
      </c>
      <c r="J1111" t="s">
        <v>665</v>
      </c>
      <c r="K1111" t="s">
        <v>17</v>
      </c>
      <c r="L1111">
        <v>122.89</v>
      </c>
      <c r="M1111" s="1">
        <v>45840</v>
      </c>
      <c r="N1111" t="s">
        <v>34</v>
      </c>
      <c r="O1111">
        <v>2</v>
      </c>
      <c r="P1111">
        <v>7</v>
      </c>
      <c r="Q1111">
        <v>3</v>
      </c>
      <c r="R1111">
        <v>2025</v>
      </c>
    </row>
    <row r="1112" spans="1:18">
      <c r="A1112">
        <v>962.4</v>
      </c>
      <c r="B1112">
        <v>5</v>
      </c>
      <c r="C1112">
        <v>1111</v>
      </c>
      <c r="D1112" s="2">
        <v>7.8975601851851845E-2</v>
      </c>
      <c r="E1112" t="s">
        <v>2084</v>
      </c>
      <c r="F1112" t="s">
        <v>2085</v>
      </c>
      <c r="G1112" t="s">
        <v>2086</v>
      </c>
      <c r="H1112" t="s">
        <v>1209</v>
      </c>
      <c r="I1112" t="s">
        <v>776</v>
      </c>
      <c r="J1112" t="s">
        <v>159</v>
      </c>
      <c r="K1112" t="s">
        <v>21</v>
      </c>
      <c r="L1112">
        <v>192.48</v>
      </c>
      <c r="M1112" s="1">
        <v>45640</v>
      </c>
      <c r="N1112" t="s">
        <v>14</v>
      </c>
      <c r="O1112">
        <v>14</v>
      </c>
      <c r="P1112">
        <v>12</v>
      </c>
      <c r="Q1112">
        <v>4</v>
      </c>
      <c r="R1112">
        <v>2024</v>
      </c>
    </row>
    <row r="1113" spans="1:18">
      <c r="A1113">
        <v>901.56</v>
      </c>
      <c r="B1113">
        <v>4</v>
      </c>
      <c r="C1113">
        <v>1112</v>
      </c>
      <c r="D1113" s="2">
        <v>0.80540590277777779</v>
      </c>
      <c r="E1113" t="s">
        <v>1090</v>
      </c>
      <c r="F1113" t="s">
        <v>1091</v>
      </c>
      <c r="G1113" t="s">
        <v>925</v>
      </c>
      <c r="H1113" t="s">
        <v>1092</v>
      </c>
      <c r="I1113" t="s">
        <v>763</v>
      </c>
      <c r="J1113" t="s">
        <v>152</v>
      </c>
      <c r="K1113" t="s">
        <v>19</v>
      </c>
      <c r="L1113">
        <v>225.39</v>
      </c>
      <c r="M1113" s="1">
        <v>45640</v>
      </c>
      <c r="N1113" t="s">
        <v>14</v>
      </c>
      <c r="O1113">
        <v>14</v>
      </c>
      <c r="P1113">
        <v>12</v>
      </c>
      <c r="Q1113">
        <v>4</v>
      </c>
      <c r="R1113">
        <v>2024</v>
      </c>
    </row>
    <row r="1114" spans="1:18">
      <c r="A1114">
        <v>571.91999999999996</v>
      </c>
      <c r="B1114">
        <v>3</v>
      </c>
      <c r="C1114">
        <v>1113</v>
      </c>
      <c r="D1114" s="2">
        <v>0.78131284722222227</v>
      </c>
      <c r="E1114" t="s">
        <v>1923</v>
      </c>
      <c r="F1114" t="s">
        <v>1924</v>
      </c>
      <c r="G1114" t="s">
        <v>1925</v>
      </c>
      <c r="H1114" t="s">
        <v>29</v>
      </c>
      <c r="I1114" t="s">
        <v>821</v>
      </c>
      <c r="J1114" t="s">
        <v>340</v>
      </c>
      <c r="K1114" t="s">
        <v>43</v>
      </c>
      <c r="L1114">
        <v>190.64</v>
      </c>
      <c r="M1114" s="1">
        <v>46118</v>
      </c>
      <c r="N1114" t="s">
        <v>93</v>
      </c>
      <c r="O1114">
        <v>6</v>
      </c>
      <c r="P1114">
        <v>4</v>
      </c>
      <c r="Q1114">
        <v>2</v>
      </c>
      <c r="R1114">
        <v>2026</v>
      </c>
    </row>
    <row r="1115" spans="1:18">
      <c r="A1115">
        <v>116.19999999999999</v>
      </c>
      <c r="B1115">
        <v>5</v>
      </c>
      <c r="C1115">
        <v>1114</v>
      </c>
      <c r="D1115" s="2">
        <v>0.1537183101851852</v>
      </c>
      <c r="E1115" t="s">
        <v>3055</v>
      </c>
      <c r="F1115" t="s">
        <v>3056</v>
      </c>
      <c r="G1115" t="s">
        <v>960</v>
      </c>
      <c r="H1115" t="s">
        <v>1540</v>
      </c>
      <c r="I1115" t="s">
        <v>768</v>
      </c>
      <c r="J1115" t="s">
        <v>738</v>
      </c>
      <c r="K1115" t="s">
        <v>27</v>
      </c>
      <c r="L1115">
        <v>23.24</v>
      </c>
      <c r="M1115" s="1">
        <v>46230</v>
      </c>
      <c r="N1115" t="s">
        <v>93</v>
      </c>
      <c r="O1115">
        <v>27</v>
      </c>
      <c r="P1115">
        <v>7</v>
      </c>
      <c r="Q1115">
        <v>3</v>
      </c>
      <c r="R1115">
        <v>2026</v>
      </c>
    </row>
    <row r="1116" spans="1:18">
      <c r="A1116">
        <v>31.24</v>
      </c>
      <c r="B1116">
        <v>4</v>
      </c>
      <c r="C1116">
        <v>1115</v>
      </c>
      <c r="D1116" s="2">
        <v>0.84355101851851855</v>
      </c>
      <c r="E1116" t="s">
        <v>3011</v>
      </c>
      <c r="F1116" t="s">
        <v>3012</v>
      </c>
      <c r="G1116" t="s">
        <v>1171</v>
      </c>
      <c r="H1116" t="s">
        <v>1327</v>
      </c>
      <c r="I1116" t="s">
        <v>795</v>
      </c>
      <c r="J1116" t="s">
        <v>532</v>
      </c>
      <c r="K1116" t="s">
        <v>55</v>
      </c>
      <c r="L1116">
        <v>7.81</v>
      </c>
      <c r="M1116" s="1">
        <v>45555</v>
      </c>
      <c r="N1116" t="s">
        <v>79</v>
      </c>
      <c r="O1116">
        <v>20</v>
      </c>
      <c r="P1116">
        <v>9</v>
      </c>
      <c r="Q1116">
        <v>3</v>
      </c>
      <c r="R1116">
        <v>2024</v>
      </c>
    </row>
    <row r="1117" spans="1:18">
      <c r="A1117">
        <v>221.86</v>
      </c>
      <c r="B1117">
        <v>2</v>
      </c>
      <c r="C1117">
        <v>1116</v>
      </c>
      <c r="D1117" s="2">
        <v>0.80617938657407406</v>
      </c>
      <c r="E1117" t="s">
        <v>1004</v>
      </c>
      <c r="F1117" t="s">
        <v>1005</v>
      </c>
      <c r="G1117" t="s">
        <v>1006</v>
      </c>
      <c r="H1117" t="s">
        <v>1007</v>
      </c>
      <c r="I1117" t="s">
        <v>966</v>
      </c>
      <c r="J1117" t="s">
        <v>457</v>
      </c>
      <c r="K1117" t="s">
        <v>25</v>
      </c>
      <c r="L1117">
        <v>110.93</v>
      </c>
      <c r="M1117" s="1">
        <v>45567</v>
      </c>
      <c r="N1117" t="s">
        <v>34</v>
      </c>
      <c r="O1117">
        <v>2</v>
      </c>
      <c r="P1117">
        <v>10</v>
      </c>
      <c r="Q1117">
        <v>4</v>
      </c>
      <c r="R1117">
        <v>2024</v>
      </c>
    </row>
    <row r="1118" spans="1:18">
      <c r="A1118">
        <v>323.12</v>
      </c>
      <c r="B1118">
        <v>2</v>
      </c>
      <c r="C1118">
        <v>1117</v>
      </c>
      <c r="D1118" s="2">
        <v>0.48126392361111109</v>
      </c>
      <c r="E1118" t="s">
        <v>1438</v>
      </c>
      <c r="F1118" t="s">
        <v>1439</v>
      </c>
      <c r="G1118" t="s">
        <v>1440</v>
      </c>
      <c r="H1118" t="s">
        <v>29</v>
      </c>
      <c r="I1118" t="s">
        <v>763</v>
      </c>
      <c r="J1118" t="s">
        <v>422</v>
      </c>
      <c r="K1118" t="s">
        <v>122</v>
      </c>
      <c r="L1118">
        <v>161.56</v>
      </c>
      <c r="M1118" s="1">
        <v>46032</v>
      </c>
      <c r="N1118" t="s">
        <v>14</v>
      </c>
      <c r="O1118">
        <v>10</v>
      </c>
      <c r="P1118">
        <v>1</v>
      </c>
      <c r="Q1118">
        <v>1</v>
      </c>
      <c r="R1118">
        <v>2026</v>
      </c>
    </row>
    <row r="1119" spans="1:18">
      <c r="A1119">
        <v>349.26</v>
      </c>
      <c r="B1119">
        <v>3</v>
      </c>
      <c r="C1119">
        <v>1118</v>
      </c>
      <c r="D1119" s="2">
        <v>0.48626768518518521</v>
      </c>
      <c r="E1119" t="s">
        <v>3144</v>
      </c>
      <c r="F1119" t="s">
        <v>2046</v>
      </c>
      <c r="G1119" t="s">
        <v>2078</v>
      </c>
      <c r="H1119" t="s">
        <v>929</v>
      </c>
      <c r="I1119" t="s">
        <v>786</v>
      </c>
      <c r="J1119" t="s">
        <v>91</v>
      </c>
      <c r="K1119" t="s">
        <v>55</v>
      </c>
      <c r="L1119">
        <v>116.42</v>
      </c>
      <c r="M1119" s="1">
        <v>45860</v>
      </c>
      <c r="N1119" t="s">
        <v>48</v>
      </c>
      <c r="O1119">
        <v>22</v>
      </c>
      <c r="P1119">
        <v>7</v>
      </c>
      <c r="Q1119">
        <v>3</v>
      </c>
      <c r="R1119">
        <v>2025</v>
      </c>
    </row>
    <row r="1120" spans="1:18">
      <c r="A1120">
        <v>11.82</v>
      </c>
      <c r="B1120">
        <v>2</v>
      </c>
      <c r="C1120">
        <v>1119</v>
      </c>
      <c r="D1120" s="2">
        <v>9.5364189814814815E-2</v>
      </c>
      <c r="E1120" t="s">
        <v>1802</v>
      </c>
      <c r="F1120" t="s">
        <v>1803</v>
      </c>
      <c r="G1120" t="s">
        <v>906</v>
      </c>
      <c r="H1120" t="s">
        <v>970</v>
      </c>
      <c r="I1120" t="s">
        <v>790</v>
      </c>
      <c r="J1120" t="s">
        <v>590</v>
      </c>
      <c r="K1120" t="s">
        <v>51</v>
      </c>
      <c r="L1120">
        <v>5.91</v>
      </c>
      <c r="M1120" s="1">
        <v>46184</v>
      </c>
      <c r="N1120" t="s">
        <v>105</v>
      </c>
      <c r="O1120">
        <v>11</v>
      </c>
      <c r="P1120">
        <v>6</v>
      </c>
      <c r="Q1120">
        <v>2</v>
      </c>
      <c r="R1120">
        <v>2026</v>
      </c>
    </row>
    <row r="1121" spans="1:18">
      <c r="A1121">
        <v>90.9</v>
      </c>
      <c r="B1121">
        <v>5</v>
      </c>
      <c r="C1121">
        <v>1120</v>
      </c>
      <c r="D1121" s="2">
        <v>0.75494559027777774</v>
      </c>
      <c r="E1121" t="s">
        <v>3117</v>
      </c>
      <c r="F1121" t="s">
        <v>3118</v>
      </c>
      <c r="G1121" t="s">
        <v>2103</v>
      </c>
      <c r="H1121" t="s">
        <v>562</v>
      </c>
      <c r="I1121" t="s">
        <v>753</v>
      </c>
      <c r="J1121" t="s">
        <v>284</v>
      </c>
      <c r="K1121" t="s">
        <v>97</v>
      </c>
      <c r="L1121">
        <v>18.18</v>
      </c>
      <c r="M1121" s="1">
        <v>46055</v>
      </c>
      <c r="N1121" t="s">
        <v>93</v>
      </c>
      <c r="O1121">
        <v>2</v>
      </c>
      <c r="P1121">
        <v>2</v>
      </c>
      <c r="Q1121">
        <v>1</v>
      </c>
      <c r="R1121">
        <v>2026</v>
      </c>
    </row>
    <row r="1122" spans="1:18">
      <c r="A1122">
        <v>555.65</v>
      </c>
      <c r="B1122">
        <v>5</v>
      </c>
      <c r="C1122">
        <v>1121</v>
      </c>
      <c r="D1122" s="2">
        <v>0.59747406250000001</v>
      </c>
      <c r="E1122" t="s">
        <v>1830</v>
      </c>
      <c r="F1122" t="s">
        <v>1831</v>
      </c>
      <c r="G1122" t="s">
        <v>1216</v>
      </c>
      <c r="H1122" t="s">
        <v>785</v>
      </c>
      <c r="I1122" t="s">
        <v>786</v>
      </c>
      <c r="J1122" t="s">
        <v>269</v>
      </c>
      <c r="K1122" t="s">
        <v>60</v>
      </c>
      <c r="L1122">
        <v>111.13</v>
      </c>
      <c r="M1122" s="1">
        <v>46077</v>
      </c>
      <c r="N1122" t="s">
        <v>48</v>
      </c>
      <c r="O1122">
        <v>24</v>
      </c>
      <c r="P1122">
        <v>2</v>
      </c>
      <c r="Q1122">
        <v>1</v>
      </c>
      <c r="R1122">
        <v>2026</v>
      </c>
    </row>
    <row r="1123" spans="1:18">
      <c r="A1123">
        <v>11.49</v>
      </c>
      <c r="B1123">
        <v>1</v>
      </c>
      <c r="C1123">
        <v>1122</v>
      </c>
      <c r="D1123" s="2">
        <v>0.79800868055555552</v>
      </c>
      <c r="E1123" t="s">
        <v>2829</v>
      </c>
      <c r="F1123" t="s">
        <v>2830</v>
      </c>
      <c r="G1123" t="s">
        <v>2831</v>
      </c>
      <c r="H1123" t="s">
        <v>15</v>
      </c>
      <c r="I1123" t="s">
        <v>834</v>
      </c>
      <c r="J1123" t="s">
        <v>736</v>
      </c>
      <c r="K1123" t="s">
        <v>122</v>
      </c>
      <c r="L1123">
        <v>11.49</v>
      </c>
      <c r="M1123" s="1">
        <v>45678</v>
      </c>
      <c r="N1123" t="s">
        <v>48</v>
      </c>
      <c r="O1123">
        <v>21</v>
      </c>
      <c r="P1123">
        <v>1</v>
      </c>
      <c r="Q1123">
        <v>1</v>
      </c>
      <c r="R1123">
        <v>2025</v>
      </c>
    </row>
    <row r="1124" spans="1:18">
      <c r="A1124">
        <v>406.86</v>
      </c>
      <c r="B1124">
        <v>2</v>
      </c>
      <c r="C1124">
        <v>1123</v>
      </c>
      <c r="D1124" s="2">
        <v>0.38816836805555555</v>
      </c>
      <c r="E1124" t="s">
        <v>1442</v>
      </c>
      <c r="F1124" t="s">
        <v>1443</v>
      </c>
      <c r="G1124" t="s">
        <v>1444</v>
      </c>
      <c r="H1124" t="s">
        <v>380</v>
      </c>
      <c r="I1124" t="s">
        <v>896</v>
      </c>
      <c r="J1124" t="s">
        <v>128</v>
      </c>
      <c r="K1124" t="s">
        <v>55</v>
      </c>
      <c r="L1124">
        <v>203.43</v>
      </c>
      <c r="M1124" s="1">
        <v>46200</v>
      </c>
      <c r="N1124" t="s">
        <v>14</v>
      </c>
      <c r="O1124">
        <v>27</v>
      </c>
      <c r="P1124">
        <v>6</v>
      </c>
      <c r="Q1124">
        <v>2</v>
      </c>
      <c r="R1124">
        <v>2026</v>
      </c>
    </row>
    <row r="1125" spans="1:18">
      <c r="A1125">
        <v>110.35</v>
      </c>
      <c r="B1125">
        <v>5</v>
      </c>
      <c r="C1125">
        <v>1124</v>
      </c>
      <c r="D1125" s="2">
        <v>0.27449879629629631</v>
      </c>
      <c r="E1125" t="s">
        <v>1702</v>
      </c>
      <c r="F1125" t="s">
        <v>1703</v>
      </c>
      <c r="G1125" t="s">
        <v>1324</v>
      </c>
      <c r="H1125" t="s">
        <v>1026</v>
      </c>
      <c r="I1125" t="s">
        <v>896</v>
      </c>
      <c r="J1125" t="s">
        <v>700</v>
      </c>
      <c r="K1125" t="s">
        <v>37</v>
      </c>
      <c r="L1125">
        <v>22.07</v>
      </c>
      <c r="M1125" s="1">
        <v>46263</v>
      </c>
      <c r="N1125" t="s">
        <v>14</v>
      </c>
      <c r="O1125">
        <v>29</v>
      </c>
      <c r="P1125">
        <v>8</v>
      </c>
      <c r="Q1125">
        <v>3</v>
      </c>
      <c r="R1125">
        <v>2026</v>
      </c>
    </row>
    <row r="1126" spans="1:18">
      <c r="A1126">
        <v>10.01</v>
      </c>
      <c r="B1126">
        <v>1</v>
      </c>
      <c r="C1126">
        <v>1125</v>
      </c>
      <c r="D1126" s="2">
        <v>0.58315454861111116</v>
      </c>
      <c r="E1126" t="s">
        <v>1093</v>
      </c>
      <c r="F1126" t="s">
        <v>1094</v>
      </c>
      <c r="G1126" t="s">
        <v>1095</v>
      </c>
      <c r="H1126" t="s">
        <v>862</v>
      </c>
      <c r="I1126" t="s">
        <v>758</v>
      </c>
      <c r="J1126" t="s">
        <v>163</v>
      </c>
      <c r="K1126" t="s">
        <v>97</v>
      </c>
      <c r="L1126">
        <v>10.01</v>
      </c>
      <c r="M1126" s="1">
        <v>45548</v>
      </c>
      <c r="N1126" t="s">
        <v>79</v>
      </c>
      <c r="O1126">
        <v>13</v>
      </c>
      <c r="P1126">
        <v>9</v>
      </c>
      <c r="Q1126">
        <v>3</v>
      </c>
      <c r="R1126">
        <v>2024</v>
      </c>
    </row>
    <row r="1127" spans="1:18">
      <c r="A1127">
        <v>103.44</v>
      </c>
      <c r="B1127">
        <v>4</v>
      </c>
      <c r="C1127">
        <v>1126</v>
      </c>
      <c r="D1127" s="2">
        <v>0.72882905092592598</v>
      </c>
      <c r="E1127" t="s">
        <v>2123</v>
      </c>
      <c r="F1127" t="s">
        <v>2124</v>
      </c>
      <c r="G1127" t="s">
        <v>1291</v>
      </c>
      <c r="H1127" t="s">
        <v>106</v>
      </c>
      <c r="I1127" t="s">
        <v>748</v>
      </c>
      <c r="J1127" t="s">
        <v>282</v>
      </c>
      <c r="K1127" t="s">
        <v>21</v>
      </c>
      <c r="L1127">
        <v>25.86</v>
      </c>
      <c r="M1127" s="1">
        <v>46078</v>
      </c>
      <c r="N1127" t="s">
        <v>34</v>
      </c>
      <c r="O1127">
        <v>25</v>
      </c>
      <c r="P1127">
        <v>2</v>
      </c>
      <c r="Q1127">
        <v>1</v>
      </c>
      <c r="R1127">
        <v>2026</v>
      </c>
    </row>
    <row r="1128" spans="1:18">
      <c r="A1128">
        <v>525.67999999999995</v>
      </c>
      <c r="B1128">
        <v>4</v>
      </c>
      <c r="C1128">
        <v>1127</v>
      </c>
      <c r="D1128" s="2">
        <v>0.36796033564814817</v>
      </c>
      <c r="E1128" t="s">
        <v>1541</v>
      </c>
      <c r="F1128" t="s">
        <v>1542</v>
      </c>
      <c r="G1128" t="s">
        <v>1305</v>
      </c>
      <c r="H1128" t="s">
        <v>869</v>
      </c>
      <c r="I1128" t="s">
        <v>1247</v>
      </c>
      <c r="J1128" t="s">
        <v>679</v>
      </c>
      <c r="K1128" t="s">
        <v>25</v>
      </c>
      <c r="L1128">
        <v>131.41999999999999</v>
      </c>
      <c r="M1128" s="1">
        <v>46253</v>
      </c>
      <c r="N1128" t="s">
        <v>34</v>
      </c>
      <c r="O1128">
        <v>19</v>
      </c>
      <c r="P1128">
        <v>8</v>
      </c>
      <c r="Q1128">
        <v>3</v>
      </c>
      <c r="R1128">
        <v>2026</v>
      </c>
    </row>
    <row r="1129" spans="1:18">
      <c r="A1129">
        <v>898.36</v>
      </c>
      <c r="B1129">
        <v>4</v>
      </c>
      <c r="C1129">
        <v>1128</v>
      </c>
      <c r="D1129" s="2">
        <v>0.87649630787037036</v>
      </c>
      <c r="E1129" t="s">
        <v>1267</v>
      </c>
      <c r="F1129" t="s">
        <v>1268</v>
      </c>
      <c r="G1129" t="s">
        <v>935</v>
      </c>
      <c r="H1129" t="s">
        <v>380</v>
      </c>
      <c r="I1129" t="s">
        <v>896</v>
      </c>
      <c r="J1129" t="s">
        <v>121</v>
      </c>
      <c r="K1129" t="s">
        <v>122</v>
      </c>
      <c r="L1129">
        <v>224.59</v>
      </c>
      <c r="M1129" s="1">
        <v>46233</v>
      </c>
      <c r="N1129" t="s">
        <v>105</v>
      </c>
      <c r="O1129">
        <v>30</v>
      </c>
      <c r="P1129">
        <v>7</v>
      </c>
      <c r="Q1129">
        <v>3</v>
      </c>
      <c r="R1129">
        <v>2026</v>
      </c>
    </row>
    <row r="1130" spans="1:18">
      <c r="A1130">
        <v>980.88</v>
      </c>
      <c r="B1130">
        <v>4</v>
      </c>
      <c r="C1130">
        <v>1129</v>
      </c>
      <c r="D1130" s="2">
        <v>0.73134486111111108</v>
      </c>
      <c r="E1130" t="s">
        <v>2762</v>
      </c>
      <c r="F1130" t="s">
        <v>2763</v>
      </c>
      <c r="G1130" t="s">
        <v>1162</v>
      </c>
      <c r="H1130" t="s">
        <v>392</v>
      </c>
      <c r="I1130" t="s">
        <v>943</v>
      </c>
      <c r="J1130" t="s">
        <v>168</v>
      </c>
      <c r="K1130" t="s">
        <v>46</v>
      </c>
      <c r="L1130">
        <v>245.22</v>
      </c>
      <c r="M1130" s="1">
        <v>46228</v>
      </c>
      <c r="N1130" t="s">
        <v>14</v>
      </c>
      <c r="O1130">
        <v>25</v>
      </c>
      <c r="P1130">
        <v>7</v>
      </c>
      <c r="Q1130">
        <v>3</v>
      </c>
      <c r="R1130">
        <v>2026</v>
      </c>
    </row>
    <row r="1131" spans="1:18">
      <c r="A1131">
        <v>245.22</v>
      </c>
      <c r="B1131">
        <v>1</v>
      </c>
      <c r="C1131">
        <v>1130</v>
      </c>
      <c r="D1131" s="2">
        <v>4.8591168981481483E-2</v>
      </c>
      <c r="E1131" t="s">
        <v>2886</v>
      </c>
      <c r="F1131" t="s">
        <v>2887</v>
      </c>
      <c r="G1131" t="s">
        <v>935</v>
      </c>
      <c r="H1131" t="s">
        <v>843</v>
      </c>
      <c r="I1131" t="s">
        <v>753</v>
      </c>
      <c r="J1131" t="s">
        <v>168</v>
      </c>
      <c r="K1131" t="s">
        <v>46</v>
      </c>
      <c r="L1131">
        <v>245.22</v>
      </c>
      <c r="M1131" s="1">
        <v>46087</v>
      </c>
      <c r="N1131" t="s">
        <v>79</v>
      </c>
      <c r="O1131">
        <v>6</v>
      </c>
      <c r="P1131">
        <v>3</v>
      </c>
      <c r="Q1131">
        <v>1</v>
      </c>
      <c r="R1131">
        <v>2026</v>
      </c>
    </row>
    <row r="1132" spans="1:18">
      <c r="A1132">
        <v>104.04</v>
      </c>
      <c r="B1132">
        <v>1</v>
      </c>
      <c r="C1132">
        <v>1131</v>
      </c>
      <c r="D1132" s="2">
        <v>0.2503971064814815</v>
      </c>
      <c r="E1132" t="s">
        <v>1748</v>
      </c>
      <c r="F1132" t="s">
        <v>1749</v>
      </c>
      <c r="G1132" t="s">
        <v>766</v>
      </c>
      <c r="H1132" t="s">
        <v>980</v>
      </c>
      <c r="I1132" t="s">
        <v>981</v>
      </c>
      <c r="J1132" t="s">
        <v>507</v>
      </c>
      <c r="K1132" t="s">
        <v>55</v>
      </c>
      <c r="L1132">
        <v>104.04</v>
      </c>
      <c r="M1132" s="1">
        <v>46194</v>
      </c>
      <c r="N1132" t="s">
        <v>28</v>
      </c>
      <c r="O1132">
        <v>21</v>
      </c>
      <c r="P1132">
        <v>6</v>
      </c>
      <c r="Q1132">
        <v>2</v>
      </c>
      <c r="R1132">
        <v>2026</v>
      </c>
    </row>
    <row r="1133" spans="1:18">
      <c r="A1133">
        <v>986.3</v>
      </c>
      <c r="B1133">
        <v>5</v>
      </c>
      <c r="C1133">
        <v>1132</v>
      </c>
      <c r="D1133" s="2">
        <v>0.86730069444444446</v>
      </c>
      <c r="E1133" t="s">
        <v>3327</v>
      </c>
      <c r="F1133" t="s">
        <v>3328</v>
      </c>
      <c r="G1133" t="s">
        <v>1553</v>
      </c>
      <c r="H1133" t="s">
        <v>1061</v>
      </c>
      <c r="I1133" t="s">
        <v>821</v>
      </c>
      <c r="J1133" t="s">
        <v>293</v>
      </c>
      <c r="K1133" t="s">
        <v>100</v>
      </c>
      <c r="L1133">
        <v>197.26</v>
      </c>
      <c r="M1133" s="1">
        <v>45715</v>
      </c>
      <c r="N1133" t="s">
        <v>105</v>
      </c>
      <c r="O1133">
        <v>27</v>
      </c>
      <c r="P1133">
        <v>2</v>
      </c>
      <c r="Q1133">
        <v>1</v>
      </c>
      <c r="R1133">
        <v>2025</v>
      </c>
    </row>
    <row r="1134" spans="1:18">
      <c r="A1134">
        <v>173.48</v>
      </c>
      <c r="B1134">
        <v>1</v>
      </c>
      <c r="C1134">
        <v>1133</v>
      </c>
      <c r="D1134" s="2">
        <v>0.27308988425925929</v>
      </c>
      <c r="E1134" t="s">
        <v>2422</v>
      </c>
      <c r="F1134" t="s">
        <v>2423</v>
      </c>
      <c r="G1134" t="s">
        <v>2086</v>
      </c>
      <c r="H1134" t="s">
        <v>985</v>
      </c>
      <c r="I1134" t="s">
        <v>817</v>
      </c>
      <c r="J1134" t="s">
        <v>728</v>
      </c>
      <c r="K1134" t="s">
        <v>46</v>
      </c>
      <c r="L1134">
        <v>173.48</v>
      </c>
      <c r="M1134" s="1">
        <v>45872</v>
      </c>
      <c r="N1134" t="s">
        <v>28</v>
      </c>
      <c r="O1134">
        <v>3</v>
      </c>
      <c r="P1134">
        <v>8</v>
      </c>
      <c r="Q1134">
        <v>3</v>
      </c>
      <c r="R1134">
        <v>2025</v>
      </c>
    </row>
    <row r="1135" spans="1:18">
      <c r="A1135">
        <v>50.91</v>
      </c>
      <c r="B1135">
        <v>1</v>
      </c>
      <c r="C1135">
        <v>1134</v>
      </c>
      <c r="D1135" s="2">
        <v>0.40371409722222223</v>
      </c>
      <c r="E1135" t="s">
        <v>2053</v>
      </c>
      <c r="F1135" t="s">
        <v>2054</v>
      </c>
      <c r="G1135" t="s">
        <v>1140</v>
      </c>
      <c r="H1135" t="s">
        <v>1540</v>
      </c>
      <c r="I1135" t="s">
        <v>768</v>
      </c>
      <c r="J1135" t="s">
        <v>197</v>
      </c>
      <c r="K1135" t="s">
        <v>19</v>
      </c>
      <c r="L1135">
        <v>50.91</v>
      </c>
      <c r="M1135" s="1">
        <v>46226</v>
      </c>
      <c r="N1135" t="s">
        <v>105</v>
      </c>
      <c r="O1135">
        <v>23</v>
      </c>
      <c r="P1135">
        <v>7</v>
      </c>
      <c r="Q1135">
        <v>3</v>
      </c>
      <c r="R1135">
        <v>2026</v>
      </c>
    </row>
    <row r="1136" spans="1:18">
      <c r="A1136">
        <v>802.15000000000009</v>
      </c>
      <c r="B1136">
        <v>5</v>
      </c>
      <c r="C1136">
        <v>1135</v>
      </c>
      <c r="D1136" s="2">
        <v>0.27610709490740742</v>
      </c>
      <c r="E1136" t="s">
        <v>2579</v>
      </c>
      <c r="F1136" t="s">
        <v>2580</v>
      </c>
      <c r="G1136" t="s">
        <v>2581</v>
      </c>
      <c r="H1136" t="s">
        <v>562</v>
      </c>
      <c r="I1136" t="s">
        <v>753</v>
      </c>
      <c r="J1136" t="s">
        <v>424</v>
      </c>
      <c r="K1136" t="s">
        <v>69</v>
      </c>
      <c r="L1136">
        <v>160.43</v>
      </c>
      <c r="M1136" s="1">
        <v>45566</v>
      </c>
      <c r="N1136" t="s">
        <v>48</v>
      </c>
      <c r="O1136">
        <v>1</v>
      </c>
      <c r="P1136">
        <v>10</v>
      </c>
      <c r="Q1136">
        <v>4</v>
      </c>
      <c r="R1136">
        <v>2024</v>
      </c>
    </row>
    <row r="1137" spans="1:18">
      <c r="A1137">
        <v>162.16</v>
      </c>
      <c r="B1137">
        <v>1</v>
      </c>
      <c r="C1137">
        <v>1136</v>
      </c>
      <c r="D1137" s="2">
        <v>0.41354119212962964</v>
      </c>
      <c r="E1137" t="s">
        <v>2934</v>
      </c>
      <c r="F1137" t="s">
        <v>2935</v>
      </c>
      <c r="G1137" t="s">
        <v>2043</v>
      </c>
      <c r="H1137" t="s">
        <v>1509</v>
      </c>
      <c r="I1137" t="s">
        <v>821</v>
      </c>
      <c r="J1137" t="s">
        <v>651</v>
      </c>
      <c r="K1137" t="s">
        <v>122</v>
      </c>
      <c r="L1137">
        <v>162.16</v>
      </c>
      <c r="M1137" s="1">
        <v>45826</v>
      </c>
      <c r="N1137" t="s">
        <v>34</v>
      </c>
      <c r="O1137">
        <v>18</v>
      </c>
      <c r="P1137">
        <v>6</v>
      </c>
      <c r="Q1137">
        <v>2</v>
      </c>
      <c r="R1137">
        <v>2025</v>
      </c>
    </row>
    <row r="1138" spans="1:18">
      <c r="A1138">
        <v>23.26</v>
      </c>
      <c r="B1138">
        <v>2</v>
      </c>
      <c r="C1138">
        <v>1137</v>
      </c>
      <c r="D1138" s="2">
        <v>0.39716619212962961</v>
      </c>
      <c r="E1138" t="s">
        <v>3084</v>
      </c>
      <c r="F1138" t="s">
        <v>3085</v>
      </c>
      <c r="G1138" t="s">
        <v>3086</v>
      </c>
      <c r="H1138" t="s">
        <v>562</v>
      </c>
      <c r="I1138" t="s">
        <v>753</v>
      </c>
      <c r="J1138" t="s">
        <v>301</v>
      </c>
      <c r="K1138" t="s">
        <v>69</v>
      </c>
      <c r="L1138">
        <v>11.63</v>
      </c>
      <c r="M1138" s="1">
        <v>45963</v>
      </c>
      <c r="N1138" t="s">
        <v>28</v>
      </c>
      <c r="O1138">
        <v>2</v>
      </c>
      <c r="P1138">
        <v>11</v>
      </c>
      <c r="Q1138">
        <v>4</v>
      </c>
      <c r="R1138">
        <v>2025</v>
      </c>
    </row>
    <row r="1139" spans="1:18">
      <c r="A1139">
        <v>438.2</v>
      </c>
      <c r="B1139">
        <v>5</v>
      </c>
      <c r="C1139">
        <v>1138</v>
      </c>
      <c r="D1139" s="2">
        <v>0.72441020833333336</v>
      </c>
      <c r="E1139" t="s">
        <v>2226</v>
      </c>
      <c r="F1139" t="s">
        <v>2227</v>
      </c>
      <c r="G1139" t="s">
        <v>1188</v>
      </c>
      <c r="H1139" t="s">
        <v>1089</v>
      </c>
      <c r="I1139" t="s">
        <v>812</v>
      </c>
      <c r="J1139" t="s">
        <v>561</v>
      </c>
      <c r="K1139" t="s">
        <v>17</v>
      </c>
      <c r="L1139">
        <v>87.64</v>
      </c>
      <c r="M1139" s="1">
        <v>45939</v>
      </c>
      <c r="N1139" t="s">
        <v>105</v>
      </c>
      <c r="O1139">
        <v>9</v>
      </c>
      <c r="P1139">
        <v>10</v>
      </c>
      <c r="Q1139">
        <v>4</v>
      </c>
      <c r="R1139">
        <v>2025</v>
      </c>
    </row>
    <row r="1140" spans="1:18">
      <c r="A1140">
        <v>445.02</v>
      </c>
      <c r="B1140">
        <v>2</v>
      </c>
      <c r="C1140">
        <v>1139</v>
      </c>
      <c r="D1140" s="2">
        <v>0.59661196759259261</v>
      </c>
      <c r="E1140" t="s">
        <v>2836</v>
      </c>
      <c r="F1140" t="s">
        <v>2837</v>
      </c>
      <c r="G1140" t="s">
        <v>1829</v>
      </c>
      <c r="H1140" t="s">
        <v>1156</v>
      </c>
      <c r="I1140" t="s">
        <v>821</v>
      </c>
      <c r="J1140" t="s">
        <v>142</v>
      </c>
      <c r="K1140" t="s">
        <v>60</v>
      </c>
      <c r="L1140">
        <v>222.51</v>
      </c>
      <c r="M1140" s="1">
        <v>45818</v>
      </c>
      <c r="N1140" t="s">
        <v>48</v>
      </c>
      <c r="O1140">
        <v>10</v>
      </c>
      <c r="P1140">
        <v>6</v>
      </c>
      <c r="Q1140">
        <v>2</v>
      </c>
      <c r="R1140">
        <v>2025</v>
      </c>
    </row>
    <row r="1141" spans="1:18">
      <c r="A1141">
        <v>131.12</v>
      </c>
      <c r="B1141">
        <v>2</v>
      </c>
      <c r="C1141">
        <v>1140</v>
      </c>
      <c r="D1141" s="2">
        <v>0.13387248842592592</v>
      </c>
      <c r="E1141" t="s">
        <v>2182</v>
      </c>
      <c r="F1141" t="s">
        <v>2183</v>
      </c>
      <c r="G1141" t="s">
        <v>2184</v>
      </c>
      <c r="H1141" t="s">
        <v>838</v>
      </c>
      <c r="I1141" t="s">
        <v>839</v>
      </c>
      <c r="J1141" t="s">
        <v>291</v>
      </c>
      <c r="K1141" t="s">
        <v>51</v>
      </c>
      <c r="L1141">
        <v>65.56</v>
      </c>
      <c r="M1141" s="1">
        <v>45896</v>
      </c>
      <c r="N1141" t="s">
        <v>34</v>
      </c>
      <c r="O1141">
        <v>27</v>
      </c>
      <c r="P1141">
        <v>8</v>
      </c>
      <c r="Q1141">
        <v>3</v>
      </c>
      <c r="R1141">
        <v>2025</v>
      </c>
    </row>
    <row r="1142" spans="1:18">
      <c r="A1142">
        <v>5.91</v>
      </c>
      <c r="B1142">
        <v>1</v>
      </c>
      <c r="C1142">
        <v>1141</v>
      </c>
      <c r="D1142" s="2">
        <v>0.54127164351851853</v>
      </c>
      <c r="E1142" t="s">
        <v>2569</v>
      </c>
      <c r="F1142" t="s">
        <v>2570</v>
      </c>
      <c r="G1142" t="s">
        <v>2571</v>
      </c>
      <c r="H1142" t="s">
        <v>1026</v>
      </c>
      <c r="I1142" t="s">
        <v>896</v>
      </c>
      <c r="J1142" t="s">
        <v>590</v>
      </c>
      <c r="K1142" t="s">
        <v>51</v>
      </c>
      <c r="L1142">
        <v>5.91</v>
      </c>
      <c r="M1142" s="1">
        <v>45889</v>
      </c>
      <c r="N1142" t="s">
        <v>34</v>
      </c>
      <c r="O1142">
        <v>20</v>
      </c>
      <c r="P1142">
        <v>8</v>
      </c>
      <c r="Q1142">
        <v>3</v>
      </c>
      <c r="R1142">
        <v>2025</v>
      </c>
    </row>
    <row r="1143" spans="1:18">
      <c r="A1143">
        <v>615.81000000000006</v>
      </c>
      <c r="B1143">
        <v>3</v>
      </c>
      <c r="C1143">
        <v>1142</v>
      </c>
      <c r="D1143" s="2">
        <v>0.49178175925925927</v>
      </c>
      <c r="E1143" t="s">
        <v>3034</v>
      </c>
      <c r="F1143" t="s">
        <v>3035</v>
      </c>
      <c r="G1143" t="s">
        <v>2354</v>
      </c>
      <c r="H1143" t="s">
        <v>380</v>
      </c>
      <c r="I1143" t="s">
        <v>896</v>
      </c>
      <c r="J1143" t="s">
        <v>404</v>
      </c>
      <c r="K1143" t="s">
        <v>37</v>
      </c>
      <c r="L1143">
        <v>205.27</v>
      </c>
      <c r="M1143" s="1">
        <v>45663</v>
      </c>
      <c r="N1143" t="s">
        <v>93</v>
      </c>
      <c r="O1143">
        <v>6</v>
      </c>
      <c r="P1143">
        <v>1</v>
      </c>
      <c r="Q1143">
        <v>1</v>
      </c>
      <c r="R1143">
        <v>2025</v>
      </c>
    </row>
    <row r="1144" spans="1:18">
      <c r="A1144">
        <v>505.56000000000006</v>
      </c>
      <c r="B1144">
        <v>3</v>
      </c>
      <c r="C1144">
        <v>1143</v>
      </c>
      <c r="D1144" s="2">
        <v>0.86351984953703709</v>
      </c>
      <c r="E1144" t="s">
        <v>1267</v>
      </c>
      <c r="F1144" t="s">
        <v>1268</v>
      </c>
      <c r="G1144" t="s">
        <v>935</v>
      </c>
      <c r="H1144" t="s">
        <v>380</v>
      </c>
      <c r="I1144" t="s">
        <v>896</v>
      </c>
      <c r="J1144" t="s">
        <v>311</v>
      </c>
      <c r="K1144" t="s">
        <v>46</v>
      </c>
      <c r="L1144">
        <v>168.52</v>
      </c>
      <c r="M1144" s="1">
        <v>45655</v>
      </c>
      <c r="N1144" t="s">
        <v>28</v>
      </c>
      <c r="O1144">
        <v>29</v>
      </c>
      <c r="P1144">
        <v>12</v>
      </c>
      <c r="Q1144">
        <v>4</v>
      </c>
      <c r="R1144">
        <v>2024</v>
      </c>
    </row>
    <row r="1145" spans="1:18">
      <c r="A1145">
        <v>156.56</v>
      </c>
      <c r="B1145">
        <v>2</v>
      </c>
      <c r="C1145">
        <v>1144</v>
      </c>
      <c r="D1145" s="2">
        <v>0.9010971527777778</v>
      </c>
      <c r="E1145" t="s">
        <v>3025</v>
      </c>
      <c r="F1145" t="s">
        <v>3026</v>
      </c>
      <c r="G1145" t="s">
        <v>1010</v>
      </c>
      <c r="H1145" t="s">
        <v>806</v>
      </c>
      <c r="I1145" t="s">
        <v>807</v>
      </c>
      <c r="J1145" t="s">
        <v>441</v>
      </c>
      <c r="K1145" t="s">
        <v>37</v>
      </c>
      <c r="L1145">
        <v>78.28</v>
      </c>
      <c r="M1145" s="1">
        <v>46005</v>
      </c>
      <c r="N1145" t="s">
        <v>28</v>
      </c>
      <c r="O1145">
        <v>14</v>
      </c>
      <c r="P1145">
        <v>12</v>
      </c>
      <c r="Q1145">
        <v>4</v>
      </c>
      <c r="R1145">
        <v>2025</v>
      </c>
    </row>
    <row r="1146" spans="1:18">
      <c r="A1146">
        <v>695.52</v>
      </c>
      <c r="B1146">
        <v>3</v>
      </c>
      <c r="C1146">
        <v>1145</v>
      </c>
      <c r="D1146" s="2">
        <v>0.89112190972222227</v>
      </c>
      <c r="E1146" t="s">
        <v>3496</v>
      </c>
      <c r="F1146" t="s">
        <v>3497</v>
      </c>
      <c r="G1146" t="s">
        <v>969</v>
      </c>
      <c r="H1146" t="s">
        <v>1673</v>
      </c>
      <c r="I1146" t="s">
        <v>821</v>
      </c>
      <c r="J1146" t="s">
        <v>626</v>
      </c>
      <c r="K1146" t="s">
        <v>17</v>
      </c>
      <c r="L1146">
        <v>231.84</v>
      </c>
      <c r="M1146" s="1">
        <v>46063</v>
      </c>
      <c r="N1146" t="s">
        <v>48</v>
      </c>
      <c r="O1146">
        <v>10</v>
      </c>
      <c r="P1146">
        <v>2</v>
      </c>
      <c r="Q1146">
        <v>1</v>
      </c>
      <c r="R1146">
        <v>2026</v>
      </c>
    </row>
    <row r="1147" spans="1:18">
      <c r="A1147">
        <v>853.75</v>
      </c>
      <c r="B1147">
        <v>5</v>
      </c>
      <c r="C1147">
        <v>1146</v>
      </c>
      <c r="D1147" s="2">
        <v>7.2307569444444442E-2</v>
      </c>
      <c r="E1147" t="s">
        <v>813</v>
      </c>
      <c r="F1147" t="s">
        <v>814</v>
      </c>
      <c r="G1147" t="s">
        <v>815</v>
      </c>
      <c r="H1147" t="s">
        <v>816</v>
      </c>
      <c r="I1147" t="s">
        <v>817</v>
      </c>
      <c r="J1147" t="s">
        <v>652</v>
      </c>
      <c r="K1147" t="s">
        <v>37</v>
      </c>
      <c r="L1147">
        <v>170.75</v>
      </c>
      <c r="M1147" s="1">
        <v>46206</v>
      </c>
      <c r="N1147" t="s">
        <v>79</v>
      </c>
      <c r="O1147">
        <v>3</v>
      </c>
      <c r="P1147">
        <v>7</v>
      </c>
      <c r="Q1147">
        <v>3</v>
      </c>
      <c r="R1147">
        <v>2026</v>
      </c>
    </row>
    <row r="1148" spans="1:18">
      <c r="A1148">
        <v>485.62</v>
      </c>
      <c r="B1148">
        <v>2</v>
      </c>
      <c r="C1148">
        <v>1147</v>
      </c>
      <c r="D1148" s="2">
        <v>0.93728449074074072</v>
      </c>
      <c r="E1148" t="s">
        <v>2907</v>
      </c>
      <c r="F1148" t="s">
        <v>2908</v>
      </c>
      <c r="G1148" t="s">
        <v>925</v>
      </c>
      <c r="H1148" t="s">
        <v>1384</v>
      </c>
      <c r="I1148" t="s">
        <v>908</v>
      </c>
      <c r="J1148" t="s">
        <v>329</v>
      </c>
      <c r="K1148" t="s">
        <v>82</v>
      </c>
      <c r="L1148">
        <v>242.81</v>
      </c>
      <c r="M1148" s="1">
        <v>45803</v>
      </c>
      <c r="N1148" t="s">
        <v>93</v>
      </c>
      <c r="O1148">
        <v>26</v>
      </c>
      <c r="P1148">
        <v>5</v>
      </c>
      <c r="Q1148">
        <v>2</v>
      </c>
      <c r="R1148">
        <v>2025</v>
      </c>
    </row>
    <row r="1149" spans="1:18">
      <c r="A1149">
        <v>864.44999999999993</v>
      </c>
      <c r="B1149">
        <v>5</v>
      </c>
      <c r="C1149">
        <v>1148</v>
      </c>
      <c r="D1149" s="2">
        <v>0.58512535879629635</v>
      </c>
      <c r="E1149" t="s">
        <v>2350</v>
      </c>
      <c r="F1149" t="s">
        <v>2351</v>
      </c>
      <c r="G1149" t="s">
        <v>2346</v>
      </c>
      <c r="H1149" t="s">
        <v>1306</v>
      </c>
      <c r="I1149" t="s">
        <v>966</v>
      </c>
      <c r="J1149" t="s">
        <v>2166</v>
      </c>
      <c r="K1149" t="s">
        <v>21</v>
      </c>
      <c r="L1149">
        <v>172.89</v>
      </c>
      <c r="M1149" s="1">
        <v>45577</v>
      </c>
      <c r="N1149" t="s">
        <v>14</v>
      </c>
      <c r="O1149">
        <v>12</v>
      </c>
      <c r="P1149">
        <v>10</v>
      </c>
      <c r="Q1149">
        <v>4</v>
      </c>
      <c r="R1149">
        <v>2024</v>
      </c>
    </row>
    <row r="1150" spans="1:18">
      <c r="A1150">
        <v>646.34999999999991</v>
      </c>
      <c r="B1150">
        <v>3</v>
      </c>
      <c r="C1150">
        <v>1149</v>
      </c>
      <c r="D1150" s="2">
        <v>0.91450729166666667</v>
      </c>
      <c r="E1150" t="s">
        <v>2426</v>
      </c>
      <c r="F1150" t="s">
        <v>2427</v>
      </c>
      <c r="G1150" t="s">
        <v>1685</v>
      </c>
      <c r="H1150" t="s">
        <v>2154</v>
      </c>
      <c r="I1150" t="s">
        <v>1003</v>
      </c>
      <c r="J1150" t="s">
        <v>395</v>
      </c>
      <c r="K1150" t="s">
        <v>19</v>
      </c>
      <c r="L1150">
        <v>215.45</v>
      </c>
      <c r="M1150" s="1">
        <v>46035</v>
      </c>
      <c r="N1150" t="s">
        <v>48</v>
      </c>
      <c r="O1150">
        <v>13</v>
      </c>
      <c r="P1150">
        <v>1</v>
      </c>
      <c r="Q1150">
        <v>1</v>
      </c>
      <c r="R1150">
        <v>2026</v>
      </c>
    </row>
    <row r="1151" spans="1:18">
      <c r="A1151">
        <v>716.91</v>
      </c>
      <c r="B1151">
        <v>3</v>
      </c>
      <c r="C1151">
        <v>1150</v>
      </c>
      <c r="D1151" s="2">
        <v>0.17863796296296297</v>
      </c>
      <c r="E1151" t="s">
        <v>1580</v>
      </c>
      <c r="F1151" t="s">
        <v>1581</v>
      </c>
      <c r="G1151" t="s">
        <v>1582</v>
      </c>
      <c r="H1151" t="s">
        <v>862</v>
      </c>
      <c r="I1151" t="s">
        <v>908</v>
      </c>
      <c r="J1151" t="s">
        <v>180</v>
      </c>
      <c r="K1151" t="s">
        <v>55</v>
      </c>
      <c r="L1151">
        <v>238.97</v>
      </c>
      <c r="M1151" s="1">
        <v>45639</v>
      </c>
      <c r="N1151" t="s">
        <v>79</v>
      </c>
      <c r="O1151">
        <v>13</v>
      </c>
      <c r="P1151">
        <v>12</v>
      </c>
      <c r="Q1151">
        <v>4</v>
      </c>
      <c r="R1151">
        <v>2024</v>
      </c>
    </row>
    <row r="1152" spans="1:18">
      <c r="A1152">
        <v>985.3</v>
      </c>
      <c r="B1152">
        <v>5</v>
      </c>
      <c r="C1152">
        <v>1151</v>
      </c>
      <c r="D1152" s="2">
        <v>3.6782916666666665E-2</v>
      </c>
      <c r="E1152" t="s">
        <v>818</v>
      </c>
      <c r="F1152" t="s">
        <v>819</v>
      </c>
      <c r="G1152" t="s">
        <v>820</v>
      </c>
      <c r="H1152" t="s">
        <v>29</v>
      </c>
      <c r="I1152" t="s">
        <v>821</v>
      </c>
      <c r="J1152" t="s">
        <v>179</v>
      </c>
      <c r="K1152" t="s">
        <v>37</v>
      </c>
      <c r="L1152">
        <v>197.06</v>
      </c>
      <c r="M1152" s="1">
        <v>45772</v>
      </c>
      <c r="N1152" t="s">
        <v>79</v>
      </c>
      <c r="O1152">
        <v>25</v>
      </c>
      <c r="P1152">
        <v>4</v>
      </c>
      <c r="Q1152">
        <v>2</v>
      </c>
      <c r="R1152">
        <v>2025</v>
      </c>
    </row>
    <row r="1153" spans="1:18">
      <c r="A1153">
        <v>926.56</v>
      </c>
      <c r="B1153">
        <v>4</v>
      </c>
      <c r="C1153">
        <v>1152</v>
      </c>
      <c r="D1153" s="2">
        <v>0.22029451388888888</v>
      </c>
      <c r="E1153" t="s">
        <v>2795</v>
      </c>
      <c r="F1153" t="s">
        <v>2796</v>
      </c>
      <c r="G1153" t="s">
        <v>2797</v>
      </c>
      <c r="H1153" t="s">
        <v>1691</v>
      </c>
      <c r="I1153" t="s">
        <v>821</v>
      </c>
      <c r="J1153" t="s">
        <v>658</v>
      </c>
      <c r="K1153" t="s">
        <v>69</v>
      </c>
      <c r="L1153">
        <v>231.64</v>
      </c>
      <c r="M1153" s="1">
        <v>45864</v>
      </c>
      <c r="N1153" t="s">
        <v>14</v>
      </c>
      <c r="O1153">
        <v>26</v>
      </c>
      <c r="P1153">
        <v>7</v>
      </c>
      <c r="Q1153">
        <v>3</v>
      </c>
      <c r="R1153">
        <v>2025</v>
      </c>
    </row>
    <row r="1154" spans="1:18">
      <c r="A1154">
        <v>365.28</v>
      </c>
      <c r="B1154">
        <v>2</v>
      </c>
      <c r="C1154">
        <v>1153</v>
      </c>
      <c r="D1154" s="2">
        <v>0.20903396990740741</v>
      </c>
      <c r="E1154" t="s">
        <v>2997</v>
      </c>
      <c r="F1154" t="s">
        <v>2998</v>
      </c>
      <c r="G1154" t="s">
        <v>2383</v>
      </c>
      <c r="H1154" t="s">
        <v>869</v>
      </c>
      <c r="I1154" t="s">
        <v>812</v>
      </c>
      <c r="J1154" t="s">
        <v>505</v>
      </c>
      <c r="K1154" t="s">
        <v>100</v>
      </c>
      <c r="L1154">
        <v>182.64</v>
      </c>
      <c r="M1154" s="1">
        <v>45624</v>
      </c>
      <c r="N1154" t="s">
        <v>105</v>
      </c>
      <c r="O1154">
        <v>28</v>
      </c>
      <c r="P1154">
        <v>11</v>
      </c>
      <c r="Q1154">
        <v>4</v>
      </c>
      <c r="R1154">
        <v>2024</v>
      </c>
    </row>
    <row r="1155" spans="1:18">
      <c r="A1155">
        <v>845.19999999999993</v>
      </c>
      <c r="B1155">
        <v>5</v>
      </c>
      <c r="C1155">
        <v>1154</v>
      </c>
      <c r="D1155" s="2">
        <v>0.22205032407407407</v>
      </c>
      <c r="E1155" t="s">
        <v>936</v>
      </c>
      <c r="F1155" t="s">
        <v>937</v>
      </c>
      <c r="G1155" t="s">
        <v>938</v>
      </c>
      <c r="H1155" t="s">
        <v>794</v>
      </c>
      <c r="I1155" t="s">
        <v>795</v>
      </c>
      <c r="J1155" t="s">
        <v>443</v>
      </c>
      <c r="K1155" t="s">
        <v>55</v>
      </c>
      <c r="L1155">
        <v>169.04</v>
      </c>
      <c r="M1155" s="1">
        <v>46090</v>
      </c>
      <c r="N1155" t="s">
        <v>93</v>
      </c>
      <c r="O1155">
        <v>9</v>
      </c>
      <c r="P1155">
        <v>3</v>
      </c>
      <c r="Q1155">
        <v>1</v>
      </c>
      <c r="R1155">
        <v>2026</v>
      </c>
    </row>
    <row r="1156" spans="1:18">
      <c r="A1156">
        <v>29.19</v>
      </c>
      <c r="B1156">
        <v>3</v>
      </c>
      <c r="C1156">
        <v>1155</v>
      </c>
      <c r="D1156" s="2">
        <v>0.70276306712962966</v>
      </c>
      <c r="E1156" t="s">
        <v>3402</v>
      </c>
      <c r="F1156" t="s">
        <v>3403</v>
      </c>
      <c r="G1156" t="s">
        <v>1997</v>
      </c>
      <c r="H1156" t="s">
        <v>1384</v>
      </c>
      <c r="I1156" t="s">
        <v>908</v>
      </c>
      <c r="J1156" t="s">
        <v>716</v>
      </c>
      <c r="K1156" t="s">
        <v>19</v>
      </c>
      <c r="L1156">
        <v>9.73</v>
      </c>
      <c r="M1156" s="1">
        <v>45994</v>
      </c>
      <c r="N1156" t="s">
        <v>34</v>
      </c>
      <c r="O1156">
        <v>3</v>
      </c>
      <c r="P1156">
        <v>12</v>
      </c>
      <c r="Q1156">
        <v>4</v>
      </c>
      <c r="R1156">
        <v>2025</v>
      </c>
    </row>
    <row r="1157" spans="1:18">
      <c r="A1157">
        <v>84.32</v>
      </c>
      <c r="B1157">
        <v>4</v>
      </c>
      <c r="C1157">
        <v>1156</v>
      </c>
      <c r="D1157" s="2">
        <v>3.6209097222222222E-2</v>
      </c>
      <c r="E1157" t="s">
        <v>930</v>
      </c>
      <c r="F1157" t="s">
        <v>931</v>
      </c>
      <c r="G1157" t="s">
        <v>932</v>
      </c>
      <c r="H1157" t="s">
        <v>280</v>
      </c>
      <c r="I1157" t="s">
        <v>812</v>
      </c>
      <c r="J1157" t="s">
        <v>223</v>
      </c>
      <c r="K1157" t="s">
        <v>19</v>
      </c>
      <c r="L1157">
        <v>21.08</v>
      </c>
      <c r="M1157" s="1">
        <v>46022</v>
      </c>
      <c r="N1157" t="s">
        <v>34</v>
      </c>
      <c r="O1157">
        <v>31</v>
      </c>
      <c r="P1157">
        <v>12</v>
      </c>
      <c r="Q1157">
        <v>4</v>
      </c>
      <c r="R1157">
        <v>2025</v>
      </c>
    </row>
    <row r="1158" spans="1:18">
      <c r="A1158">
        <v>105</v>
      </c>
      <c r="B1158">
        <v>4</v>
      </c>
      <c r="C1158">
        <v>1157</v>
      </c>
      <c r="D1158" s="2">
        <v>0.1423472337962963</v>
      </c>
      <c r="E1158" t="s">
        <v>3306</v>
      </c>
      <c r="F1158" t="s">
        <v>3307</v>
      </c>
      <c r="G1158" t="s">
        <v>1493</v>
      </c>
      <c r="H1158" t="s">
        <v>961</v>
      </c>
      <c r="I1158" t="s">
        <v>807</v>
      </c>
      <c r="J1158" t="s">
        <v>493</v>
      </c>
      <c r="K1158" t="s">
        <v>46</v>
      </c>
      <c r="L1158">
        <v>26.25</v>
      </c>
      <c r="M1158" s="1">
        <v>45860</v>
      </c>
      <c r="N1158" t="s">
        <v>48</v>
      </c>
      <c r="O1158">
        <v>22</v>
      </c>
      <c r="P1158">
        <v>7</v>
      </c>
      <c r="Q1158">
        <v>3</v>
      </c>
      <c r="R1158">
        <v>2025</v>
      </c>
    </row>
    <row r="1159" spans="1:18">
      <c r="A1159">
        <v>13.22</v>
      </c>
      <c r="B1159">
        <v>2</v>
      </c>
      <c r="C1159">
        <v>1158</v>
      </c>
      <c r="D1159" s="2">
        <v>0.54665017361111112</v>
      </c>
      <c r="E1159" t="s">
        <v>2366</v>
      </c>
      <c r="F1159" t="s">
        <v>2367</v>
      </c>
      <c r="G1159" t="s">
        <v>2098</v>
      </c>
      <c r="H1159" t="s">
        <v>211</v>
      </c>
      <c r="I1159" t="s">
        <v>966</v>
      </c>
      <c r="J1159" t="s">
        <v>447</v>
      </c>
      <c r="K1159" t="s">
        <v>21</v>
      </c>
      <c r="L1159">
        <v>6.61</v>
      </c>
      <c r="M1159" s="1">
        <v>46175</v>
      </c>
      <c r="N1159" t="s">
        <v>48</v>
      </c>
      <c r="O1159">
        <v>2</v>
      </c>
      <c r="P1159">
        <v>6</v>
      </c>
      <c r="Q1159">
        <v>2</v>
      </c>
      <c r="R1159">
        <v>2026</v>
      </c>
    </row>
    <row r="1160" spans="1:18">
      <c r="A1160">
        <v>521.44000000000005</v>
      </c>
      <c r="B1160">
        <v>4</v>
      </c>
      <c r="C1160">
        <v>1159</v>
      </c>
      <c r="D1160" s="2">
        <v>0.48071410879629628</v>
      </c>
      <c r="E1160" t="s">
        <v>2244</v>
      </c>
      <c r="F1160" t="s">
        <v>2245</v>
      </c>
      <c r="G1160" t="s">
        <v>2246</v>
      </c>
      <c r="H1160" t="s">
        <v>2247</v>
      </c>
      <c r="I1160" t="s">
        <v>781</v>
      </c>
      <c r="J1160" t="s">
        <v>118</v>
      </c>
      <c r="K1160" t="s">
        <v>31</v>
      </c>
      <c r="L1160">
        <v>130.36000000000001</v>
      </c>
      <c r="M1160" s="1">
        <v>45998</v>
      </c>
      <c r="N1160" t="s">
        <v>28</v>
      </c>
      <c r="O1160">
        <v>7</v>
      </c>
      <c r="P1160">
        <v>12</v>
      </c>
      <c r="Q1160">
        <v>4</v>
      </c>
      <c r="R1160">
        <v>2025</v>
      </c>
    </row>
    <row r="1161" spans="1:18">
      <c r="A1161">
        <v>65.44</v>
      </c>
      <c r="B1161">
        <v>4</v>
      </c>
      <c r="C1161">
        <v>1160</v>
      </c>
      <c r="D1161" s="2">
        <v>0.28254297453703703</v>
      </c>
      <c r="E1161" t="s">
        <v>2680</v>
      </c>
      <c r="F1161" t="s">
        <v>2681</v>
      </c>
      <c r="G1161" t="s">
        <v>1260</v>
      </c>
      <c r="H1161" t="s">
        <v>825</v>
      </c>
      <c r="I1161" t="s">
        <v>781</v>
      </c>
      <c r="J1161" t="s">
        <v>1183</v>
      </c>
      <c r="K1161" t="s">
        <v>100</v>
      </c>
      <c r="L1161">
        <v>16.36</v>
      </c>
      <c r="M1161" s="1">
        <v>45966</v>
      </c>
      <c r="N1161" t="s">
        <v>34</v>
      </c>
      <c r="O1161">
        <v>5</v>
      </c>
      <c r="P1161">
        <v>11</v>
      </c>
      <c r="Q1161">
        <v>4</v>
      </c>
      <c r="R1161">
        <v>2025</v>
      </c>
    </row>
    <row r="1162" spans="1:18">
      <c r="A1162">
        <v>575.16</v>
      </c>
      <c r="B1162">
        <v>3</v>
      </c>
      <c r="C1162">
        <v>1161</v>
      </c>
      <c r="D1162" s="2">
        <v>0.34755488425925923</v>
      </c>
      <c r="E1162" t="s">
        <v>799</v>
      </c>
      <c r="F1162" t="s">
        <v>800</v>
      </c>
      <c r="G1162" t="s">
        <v>801</v>
      </c>
      <c r="H1162" t="s">
        <v>802</v>
      </c>
      <c r="I1162" t="s">
        <v>748</v>
      </c>
      <c r="J1162" t="s">
        <v>667</v>
      </c>
      <c r="K1162" t="s">
        <v>51</v>
      </c>
      <c r="L1162">
        <v>191.72</v>
      </c>
      <c r="M1162" s="1">
        <v>45722</v>
      </c>
      <c r="N1162" t="s">
        <v>105</v>
      </c>
      <c r="O1162">
        <v>6</v>
      </c>
      <c r="P1162">
        <v>3</v>
      </c>
      <c r="Q1162">
        <v>1</v>
      </c>
      <c r="R1162">
        <v>2025</v>
      </c>
    </row>
    <row r="1163" spans="1:18">
      <c r="A1163">
        <v>1095.05</v>
      </c>
      <c r="B1163">
        <v>5</v>
      </c>
      <c r="C1163">
        <v>1162</v>
      </c>
      <c r="D1163" s="2">
        <v>0.98109982638888893</v>
      </c>
      <c r="E1163" t="s">
        <v>3342</v>
      </c>
      <c r="F1163" t="s">
        <v>3343</v>
      </c>
      <c r="G1163" t="s">
        <v>3344</v>
      </c>
      <c r="H1163" t="s">
        <v>106</v>
      </c>
      <c r="I1163" t="s">
        <v>896</v>
      </c>
      <c r="J1163" t="s">
        <v>279</v>
      </c>
      <c r="K1163" t="s">
        <v>82</v>
      </c>
      <c r="L1163">
        <v>219.01</v>
      </c>
      <c r="M1163" s="1">
        <v>46179</v>
      </c>
      <c r="N1163" t="s">
        <v>14</v>
      </c>
      <c r="O1163">
        <v>6</v>
      </c>
      <c r="P1163">
        <v>6</v>
      </c>
      <c r="Q1163">
        <v>2</v>
      </c>
      <c r="R1163">
        <v>2026</v>
      </c>
    </row>
    <row r="1164" spans="1:18">
      <c r="A1164">
        <v>175.65</v>
      </c>
      <c r="B1164">
        <v>5</v>
      </c>
      <c r="C1164">
        <v>1163</v>
      </c>
      <c r="D1164" s="2">
        <v>0.52906015046296295</v>
      </c>
      <c r="E1164" t="s">
        <v>3029</v>
      </c>
      <c r="F1164" t="s">
        <v>760</v>
      </c>
      <c r="G1164" t="s">
        <v>1228</v>
      </c>
      <c r="H1164" t="s">
        <v>1886</v>
      </c>
      <c r="I1164" t="s">
        <v>753</v>
      </c>
      <c r="J1164" t="s">
        <v>559</v>
      </c>
      <c r="K1164" t="s">
        <v>97</v>
      </c>
      <c r="L1164">
        <v>35.130000000000003</v>
      </c>
      <c r="M1164" s="1">
        <v>45971</v>
      </c>
      <c r="N1164" t="s">
        <v>93</v>
      </c>
      <c r="O1164">
        <v>10</v>
      </c>
      <c r="P1164">
        <v>11</v>
      </c>
      <c r="Q1164">
        <v>4</v>
      </c>
      <c r="R1164">
        <v>2025</v>
      </c>
    </row>
    <row r="1165" spans="1:18">
      <c r="A1165">
        <v>640.34999999999991</v>
      </c>
      <c r="B1165">
        <v>5</v>
      </c>
      <c r="C1165">
        <v>1164</v>
      </c>
      <c r="D1165" s="2">
        <v>0.52154057870370374</v>
      </c>
      <c r="E1165" t="s">
        <v>2902</v>
      </c>
      <c r="F1165" t="s">
        <v>2903</v>
      </c>
      <c r="G1165" t="s">
        <v>2904</v>
      </c>
      <c r="H1165" t="s">
        <v>160</v>
      </c>
      <c r="I1165" t="s">
        <v>790</v>
      </c>
      <c r="J1165" t="s">
        <v>22</v>
      </c>
      <c r="K1165" t="s">
        <v>23</v>
      </c>
      <c r="L1165">
        <v>128.07</v>
      </c>
      <c r="M1165" s="1">
        <v>45741</v>
      </c>
      <c r="N1165" t="s">
        <v>48</v>
      </c>
      <c r="O1165">
        <v>25</v>
      </c>
      <c r="P1165">
        <v>3</v>
      </c>
      <c r="Q1165">
        <v>1</v>
      </c>
      <c r="R1165">
        <v>2025</v>
      </c>
    </row>
    <row r="1166" spans="1:18">
      <c r="A1166">
        <v>883.4</v>
      </c>
      <c r="B1166">
        <v>4</v>
      </c>
      <c r="C1166">
        <v>1165</v>
      </c>
      <c r="D1166" s="2">
        <v>0.50351902777777779</v>
      </c>
      <c r="E1166" t="s">
        <v>2983</v>
      </c>
      <c r="F1166" t="s">
        <v>2570</v>
      </c>
      <c r="G1166" t="s">
        <v>1965</v>
      </c>
      <c r="H1166" t="s">
        <v>869</v>
      </c>
      <c r="I1166" t="s">
        <v>812</v>
      </c>
      <c r="J1166" t="s">
        <v>309</v>
      </c>
      <c r="K1166" t="s">
        <v>100</v>
      </c>
      <c r="L1166">
        <v>220.85</v>
      </c>
      <c r="M1166" s="1">
        <v>46136</v>
      </c>
      <c r="N1166" t="s">
        <v>79</v>
      </c>
      <c r="O1166">
        <v>24</v>
      </c>
      <c r="P1166">
        <v>4</v>
      </c>
      <c r="Q1166">
        <v>2</v>
      </c>
      <c r="R1166">
        <v>2026</v>
      </c>
    </row>
    <row r="1167" spans="1:18">
      <c r="A1167">
        <v>360.09999999999997</v>
      </c>
      <c r="B1167">
        <v>5</v>
      </c>
      <c r="C1167">
        <v>1166</v>
      </c>
      <c r="D1167" s="2">
        <v>0.39308901620370368</v>
      </c>
      <c r="E1167" t="s">
        <v>2490</v>
      </c>
      <c r="F1167" t="s">
        <v>2491</v>
      </c>
      <c r="G1167" t="s">
        <v>2004</v>
      </c>
      <c r="H1167" t="s">
        <v>869</v>
      </c>
      <c r="I1167" t="s">
        <v>807</v>
      </c>
      <c r="J1167" t="s">
        <v>108</v>
      </c>
      <c r="K1167" t="s">
        <v>51</v>
      </c>
      <c r="L1167">
        <v>72.02</v>
      </c>
      <c r="M1167" s="1">
        <v>46090</v>
      </c>
      <c r="N1167" t="s">
        <v>93</v>
      </c>
      <c r="O1167">
        <v>9</v>
      </c>
      <c r="P1167">
        <v>3</v>
      </c>
      <c r="Q1167">
        <v>1</v>
      </c>
      <c r="R1167">
        <v>2026</v>
      </c>
    </row>
    <row r="1168" spans="1:18">
      <c r="A1168">
        <v>131.43</v>
      </c>
      <c r="B1168">
        <v>3</v>
      </c>
      <c r="C1168">
        <v>1167</v>
      </c>
      <c r="D1168" s="2">
        <v>0.20698443287037038</v>
      </c>
      <c r="E1168" t="s">
        <v>831</v>
      </c>
      <c r="F1168" t="s">
        <v>832</v>
      </c>
      <c r="G1168" t="s">
        <v>833</v>
      </c>
      <c r="H1168" t="s">
        <v>392</v>
      </c>
      <c r="I1168" t="s">
        <v>834</v>
      </c>
      <c r="J1168" t="s">
        <v>354</v>
      </c>
      <c r="K1168" t="s">
        <v>31</v>
      </c>
      <c r="L1168">
        <v>43.81</v>
      </c>
      <c r="M1168" s="1">
        <v>45824</v>
      </c>
      <c r="N1168" t="s">
        <v>93</v>
      </c>
      <c r="O1168">
        <v>16</v>
      </c>
      <c r="P1168">
        <v>6</v>
      </c>
      <c r="Q1168">
        <v>2</v>
      </c>
      <c r="R1168">
        <v>2025</v>
      </c>
    </row>
    <row r="1169" spans="1:18">
      <c r="A1169">
        <v>524.31000000000006</v>
      </c>
      <c r="B1169">
        <v>3</v>
      </c>
      <c r="C1169">
        <v>1168</v>
      </c>
      <c r="D1169" s="2">
        <v>0.65333782407407404</v>
      </c>
      <c r="E1169" t="s">
        <v>1184</v>
      </c>
      <c r="F1169" t="s">
        <v>1185</v>
      </c>
      <c r="G1169" t="s">
        <v>994</v>
      </c>
      <c r="H1169" t="s">
        <v>915</v>
      </c>
      <c r="I1169" t="s">
        <v>908</v>
      </c>
      <c r="J1169" t="s">
        <v>483</v>
      </c>
      <c r="K1169" t="s">
        <v>100</v>
      </c>
      <c r="L1169">
        <v>174.77</v>
      </c>
      <c r="M1169" s="1">
        <v>45916</v>
      </c>
      <c r="N1169" t="s">
        <v>48</v>
      </c>
      <c r="O1169">
        <v>16</v>
      </c>
      <c r="P1169">
        <v>9</v>
      </c>
      <c r="Q1169">
        <v>3</v>
      </c>
      <c r="R1169">
        <v>2025</v>
      </c>
    </row>
    <row r="1170" spans="1:18">
      <c r="A1170">
        <v>269.54999999999995</v>
      </c>
      <c r="B1170">
        <v>3</v>
      </c>
      <c r="C1170">
        <v>1169</v>
      </c>
      <c r="D1170" s="2">
        <v>0.29878799768518516</v>
      </c>
      <c r="E1170" t="s">
        <v>1712</v>
      </c>
      <c r="F1170" t="s">
        <v>1713</v>
      </c>
      <c r="G1170" t="s">
        <v>938</v>
      </c>
      <c r="H1170" t="s">
        <v>1189</v>
      </c>
      <c r="I1170" t="s">
        <v>892</v>
      </c>
      <c r="J1170" t="s">
        <v>381</v>
      </c>
      <c r="K1170" t="s">
        <v>27</v>
      </c>
      <c r="L1170">
        <v>89.85</v>
      </c>
      <c r="M1170" s="1">
        <v>45647</v>
      </c>
      <c r="N1170" t="s">
        <v>14</v>
      </c>
      <c r="O1170">
        <v>21</v>
      </c>
      <c r="P1170">
        <v>12</v>
      </c>
      <c r="Q1170">
        <v>4</v>
      </c>
      <c r="R1170">
        <v>2024</v>
      </c>
    </row>
    <row r="1171" spans="1:18">
      <c r="A1171">
        <v>699.08</v>
      </c>
      <c r="B1171">
        <v>4</v>
      </c>
      <c r="C1171">
        <v>1170</v>
      </c>
      <c r="D1171" s="2">
        <v>0.46613680555555553</v>
      </c>
      <c r="E1171" t="s">
        <v>1033</v>
      </c>
      <c r="F1171" t="s">
        <v>1034</v>
      </c>
      <c r="G1171" t="s">
        <v>1035</v>
      </c>
      <c r="H1171" t="s">
        <v>548</v>
      </c>
      <c r="I1171" t="s">
        <v>790</v>
      </c>
      <c r="J1171" t="s">
        <v>483</v>
      </c>
      <c r="K1171" t="s">
        <v>100</v>
      </c>
      <c r="L1171">
        <v>174.77</v>
      </c>
      <c r="M1171" s="1">
        <v>45927</v>
      </c>
      <c r="N1171" t="s">
        <v>14</v>
      </c>
      <c r="O1171">
        <v>27</v>
      </c>
      <c r="P1171">
        <v>9</v>
      </c>
      <c r="Q1171">
        <v>3</v>
      </c>
      <c r="R1171">
        <v>2025</v>
      </c>
    </row>
    <row r="1172" spans="1:18">
      <c r="A1172">
        <v>427.64</v>
      </c>
      <c r="B1172">
        <v>2</v>
      </c>
      <c r="C1172">
        <v>1171</v>
      </c>
      <c r="D1172" s="2">
        <v>0.47824464120370369</v>
      </c>
      <c r="E1172" t="s">
        <v>2641</v>
      </c>
      <c r="F1172" t="s">
        <v>2642</v>
      </c>
      <c r="G1172" t="s">
        <v>2643</v>
      </c>
      <c r="H1172" t="s">
        <v>785</v>
      </c>
      <c r="I1172" t="s">
        <v>786</v>
      </c>
      <c r="J1172" t="s">
        <v>266</v>
      </c>
      <c r="K1172" t="s">
        <v>19</v>
      </c>
      <c r="L1172">
        <v>213.82</v>
      </c>
      <c r="M1172" s="1">
        <v>45837</v>
      </c>
      <c r="N1172" t="s">
        <v>28</v>
      </c>
      <c r="O1172">
        <v>29</v>
      </c>
      <c r="P1172">
        <v>6</v>
      </c>
      <c r="Q1172">
        <v>2</v>
      </c>
      <c r="R1172">
        <v>2025</v>
      </c>
    </row>
    <row r="1173" spans="1:18">
      <c r="A1173">
        <v>230.27</v>
      </c>
      <c r="B1173">
        <v>1</v>
      </c>
      <c r="C1173">
        <v>1172</v>
      </c>
      <c r="D1173" s="2">
        <v>0.55235226851851849</v>
      </c>
      <c r="E1173" t="s">
        <v>1416</v>
      </c>
      <c r="F1173" t="s">
        <v>1417</v>
      </c>
      <c r="G1173" t="s">
        <v>1418</v>
      </c>
      <c r="H1173" t="s">
        <v>74</v>
      </c>
      <c r="I1173" t="s">
        <v>943</v>
      </c>
      <c r="J1173" t="s">
        <v>200</v>
      </c>
      <c r="K1173" t="s">
        <v>17</v>
      </c>
      <c r="L1173">
        <v>230.27</v>
      </c>
      <c r="M1173" s="1">
        <v>46008</v>
      </c>
      <c r="N1173" t="s">
        <v>34</v>
      </c>
      <c r="O1173">
        <v>17</v>
      </c>
      <c r="P1173">
        <v>12</v>
      </c>
      <c r="Q1173">
        <v>4</v>
      </c>
      <c r="R1173">
        <v>2025</v>
      </c>
    </row>
    <row r="1174" spans="1:18">
      <c r="A1174">
        <v>551.79</v>
      </c>
      <c r="B1174">
        <v>3</v>
      </c>
      <c r="C1174">
        <v>1173</v>
      </c>
      <c r="D1174" s="2">
        <v>9.2018113425925932E-2</v>
      </c>
      <c r="E1174" t="s">
        <v>2146</v>
      </c>
      <c r="F1174" t="s">
        <v>2147</v>
      </c>
      <c r="G1174" t="s">
        <v>2148</v>
      </c>
      <c r="H1174" t="s">
        <v>1525</v>
      </c>
      <c r="I1174" t="s">
        <v>763</v>
      </c>
      <c r="J1174" t="s">
        <v>359</v>
      </c>
      <c r="K1174" t="s">
        <v>23</v>
      </c>
      <c r="L1174">
        <v>183.93</v>
      </c>
      <c r="M1174" s="1">
        <v>45919</v>
      </c>
      <c r="N1174" t="s">
        <v>79</v>
      </c>
      <c r="O1174">
        <v>19</v>
      </c>
      <c r="P1174">
        <v>9</v>
      </c>
      <c r="Q1174">
        <v>3</v>
      </c>
      <c r="R1174">
        <v>2025</v>
      </c>
    </row>
    <row r="1175" spans="1:18">
      <c r="A1175">
        <v>51.71</v>
      </c>
      <c r="B1175">
        <v>1</v>
      </c>
      <c r="C1175">
        <v>1174</v>
      </c>
      <c r="D1175" s="2">
        <v>0.9824056712962963</v>
      </c>
      <c r="E1175" t="s">
        <v>1634</v>
      </c>
      <c r="F1175" t="s">
        <v>1635</v>
      </c>
      <c r="G1175" t="s">
        <v>952</v>
      </c>
      <c r="H1175" t="s">
        <v>1026</v>
      </c>
      <c r="I1175" t="s">
        <v>896</v>
      </c>
      <c r="J1175" t="s">
        <v>26</v>
      </c>
      <c r="K1175" t="s">
        <v>27</v>
      </c>
      <c r="L1175">
        <v>51.71</v>
      </c>
      <c r="M1175" s="1">
        <v>46258</v>
      </c>
      <c r="N1175" t="s">
        <v>93</v>
      </c>
      <c r="O1175">
        <v>24</v>
      </c>
      <c r="P1175">
        <v>8</v>
      </c>
      <c r="Q1175">
        <v>3</v>
      </c>
      <c r="R1175">
        <v>2026</v>
      </c>
    </row>
    <row r="1176" spans="1:18">
      <c r="A1176">
        <v>191.82</v>
      </c>
      <c r="B1176">
        <v>1</v>
      </c>
      <c r="C1176">
        <v>1175</v>
      </c>
      <c r="D1176" s="2">
        <v>0.46038715277777775</v>
      </c>
      <c r="E1176" t="s">
        <v>1954</v>
      </c>
      <c r="F1176" t="s">
        <v>1955</v>
      </c>
      <c r="G1176" t="s">
        <v>1679</v>
      </c>
      <c r="H1176" t="s">
        <v>1257</v>
      </c>
      <c r="I1176" t="s">
        <v>839</v>
      </c>
      <c r="J1176" t="s">
        <v>584</v>
      </c>
      <c r="K1176" t="s">
        <v>19</v>
      </c>
      <c r="L1176">
        <v>191.82</v>
      </c>
      <c r="M1176" s="1">
        <v>45755</v>
      </c>
      <c r="N1176" t="s">
        <v>48</v>
      </c>
      <c r="O1176">
        <v>8</v>
      </c>
      <c r="P1176">
        <v>4</v>
      </c>
      <c r="Q1176">
        <v>2</v>
      </c>
      <c r="R1176">
        <v>2025</v>
      </c>
    </row>
    <row r="1177" spans="1:18">
      <c r="A1177">
        <v>11.42</v>
      </c>
      <c r="B1177">
        <v>2</v>
      </c>
      <c r="C1177">
        <v>1176</v>
      </c>
      <c r="D1177" s="2">
        <v>0.69683332175925927</v>
      </c>
      <c r="E1177" t="s">
        <v>1979</v>
      </c>
      <c r="F1177" t="s">
        <v>1980</v>
      </c>
      <c r="G1177" t="s">
        <v>1981</v>
      </c>
      <c r="H1177" t="s">
        <v>1691</v>
      </c>
      <c r="I1177" t="s">
        <v>821</v>
      </c>
      <c r="J1177" t="s">
        <v>669</v>
      </c>
      <c r="K1177" t="s">
        <v>97</v>
      </c>
      <c r="L1177">
        <v>5.71</v>
      </c>
      <c r="M1177" s="1">
        <v>45977</v>
      </c>
      <c r="N1177" t="s">
        <v>28</v>
      </c>
      <c r="O1177">
        <v>16</v>
      </c>
      <c r="P1177">
        <v>11</v>
      </c>
      <c r="Q1177">
        <v>4</v>
      </c>
      <c r="R1177">
        <v>2025</v>
      </c>
    </row>
    <row r="1178" spans="1:18">
      <c r="A1178">
        <v>62.199999999999996</v>
      </c>
      <c r="B1178">
        <v>5</v>
      </c>
      <c r="C1178">
        <v>1177</v>
      </c>
      <c r="D1178" s="2">
        <v>0.79717451388888894</v>
      </c>
      <c r="E1178" t="s">
        <v>2653</v>
      </c>
      <c r="F1178" t="s">
        <v>2654</v>
      </c>
      <c r="G1178" t="s">
        <v>2315</v>
      </c>
      <c r="H1178" t="s">
        <v>780</v>
      </c>
      <c r="I1178" t="s">
        <v>781</v>
      </c>
      <c r="J1178" t="s">
        <v>310</v>
      </c>
      <c r="K1178" t="s">
        <v>60</v>
      </c>
      <c r="L1178">
        <v>12.44</v>
      </c>
      <c r="M1178" s="1">
        <v>46271</v>
      </c>
      <c r="N1178" t="s">
        <v>28</v>
      </c>
      <c r="O1178">
        <v>6</v>
      </c>
      <c r="P1178">
        <v>9</v>
      </c>
      <c r="Q1178">
        <v>3</v>
      </c>
      <c r="R1178">
        <v>2026</v>
      </c>
    </row>
    <row r="1179" spans="1:18">
      <c r="A1179">
        <v>431.97</v>
      </c>
      <c r="B1179">
        <v>3</v>
      </c>
      <c r="C1179">
        <v>1178</v>
      </c>
      <c r="D1179" s="2">
        <v>0.82244208333333335</v>
      </c>
      <c r="E1179" t="s">
        <v>1907</v>
      </c>
      <c r="F1179" t="s">
        <v>1908</v>
      </c>
      <c r="G1179" t="s">
        <v>1909</v>
      </c>
      <c r="H1179" t="s">
        <v>965</v>
      </c>
      <c r="I1179" t="s">
        <v>839</v>
      </c>
      <c r="J1179" t="s">
        <v>2838</v>
      </c>
      <c r="K1179" t="s">
        <v>57</v>
      </c>
      <c r="L1179">
        <v>143.99</v>
      </c>
      <c r="M1179" s="1">
        <v>46230</v>
      </c>
      <c r="N1179" t="s">
        <v>93</v>
      </c>
      <c r="O1179">
        <v>27</v>
      </c>
      <c r="P1179">
        <v>7</v>
      </c>
      <c r="Q1179">
        <v>3</v>
      </c>
      <c r="R1179">
        <v>2026</v>
      </c>
    </row>
    <row r="1180" spans="1:18">
      <c r="A1180">
        <v>908.88</v>
      </c>
      <c r="B1180">
        <v>4</v>
      </c>
      <c r="C1180">
        <v>1179</v>
      </c>
      <c r="D1180" s="2">
        <v>0.16113940972222221</v>
      </c>
      <c r="E1180" t="s">
        <v>1677</v>
      </c>
      <c r="F1180" t="s">
        <v>1678</v>
      </c>
      <c r="G1180" t="s">
        <v>1679</v>
      </c>
      <c r="H1180" t="s">
        <v>767</v>
      </c>
      <c r="I1180" t="s">
        <v>768</v>
      </c>
      <c r="J1180" t="s">
        <v>1314</v>
      </c>
      <c r="K1180" t="s">
        <v>55</v>
      </c>
      <c r="L1180">
        <v>227.22</v>
      </c>
      <c r="M1180" s="1">
        <v>45566</v>
      </c>
      <c r="N1180" t="s">
        <v>48</v>
      </c>
      <c r="O1180">
        <v>1</v>
      </c>
      <c r="P1180">
        <v>10</v>
      </c>
      <c r="Q1180">
        <v>4</v>
      </c>
      <c r="R1180">
        <v>2024</v>
      </c>
    </row>
    <row r="1181" spans="1:18">
      <c r="A1181">
        <v>810.12</v>
      </c>
      <c r="B1181">
        <v>4</v>
      </c>
      <c r="C1181">
        <v>1180</v>
      </c>
      <c r="D1181" s="2">
        <v>0.91849130787037037</v>
      </c>
      <c r="E1181" t="s">
        <v>926</v>
      </c>
      <c r="F1181" t="s">
        <v>927</v>
      </c>
      <c r="G1181" t="s">
        <v>928</v>
      </c>
      <c r="H1181" t="s">
        <v>929</v>
      </c>
      <c r="I1181" t="s">
        <v>830</v>
      </c>
      <c r="J1181" t="s">
        <v>251</v>
      </c>
      <c r="K1181" t="s">
        <v>122</v>
      </c>
      <c r="L1181">
        <v>202.53</v>
      </c>
      <c r="M1181" s="1">
        <v>45574</v>
      </c>
      <c r="N1181" t="s">
        <v>34</v>
      </c>
      <c r="O1181">
        <v>9</v>
      </c>
      <c r="P1181">
        <v>10</v>
      </c>
      <c r="Q1181">
        <v>4</v>
      </c>
      <c r="R1181">
        <v>2024</v>
      </c>
    </row>
    <row r="1182" spans="1:18">
      <c r="A1182">
        <v>123.13</v>
      </c>
      <c r="B1182">
        <v>1</v>
      </c>
      <c r="C1182">
        <v>1181</v>
      </c>
      <c r="D1182" s="2">
        <v>0.79047315972222221</v>
      </c>
      <c r="E1182" t="s">
        <v>2577</v>
      </c>
      <c r="F1182" t="s">
        <v>2578</v>
      </c>
      <c r="G1182" t="s">
        <v>1508</v>
      </c>
      <c r="H1182" t="s">
        <v>1600</v>
      </c>
      <c r="I1182" t="s">
        <v>768</v>
      </c>
      <c r="J1182" t="s">
        <v>66</v>
      </c>
      <c r="K1182" t="s">
        <v>46</v>
      </c>
      <c r="L1182">
        <v>123.13</v>
      </c>
      <c r="M1182" s="1">
        <v>45589</v>
      </c>
      <c r="N1182" t="s">
        <v>105</v>
      </c>
      <c r="O1182">
        <v>24</v>
      </c>
      <c r="P1182">
        <v>10</v>
      </c>
      <c r="Q1182">
        <v>4</v>
      </c>
      <c r="R1182">
        <v>2024</v>
      </c>
    </row>
    <row r="1183" spans="1:18">
      <c r="A1183">
        <v>268.94</v>
      </c>
      <c r="B1183">
        <v>2</v>
      </c>
      <c r="C1183">
        <v>1182</v>
      </c>
      <c r="D1183" s="2">
        <v>4.5291747685185187E-2</v>
      </c>
      <c r="E1183" t="s">
        <v>3046</v>
      </c>
      <c r="F1183" t="s">
        <v>3047</v>
      </c>
      <c r="G1183" t="s">
        <v>2513</v>
      </c>
      <c r="H1183" t="s">
        <v>829</v>
      </c>
      <c r="I1183" t="s">
        <v>830</v>
      </c>
      <c r="J1183" t="s">
        <v>76</v>
      </c>
      <c r="K1183" t="s">
        <v>69</v>
      </c>
      <c r="L1183">
        <v>134.47</v>
      </c>
      <c r="M1183" s="1">
        <v>45985</v>
      </c>
      <c r="N1183" t="s">
        <v>93</v>
      </c>
      <c r="O1183">
        <v>24</v>
      </c>
      <c r="P1183">
        <v>11</v>
      </c>
      <c r="Q1183">
        <v>4</v>
      </c>
      <c r="R1183">
        <v>2025</v>
      </c>
    </row>
    <row r="1184" spans="1:18">
      <c r="A1184">
        <v>84.03</v>
      </c>
      <c r="B1184">
        <v>3</v>
      </c>
      <c r="C1184">
        <v>1183</v>
      </c>
      <c r="D1184" s="2">
        <v>0.1674402662037037</v>
      </c>
      <c r="E1184" t="s">
        <v>1988</v>
      </c>
      <c r="F1184" t="s">
        <v>1989</v>
      </c>
      <c r="G1184" t="s">
        <v>1117</v>
      </c>
      <c r="H1184" t="s">
        <v>829</v>
      </c>
      <c r="I1184" t="s">
        <v>830</v>
      </c>
      <c r="J1184" t="s">
        <v>463</v>
      </c>
      <c r="K1184" t="s">
        <v>43</v>
      </c>
      <c r="L1184">
        <v>28.01</v>
      </c>
      <c r="M1184" s="1">
        <v>45925</v>
      </c>
      <c r="N1184" t="s">
        <v>105</v>
      </c>
      <c r="O1184">
        <v>25</v>
      </c>
      <c r="P1184">
        <v>9</v>
      </c>
      <c r="Q1184">
        <v>3</v>
      </c>
      <c r="R1184">
        <v>2025</v>
      </c>
    </row>
    <row r="1185" spans="1:18">
      <c r="A1185">
        <v>229.09</v>
      </c>
      <c r="B1185">
        <v>1</v>
      </c>
      <c r="C1185">
        <v>1184</v>
      </c>
      <c r="D1185" s="2">
        <v>0.97233728009259257</v>
      </c>
      <c r="E1185" t="s">
        <v>2121</v>
      </c>
      <c r="F1185" t="s">
        <v>2122</v>
      </c>
      <c r="G1185" t="s">
        <v>1077</v>
      </c>
      <c r="H1185" t="s">
        <v>929</v>
      </c>
      <c r="I1185" t="s">
        <v>786</v>
      </c>
      <c r="J1185" t="s">
        <v>622</v>
      </c>
      <c r="K1185" t="s">
        <v>37</v>
      </c>
      <c r="L1185">
        <v>229.09</v>
      </c>
      <c r="M1185" s="1">
        <v>45756</v>
      </c>
      <c r="N1185" t="s">
        <v>34</v>
      </c>
      <c r="O1185">
        <v>9</v>
      </c>
      <c r="P1185">
        <v>4</v>
      </c>
      <c r="Q1185">
        <v>2</v>
      </c>
      <c r="R1185">
        <v>2025</v>
      </c>
    </row>
    <row r="1186" spans="1:18">
      <c r="A1186">
        <v>181.88</v>
      </c>
      <c r="B1186">
        <v>1</v>
      </c>
      <c r="C1186">
        <v>1185</v>
      </c>
      <c r="D1186" s="2">
        <v>0.43388019675925926</v>
      </c>
      <c r="E1186" t="s">
        <v>2408</v>
      </c>
      <c r="F1186" t="s">
        <v>2409</v>
      </c>
      <c r="G1186" t="s">
        <v>2241</v>
      </c>
      <c r="H1186" t="s">
        <v>136</v>
      </c>
      <c r="I1186" t="s">
        <v>954</v>
      </c>
      <c r="J1186" t="s">
        <v>549</v>
      </c>
      <c r="K1186" t="s">
        <v>82</v>
      </c>
      <c r="L1186">
        <v>181.88</v>
      </c>
      <c r="M1186" s="1">
        <v>46063</v>
      </c>
      <c r="N1186" t="s">
        <v>48</v>
      </c>
      <c r="O1186">
        <v>10</v>
      </c>
      <c r="P1186">
        <v>2</v>
      </c>
      <c r="Q1186">
        <v>1</v>
      </c>
      <c r="R1186">
        <v>2026</v>
      </c>
    </row>
    <row r="1187" spans="1:18">
      <c r="A1187">
        <v>160.77000000000001</v>
      </c>
      <c r="B1187">
        <v>1</v>
      </c>
      <c r="C1187">
        <v>1186</v>
      </c>
      <c r="D1187" s="2">
        <v>0.94535981481481479</v>
      </c>
      <c r="E1187" t="s">
        <v>1528</v>
      </c>
      <c r="F1187" t="s">
        <v>1529</v>
      </c>
      <c r="G1187" t="s">
        <v>998</v>
      </c>
      <c r="H1187" t="s">
        <v>1465</v>
      </c>
      <c r="I1187" t="s">
        <v>817</v>
      </c>
      <c r="J1187" t="s">
        <v>44</v>
      </c>
      <c r="K1187" t="s">
        <v>31</v>
      </c>
      <c r="L1187">
        <v>160.77000000000001</v>
      </c>
      <c r="M1187" s="1">
        <v>45803</v>
      </c>
      <c r="N1187" t="s">
        <v>93</v>
      </c>
      <c r="O1187">
        <v>26</v>
      </c>
      <c r="P1187">
        <v>5</v>
      </c>
      <c r="Q1187">
        <v>2</v>
      </c>
      <c r="R1187">
        <v>2025</v>
      </c>
    </row>
    <row r="1188" spans="1:18">
      <c r="A1188">
        <v>594.16</v>
      </c>
      <c r="B1188">
        <v>4</v>
      </c>
      <c r="C1188">
        <v>1187</v>
      </c>
      <c r="D1188" s="2">
        <v>0.8484562731481482</v>
      </c>
      <c r="E1188" t="s">
        <v>1147</v>
      </c>
      <c r="F1188" t="s">
        <v>1148</v>
      </c>
      <c r="G1188" t="s">
        <v>1149</v>
      </c>
      <c r="H1188" t="s">
        <v>1071</v>
      </c>
      <c r="I1188" t="s">
        <v>817</v>
      </c>
      <c r="J1188" t="s">
        <v>16</v>
      </c>
      <c r="K1188" t="s">
        <v>17</v>
      </c>
      <c r="L1188">
        <v>148.54</v>
      </c>
      <c r="M1188" s="1">
        <v>45578</v>
      </c>
      <c r="N1188" t="s">
        <v>28</v>
      </c>
      <c r="O1188">
        <v>13</v>
      </c>
      <c r="P1188">
        <v>10</v>
      </c>
      <c r="Q1188">
        <v>4</v>
      </c>
      <c r="R1188">
        <v>2024</v>
      </c>
    </row>
    <row r="1189" spans="1:18">
      <c r="A1189">
        <v>92.31</v>
      </c>
      <c r="B1189">
        <v>3</v>
      </c>
      <c r="C1189">
        <v>1188</v>
      </c>
      <c r="D1189" s="2">
        <v>0.85792879629629626</v>
      </c>
      <c r="E1189" t="s">
        <v>1528</v>
      </c>
      <c r="F1189" t="s">
        <v>1529</v>
      </c>
      <c r="G1189" t="s">
        <v>998</v>
      </c>
      <c r="H1189" t="s">
        <v>1465</v>
      </c>
      <c r="I1189" t="s">
        <v>817</v>
      </c>
      <c r="J1189" t="s">
        <v>522</v>
      </c>
      <c r="K1189" t="s">
        <v>97</v>
      </c>
      <c r="L1189">
        <v>30.77</v>
      </c>
      <c r="M1189" s="1">
        <v>45770</v>
      </c>
      <c r="N1189" t="s">
        <v>34</v>
      </c>
      <c r="O1189">
        <v>23</v>
      </c>
      <c r="P1189">
        <v>4</v>
      </c>
      <c r="Q1189">
        <v>2</v>
      </c>
      <c r="R1189">
        <v>2025</v>
      </c>
    </row>
    <row r="1190" spans="1:18">
      <c r="A1190">
        <v>637.11</v>
      </c>
      <c r="B1190">
        <v>3</v>
      </c>
      <c r="C1190">
        <v>1189</v>
      </c>
      <c r="D1190" s="2">
        <v>0.66930355324074076</v>
      </c>
      <c r="E1190" t="s">
        <v>1896</v>
      </c>
      <c r="F1190" t="s">
        <v>1897</v>
      </c>
      <c r="G1190" t="s">
        <v>1114</v>
      </c>
      <c r="H1190" t="s">
        <v>1026</v>
      </c>
      <c r="I1190" t="s">
        <v>896</v>
      </c>
      <c r="J1190" t="s">
        <v>331</v>
      </c>
      <c r="K1190" t="s">
        <v>51</v>
      </c>
      <c r="L1190">
        <v>212.37</v>
      </c>
      <c r="M1190" s="1">
        <v>45939</v>
      </c>
      <c r="N1190" t="s">
        <v>105</v>
      </c>
      <c r="O1190">
        <v>9</v>
      </c>
      <c r="P1190">
        <v>10</v>
      </c>
      <c r="Q1190">
        <v>4</v>
      </c>
      <c r="R1190">
        <v>2025</v>
      </c>
    </row>
    <row r="1191" spans="1:18">
      <c r="A1191">
        <v>220.85</v>
      </c>
      <c r="B1191">
        <v>1</v>
      </c>
      <c r="C1191">
        <v>1190</v>
      </c>
      <c r="D1191" s="2">
        <v>0.26696386574074071</v>
      </c>
      <c r="E1191" t="s">
        <v>2494</v>
      </c>
      <c r="F1191" t="s">
        <v>2495</v>
      </c>
      <c r="G1191" t="s">
        <v>2065</v>
      </c>
      <c r="H1191" t="s">
        <v>1339</v>
      </c>
      <c r="I1191" t="s">
        <v>1247</v>
      </c>
      <c r="J1191" t="s">
        <v>309</v>
      </c>
      <c r="K1191" t="s">
        <v>100</v>
      </c>
      <c r="L1191">
        <v>220.85</v>
      </c>
      <c r="M1191" s="1">
        <v>46141</v>
      </c>
      <c r="N1191" t="s">
        <v>34</v>
      </c>
      <c r="O1191">
        <v>29</v>
      </c>
      <c r="P1191">
        <v>4</v>
      </c>
      <c r="Q1191">
        <v>2</v>
      </c>
      <c r="R1191">
        <v>2026</v>
      </c>
    </row>
    <row r="1192" spans="1:18">
      <c r="A1192">
        <v>690.68</v>
      </c>
      <c r="B1192">
        <v>4</v>
      </c>
      <c r="C1192">
        <v>1191</v>
      </c>
      <c r="D1192" s="2">
        <v>0.10136248842592592</v>
      </c>
      <c r="E1192" t="s">
        <v>974</v>
      </c>
      <c r="F1192" t="s">
        <v>975</v>
      </c>
      <c r="G1192" t="s">
        <v>976</v>
      </c>
      <c r="H1192" t="s">
        <v>106</v>
      </c>
      <c r="I1192" t="s">
        <v>748</v>
      </c>
      <c r="J1192" t="s">
        <v>551</v>
      </c>
      <c r="K1192" t="s">
        <v>122</v>
      </c>
      <c r="L1192">
        <v>172.67</v>
      </c>
      <c r="M1192" s="1">
        <v>46162</v>
      </c>
      <c r="N1192" t="s">
        <v>34</v>
      </c>
      <c r="O1192">
        <v>20</v>
      </c>
      <c r="P1192">
        <v>5</v>
      </c>
      <c r="Q1192">
        <v>2</v>
      </c>
      <c r="R1192">
        <v>2026</v>
      </c>
    </row>
    <row r="1193" spans="1:18">
      <c r="A1193">
        <v>5.08</v>
      </c>
      <c r="B1193">
        <v>2</v>
      </c>
      <c r="C1193">
        <v>1192</v>
      </c>
      <c r="D1193" s="2">
        <v>0.85840130787037039</v>
      </c>
      <c r="E1193" t="s">
        <v>2391</v>
      </c>
      <c r="F1193" t="s">
        <v>2392</v>
      </c>
      <c r="G1193" t="s">
        <v>1374</v>
      </c>
      <c r="H1193" t="s">
        <v>1755</v>
      </c>
      <c r="I1193" t="s">
        <v>786</v>
      </c>
      <c r="J1193" t="s">
        <v>409</v>
      </c>
      <c r="K1193" t="s">
        <v>39</v>
      </c>
      <c r="L1193">
        <v>2.54</v>
      </c>
      <c r="M1193" s="1">
        <v>46183</v>
      </c>
      <c r="N1193" t="s">
        <v>34</v>
      </c>
      <c r="O1193">
        <v>10</v>
      </c>
      <c r="P1193">
        <v>6</v>
      </c>
      <c r="Q1193">
        <v>2</v>
      </c>
      <c r="R1193">
        <v>2026</v>
      </c>
    </row>
    <row r="1194" spans="1:18">
      <c r="A1194">
        <v>48.51</v>
      </c>
      <c r="B1194">
        <v>1</v>
      </c>
      <c r="C1194">
        <v>1193</v>
      </c>
      <c r="D1194" s="2">
        <v>0.11151369212962962</v>
      </c>
      <c r="E1194" t="s">
        <v>1883</v>
      </c>
      <c r="F1194" t="s">
        <v>1884</v>
      </c>
      <c r="G1194" t="s">
        <v>1885</v>
      </c>
      <c r="H1194" t="s">
        <v>1886</v>
      </c>
      <c r="I1194" t="s">
        <v>753</v>
      </c>
      <c r="J1194" t="s">
        <v>243</v>
      </c>
      <c r="K1194" t="s">
        <v>57</v>
      </c>
      <c r="L1194">
        <v>48.51</v>
      </c>
      <c r="M1194" s="1">
        <v>45564</v>
      </c>
      <c r="N1194" t="s">
        <v>28</v>
      </c>
      <c r="O1194">
        <v>29</v>
      </c>
      <c r="P1194">
        <v>9</v>
      </c>
      <c r="Q1194">
        <v>3</v>
      </c>
      <c r="R1194">
        <v>2024</v>
      </c>
    </row>
    <row r="1195" spans="1:18">
      <c r="A1195">
        <v>438.62</v>
      </c>
      <c r="B1195">
        <v>2</v>
      </c>
      <c r="C1195">
        <v>1194</v>
      </c>
      <c r="D1195" s="2">
        <v>0.80113861111111107</v>
      </c>
      <c r="E1195" t="s">
        <v>1399</v>
      </c>
      <c r="F1195" t="s">
        <v>1400</v>
      </c>
      <c r="G1195" t="s">
        <v>922</v>
      </c>
      <c r="H1195" t="s">
        <v>1401</v>
      </c>
      <c r="I1195" t="s">
        <v>943</v>
      </c>
      <c r="J1195" t="s">
        <v>594</v>
      </c>
      <c r="K1195" t="s">
        <v>43</v>
      </c>
      <c r="L1195">
        <v>219.31</v>
      </c>
      <c r="M1195" s="1">
        <v>46205</v>
      </c>
      <c r="N1195" t="s">
        <v>105</v>
      </c>
      <c r="O1195">
        <v>2</v>
      </c>
      <c r="P1195">
        <v>7</v>
      </c>
      <c r="Q1195">
        <v>3</v>
      </c>
      <c r="R1195">
        <v>2026</v>
      </c>
    </row>
    <row r="1196" spans="1:18">
      <c r="A1196">
        <v>15.62</v>
      </c>
      <c r="B1196">
        <v>1</v>
      </c>
      <c r="C1196">
        <v>1195</v>
      </c>
      <c r="D1196" s="2">
        <v>0.86530010416666669</v>
      </c>
      <c r="E1196" t="s">
        <v>2636</v>
      </c>
      <c r="F1196" t="s">
        <v>2637</v>
      </c>
      <c r="G1196" t="s">
        <v>1006</v>
      </c>
      <c r="H1196" t="s">
        <v>199</v>
      </c>
      <c r="I1196" t="s">
        <v>781</v>
      </c>
      <c r="J1196" t="s">
        <v>248</v>
      </c>
      <c r="K1196" t="s">
        <v>100</v>
      </c>
      <c r="L1196">
        <v>15.62</v>
      </c>
      <c r="M1196" s="1">
        <v>45740</v>
      </c>
      <c r="N1196" t="s">
        <v>93</v>
      </c>
      <c r="O1196">
        <v>24</v>
      </c>
      <c r="P1196">
        <v>3</v>
      </c>
      <c r="Q1196">
        <v>1</v>
      </c>
      <c r="R1196">
        <v>2025</v>
      </c>
    </row>
    <row r="1197" spans="1:18">
      <c r="A1197">
        <v>432.21</v>
      </c>
      <c r="B1197">
        <v>3</v>
      </c>
      <c r="C1197">
        <v>1196</v>
      </c>
      <c r="D1197" s="2">
        <v>0.53771231481481485</v>
      </c>
      <c r="E1197" t="s">
        <v>2653</v>
      </c>
      <c r="F1197" t="s">
        <v>2654</v>
      </c>
      <c r="G1197" t="s">
        <v>2315</v>
      </c>
      <c r="H1197" t="s">
        <v>780</v>
      </c>
      <c r="I1197" t="s">
        <v>781</v>
      </c>
      <c r="J1197" t="s">
        <v>230</v>
      </c>
      <c r="K1197" t="s">
        <v>46</v>
      </c>
      <c r="L1197">
        <v>144.07</v>
      </c>
      <c r="M1197" s="1">
        <v>45625</v>
      </c>
      <c r="N1197" t="s">
        <v>79</v>
      </c>
      <c r="O1197">
        <v>29</v>
      </c>
      <c r="P1197">
        <v>11</v>
      </c>
      <c r="Q1197">
        <v>4</v>
      </c>
      <c r="R1197">
        <v>2024</v>
      </c>
    </row>
    <row r="1198" spans="1:18">
      <c r="A1198">
        <v>802.84</v>
      </c>
      <c r="B1198">
        <v>4</v>
      </c>
      <c r="C1198">
        <v>1197</v>
      </c>
      <c r="D1198" s="2">
        <v>1.9859247685185186E-2</v>
      </c>
      <c r="E1198" t="s">
        <v>1677</v>
      </c>
      <c r="F1198" t="s">
        <v>1678</v>
      </c>
      <c r="G1198" t="s">
        <v>1679</v>
      </c>
      <c r="H1198" t="s">
        <v>767</v>
      </c>
      <c r="I1198" t="s">
        <v>768</v>
      </c>
      <c r="J1198" t="s">
        <v>298</v>
      </c>
      <c r="K1198" t="s">
        <v>31</v>
      </c>
      <c r="L1198">
        <v>200.71</v>
      </c>
      <c r="M1198" s="1">
        <v>46216</v>
      </c>
      <c r="N1198" t="s">
        <v>93</v>
      </c>
      <c r="O1198">
        <v>13</v>
      </c>
      <c r="P1198">
        <v>7</v>
      </c>
      <c r="Q1198">
        <v>3</v>
      </c>
      <c r="R1198">
        <v>2026</v>
      </c>
    </row>
    <row r="1199" spans="1:18">
      <c r="A1199">
        <v>79.92</v>
      </c>
      <c r="B1199">
        <v>1</v>
      </c>
      <c r="C1199">
        <v>1198</v>
      </c>
      <c r="D1199" s="2">
        <v>0.43767812499999997</v>
      </c>
      <c r="E1199" t="s">
        <v>1923</v>
      </c>
      <c r="F1199" t="s">
        <v>1924</v>
      </c>
      <c r="G1199" t="s">
        <v>1925</v>
      </c>
      <c r="H1199" t="s">
        <v>29</v>
      </c>
      <c r="I1199" t="s">
        <v>821</v>
      </c>
      <c r="J1199" t="s">
        <v>209</v>
      </c>
      <c r="K1199" t="s">
        <v>25</v>
      </c>
      <c r="L1199">
        <v>79.92</v>
      </c>
      <c r="M1199" s="1">
        <v>45703</v>
      </c>
      <c r="N1199" t="s">
        <v>14</v>
      </c>
      <c r="O1199">
        <v>15</v>
      </c>
      <c r="P1199">
        <v>2</v>
      </c>
      <c r="Q1199">
        <v>1</v>
      </c>
      <c r="R1199">
        <v>2025</v>
      </c>
    </row>
    <row r="1200" spans="1:18">
      <c r="A1200">
        <v>446.72</v>
      </c>
      <c r="B1200">
        <v>4</v>
      </c>
      <c r="C1200">
        <v>1199</v>
      </c>
      <c r="D1200" s="2">
        <v>0.90961425925925921</v>
      </c>
      <c r="E1200" t="s">
        <v>1506</v>
      </c>
      <c r="F1200" t="s">
        <v>1507</v>
      </c>
      <c r="G1200" t="s">
        <v>1508</v>
      </c>
      <c r="H1200" t="s">
        <v>1509</v>
      </c>
      <c r="I1200" t="s">
        <v>821</v>
      </c>
      <c r="J1200" t="s">
        <v>540</v>
      </c>
      <c r="K1200" t="s">
        <v>19</v>
      </c>
      <c r="L1200">
        <v>111.68</v>
      </c>
      <c r="M1200" s="1">
        <v>46013</v>
      </c>
      <c r="N1200" t="s">
        <v>93</v>
      </c>
      <c r="O1200">
        <v>22</v>
      </c>
      <c r="P1200">
        <v>12</v>
      </c>
      <c r="Q1200">
        <v>4</v>
      </c>
      <c r="R1200">
        <v>2025</v>
      </c>
    </row>
    <row r="1201" spans="1:18">
      <c r="A1201">
        <v>82.6</v>
      </c>
      <c r="B1201">
        <v>5</v>
      </c>
      <c r="C1201">
        <v>1200</v>
      </c>
      <c r="D1201" s="2">
        <v>0.57704449074074071</v>
      </c>
      <c r="E1201" t="s">
        <v>1096</v>
      </c>
      <c r="F1201" t="s">
        <v>1097</v>
      </c>
      <c r="G1201" t="s">
        <v>1098</v>
      </c>
      <c r="H1201" t="s">
        <v>980</v>
      </c>
      <c r="I1201" t="s">
        <v>981</v>
      </c>
      <c r="J1201" t="s">
        <v>339</v>
      </c>
      <c r="K1201" t="s">
        <v>19</v>
      </c>
      <c r="L1201">
        <v>16.52</v>
      </c>
      <c r="M1201" s="1">
        <v>45693</v>
      </c>
      <c r="N1201" t="s">
        <v>34</v>
      </c>
      <c r="O1201">
        <v>5</v>
      </c>
      <c r="P1201">
        <v>2</v>
      </c>
      <c r="Q1201">
        <v>1</v>
      </c>
      <c r="R1201">
        <v>2025</v>
      </c>
    </row>
    <row r="1202" spans="1:18">
      <c r="A1202">
        <v>236.88</v>
      </c>
      <c r="B1202">
        <v>4</v>
      </c>
      <c r="C1202">
        <v>1201</v>
      </c>
      <c r="D1202" s="2">
        <v>0.3490271064814815</v>
      </c>
      <c r="E1202" t="s">
        <v>1399</v>
      </c>
      <c r="F1202" t="s">
        <v>1400</v>
      </c>
      <c r="G1202" t="s">
        <v>922</v>
      </c>
      <c r="H1202" t="s">
        <v>1401</v>
      </c>
      <c r="I1202" t="s">
        <v>943</v>
      </c>
      <c r="J1202" t="s">
        <v>516</v>
      </c>
      <c r="K1202" t="s">
        <v>31</v>
      </c>
      <c r="L1202">
        <v>59.22</v>
      </c>
      <c r="M1202" s="1">
        <v>45571</v>
      </c>
      <c r="N1202" t="s">
        <v>28</v>
      </c>
      <c r="O1202">
        <v>6</v>
      </c>
      <c r="P1202">
        <v>10</v>
      </c>
      <c r="Q1202">
        <v>4</v>
      </c>
      <c r="R1202">
        <v>2024</v>
      </c>
    </row>
    <row r="1203" spans="1:18">
      <c r="A1203">
        <v>316.25</v>
      </c>
      <c r="B1203">
        <v>5</v>
      </c>
      <c r="C1203">
        <v>1202</v>
      </c>
      <c r="D1203" s="2">
        <v>0.65634856481481485</v>
      </c>
      <c r="E1203" t="s">
        <v>2853</v>
      </c>
      <c r="F1203" t="s">
        <v>2854</v>
      </c>
      <c r="G1203" t="s">
        <v>2522</v>
      </c>
      <c r="H1203" t="s">
        <v>2332</v>
      </c>
      <c r="I1203" t="s">
        <v>1003</v>
      </c>
      <c r="J1203" t="s">
        <v>740</v>
      </c>
      <c r="K1203" t="s">
        <v>46</v>
      </c>
      <c r="L1203">
        <v>63.25</v>
      </c>
      <c r="M1203" s="1">
        <v>45864</v>
      </c>
      <c r="N1203" t="s">
        <v>14</v>
      </c>
      <c r="O1203">
        <v>26</v>
      </c>
      <c r="P1203">
        <v>7</v>
      </c>
      <c r="Q1203">
        <v>3</v>
      </c>
      <c r="R1203">
        <v>2025</v>
      </c>
    </row>
    <row r="1204" spans="1:18">
      <c r="A1204">
        <v>210.74</v>
      </c>
      <c r="B1204">
        <v>2</v>
      </c>
      <c r="C1204">
        <v>1203</v>
      </c>
      <c r="D1204" s="2">
        <v>0.87815415509259265</v>
      </c>
      <c r="E1204" t="s">
        <v>3165</v>
      </c>
      <c r="F1204" t="s">
        <v>3166</v>
      </c>
      <c r="G1204" t="s">
        <v>1633</v>
      </c>
      <c r="H1204" t="s">
        <v>1673</v>
      </c>
      <c r="I1204" t="s">
        <v>821</v>
      </c>
      <c r="J1204" t="s">
        <v>132</v>
      </c>
      <c r="K1204" t="s">
        <v>31</v>
      </c>
      <c r="L1204">
        <v>105.37</v>
      </c>
      <c r="M1204" s="1">
        <v>45656</v>
      </c>
      <c r="N1204" t="s">
        <v>93</v>
      </c>
      <c r="O1204">
        <v>30</v>
      </c>
      <c r="P1204">
        <v>12</v>
      </c>
      <c r="Q1204">
        <v>4</v>
      </c>
      <c r="R1204">
        <v>2024</v>
      </c>
    </row>
    <row r="1205" spans="1:18">
      <c r="A1205">
        <v>129.62</v>
      </c>
      <c r="B1205">
        <v>2</v>
      </c>
      <c r="C1205">
        <v>1204</v>
      </c>
      <c r="D1205" s="2">
        <v>0.48569822916666666</v>
      </c>
      <c r="E1205" t="s">
        <v>1780</v>
      </c>
      <c r="F1205" t="s">
        <v>1781</v>
      </c>
      <c r="G1205" t="s">
        <v>1709</v>
      </c>
      <c r="H1205" t="s">
        <v>1054</v>
      </c>
      <c r="I1205" t="s">
        <v>892</v>
      </c>
      <c r="J1205" t="s">
        <v>471</v>
      </c>
      <c r="K1205" t="s">
        <v>19</v>
      </c>
      <c r="L1205">
        <v>64.81</v>
      </c>
      <c r="M1205" s="1">
        <v>45672</v>
      </c>
      <c r="N1205" t="s">
        <v>34</v>
      </c>
      <c r="O1205">
        <v>15</v>
      </c>
      <c r="P1205">
        <v>1</v>
      </c>
      <c r="Q1205">
        <v>1</v>
      </c>
      <c r="R1205">
        <v>2025</v>
      </c>
    </row>
    <row r="1206" spans="1:18">
      <c r="A1206">
        <v>3.09</v>
      </c>
      <c r="B1206">
        <v>3</v>
      </c>
      <c r="C1206">
        <v>1205</v>
      </c>
      <c r="D1206" s="2">
        <v>0.13337814814814813</v>
      </c>
      <c r="E1206" t="s">
        <v>1065</v>
      </c>
      <c r="F1206" t="s">
        <v>1066</v>
      </c>
      <c r="G1206" t="s">
        <v>984</v>
      </c>
      <c r="H1206" t="s">
        <v>1067</v>
      </c>
      <c r="I1206" t="s">
        <v>854</v>
      </c>
      <c r="J1206" t="s">
        <v>711</v>
      </c>
      <c r="K1206" t="s">
        <v>122</v>
      </c>
      <c r="L1206">
        <v>1.03</v>
      </c>
      <c r="M1206" s="1">
        <v>45567</v>
      </c>
      <c r="N1206" t="s">
        <v>34</v>
      </c>
      <c r="O1206">
        <v>2</v>
      </c>
      <c r="P1206">
        <v>10</v>
      </c>
      <c r="Q1206">
        <v>4</v>
      </c>
      <c r="R1206">
        <v>2024</v>
      </c>
    </row>
    <row r="1207" spans="1:18">
      <c r="A1207">
        <v>84.63</v>
      </c>
      <c r="B1207">
        <v>1</v>
      </c>
      <c r="C1207">
        <v>1206</v>
      </c>
      <c r="D1207" s="2">
        <v>0.90653065972222224</v>
      </c>
      <c r="E1207" t="s">
        <v>1378</v>
      </c>
      <c r="F1207" t="s">
        <v>1379</v>
      </c>
      <c r="G1207" t="s">
        <v>1380</v>
      </c>
      <c r="H1207" t="s">
        <v>757</v>
      </c>
      <c r="I1207" t="s">
        <v>758</v>
      </c>
      <c r="J1207" t="s">
        <v>495</v>
      </c>
      <c r="K1207" t="s">
        <v>39</v>
      </c>
      <c r="L1207">
        <v>84.63</v>
      </c>
      <c r="M1207" s="1">
        <v>46035</v>
      </c>
      <c r="N1207" t="s">
        <v>48</v>
      </c>
      <c r="O1207">
        <v>13</v>
      </c>
      <c r="P1207">
        <v>1</v>
      </c>
      <c r="Q1207">
        <v>1</v>
      </c>
      <c r="R1207">
        <v>2026</v>
      </c>
    </row>
    <row r="1208" spans="1:18">
      <c r="A1208">
        <v>55.29</v>
      </c>
      <c r="B1208">
        <v>3</v>
      </c>
      <c r="C1208">
        <v>1207</v>
      </c>
      <c r="D1208" s="2">
        <v>0.12818981481481481</v>
      </c>
      <c r="E1208" t="s">
        <v>3121</v>
      </c>
      <c r="F1208" t="s">
        <v>3122</v>
      </c>
      <c r="G1208" t="s">
        <v>1676</v>
      </c>
      <c r="H1208" t="s">
        <v>211</v>
      </c>
      <c r="I1208" t="s">
        <v>966</v>
      </c>
      <c r="J1208" t="s">
        <v>1816</v>
      </c>
      <c r="K1208" t="s">
        <v>37</v>
      </c>
      <c r="L1208">
        <v>18.43</v>
      </c>
      <c r="M1208" s="1">
        <v>45772</v>
      </c>
      <c r="N1208" t="s">
        <v>79</v>
      </c>
      <c r="O1208">
        <v>25</v>
      </c>
      <c r="P1208">
        <v>4</v>
      </c>
      <c r="Q1208">
        <v>2</v>
      </c>
      <c r="R1208">
        <v>2025</v>
      </c>
    </row>
    <row r="1209" spans="1:18">
      <c r="A1209">
        <v>245.37</v>
      </c>
      <c r="B1209">
        <v>3</v>
      </c>
      <c r="C1209">
        <v>1208</v>
      </c>
      <c r="D1209" s="2">
        <v>0.8584626851851852</v>
      </c>
      <c r="E1209" t="s">
        <v>1860</v>
      </c>
      <c r="F1209" t="s">
        <v>1861</v>
      </c>
      <c r="G1209" t="s">
        <v>1862</v>
      </c>
      <c r="H1209" t="s">
        <v>879</v>
      </c>
      <c r="I1209" t="s">
        <v>748</v>
      </c>
      <c r="J1209" t="s">
        <v>155</v>
      </c>
      <c r="K1209" t="s">
        <v>19</v>
      </c>
      <c r="L1209">
        <v>81.790000000000006</v>
      </c>
      <c r="M1209" s="1">
        <v>46214</v>
      </c>
      <c r="N1209" t="s">
        <v>14</v>
      </c>
      <c r="O1209">
        <v>11</v>
      </c>
      <c r="P1209">
        <v>7</v>
      </c>
      <c r="Q1209">
        <v>3</v>
      </c>
      <c r="R1209">
        <v>2026</v>
      </c>
    </row>
    <row r="1210" spans="1:18">
      <c r="A1210">
        <v>55.4</v>
      </c>
      <c r="B1210">
        <v>4</v>
      </c>
      <c r="C1210">
        <v>1209</v>
      </c>
      <c r="D1210" s="2">
        <v>0.24542832175925927</v>
      </c>
      <c r="E1210" t="s">
        <v>2081</v>
      </c>
      <c r="F1210" t="s">
        <v>2082</v>
      </c>
      <c r="G1210" t="s">
        <v>2083</v>
      </c>
      <c r="H1210" t="s">
        <v>1944</v>
      </c>
      <c r="I1210" t="s">
        <v>1003</v>
      </c>
      <c r="J1210" t="s">
        <v>233</v>
      </c>
      <c r="K1210" t="s">
        <v>122</v>
      </c>
      <c r="L1210">
        <v>13.85</v>
      </c>
      <c r="M1210" s="1">
        <v>45644</v>
      </c>
      <c r="N1210" t="s">
        <v>34</v>
      </c>
      <c r="O1210">
        <v>18</v>
      </c>
      <c r="P1210">
        <v>12</v>
      </c>
      <c r="Q1210">
        <v>4</v>
      </c>
      <c r="R1210">
        <v>2024</v>
      </c>
    </row>
    <row r="1211" spans="1:18">
      <c r="A1211">
        <v>18.559999999999999</v>
      </c>
      <c r="B1211">
        <v>1</v>
      </c>
      <c r="C1211">
        <v>1210</v>
      </c>
      <c r="D1211" s="2">
        <v>0.11477710648148148</v>
      </c>
      <c r="E1211" t="s">
        <v>2834</v>
      </c>
      <c r="F1211" t="s">
        <v>2835</v>
      </c>
      <c r="G1211" t="s">
        <v>1335</v>
      </c>
      <c r="H1211" t="s">
        <v>1071</v>
      </c>
      <c r="I1211" t="s">
        <v>817</v>
      </c>
      <c r="J1211" t="s">
        <v>672</v>
      </c>
      <c r="K1211" t="s">
        <v>55</v>
      </c>
      <c r="L1211">
        <v>18.559999999999999</v>
      </c>
      <c r="M1211" s="1">
        <v>46128</v>
      </c>
      <c r="N1211" t="s">
        <v>105</v>
      </c>
      <c r="O1211">
        <v>16</v>
      </c>
      <c r="P1211">
        <v>4</v>
      </c>
      <c r="Q1211">
        <v>2</v>
      </c>
      <c r="R1211">
        <v>2026</v>
      </c>
    </row>
    <row r="1212" spans="1:18">
      <c r="A1212">
        <v>280.88</v>
      </c>
      <c r="B1212">
        <v>4</v>
      </c>
      <c r="C1212">
        <v>1211</v>
      </c>
      <c r="D1212" s="2">
        <v>0.69126123842592591</v>
      </c>
      <c r="E1212" t="s">
        <v>2417</v>
      </c>
      <c r="F1212" t="s">
        <v>2418</v>
      </c>
      <c r="G1212" t="s">
        <v>2419</v>
      </c>
      <c r="H1212" t="s">
        <v>995</v>
      </c>
      <c r="I1212" t="s">
        <v>781</v>
      </c>
      <c r="J1212" t="s">
        <v>515</v>
      </c>
      <c r="K1212" t="s">
        <v>60</v>
      </c>
      <c r="L1212">
        <v>70.22</v>
      </c>
      <c r="M1212" s="1">
        <v>46058</v>
      </c>
      <c r="N1212" t="s">
        <v>105</v>
      </c>
      <c r="O1212">
        <v>5</v>
      </c>
      <c r="P1212">
        <v>2</v>
      </c>
      <c r="Q1212">
        <v>1</v>
      </c>
      <c r="R1212">
        <v>2026</v>
      </c>
    </row>
    <row r="1213" spans="1:18">
      <c r="A1213">
        <v>242.45</v>
      </c>
      <c r="B1213">
        <v>1</v>
      </c>
      <c r="C1213">
        <v>1212</v>
      </c>
      <c r="D1213" s="2">
        <v>8.3201481481481487E-2</v>
      </c>
      <c r="E1213" t="s">
        <v>3183</v>
      </c>
      <c r="F1213" t="s">
        <v>3184</v>
      </c>
      <c r="G1213" t="s">
        <v>1981</v>
      </c>
      <c r="H1213" t="s">
        <v>2332</v>
      </c>
      <c r="I1213" t="s">
        <v>1003</v>
      </c>
      <c r="J1213" t="s">
        <v>214</v>
      </c>
      <c r="K1213" t="s">
        <v>69</v>
      </c>
      <c r="L1213">
        <v>242.45</v>
      </c>
      <c r="M1213" s="1">
        <v>46179</v>
      </c>
      <c r="N1213" t="s">
        <v>14</v>
      </c>
      <c r="O1213">
        <v>6</v>
      </c>
      <c r="P1213">
        <v>6</v>
      </c>
      <c r="Q1213">
        <v>2</v>
      </c>
      <c r="R1213">
        <v>2026</v>
      </c>
    </row>
    <row r="1214" spans="1:18">
      <c r="A1214">
        <v>31.44</v>
      </c>
      <c r="B1214">
        <v>3</v>
      </c>
      <c r="C1214">
        <v>1213</v>
      </c>
      <c r="D1214" s="2">
        <v>0.88706881944444449</v>
      </c>
      <c r="E1214" t="s">
        <v>1129</v>
      </c>
      <c r="F1214" t="s">
        <v>1130</v>
      </c>
      <c r="G1214" t="s">
        <v>949</v>
      </c>
      <c r="H1214" t="s">
        <v>903</v>
      </c>
      <c r="I1214" t="s">
        <v>834</v>
      </c>
      <c r="J1214" t="s">
        <v>578</v>
      </c>
      <c r="K1214" t="s">
        <v>82</v>
      </c>
      <c r="L1214">
        <v>10.48</v>
      </c>
      <c r="M1214" s="1">
        <v>45819</v>
      </c>
      <c r="N1214" t="s">
        <v>34</v>
      </c>
      <c r="O1214">
        <v>11</v>
      </c>
      <c r="P1214">
        <v>6</v>
      </c>
      <c r="Q1214">
        <v>2</v>
      </c>
      <c r="R1214">
        <v>2025</v>
      </c>
    </row>
    <row r="1215" spans="1:18">
      <c r="A1215">
        <v>132.03</v>
      </c>
      <c r="B1215">
        <v>3</v>
      </c>
      <c r="C1215">
        <v>1214</v>
      </c>
      <c r="D1215" s="2">
        <v>0.82353859953703701</v>
      </c>
      <c r="E1215" t="s">
        <v>1125</v>
      </c>
      <c r="F1215" t="s">
        <v>1126</v>
      </c>
      <c r="G1215" t="s">
        <v>1127</v>
      </c>
      <c r="H1215" t="s">
        <v>1128</v>
      </c>
      <c r="I1215" t="s">
        <v>954</v>
      </c>
      <c r="J1215" t="s">
        <v>689</v>
      </c>
      <c r="K1215" t="s">
        <v>55</v>
      </c>
      <c r="L1215">
        <v>44.01</v>
      </c>
      <c r="M1215" s="1">
        <v>45573</v>
      </c>
      <c r="N1215" t="s">
        <v>48</v>
      </c>
      <c r="O1215">
        <v>8</v>
      </c>
      <c r="P1215">
        <v>10</v>
      </c>
      <c r="Q1215">
        <v>4</v>
      </c>
      <c r="R1215">
        <v>2024</v>
      </c>
    </row>
    <row r="1216" spans="1:18">
      <c r="A1216">
        <v>108.81</v>
      </c>
      <c r="B1216">
        <v>1</v>
      </c>
      <c r="C1216">
        <v>1215</v>
      </c>
      <c r="D1216" s="2">
        <v>0.86167681712962962</v>
      </c>
      <c r="E1216" t="s">
        <v>2644</v>
      </c>
      <c r="F1216" t="s">
        <v>2645</v>
      </c>
      <c r="G1216" t="s">
        <v>2383</v>
      </c>
      <c r="H1216" t="s">
        <v>862</v>
      </c>
      <c r="I1216" t="s">
        <v>981</v>
      </c>
      <c r="J1216" t="s">
        <v>453</v>
      </c>
      <c r="K1216" t="s">
        <v>55</v>
      </c>
      <c r="L1216">
        <v>108.81</v>
      </c>
      <c r="M1216" s="1">
        <v>45662</v>
      </c>
      <c r="N1216" t="s">
        <v>28</v>
      </c>
      <c r="O1216">
        <v>5</v>
      </c>
      <c r="P1216">
        <v>1</v>
      </c>
      <c r="Q1216">
        <v>1</v>
      </c>
      <c r="R1216">
        <v>2025</v>
      </c>
    </row>
    <row r="1217" spans="1:18">
      <c r="A1217">
        <v>67.44</v>
      </c>
      <c r="B1217">
        <v>3</v>
      </c>
      <c r="C1217">
        <v>1216</v>
      </c>
      <c r="D1217" s="2">
        <v>0.18422371527777778</v>
      </c>
      <c r="E1217" t="s">
        <v>1229</v>
      </c>
      <c r="F1217" t="s">
        <v>1230</v>
      </c>
      <c r="G1217" t="s">
        <v>1231</v>
      </c>
      <c r="H1217" t="s">
        <v>1232</v>
      </c>
      <c r="I1217" t="s">
        <v>817</v>
      </c>
      <c r="J1217" t="s">
        <v>41</v>
      </c>
      <c r="K1217" t="s">
        <v>39</v>
      </c>
      <c r="L1217">
        <v>22.48</v>
      </c>
      <c r="M1217" s="1">
        <v>46076</v>
      </c>
      <c r="N1217" t="s">
        <v>93</v>
      </c>
      <c r="O1217">
        <v>23</v>
      </c>
      <c r="P1217">
        <v>2</v>
      </c>
      <c r="Q1217">
        <v>1</v>
      </c>
      <c r="R1217">
        <v>2026</v>
      </c>
    </row>
    <row r="1218" spans="1:18">
      <c r="A1218">
        <v>238.53</v>
      </c>
      <c r="B1218">
        <v>1</v>
      </c>
      <c r="C1218">
        <v>1217</v>
      </c>
      <c r="D1218" s="2">
        <v>0.21003709490740741</v>
      </c>
      <c r="E1218" t="s">
        <v>1099</v>
      </c>
      <c r="F1218" t="s">
        <v>1100</v>
      </c>
      <c r="G1218" t="s">
        <v>1035</v>
      </c>
      <c r="H1218" t="s">
        <v>211</v>
      </c>
      <c r="I1218" t="s">
        <v>812</v>
      </c>
      <c r="J1218" t="s">
        <v>660</v>
      </c>
      <c r="K1218" t="s">
        <v>25</v>
      </c>
      <c r="L1218">
        <v>238.53</v>
      </c>
      <c r="M1218" s="1">
        <v>46071</v>
      </c>
      <c r="N1218" t="s">
        <v>34</v>
      </c>
      <c r="O1218">
        <v>18</v>
      </c>
      <c r="P1218">
        <v>2</v>
      </c>
      <c r="Q1218">
        <v>1</v>
      </c>
      <c r="R1218">
        <v>2026</v>
      </c>
    </row>
    <row r="1219" spans="1:18">
      <c r="A1219">
        <v>679.08</v>
      </c>
      <c r="B1219">
        <v>4</v>
      </c>
      <c r="C1219">
        <v>1218</v>
      </c>
      <c r="D1219" s="2">
        <v>0.10579430555555555</v>
      </c>
      <c r="E1219" t="s">
        <v>782</v>
      </c>
      <c r="F1219" t="s">
        <v>783</v>
      </c>
      <c r="G1219" t="s">
        <v>784</v>
      </c>
      <c r="H1219" t="s">
        <v>785</v>
      </c>
      <c r="I1219" t="s">
        <v>786</v>
      </c>
      <c r="J1219" t="s">
        <v>300</v>
      </c>
      <c r="K1219" t="s">
        <v>55</v>
      </c>
      <c r="L1219">
        <v>169.77</v>
      </c>
      <c r="M1219" s="1">
        <v>45723</v>
      </c>
      <c r="N1219" t="s">
        <v>79</v>
      </c>
      <c r="O1219">
        <v>7</v>
      </c>
      <c r="P1219">
        <v>3</v>
      </c>
      <c r="Q1219">
        <v>1</v>
      </c>
      <c r="R1219">
        <v>2025</v>
      </c>
    </row>
    <row r="1220" spans="1:18">
      <c r="A1220">
        <v>60.12</v>
      </c>
      <c r="B1220">
        <v>4</v>
      </c>
      <c r="C1220">
        <v>1219</v>
      </c>
      <c r="D1220" s="2">
        <v>0.45240649305555558</v>
      </c>
      <c r="E1220" t="s">
        <v>1068</v>
      </c>
      <c r="F1220" t="s">
        <v>1069</v>
      </c>
      <c r="G1220" t="s">
        <v>1070</v>
      </c>
      <c r="H1220" t="s">
        <v>1071</v>
      </c>
      <c r="I1220" t="s">
        <v>817</v>
      </c>
      <c r="J1220" t="s">
        <v>523</v>
      </c>
      <c r="K1220" t="s">
        <v>23</v>
      </c>
      <c r="L1220">
        <v>15.03</v>
      </c>
      <c r="M1220" s="1">
        <v>46169</v>
      </c>
      <c r="N1220" t="s">
        <v>34</v>
      </c>
      <c r="O1220">
        <v>27</v>
      </c>
      <c r="P1220">
        <v>5</v>
      </c>
      <c r="Q1220">
        <v>2</v>
      </c>
      <c r="R1220">
        <v>2026</v>
      </c>
    </row>
    <row r="1221" spans="1:18">
      <c r="A1221">
        <v>176.04</v>
      </c>
      <c r="B1221">
        <v>4</v>
      </c>
      <c r="C1221">
        <v>1220</v>
      </c>
      <c r="D1221" s="2">
        <v>3.8735266203703704E-2</v>
      </c>
      <c r="E1221" t="s">
        <v>2669</v>
      </c>
      <c r="F1221" t="s">
        <v>2670</v>
      </c>
      <c r="G1221" t="s">
        <v>1025</v>
      </c>
      <c r="H1221" t="s">
        <v>942</v>
      </c>
      <c r="I1221" t="s">
        <v>943</v>
      </c>
      <c r="J1221" t="s">
        <v>689</v>
      </c>
      <c r="K1221" t="s">
        <v>55</v>
      </c>
      <c r="L1221">
        <v>44.01</v>
      </c>
      <c r="M1221" s="1">
        <v>46207</v>
      </c>
      <c r="N1221" t="s">
        <v>14</v>
      </c>
      <c r="O1221">
        <v>4</v>
      </c>
      <c r="P1221">
        <v>7</v>
      </c>
      <c r="Q1221">
        <v>3</v>
      </c>
      <c r="R1221">
        <v>2026</v>
      </c>
    </row>
    <row r="1222" spans="1:18">
      <c r="A1222">
        <v>583.6</v>
      </c>
      <c r="B1222">
        <v>5</v>
      </c>
      <c r="C1222">
        <v>1221</v>
      </c>
      <c r="D1222" s="2">
        <v>0.79530096064814815</v>
      </c>
      <c r="E1222" t="s">
        <v>2496</v>
      </c>
      <c r="F1222" t="s">
        <v>2497</v>
      </c>
      <c r="G1222" t="s">
        <v>2498</v>
      </c>
      <c r="H1222" t="s">
        <v>1302</v>
      </c>
      <c r="I1222" t="s">
        <v>786</v>
      </c>
      <c r="J1222" t="s">
        <v>500</v>
      </c>
      <c r="K1222" t="s">
        <v>27</v>
      </c>
      <c r="L1222">
        <v>116.72</v>
      </c>
      <c r="M1222" s="1">
        <v>46078</v>
      </c>
      <c r="N1222" t="s">
        <v>34</v>
      </c>
      <c r="O1222">
        <v>25</v>
      </c>
      <c r="P1222">
        <v>2</v>
      </c>
      <c r="Q1222">
        <v>1</v>
      </c>
      <c r="R1222">
        <v>2026</v>
      </c>
    </row>
    <row r="1223" spans="1:18">
      <c r="A1223">
        <v>152.05000000000001</v>
      </c>
      <c r="B1223">
        <v>5</v>
      </c>
      <c r="C1223">
        <v>1222</v>
      </c>
      <c r="D1223" s="2">
        <v>0.3234782175925926</v>
      </c>
      <c r="E1223" t="s">
        <v>933</v>
      </c>
      <c r="F1223" t="s">
        <v>934</v>
      </c>
      <c r="G1223" t="s">
        <v>935</v>
      </c>
      <c r="H1223" t="s">
        <v>322</v>
      </c>
      <c r="I1223" t="s">
        <v>795</v>
      </c>
      <c r="J1223" t="s">
        <v>718</v>
      </c>
      <c r="K1223" t="s">
        <v>21</v>
      </c>
      <c r="L1223">
        <v>30.41</v>
      </c>
      <c r="M1223" s="1">
        <v>45625</v>
      </c>
      <c r="N1223" t="s">
        <v>79</v>
      </c>
      <c r="O1223">
        <v>29</v>
      </c>
      <c r="P1223">
        <v>11</v>
      </c>
      <c r="Q1223">
        <v>4</v>
      </c>
      <c r="R1223">
        <v>2024</v>
      </c>
    </row>
    <row r="1224" spans="1:18">
      <c r="A1224">
        <v>154.94</v>
      </c>
      <c r="B1224">
        <v>2</v>
      </c>
      <c r="C1224">
        <v>1223</v>
      </c>
      <c r="D1224" s="2">
        <v>0.74693405092592591</v>
      </c>
      <c r="E1224" t="s">
        <v>2187</v>
      </c>
      <c r="F1224" t="s">
        <v>2188</v>
      </c>
      <c r="G1224" t="s">
        <v>1418</v>
      </c>
      <c r="H1224" t="s">
        <v>1292</v>
      </c>
      <c r="I1224" t="s">
        <v>1247</v>
      </c>
      <c r="J1224" t="s">
        <v>638</v>
      </c>
      <c r="K1224" t="s">
        <v>100</v>
      </c>
      <c r="L1224">
        <v>77.47</v>
      </c>
      <c r="M1224" s="1">
        <v>45928</v>
      </c>
      <c r="N1224" t="s">
        <v>28</v>
      </c>
      <c r="O1224">
        <v>28</v>
      </c>
      <c r="P1224">
        <v>9</v>
      </c>
      <c r="Q1224">
        <v>3</v>
      </c>
      <c r="R1224">
        <v>2025</v>
      </c>
    </row>
    <row r="1225" spans="1:18">
      <c r="A1225">
        <v>104.85</v>
      </c>
      <c r="B1225">
        <v>5</v>
      </c>
      <c r="C1225">
        <v>1224</v>
      </c>
      <c r="D1225" s="2">
        <v>0.65103434027777773</v>
      </c>
      <c r="E1225" t="s">
        <v>754</v>
      </c>
      <c r="F1225" t="s">
        <v>755</v>
      </c>
      <c r="G1225" t="s">
        <v>756</v>
      </c>
      <c r="H1225" t="s">
        <v>757</v>
      </c>
      <c r="I1225" t="s">
        <v>758</v>
      </c>
      <c r="J1225" t="s">
        <v>472</v>
      </c>
      <c r="K1225" t="s">
        <v>122</v>
      </c>
      <c r="L1225">
        <v>20.97</v>
      </c>
      <c r="M1225" s="1">
        <v>45959</v>
      </c>
      <c r="N1225" t="s">
        <v>34</v>
      </c>
      <c r="O1225">
        <v>29</v>
      </c>
      <c r="P1225">
        <v>10</v>
      </c>
      <c r="Q1225">
        <v>4</v>
      </c>
      <c r="R1225">
        <v>2025</v>
      </c>
    </row>
    <row r="1226" spans="1:18">
      <c r="A1226">
        <v>129.62</v>
      </c>
      <c r="B1226">
        <v>2</v>
      </c>
      <c r="C1226">
        <v>1225</v>
      </c>
      <c r="D1226" s="2">
        <v>0.32935824074074072</v>
      </c>
      <c r="E1226" t="s">
        <v>2737</v>
      </c>
      <c r="F1226" t="s">
        <v>2738</v>
      </c>
      <c r="G1226" t="s">
        <v>1110</v>
      </c>
      <c r="H1226" t="s">
        <v>825</v>
      </c>
      <c r="I1226" t="s">
        <v>781</v>
      </c>
      <c r="J1226" t="s">
        <v>471</v>
      </c>
      <c r="K1226" t="s">
        <v>19</v>
      </c>
      <c r="L1226">
        <v>64.81</v>
      </c>
      <c r="M1226" s="1">
        <v>46030</v>
      </c>
      <c r="N1226" t="s">
        <v>105</v>
      </c>
      <c r="O1226">
        <v>8</v>
      </c>
      <c r="P1226">
        <v>1</v>
      </c>
      <c r="Q1226">
        <v>1</v>
      </c>
      <c r="R1226">
        <v>2026</v>
      </c>
    </row>
    <row r="1227" spans="1:18">
      <c r="A1227">
        <v>215.25</v>
      </c>
      <c r="B1227">
        <v>3</v>
      </c>
      <c r="C1227">
        <v>1226</v>
      </c>
      <c r="D1227" s="2">
        <v>6.3233680555555552E-3</v>
      </c>
      <c r="E1227" t="s">
        <v>1842</v>
      </c>
      <c r="F1227" t="s">
        <v>1843</v>
      </c>
      <c r="G1227" t="s">
        <v>1844</v>
      </c>
      <c r="H1227" t="s">
        <v>106</v>
      </c>
      <c r="I1227" t="s">
        <v>790</v>
      </c>
      <c r="J1227" t="s">
        <v>645</v>
      </c>
      <c r="K1227" t="s">
        <v>51</v>
      </c>
      <c r="L1227">
        <v>71.75</v>
      </c>
      <c r="M1227" s="1">
        <v>45609</v>
      </c>
      <c r="N1227" t="s">
        <v>34</v>
      </c>
      <c r="O1227">
        <v>13</v>
      </c>
      <c r="P1227">
        <v>11</v>
      </c>
      <c r="Q1227">
        <v>4</v>
      </c>
      <c r="R1227">
        <v>2024</v>
      </c>
    </row>
    <row r="1228" spans="1:18">
      <c r="A1228">
        <v>174.99</v>
      </c>
      <c r="B1228">
        <v>3</v>
      </c>
      <c r="C1228">
        <v>1227</v>
      </c>
      <c r="D1228" s="2">
        <v>0.21108869212962963</v>
      </c>
      <c r="E1228" t="s">
        <v>897</v>
      </c>
      <c r="F1228" t="s">
        <v>898</v>
      </c>
      <c r="G1228" t="s">
        <v>899</v>
      </c>
      <c r="H1228" t="s">
        <v>280</v>
      </c>
      <c r="I1228" t="s">
        <v>812</v>
      </c>
      <c r="J1228" t="s">
        <v>408</v>
      </c>
      <c r="K1228" t="s">
        <v>17</v>
      </c>
      <c r="L1228">
        <v>58.33</v>
      </c>
      <c r="M1228" s="1">
        <v>45982</v>
      </c>
      <c r="N1228" t="s">
        <v>79</v>
      </c>
      <c r="O1228">
        <v>21</v>
      </c>
      <c r="P1228">
        <v>11</v>
      </c>
      <c r="Q1228">
        <v>4</v>
      </c>
      <c r="R1228">
        <v>2025</v>
      </c>
    </row>
    <row r="1229" spans="1:18">
      <c r="A1229">
        <v>31.24</v>
      </c>
      <c r="B1229">
        <v>2</v>
      </c>
      <c r="C1229">
        <v>1228</v>
      </c>
      <c r="D1229" s="2">
        <v>0.99908880787037035</v>
      </c>
      <c r="E1229" t="s">
        <v>2159</v>
      </c>
      <c r="F1229" t="s">
        <v>2160</v>
      </c>
      <c r="G1229" t="s">
        <v>1559</v>
      </c>
      <c r="H1229" t="s">
        <v>919</v>
      </c>
      <c r="I1229" t="s">
        <v>786</v>
      </c>
      <c r="J1229" t="s">
        <v>248</v>
      </c>
      <c r="K1229" t="s">
        <v>100</v>
      </c>
      <c r="L1229">
        <v>15.62</v>
      </c>
      <c r="M1229" s="1">
        <v>45996</v>
      </c>
      <c r="N1229" t="s">
        <v>79</v>
      </c>
      <c r="O1229">
        <v>5</v>
      </c>
      <c r="P1229">
        <v>12</v>
      </c>
      <c r="Q1229">
        <v>4</v>
      </c>
      <c r="R1229">
        <v>2025</v>
      </c>
    </row>
    <row r="1230" spans="1:18">
      <c r="A1230">
        <v>111.13</v>
      </c>
      <c r="B1230">
        <v>1</v>
      </c>
      <c r="C1230">
        <v>1229</v>
      </c>
      <c r="D1230" s="2">
        <v>0.27901962962962962</v>
      </c>
      <c r="E1230" t="s">
        <v>3447</v>
      </c>
      <c r="F1230" t="s">
        <v>3448</v>
      </c>
      <c r="G1230" t="s">
        <v>1688</v>
      </c>
      <c r="H1230" t="s">
        <v>1067</v>
      </c>
      <c r="I1230" t="s">
        <v>854</v>
      </c>
      <c r="J1230" t="s">
        <v>269</v>
      </c>
      <c r="K1230" t="s">
        <v>60</v>
      </c>
      <c r="L1230">
        <v>111.13</v>
      </c>
      <c r="M1230" s="1">
        <v>46051</v>
      </c>
      <c r="N1230" t="s">
        <v>105</v>
      </c>
      <c r="O1230">
        <v>29</v>
      </c>
      <c r="P1230">
        <v>1</v>
      </c>
      <c r="Q1230">
        <v>1</v>
      </c>
      <c r="R1230">
        <v>2026</v>
      </c>
    </row>
    <row r="1231" spans="1:18">
      <c r="A1231">
        <v>357.40000000000003</v>
      </c>
      <c r="B1231">
        <v>5</v>
      </c>
      <c r="C1231">
        <v>1230</v>
      </c>
      <c r="D1231" s="2">
        <v>0.6953407407407407</v>
      </c>
      <c r="E1231" t="s">
        <v>3460</v>
      </c>
      <c r="F1231" t="s">
        <v>3461</v>
      </c>
      <c r="G1231" t="s">
        <v>3257</v>
      </c>
      <c r="H1231" t="s">
        <v>862</v>
      </c>
      <c r="I1231" t="s">
        <v>981</v>
      </c>
      <c r="J1231" t="s">
        <v>610</v>
      </c>
      <c r="K1231" t="s">
        <v>69</v>
      </c>
      <c r="L1231">
        <v>71.48</v>
      </c>
      <c r="M1231" s="1">
        <v>46088</v>
      </c>
      <c r="N1231" t="s">
        <v>14</v>
      </c>
      <c r="O1231">
        <v>7</v>
      </c>
      <c r="P1231">
        <v>3</v>
      </c>
      <c r="Q1231">
        <v>1</v>
      </c>
      <c r="R1231">
        <v>2026</v>
      </c>
    </row>
    <row r="1232" spans="1:18">
      <c r="A1232">
        <v>340.09999999999997</v>
      </c>
      <c r="B1232">
        <v>5</v>
      </c>
      <c r="C1232">
        <v>1231</v>
      </c>
      <c r="D1232" s="2">
        <v>0.31592062500000001</v>
      </c>
      <c r="E1232" t="s">
        <v>3065</v>
      </c>
      <c r="F1232" t="s">
        <v>3066</v>
      </c>
      <c r="G1232" t="s">
        <v>1374</v>
      </c>
      <c r="H1232" t="s">
        <v>942</v>
      </c>
      <c r="I1232" t="s">
        <v>943</v>
      </c>
      <c r="J1232" t="s">
        <v>490</v>
      </c>
      <c r="K1232" t="s">
        <v>43</v>
      </c>
      <c r="L1232">
        <v>68.02</v>
      </c>
      <c r="M1232" s="1">
        <v>46191</v>
      </c>
      <c r="N1232" t="s">
        <v>105</v>
      </c>
      <c r="O1232">
        <v>18</v>
      </c>
      <c r="P1232">
        <v>6</v>
      </c>
      <c r="Q1232">
        <v>2</v>
      </c>
      <c r="R1232">
        <v>2026</v>
      </c>
    </row>
    <row r="1233" spans="1:18">
      <c r="A1233">
        <v>229.09</v>
      </c>
      <c r="B1233">
        <v>1</v>
      </c>
      <c r="C1233">
        <v>1232</v>
      </c>
      <c r="D1233" s="2">
        <v>0.64436091435185183</v>
      </c>
      <c r="E1233" t="s">
        <v>2704</v>
      </c>
      <c r="F1233" t="s">
        <v>2705</v>
      </c>
      <c r="G1233" t="s">
        <v>925</v>
      </c>
      <c r="H1233" t="s">
        <v>1092</v>
      </c>
      <c r="I1233" t="s">
        <v>763</v>
      </c>
      <c r="J1233" t="s">
        <v>622</v>
      </c>
      <c r="K1233" t="s">
        <v>37</v>
      </c>
      <c r="L1233">
        <v>229.09</v>
      </c>
      <c r="M1233" s="1">
        <v>45554</v>
      </c>
      <c r="N1233" t="s">
        <v>105</v>
      </c>
      <c r="O1233">
        <v>19</v>
      </c>
      <c r="P1233">
        <v>9</v>
      </c>
      <c r="Q1233">
        <v>3</v>
      </c>
      <c r="R1233">
        <v>2024</v>
      </c>
    </row>
    <row r="1234" spans="1:18">
      <c r="A1234">
        <v>199.66</v>
      </c>
      <c r="B1234">
        <v>2</v>
      </c>
      <c r="C1234">
        <v>1233</v>
      </c>
      <c r="D1234" s="2">
        <v>0.97063138888888889</v>
      </c>
      <c r="E1234" t="s">
        <v>2146</v>
      </c>
      <c r="F1234" t="s">
        <v>2147</v>
      </c>
      <c r="G1234" t="s">
        <v>2148</v>
      </c>
      <c r="H1234" t="s">
        <v>1525</v>
      </c>
      <c r="I1234" t="s">
        <v>763</v>
      </c>
      <c r="J1234" t="s">
        <v>467</v>
      </c>
      <c r="K1234" t="s">
        <v>19</v>
      </c>
      <c r="L1234">
        <v>99.83</v>
      </c>
      <c r="M1234" s="1">
        <v>45627</v>
      </c>
      <c r="N1234" t="s">
        <v>28</v>
      </c>
      <c r="O1234">
        <v>1</v>
      </c>
      <c r="P1234">
        <v>12</v>
      </c>
      <c r="Q1234">
        <v>4</v>
      </c>
      <c r="R1234">
        <v>2024</v>
      </c>
    </row>
    <row r="1235" spans="1:18">
      <c r="A1235">
        <v>1151.3500000000001</v>
      </c>
      <c r="B1235">
        <v>5</v>
      </c>
      <c r="C1235">
        <v>1234</v>
      </c>
      <c r="D1235" s="2">
        <v>0.72456548611111116</v>
      </c>
      <c r="E1235" t="s">
        <v>1898</v>
      </c>
      <c r="F1235" t="s">
        <v>1899</v>
      </c>
      <c r="G1235" t="s">
        <v>824</v>
      </c>
      <c r="H1235" t="s">
        <v>762</v>
      </c>
      <c r="I1235" t="s">
        <v>763</v>
      </c>
      <c r="J1235" t="s">
        <v>200</v>
      </c>
      <c r="K1235" t="s">
        <v>17</v>
      </c>
      <c r="L1235">
        <v>230.27</v>
      </c>
      <c r="M1235" s="1">
        <v>45573</v>
      </c>
      <c r="N1235" t="s">
        <v>48</v>
      </c>
      <c r="O1235">
        <v>8</v>
      </c>
      <c r="P1235">
        <v>10</v>
      </c>
      <c r="Q1235">
        <v>4</v>
      </c>
      <c r="R1235">
        <v>2024</v>
      </c>
    </row>
    <row r="1236" spans="1:18">
      <c r="A1236">
        <v>91.42</v>
      </c>
      <c r="B1236">
        <v>1</v>
      </c>
      <c r="C1236">
        <v>1235</v>
      </c>
      <c r="D1236" s="2">
        <v>0.22755622685185184</v>
      </c>
      <c r="E1236" t="s">
        <v>809</v>
      </c>
      <c r="F1236" t="s">
        <v>810</v>
      </c>
      <c r="G1236" t="s">
        <v>811</v>
      </c>
      <c r="H1236" t="s">
        <v>280</v>
      </c>
      <c r="I1236" t="s">
        <v>812</v>
      </c>
      <c r="J1236" t="s">
        <v>479</v>
      </c>
      <c r="K1236" t="s">
        <v>17</v>
      </c>
      <c r="L1236">
        <v>91.42</v>
      </c>
      <c r="M1236" s="1">
        <v>46108</v>
      </c>
      <c r="N1236" t="s">
        <v>79</v>
      </c>
      <c r="O1236">
        <v>27</v>
      </c>
      <c r="P1236">
        <v>3</v>
      </c>
      <c r="Q1236">
        <v>1</v>
      </c>
      <c r="R1236">
        <v>2026</v>
      </c>
    </row>
    <row r="1237" spans="1:18">
      <c r="A1237">
        <v>1002.4</v>
      </c>
      <c r="B1237">
        <v>5</v>
      </c>
      <c r="C1237">
        <v>1236</v>
      </c>
      <c r="D1237" s="2">
        <v>0.19041993055555556</v>
      </c>
      <c r="E1237" t="s">
        <v>3485</v>
      </c>
      <c r="F1237" t="s">
        <v>3486</v>
      </c>
      <c r="G1237" t="s">
        <v>1188</v>
      </c>
      <c r="H1237" t="s">
        <v>1415</v>
      </c>
      <c r="I1237" t="s">
        <v>812</v>
      </c>
      <c r="J1237" t="s">
        <v>2254</v>
      </c>
      <c r="K1237" t="s">
        <v>43</v>
      </c>
      <c r="L1237">
        <v>200.48</v>
      </c>
      <c r="M1237" s="1">
        <v>45974</v>
      </c>
      <c r="N1237" t="s">
        <v>105</v>
      </c>
      <c r="O1237">
        <v>13</v>
      </c>
      <c r="P1237">
        <v>11</v>
      </c>
      <c r="Q1237">
        <v>4</v>
      </c>
      <c r="R1237">
        <v>2025</v>
      </c>
    </row>
    <row r="1238" spans="1:18">
      <c r="A1238">
        <v>707.75</v>
      </c>
      <c r="B1238">
        <v>5</v>
      </c>
      <c r="C1238">
        <v>1237</v>
      </c>
      <c r="D1238" s="2">
        <v>4.6513553240740739E-2</v>
      </c>
      <c r="E1238" t="s">
        <v>2741</v>
      </c>
      <c r="F1238" t="s">
        <v>2742</v>
      </c>
      <c r="G1238" t="s">
        <v>2743</v>
      </c>
      <c r="H1238" t="s">
        <v>995</v>
      </c>
      <c r="I1238" t="s">
        <v>781</v>
      </c>
      <c r="J1238" t="s">
        <v>273</v>
      </c>
      <c r="K1238" t="s">
        <v>100</v>
      </c>
      <c r="L1238">
        <v>141.55000000000001</v>
      </c>
      <c r="M1238" s="1">
        <v>45968</v>
      </c>
      <c r="N1238" t="s">
        <v>79</v>
      </c>
      <c r="O1238">
        <v>7</v>
      </c>
      <c r="P1238">
        <v>11</v>
      </c>
      <c r="Q1238">
        <v>4</v>
      </c>
      <c r="R1238">
        <v>2025</v>
      </c>
    </row>
    <row r="1239" spans="1:18">
      <c r="A1239">
        <v>49.16</v>
      </c>
      <c r="B1239">
        <v>2</v>
      </c>
      <c r="C1239">
        <v>1238</v>
      </c>
      <c r="D1239" s="2">
        <v>0.23494358796296297</v>
      </c>
      <c r="E1239" t="s">
        <v>1546</v>
      </c>
      <c r="F1239" t="s">
        <v>1547</v>
      </c>
      <c r="G1239" t="s">
        <v>952</v>
      </c>
      <c r="H1239" t="s">
        <v>380</v>
      </c>
      <c r="I1239" t="s">
        <v>776</v>
      </c>
      <c r="J1239" t="s">
        <v>370</v>
      </c>
      <c r="K1239" t="s">
        <v>43</v>
      </c>
      <c r="L1239">
        <v>24.58</v>
      </c>
      <c r="M1239" s="1">
        <v>45951</v>
      </c>
      <c r="N1239" t="s">
        <v>48</v>
      </c>
      <c r="O1239">
        <v>21</v>
      </c>
      <c r="P1239">
        <v>10</v>
      </c>
      <c r="Q1239">
        <v>4</v>
      </c>
      <c r="R1239">
        <v>2025</v>
      </c>
    </row>
    <row r="1240" spans="1:18">
      <c r="A1240">
        <v>425.43</v>
      </c>
      <c r="B1240">
        <v>3</v>
      </c>
      <c r="C1240">
        <v>1239</v>
      </c>
      <c r="D1240" s="2">
        <v>0.71540527777777774</v>
      </c>
      <c r="E1240" t="s">
        <v>3074</v>
      </c>
      <c r="F1240" t="s">
        <v>3075</v>
      </c>
      <c r="G1240" t="s">
        <v>2272</v>
      </c>
      <c r="H1240" t="s">
        <v>414</v>
      </c>
      <c r="I1240" t="s">
        <v>795</v>
      </c>
      <c r="J1240" t="s">
        <v>391</v>
      </c>
      <c r="K1240" t="s">
        <v>60</v>
      </c>
      <c r="L1240">
        <v>141.81</v>
      </c>
      <c r="M1240" s="1">
        <v>45676</v>
      </c>
      <c r="N1240" t="s">
        <v>28</v>
      </c>
      <c r="O1240">
        <v>19</v>
      </c>
      <c r="P1240">
        <v>1</v>
      </c>
      <c r="Q1240">
        <v>1</v>
      </c>
      <c r="R1240">
        <v>2025</v>
      </c>
    </row>
    <row r="1241" spans="1:18">
      <c r="A1241">
        <v>180.84</v>
      </c>
      <c r="B1241">
        <v>4</v>
      </c>
      <c r="C1241">
        <v>1240</v>
      </c>
      <c r="D1241" s="2">
        <v>0.15644543981481482</v>
      </c>
      <c r="E1241" t="s">
        <v>1951</v>
      </c>
      <c r="F1241" t="s">
        <v>1952</v>
      </c>
      <c r="G1241" t="s">
        <v>1953</v>
      </c>
      <c r="H1241" t="s">
        <v>1882</v>
      </c>
      <c r="I1241" t="s">
        <v>795</v>
      </c>
      <c r="J1241" t="s">
        <v>542</v>
      </c>
      <c r="K1241" t="s">
        <v>46</v>
      </c>
      <c r="L1241">
        <v>45.21</v>
      </c>
      <c r="M1241" s="1">
        <v>46138</v>
      </c>
      <c r="N1241" t="s">
        <v>28</v>
      </c>
      <c r="O1241">
        <v>26</v>
      </c>
      <c r="P1241">
        <v>4</v>
      </c>
      <c r="Q1241">
        <v>2</v>
      </c>
      <c r="R1241">
        <v>2026</v>
      </c>
    </row>
    <row r="1242" spans="1:18">
      <c r="A1242">
        <v>205.45</v>
      </c>
      <c r="B1242">
        <v>1</v>
      </c>
      <c r="C1242">
        <v>1241</v>
      </c>
      <c r="D1242" s="2">
        <v>0.84759956018518523</v>
      </c>
      <c r="E1242" t="s">
        <v>3003</v>
      </c>
      <c r="F1242" t="s">
        <v>3004</v>
      </c>
      <c r="G1242" t="s">
        <v>2927</v>
      </c>
      <c r="H1242" t="s">
        <v>1384</v>
      </c>
      <c r="I1242" t="s">
        <v>908</v>
      </c>
      <c r="J1242" t="s">
        <v>107</v>
      </c>
      <c r="K1242" t="s">
        <v>17</v>
      </c>
      <c r="L1242">
        <v>205.45</v>
      </c>
      <c r="M1242" s="1">
        <v>46247</v>
      </c>
      <c r="N1242" t="s">
        <v>105</v>
      </c>
      <c r="O1242">
        <v>13</v>
      </c>
      <c r="P1242">
        <v>8</v>
      </c>
      <c r="Q1242">
        <v>3</v>
      </c>
      <c r="R1242">
        <v>2026</v>
      </c>
    </row>
    <row r="1243" spans="1:18">
      <c r="A1243">
        <v>168.52</v>
      </c>
      <c r="B1243">
        <v>1</v>
      </c>
      <c r="C1243">
        <v>1242</v>
      </c>
      <c r="D1243" s="2">
        <v>0.12822997685185186</v>
      </c>
      <c r="E1243" t="s">
        <v>1425</v>
      </c>
      <c r="F1243" t="s">
        <v>1426</v>
      </c>
      <c r="G1243" t="s">
        <v>1358</v>
      </c>
      <c r="H1243" t="s">
        <v>74</v>
      </c>
      <c r="I1243" t="s">
        <v>943</v>
      </c>
      <c r="J1243" t="s">
        <v>311</v>
      </c>
      <c r="K1243" t="s">
        <v>46</v>
      </c>
      <c r="L1243">
        <v>168.52</v>
      </c>
      <c r="M1243" s="1">
        <v>45723</v>
      </c>
      <c r="N1243" t="s">
        <v>79</v>
      </c>
      <c r="O1243">
        <v>7</v>
      </c>
      <c r="P1243">
        <v>3</v>
      </c>
      <c r="Q1243">
        <v>1</v>
      </c>
      <c r="R1243">
        <v>2025</v>
      </c>
    </row>
    <row r="1244" spans="1:18">
      <c r="A1244">
        <v>331.14</v>
      </c>
      <c r="B1244">
        <v>2</v>
      </c>
      <c r="C1244">
        <v>1243</v>
      </c>
      <c r="D1244" s="2">
        <v>0.57299796296296301</v>
      </c>
      <c r="E1244" t="s">
        <v>3030</v>
      </c>
      <c r="F1244" t="s">
        <v>3031</v>
      </c>
      <c r="G1244" t="s">
        <v>2341</v>
      </c>
      <c r="H1244" t="s">
        <v>1092</v>
      </c>
      <c r="I1244" t="s">
        <v>763</v>
      </c>
      <c r="J1244" t="s">
        <v>355</v>
      </c>
      <c r="K1244" t="s">
        <v>39</v>
      </c>
      <c r="L1244">
        <v>165.57</v>
      </c>
      <c r="M1244" s="1">
        <v>45908</v>
      </c>
      <c r="N1244" t="s">
        <v>93</v>
      </c>
      <c r="O1244">
        <v>8</v>
      </c>
      <c r="P1244">
        <v>9</v>
      </c>
      <c r="Q1244">
        <v>3</v>
      </c>
      <c r="R1244">
        <v>2025</v>
      </c>
    </row>
    <row r="1245" spans="1:18">
      <c r="A1245">
        <v>386.84</v>
      </c>
      <c r="B1245">
        <v>2</v>
      </c>
      <c r="C1245">
        <v>1244</v>
      </c>
      <c r="D1245" s="2">
        <v>0.79746241898148151</v>
      </c>
      <c r="E1245" t="s">
        <v>3021</v>
      </c>
      <c r="F1245" t="s">
        <v>3022</v>
      </c>
      <c r="G1245" t="s">
        <v>2078</v>
      </c>
      <c r="H1245" t="s">
        <v>915</v>
      </c>
      <c r="I1245" t="s">
        <v>908</v>
      </c>
      <c r="J1245" t="s">
        <v>294</v>
      </c>
      <c r="K1245" t="s">
        <v>51</v>
      </c>
      <c r="L1245">
        <v>193.42</v>
      </c>
      <c r="M1245" s="1">
        <v>46199</v>
      </c>
      <c r="N1245" t="s">
        <v>79</v>
      </c>
      <c r="O1245">
        <v>26</v>
      </c>
      <c r="P1245">
        <v>6</v>
      </c>
      <c r="Q1245">
        <v>2</v>
      </c>
      <c r="R1245">
        <v>2026</v>
      </c>
    </row>
    <row r="1246" spans="1:18">
      <c r="A1246">
        <v>425.43</v>
      </c>
      <c r="B1246">
        <v>3</v>
      </c>
      <c r="C1246">
        <v>1245</v>
      </c>
      <c r="D1246" s="2">
        <v>0.66997800925925921</v>
      </c>
      <c r="E1246" t="s">
        <v>3337</v>
      </c>
      <c r="F1246" t="s">
        <v>3338</v>
      </c>
      <c r="G1246" t="s">
        <v>1524</v>
      </c>
      <c r="H1246" t="s">
        <v>1172</v>
      </c>
      <c r="I1246" t="s">
        <v>830</v>
      </c>
      <c r="J1246" t="s">
        <v>391</v>
      </c>
      <c r="K1246" t="s">
        <v>60</v>
      </c>
      <c r="L1246">
        <v>141.81</v>
      </c>
      <c r="M1246" s="1">
        <v>46228</v>
      </c>
      <c r="N1246" t="s">
        <v>14</v>
      </c>
      <c r="O1246">
        <v>25</v>
      </c>
      <c r="P1246">
        <v>7</v>
      </c>
      <c r="Q1246">
        <v>3</v>
      </c>
      <c r="R1246">
        <v>2026</v>
      </c>
    </row>
    <row r="1247" spans="1:18">
      <c r="A1247">
        <v>809.08</v>
      </c>
      <c r="B1247">
        <v>4</v>
      </c>
      <c r="C1247">
        <v>1246</v>
      </c>
      <c r="D1247" s="2">
        <v>0.17549777777777778</v>
      </c>
      <c r="E1247" t="s">
        <v>2096</v>
      </c>
      <c r="F1247" t="s">
        <v>2097</v>
      </c>
      <c r="G1247" t="s">
        <v>2098</v>
      </c>
      <c r="H1247" t="s">
        <v>464</v>
      </c>
      <c r="I1247" t="s">
        <v>896</v>
      </c>
      <c r="J1247" t="s">
        <v>541</v>
      </c>
      <c r="K1247" t="s">
        <v>43</v>
      </c>
      <c r="L1247">
        <v>202.27</v>
      </c>
      <c r="M1247" s="1">
        <v>45704</v>
      </c>
      <c r="N1247" t="s">
        <v>28</v>
      </c>
      <c r="O1247">
        <v>16</v>
      </c>
      <c r="P1247">
        <v>2</v>
      </c>
      <c r="Q1247">
        <v>1</v>
      </c>
      <c r="R1247">
        <v>2025</v>
      </c>
    </row>
    <row r="1248" spans="1:18">
      <c r="A1248">
        <v>547.91999999999996</v>
      </c>
      <c r="B1248">
        <v>3</v>
      </c>
      <c r="C1248">
        <v>1247</v>
      </c>
      <c r="D1248" s="2">
        <v>0.15622438657407409</v>
      </c>
      <c r="E1248" t="s">
        <v>2744</v>
      </c>
      <c r="F1248" t="s">
        <v>2745</v>
      </c>
      <c r="G1248" t="s">
        <v>1025</v>
      </c>
      <c r="H1248" t="s">
        <v>380</v>
      </c>
      <c r="I1248" t="s">
        <v>896</v>
      </c>
      <c r="J1248" t="s">
        <v>505</v>
      </c>
      <c r="K1248" t="s">
        <v>100</v>
      </c>
      <c r="L1248">
        <v>182.64</v>
      </c>
      <c r="M1248" s="1">
        <v>45588</v>
      </c>
      <c r="N1248" t="s">
        <v>34</v>
      </c>
      <c r="O1248">
        <v>23</v>
      </c>
      <c r="P1248">
        <v>10</v>
      </c>
      <c r="Q1248">
        <v>4</v>
      </c>
      <c r="R1248">
        <v>2024</v>
      </c>
    </row>
    <row r="1249" spans="1:18">
      <c r="A1249">
        <v>39.450000000000003</v>
      </c>
      <c r="B1249">
        <v>1</v>
      </c>
      <c r="C1249">
        <v>1248</v>
      </c>
      <c r="D1249" s="2">
        <v>0.34843494212962961</v>
      </c>
      <c r="E1249" t="s">
        <v>1021</v>
      </c>
      <c r="F1249" t="s">
        <v>1022</v>
      </c>
      <c r="G1249" t="s">
        <v>984</v>
      </c>
      <c r="H1249" t="s">
        <v>929</v>
      </c>
      <c r="I1249" t="s">
        <v>830</v>
      </c>
      <c r="J1249" t="s">
        <v>668</v>
      </c>
      <c r="K1249" t="s">
        <v>46</v>
      </c>
      <c r="L1249">
        <v>39.450000000000003</v>
      </c>
      <c r="M1249" s="1">
        <v>46181</v>
      </c>
      <c r="N1249" t="s">
        <v>93</v>
      </c>
      <c r="O1249">
        <v>8</v>
      </c>
      <c r="P1249">
        <v>6</v>
      </c>
      <c r="Q1249">
        <v>2</v>
      </c>
      <c r="R1249">
        <v>2026</v>
      </c>
    </row>
    <row r="1250" spans="1:18">
      <c r="A1250">
        <v>762.44</v>
      </c>
      <c r="B1250">
        <v>4</v>
      </c>
      <c r="C1250">
        <v>1249</v>
      </c>
      <c r="D1250" s="2">
        <v>0.41663888888888889</v>
      </c>
      <c r="E1250" t="s">
        <v>3167</v>
      </c>
      <c r="F1250" t="s">
        <v>3168</v>
      </c>
      <c r="G1250" t="s">
        <v>1117</v>
      </c>
      <c r="H1250" t="s">
        <v>1920</v>
      </c>
      <c r="I1250" t="s">
        <v>807</v>
      </c>
      <c r="J1250" t="s">
        <v>156</v>
      </c>
      <c r="K1250" t="s">
        <v>57</v>
      </c>
      <c r="L1250">
        <v>190.61</v>
      </c>
      <c r="M1250" s="1">
        <v>45928</v>
      </c>
      <c r="N1250" t="s">
        <v>28</v>
      </c>
      <c r="O1250">
        <v>28</v>
      </c>
      <c r="P1250">
        <v>9</v>
      </c>
      <c r="Q1250">
        <v>3</v>
      </c>
      <c r="R1250">
        <v>2025</v>
      </c>
    </row>
    <row r="1251" spans="1:18">
      <c r="A1251">
        <v>337.54</v>
      </c>
      <c r="B1251">
        <v>2</v>
      </c>
      <c r="C1251">
        <v>1250</v>
      </c>
      <c r="D1251" s="2">
        <v>0.61379253472222217</v>
      </c>
      <c r="E1251" t="s">
        <v>2602</v>
      </c>
      <c r="F1251" t="s">
        <v>2603</v>
      </c>
      <c r="G1251" t="s">
        <v>932</v>
      </c>
      <c r="H1251" t="s">
        <v>1199</v>
      </c>
      <c r="I1251" t="s">
        <v>839</v>
      </c>
      <c r="J1251" t="s">
        <v>287</v>
      </c>
      <c r="K1251" t="s">
        <v>46</v>
      </c>
      <c r="L1251">
        <v>168.77</v>
      </c>
      <c r="M1251" s="1">
        <v>46076</v>
      </c>
      <c r="N1251" t="s">
        <v>93</v>
      </c>
      <c r="O1251">
        <v>23</v>
      </c>
      <c r="P1251">
        <v>2</v>
      </c>
      <c r="Q1251">
        <v>1</v>
      </c>
      <c r="R1251">
        <v>2026</v>
      </c>
    </row>
    <row r="1252" spans="1:18">
      <c r="A1252">
        <v>267.06</v>
      </c>
      <c r="B1252">
        <v>3</v>
      </c>
      <c r="C1252">
        <v>1251</v>
      </c>
      <c r="D1252" s="2">
        <v>0.74890120370370372</v>
      </c>
      <c r="E1252" t="s">
        <v>2941</v>
      </c>
      <c r="F1252" t="s">
        <v>2942</v>
      </c>
      <c r="G1252" t="s">
        <v>2566</v>
      </c>
      <c r="H1252" t="s">
        <v>1415</v>
      </c>
      <c r="I1252" t="s">
        <v>812</v>
      </c>
      <c r="J1252" t="s">
        <v>399</v>
      </c>
      <c r="K1252" t="s">
        <v>55</v>
      </c>
      <c r="L1252">
        <v>89.02</v>
      </c>
      <c r="M1252" s="1">
        <v>45966</v>
      </c>
      <c r="N1252" t="s">
        <v>34</v>
      </c>
      <c r="O1252">
        <v>5</v>
      </c>
      <c r="P1252">
        <v>11</v>
      </c>
      <c r="Q1252">
        <v>4</v>
      </c>
      <c r="R1252">
        <v>2025</v>
      </c>
    </row>
    <row r="1253" spans="1:18">
      <c r="A1253">
        <v>162.46</v>
      </c>
      <c r="B1253">
        <v>1</v>
      </c>
      <c r="C1253">
        <v>1252</v>
      </c>
      <c r="D1253" s="2">
        <v>0.31030885416666665</v>
      </c>
      <c r="E1253" t="s">
        <v>2558</v>
      </c>
      <c r="F1253" t="s">
        <v>2559</v>
      </c>
      <c r="G1253" t="s">
        <v>2560</v>
      </c>
      <c r="H1253" t="s">
        <v>1302</v>
      </c>
      <c r="I1253" t="s">
        <v>786</v>
      </c>
      <c r="J1253" t="s">
        <v>218</v>
      </c>
      <c r="K1253" t="s">
        <v>97</v>
      </c>
      <c r="L1253">
        <v>162.46</v>
      </c>
      <c r="M1253" s="1">
        <v>46027</v>
      </c>
      <c r="N1253" t="s">
        <v>93</v>
      </c>
      <c r="O1253">
        <v>5</v>
      </c>
      <c r="P1253">
        <v>1</v>
      </c>
      <c r="Q1253">
        <v>1</v>
      </c>
      <c r="R1253">
        <v>2026</v>
      </c>
    </row>
    <row r="1254" spans="1:18">
      <c r="A1254">
        <v>652.55999999999995</v>
      </c>
      <c r="B1254">
        <v>4</v>
      </c>
      <c r="C1254">
        <v>1253</v>
      </c>
      <c r="D1254" s="2">
        <v>0.47629937500000002</v>
      </c>
      <c r="E1254" t="s">
        <v>3331</v>
      </c>
      <c r="F1254" t="s">
        <v>3332</v>
      </c>
      <c r="G1254" t="s">
        <v>2726</v>
      </c>
      <c r="H1254" t="s">
        <v>1342</v>
      </c>
      <c r="I1254" t="s">
        <v>776</v>
      </c>
      <c r="J1254" t="s">
        <v>183</v>
      </c>
      <c r="K1254" t="s">
        <v>19</v>
      </c>
      <c r="L1254">
        <v>163.13999999999999</v>
      </c>
      <c r="M1254" s="1">
        <v>46042</v>
      </c>
      <c r="N1254" t="s">
        <v>48</v>
      </c>
      <c r="O1254">
        <v>20</v>
      </c>
      <c r="P1254">
        <v>1</v>
      </c>
      <c r="Q1254">
        <v>1</v>
      </c>
      <c r="R1254">
        <v>2026</v>
      </c>
    </row>
    <row r="1255" spans="1:18">
      <c r="A1255">
        <v>240.58</v>
      </c>
      <c r="B1255">
        <v>1</v>
      </c>
      <c r="C1255">
        <v>1254</v>
      </c>
      <c r="D1255" s="2">
        <v>0.15822473379629629</v>
      </c>
      <c r="E1255" t="s">
        <v>1243</v>
      </c>
      <c r="F1255" t="s">
        <v>1244</v>
      </c>
      <c r="G1255" t="s">
        <v>1245</v>
      </c>
      <c r="H1255" t="s">
        <v>1246</v>
      </c>
      <c r="I1255" t="s">
        <v>1247</v>
      </c>
      <c r="J1255" t="s">
        <v>475</v>
      </c>
      <c r="K1255" t="s">
        <v>27</v>
      </c>
      <c r="L1255">
        <v>240.58</v>
      </c>
      <c r="M1255" s="1">
        <v>45760</v>
      </c>
      <c r="N1255" t="s">
        <v>28</v>
      </c>
      <c r="O1255">
        <v>13</v>
      </c>
      <c r="P1255">
        <v>4</v>
      </c>
      <c r="Q1255">
        <v>2</v>
      </c>
      <c r="R1255">
        <v>2025</v>
      </c>
    </row>
    <row r="1256" spans="1:18">
      <c r="A1256">
        <v>109.76</v>
      </c>
      <c r="B1256">
        <v>4</v>
      </c>
      <c r="C1256">
        <v>1255</v>
      </c>
      <c r="D1256" s="2">
        <v>0.10276065972222222</v>
      </c>
      <c r="E1256" t="s">
        <v>3023</v>
      </c>
      <c r="F1256" t="s">
        <v>3024</v>
      </c>
      <c r="G1256" t="s">
        <v>2365</v>
      </c>
      <c r="H1256" t="s">
        <v>106</v>
      </c>
      <c r="I1256" t="s">
        <v>790</v>
      </c>
      <c r="J1256" t="s">
        <v>722</v>
      </c>
      <c r="K1256" t="s">
        <v>37</v>
      </c>
      <c r="L1256">
        <v>27.44</v>
      </c>
      <c r="M1256" s="1">
        <v>45609</v>
      </c>
      <c r="N1256" t="s">
        <v>34</v>
      </c>
      <c r="O1256">
        <v>13</v>
      </c>
      <c r="P1256">
        <v>11</v>
      </c>
      <c r="Q1256">
        <v>4</v>
      </c>
      <c r="R1256">
        <v>2024</v>
      </c>
    </row>
    <row r="1257" spans="1:18">
      <c r="A1257">
        <v>787.76</v>
      </c>
      <c r="B1257">
        <v>4</v>
      </c>
      <c r="C1257">
        <v>1256</v>
      </c>
      <c r="D1257" s="2">
        <v>0.32153086805555553</v>
      </c>
      <c r="E1257" t="s">
        <v>1942</v>
      </c>
      <c r="F1257" t="s">
        <v>1943</v>
      </c>
      <c r="G1257" t="s">
        <v>1195</v>
      </c>
      <c r="H1257" t="s">
        <v>1944</v>
      </c>
      <c r="I1257" t="s">
        <v>1003</v>
      </c>
      <c r="J1257" t="s">
        <v>695</v>
      </c>
      <c r="K1257" t="s">
        <v>19</v>
      </c>
      <c r="L1257">
        <v>196.94</v>
      </c>
      <c r="M1257" s="1">
        <v>45717</v>
      </c>
      <c r="N1257" t="s">
        <v>14</v>
      </c>
      <c r="O1257">
        <v>1</v>
      </c>
      <c r="P1257">
        <v>3</v>
      </c>
      <c r="Q1257">
        <v>1</v>
      </c>
      <c r="R1257">
        <v>2025</v>
      </c>
    </row>
    <row r="1258" spans="1:18">
      <c r="A1258">
        <v>449.34000000000003</v>
      </c>
      <c r="B1258">
        <v>3</v>
      </c>
      <c r="C1258">
        <v>1257</v>
      </c>
      <c r="D1258" s="2">
        <v>0.11539469907407407</v>
      </c>
      <c r="E1258" t="s">
        <v>2990</v>
      </c>
      <c r="F1258" t="s">
        <v>2991</v>
      </c>
      <c r="G1258" t="s">
        <v>2992</v>
      </c>
      <c r="H1258" t="s">
        <v>136</v>
      </c>
      <c r="I1258" t="s">
        <v>954</v>
      </c>
      <c r="J1258" t="s">
        <v>427</v>
      </c>
      <c r="K1258" t="s">
        <v>21</v>
      </c>
      <c r="L1258">
        <v>149.78</v>
      </c>
      <c r="M1258" s="1">
        <v>45853</v>
      </c>
      <c r="N1258" t="s">
        <v>48</v>
      </c>
      <c r="O1258">
        <v>15</v>
      </c>
      <c r="P1258">
        <v>7</v>
      </c>
      <c r="Q1258">
        <v>3</v>
      </c>
      <c r="R1258">
        <v>2025</v>
      </c>
    </row>
    <row r="1259" spans="1:18">
      <c r="A1259">
        <v>749.36</v>
      </c>
      <c r="B1259">
        <v>4</v>
      </c>
      <c r="C1259">
        <v>1258</v>
      </c>
      <c r="D1259" s="2">
        <v>0.59759070601851849</v>
      </c>
      <c r="E1259" t="s">
        <v>3500</v>
      </c>
      <c r="F1259" t="s">
        <v>3501</v>
      </c>
      <c r="G1259" t="s">
        <v>2098</v>
      </c>
      <c r="H1259" t="s">
        <v>862</v>
      </c>
      <c r="I1259" t="s">
        <v>758</v>
      </c>
      <c r="J1259" t="s">
        <v>241</v>
      </c>
      <c r="K1259" t="s">
        <v>31</v>
      </c>
      <c r="L1259">
        <v>187.34</v>
      </c>
      <c r="M1259" s="1">
        <v>45675</v>
      </c>
      <c r="N1259" t="s">
        <v>14</v>
      </c>
      <c r="O1259">
        <v>18</v>
      </c>
      <c r="P1259">
        <v>1</v>
      </c>
      <c r="Q1259">
        <v>1</v>
      </c>
      <c r="R1259">
        <v>2025</v>
      </c>
    </row>
    <row r="1260" spans="1:18">
      <c r="A1260">
        <v>105.39000000000001</v>
      </c>
      <c r="B1260">
        <v>3</v>
      </c>
      <c r="C1260">
        <v>1259</v>
      </c>
      <c r="D1260" s="2">
        <v>0.9074454282407407</v>
      </c>
      <c r="E1260" t="s">
        <v>866</v>
      </c>
      <c r="F1260" t="s">
        <v>867</v>
      </c>
      <c r="G1260" t="s">
        <v>868</v>
      </c>
      <c r="H1260" t="s">
        <v>869</v>
      </c>
      <c r="I1260" t="s">
        <v>812</v>
      </c>
      <c r="J1260" t="s">
        <v>559</v>
      </c>
      <c r="K1260" t="s">
        <v>97</v>
      </c>
      <c r="L1260">
        <v>35.130000000000003</v>
      </c>
      <c r="M1260" s="1">
        <v>45931</v>
      </c>
      <c r="N1260" t="s">
        <v>34</v>
      </c>
      <c r="O1260">
        <v>1</v>
      </c>
      <c r="P1260">
        <v>10</v>
      </c>
      <c r="Q1260">
        <v>4</v>
      </c>
      <c r="R1260">
        <v>2025</v>
      </c>
    </row>
    <row r="1261" spans="1:18">
      <c r="A1261">
        <v>674.08</v>
      </c>
      <c r="B1261">
        <v>4</v>
      </c>
      <c r="C1261">
        <v>1260</v>
      </c>
      <c r="D1261" s="2">
        <v>0.61644915509259257</v>
      </c>
      <c r="E1261" t="s">
        <v>2194</v>
      </c>
      <c r="F1261" t="s">
        <v>2195</v>
      </c>
      <c r="G1261" t="s">
        <v>914</v>
      </c>
      <c r="H1261" t="s">
        <v>414</v>
      </c>
      <c r="I1261" t="s">
        <v>795</v>
      </c>
      <c r="J1261" t="s">
        <v>311</v>
      </c>
      <c r="K1261" t="s">
        <v>46</v>
      </c>
      <c r="L1261">
        <v>168.52</v>
      </c>
      <c r="M1261" s="1">
        <v>45975</v>
      </c>
      <c r="N1261" t="s">
        <v>79</v>
      </c>
      <c r="O1261">
        <v>14</v>
      </c>
      <c r="P1261">
        <v>11</v>
      </c>
      <c r="Q1261">
        <v>4</v>
      </c>
      <c r="R1261">
        <v>2025</v>
      </c>
    </row>
    <row r="1262" spans="1:18">
      <c r="A1262">
        <v>694.92</v>
      </c>
      <c r="B1262">
        <v>3</v>
      </c>
      <c r="C1262">
        <v>1261</v>
      </c>
      <c r="D1262" s="2">
        <v>0.87356820601851848</v>
      </c>
      <c r="E1262" t="s">
        <v>2836</v>
      </c>
      <c r="F1262" t="s">
        <v>2837</v>
      </c>
      <c r="G1262" t="s">
        <v>1829</v>
      </c>
      <c r="H1262" t="s">
        <v>1156</v>
      </c>
      <c r="I1262" t="s">
        <v>821</v>
      </c>
      <c r="J1262" t="s">
        <v>658</v>
      </c>
      <c r="K1262" t="s">
        <v>69</v>
      </c>
      <c r="L1262">
        <v>231.64</v>
      </c>
      <c r="M1262" s="1">
        <v>46090</v>
      </c>
      <c r="N1262" t="s">
        <v>93</v>
      </c>
      <c r="O1262">
        <v>9</v>
      </c>
      <c r="P1262">
        <v>3</v>
      </c>
      <c r="Q1262">
        <v>1</v>
      </c>
      <c r="R1262">
        <v>2026</v>
      </c>
    </row>
    <row r="1263" spans="1:18">
      <c r="A1263">
        <v>324.32</v>
      </c>
      <c r="B1263">
        <v>2</v>
      </c>
      <c r="C1263">
        <v>1262</v>
      </c>
      <c r="D1263" s="2">
        <v>0.29008255787037035</v>
      </c>
      <c r="E1263" t="s">
        <v>1730</v>
      </c>
      <c r="F1263" t="s">
        <v>1731</v>
      </c>
      <c r="G1263" t="s">
        <v>1143</v>
      </c>
      <c r="H1263" t="s">
        <v>1327</v>
      </c>
      <c r="I1263" t="s">
        <v>795</v>
      </c>
      <c r="J1263" t="s">
        <v>651</v>
      </c>
      <c r="K1263" t="s">
        <v>122</v>
      </c>
      <c r="L1263">
        <v>162.16</v>
      </c>
      <c r="M1263" s="1">
        <v>45567</v>
      </c>
      <c r="N1263" t="s">
        <v>34</v>
      </c>
      <c r="O1263">
        <v>2</v>
      </c>
      <c r="P1263">
        <v>10</v>
      </c>
      <c r="Q1263">
        <v>4</v>
      </c>
      <c r="R1263">
        <v>2024</v>
      </c>
    </row>
    <row r="1264" spans="1:18">
      <c r="A1264">
        <v>459.7</v>
      </c>
      <c r="B1264">
        <v>2</v>
      </c>
      <c r="C1264">
        <v>1263</v>
      </c>
      <c r="D1264" s="2">
        <v>0.56247688657407402</v>
      </c>
      <c r="E1264" t="s">
        <v>1346</v>
      </c>
      <c r="F1264" t="s">
        <v>1347</v>
      </c>
      <c r="G1264" t="s">
        <v>1348</v>
      </c>
      <c r="H1264" t="s">
        <v>548</v>
      </c>
      <c r="I1264" t="s">
        <v>790</v>
      </c>
      <c r="J1264" t="s">
        <v>63</v>
      </c>
      <c r="K1264" t="s">
        <v>25</v>
      </c>
      <c r="L1264">
        <v>229.85</v>
      </c>
      <c r="M1264" s="1">
        <v>46051</v>
      </c>
      <c r="N1264" t="s">
        <v>105</v>
      </c>
      <c r="O1264">
        <v>29</v>
      </c>
      <c r="P1264">
        <v>1</v>
      </c>
      <c r="Q1264">
        <v>1</v>
      </c>
      <c r="R1264">
        <v>2026</v>
      </c>
    </row>
    <row r="1265" spans="1:18">
      <c r="A1265">
        <v>460.54</v>
      </c>
      <c r="B1265">
        <v>2</v>
      </c>
      <c r="C1265">
        <v>1264</v>
      </c>
      <c r="D1265" s="2">
        <v>0.21823967592592591</v>
      </c>
      <c r="E1265" t="s">
        <v>2104</v>
      </c>
      <c r="F1265" t="s">
        <v>2105</v>
      </c>
      <c r="G1265" t="s">
        <v>991</v>
      </c>
      <c r="H1265" t="s">
        <v>29</v>
      </c>
      <c r="I1265" t="s">
        <v>821</v>
      </c>
      <c r="J1265" t="s">
        <v>200</v>
      </c>
      <c r="K1265" t="s">
        <v>17</v>
      </c>
      <c r="L1265">
        <v>230.27</v>
      </c>
      <c r="M1265" s="1">
        <v>46121</v>
      </c>
      <c r="N1265" t="s">
        <v>105</v>
      </c>
      <c r="O1265">
        <v>9</v>
      </c>
      <c r="P1265">
        <v>4</v>
      </c>
      <c r="Q1265">
        <v>2</v>
      </c>
      <c r="R1265">
        <v>2026</v>
      </c>
    </row>
    <row r="1266" spans="1:18">
      <c r="A1266">
        <v>112.4</v>
      </c>
      <c r="B1266">
        <v>5</v>
      </c>
      <c r="C1266">
        <v>1265</v>
      </c>
      <c r="D1266" s="2">
        <v>0.35545025462962965</v>
      </c>
      <c r="E1266" t="s">
        <v>2402</v>
      </c>
      <c r="F1266" t="s">
        <v>2403</v>
      </c>
      <c r="G1266" t="s">
        <v>1263</v>
      </c>
      <c r="H1266" t="s">
        <v>929</v>
      </c>
      <c r="I1266" t="s">
        <v>830</v>
      </c>
      <c r="J1266" t="s">
        <v>41</v>
      </c>
      <c r="K1266" t="s">
        <v>39</v>
      </c>
      <c r="L1266">
        <v>22.48</v>
      </c>
      <c r="M1266" s="1">
        <v>46210</v>
      </c>
      <c r="N1266" t="s">
        <v>48</v>
      </c>
      <c r="O1266">
        <v>7</v>
      </c>
      <c r="P1266">
        <v>7</v>
      </c>
      <c r="Q1266">
        <v>3</v>
      </c>
      <c r="R1266">
        <v>2026</v>
      </c>
    </row>
    <row r="1267" spans="1:18">
      <c r="A1267">
        <v>412.40999999999997</v>
      </c>
      <c r="B1267">
        <v>3</v>
      </c>
      <c r="C1267">
        <v>1266</v>
      </c>
      <c r="D1267" s="2">
        <v>0.61443605324074069</v>
      </c>
      <c r="E1267" t="s">
        <v>962</v>
      </c>
      <c r="F1267" t="s">
        <v>963</v>
      </c>
      <c r="G1267" t="s">
        <v>964</v>
      </c>
      <c r="H1267" t="s">
        <v>965</v>
      </c>
      <c r="I1267" t="s">
        <v>966</v>
      </c>
      <c r="J1267" t="s">
        <v>379</v>
      </c>
      <c r="K1267" t="s">
        <v>69</v>
      </c>
      <c r="L1267">
        <v>137.47</v>
      </c>
      <c r="M1267" s="1">
        <v>46104</v>
      </c>
      <c r="N1267" t="s">
        <v>93</v>
      </c>
      <c r="O1267">
        <v>23</v>
      </c>
      <c r="P1267">
        <v>3</v>
      </c>
      <c r="Q1267">
        <v>1</v>
      </c>
      <c r="R1267">
        <v>2026</v>
      </c>
    </row>
    <row r="1268" spans="1:18">
      <c r="A1268">
        <v>945.15</v>
      </c>
      <c r="B1268">
        <v>5</v>
      </c>
      <c r="C1268">
        <v>1267</v>
      </c>
      <c r="D1268" s="2">
        <v>0.68341961805555551</v>
      </c>
      <c r="E1268" t="s">
        <v>1834</v>
      </c>
      <c r="F1268" t="s">
        <v>1835</v>
      </c>
      <c r="G1268" t="s">
        <v>946</v>
      </c>
      <c r="H1268" t="s">
        <v>1525</v>
      </c>
      <c r="I1268" t="s">
        <v>763</v>
      </c>
      <c r="J1268" t="s">
        <v>654</v>
      </c>
      <c r="K1268" t="s">
        <v>60</v>
      </c>
      <c r="L1268">
        <v>189.03</v>
      </c>
      <c r="M1268" s="1">
        <v>46090</v>
      </c>
      <c r="N1268" t="s">
        <v>93</v>
      </c>
      <c r="O1268">
        <v>9</v>
      </c>
      <c r="P1268">
        <v>3</v>
      </c>
      <c r="Q1268">
        <v>1</v>
      </c>
      <c r="R1268">
        <v>2026</v>
      </c>
    </row>
    <row r="1269" spans="1:18">
      <c r="A1269">
        <v>50.48</v>
      </c>
      <c r="B1269">
        <v>4</v>
      </c>
      <c r="C1269">
        <v>1268</v>
      </c>
      <c r="D1269" s="2">
        <v>0.28312644675925924</v>
      </c>
      <c r="E1269" t="s">
        <v>2727</v>
      </c>
      <c r="F1269" t="s">
        <v>2728</v>
      </c>
      <c r="G1269" t="s">
        <v>1619</v>
      </c>
      <c r="H1269" t="s">
        <v>816</v>
      </c>
      <c r="I1269" t="s">
        <v>817</v>
      </c>
      <c r="J1269" t="s">
        <v>256</v>
      </c>
      <c r="K1269" t="s">
        <v>31</v>
      </c>
      <c r="L1269">
        <v>12.62</v>
      </c>
      <c r="M1269" s="1">
        <v>45931</v>
      </c>
      <c r="N1269" t="s">
        <v>34</v>
      </c>
      <c r="O1269">
        <v>1</v>
      </c>
      <c r="P1269">
        <v>10</v>
      </c>
      <c r="Q1269">
        <v>4</v>
      </c>
      <c r="R1269">
        <v>2025</v>
      </c>
    </row>
    <row r="1270" spans="1:18">
      <c r="A1270">
        <v>391.08000000000004</v>
      </c>
      <c r="B1270">
        <v>3</v>
      </c>
      <c r="C1270">
        <v>1269</v>
      </c>
      <c r="D1270" s="2">
        <v>0.71114824074074079</v>
      </c>
      <c r="E1270" t="s">
        <v>1694</v>
      </c>
      <c r="F1270" t="s">
        <v>1695</v>
      </c>
      <c r="G1270" t="s">
        <v>1110</v>
      </c>
      <c r="H1270" t="s">
        <v>965</v>
      </c>
      <c r="I1270" t="s">
        <v>839</v>
      </c>
      <c r="J1270" t="s">
        <v>118</v>
      </c>
      <c r="K1270" t="s">
        <v>31</v>
      </c>
      <c r="L1270">
        <v>130.36000000000001</v>
      </c>
      <c r="M1270" s="1">
        <v>45882</v>
      </c>
      <c r="N1270" t="s">
        <v>34</v>
      </c>
      <c r="O1270">
        <v>13</v>
      </c>
      <c r="P1270">
        <v>8</v>
      </c>
      <c r="Q1270">
        <v>3</v>
      </c>
      <c r="R1270">
        <v>2025</v>
      </c>
    </row>
    <row r="1271" spans="1:18">
      <c r="A1271">
        <v>131.87</v>
      </c>
      <c r="B1271">
        <v>1</v>
      </c>
      <c r="C1271">
        <v>1270</v>
      </c>
      <c r="D1271" s="2">
        <v>0.20363133101851852</v>
      </c>
      <c r="E1271" t="s">
        <v>863</v>
      </c>
      <c r="F1271" t="s">
        <v>864</v>
      </c>
      <c r="G1271" t="s">
        <v>865</v>
      </c>
      <c r="H1271" t="s">
        <v>708</v>
      </c>
      <c r="I1271" t="s">
        <v>834</v>
      </c>
      <c r="J1271" t="s">
        <v>165</v>
      </c>
      <c r="K1271" t="s">
        <v>69</v>
      </c>
      <c r="L1271">
        <v>131.87</v>
      </c>
      <c r="M1271" s="1">
        <v>45566</v>
      </c>
      <c r="N1271" t="s">
        <v>48</v>
      </c>
      <c r="O1271">
        <v>1</v>
      </c>
      <c r="P1271">
        <v>10</v>
      </c>
      <c r="Q1271">
        <v>4</v>
      </c>
      <c r="R1271">
        <v>2024</v>
      </c>
    </row>
    <row r="1272" spans="1:18">
      <c r="A1272">
        <v>25.12</v>
      </c>
      <c r="B1272">
        <v>4</v>
      </c>
      <c r="C1272">
        <v>1271</v>
      </c>
      <c r="D1272" s="2">
        <v>0.58059356481481483</v>
      </c>
      <c r="E1272" t="s">
        <v>3216</v>
      </c>
      <c r="F1272" t="s">
        <v>3217</v>
      </c>
      <c r="G1272" t="s">
        <v>2692</v>
      </c>
      <c r="H1272" t="s">
        <v>106</v>
      </c>
      <c r="I1272" t="s">
        <v>748</v>
      </c>
      <c r="J1272" t="s">
        <v>274</v>
      </c>
      <c r="K1272" t="s">
        <v>19</v>
      </c>
      <c r="L1272">
        <v>6.28</v>
      </c>
      <c r="M1272" s="1">
        <v>46053</v>
      </c>
      <c r="N1272" t="s">
        <v>14</v>
      </c>
      <c r="O1272">
        <v>31</v>
      </c>
      <c r="P1272">
        <v>1</v>
      </c>
      <c r="Q1272">
        <v>1</v>
      </c>
      <c r="R1272">
        <v>2026</v>
      </c>
    </row>
    <row r="1273" spans="1:18">
      <c r="A1273">
        <v>818.2</v>
      </c>
      <c r="B1273">
        <v>4</v>
      </c>
      <c r="C1273">
        <v>1272</v>
      </c>
      <c r="D1273" s="2">
        <v>1.2604756944444444E-2</v>
      </c>
      <c r="E1273" t="s">
        <v>1184</v>
      </c>
      <c r="F1273" t="s">
        <v>1185</v>
      </c>
      <c r="G1273" t="s">
        <v>994</v>
      </c>
      <c r="H1273" t="s">
        <v>915</v>
      </c>
      <c r="I1273" t="s">
        <v>908</v>
      </c>
      <c r="J1273" t="s">
        <v>323</v>
      </c>
      <c r="K1273" t="s">
        <v>100</v>
      </c>
      <c r="L1273">
        <v>204.55</v>
      </c>
      <c r="M1273" s="1">
        <v>46050</v>
      </c>
      <c r="N1273" t="s">
        <v>34</v>
      </c>
      <c r="O1273">
        <v>28</v>
      </c>
      <c r="P1273">
        <v>1</v>
      </c>
      <c r="Q1273">
        <v>1</v>
      </c>
      <c r="R1273">
        <v>2026</v>
      </c>
    </row>
    <row r="1274" spans="1:18">
      <c r="A1274">
        <v>52.28</v>
      </c>
      <c r="B1274">
        <v>1</v>
      </c>
      <c r="C1274">
        <v>1273</v>
      </c>
      <c r="D1274" s="2">
        <v>0.28979386574074073</v>
      </c>
      <c r="E1274" t="s">
        <v>2905</v>
      </c>
      <c r="F1274" t="s">
        <v>2906</v>
      </c>
      <c r="G1274" t="s">
        <v>1338</v>
      </c>
      <c r="H1274" t="s">
        <v>1550</v>
      </c>
      <c r="I1274" t="s">
        <v>776</v>
      </c>
      <c r="J1274" t="s">
        <v>412</v>
      </c>
      <c r="K1274" t="s">
        <v>27</v>
      </c>
      <c r="L1274">
        <v>52.28</v>
      </c>
      <c r="M1274" s="1">
        <v>45763</v>
      </c>
      <c r="N1274" t="s">
        <v>34</v>
      </c>
      <c r="O1274">
        <v>16</v>
      </c>
      <c r="P1274">
        <v>4</v>
      </c>
      <c r="Q1274">
        <v>2</v>
      </c>
      <c r="R1274">
        <v>2025</v>
      </c>
    </row>
    <row r="1275" spans="1:18">
      <c r="A1275">
        <v>610.4</v>
      </c>
      <c r="B1275">
        <v>5</v>
      </c>
      <c r="C1275">
        <v>1274</v>
      </c>
      <c r="D1275" s="2">
        <v>0.69721989583333333</v>
      </c>
      <c r="E1275" t="s">
        <v>2242</v>
      </c>
      <c r="F1275" t="s">
        <v>2243</v>
      </c>
      <c r="G1275" t="s">
        <v>1124</v>
      </c>
      <c r="H1275" t="s">
        <v>1626</v>
      </c>
      <c r="I1275" t="s">
        <v>812</v>
      </c>
      <c r="J1275" t="s">
        <v>646</v>
      </c>
      <c r="K1275" t="s">
        <v>21</v>
      </c>
      <c r="L1275">
        <v>122.08</v>
      </c>
      <c r="M1275" s="1">
        <v>45776</v>
      </c>
      <c r="N1275" t="s">
        <v>48</v>
      </c>
      <c r="O1275">
        <v>29</v>
      </c>
      <c r="P1275">
        <v>4</v>
      </c>
      <c r="Q1275">
        <v>2</v>
      </c>
      <c r="R1275">
        <v>2025</v>
      </c>
    </row>
    <row r="1276" spans="1:18">
      <c r="A1276">
        <v>42.16</v>
      </c>
      <c r="B1276">
        <v>2</v>
      </c>
      <c r="C1276">
        <v>1275</v>
      </c>
      <c r="D1276" s="2">
        <v>0.47677947916666669</v>
      </c>
      <c r="E1276" t="s">
        <v>1360</v>
      </c>
      <c r="F1276" t="s">
        <v>1361</v>
      </c>
      <c r="G1276" t="s">
        <v>932</v>
      </c>
      <c r="H1276" t="s">
        <v>1362</v>
      </c>
      <c r="I1276" t="s">
        <v>896</v>
      </c>
      <c r="J1276" t="s">
        <v>223</v>
      </c>
      <c r="K1276" t="s">
        <v>19</v>
      </c>
      <c r="L1276">
        <v>21.08</v>
      </c>
      <c r="M1276" s="1">
        <v>46018</v>
      </c>
      <c r="N1276" t="s">
        <v>14</v>
      </c>
      <c r="O1276">
        <v>27</v>
      </c>
      <c r="P1276">
        <v>12</v>
      </c>
      <c r="Q1276">
        <v>4</v>
      </c>
      <c r="R1276">
        <v>2025</v>
      </c>
    </row>
    <row r="1277" spans="1:18">
      <c r="A1277">
        <v>465.25</v>
      </c>
      <c r="B1277">
        <v>5</v>
      </c>
      <c r="C1277">
        <v>1276</v>
      </c>
      <c r="D1277" s="2">
        <v>0.59484612268518522</v>
      </c>
      <c r="E1277" t="s">
        <v>3417</v>
      </c>
      <c r="F1277" t="s">
        <v>3418</v>
      </c>
      <c r="G1277" t="s">
        <v>2721</v>
      </c>
      <c r="H1277" t="s">
        <v>562</v>
      </c>
      <c r="I1277" t="s">
        <v>753</v>
      </c>
      <c r="J1277" t="s">
        <v>350</v>
      </c>
      <c r="K1277" t="s">
        <v>60</v>
      </c>
      <c r="L1277">
        <v>93.05</v>
      </c>
      <c r="M1277" s="1">
        <v>45904</v>
      </c>
      <c r="N1277" t="s">
        <v>105</v>
      </c>
      <c r="O1277">
        <v>4</v>
      </c>
      <c r="P1277">
        <v>9</v>
      </c>
      <c r="Q1277">
        <v>3</v>
      </c>
      <c r="R1277">
        <v>2025</v>
      </c>
    </row>
    <row r="1278" spans="1:18">
      <c r="A1278">
        <v>104.96</v>
      </c>
      <c r="B1278">
        <v>1</v>
      </c>
      <c r="C1278">
        <v>1277</v>
      </c>
      <c r="D1278" s="2">
        <v>0.86361175925925926</v>
      </c>
      <c r="E1278" t="s">
        <v>2159</v>
      </c>
      <c r="F1278" t="s">
        <v>2160</v>
      </c>
      <c r="G1278" t="s">
        <v>1559</v>
      </c>
      <c r="H1278" t="s">
        <v>919</v>
      </c>
      <c r="I1278" t="s">
        <v>786</v>
      </c>
      <c r="J1278" t="s">
        <v>225</v>
      </c>
      <c r="K1278" t="s">
        <v>21</v>
      </c>
      <c r="L1278">
        <v>104.96</v>
      </c>
      <c r="M1278" s="1">
        <v>45705</v>
      </c>
      <c r="N1278" t="s">
        <v>93</v>
      </c>
      <c r="O1278">
        <v>17</v>
      </c>
      <c r="P1278">
        <v>2</v>
      </c>
      <c r="Q1278">
        <v>1</v>
      </c>
      <c r="R1278">
        <v>2025</v>
      </c>
    </row>
    <row r="1279" spans="1:18">
      <c r="A1279">
        <v>1125.25</v>
      </c>
      <c r="B1279">
        <v>5</v>
      </c>
      <c r="C1279">
        <v>1278</v>
      </c>
      <c r="D1279" s="2">
        <v>0.84348627314814817</v>
      </c>
      <c r="E1279" t="s">
        <v>2552</v>
      </c>
      <c r="F1279" t="s">
        <v>2553</v>
      </c>
      <c r="G1279" t="s">
        <v>1524</v>
      </c>
      <c r="H1279" t="s">
        <v>196</v>
      </c>
      <c r="I1279" t="s">
        <v>1247</v>
      </c>
      <c r="J1279" t="s">
        <v>320</v>
      </c>
      <c r="K1279" t="s">
        <v>21</v>
      </c>
      <c r="L1279">
        <v>225.05</v>
      </c>
      <c r="M1279" s="1">
        <v>46136</v>
      </c>
      <c r="N1279" t="s">
        <v>79</v>
      </c>
      <c r="O1279">
        <v>24</v>
      </c>
      <c r="P1279">
        <v>4</v>
      </c>
      <c r="Q1279">
        <v>2</v>
      </c>
      <c r="R1279">
        <v>2026</v>
      </c>
    </row>
    <row r="1280" spans="1:18">
      <c r="A1280">
        <v>108.05</v>
      </c>
      <c r="B1280">
        <v>1</v>
      </c>
      <c r="C1280">
        <v>1279</v>
      </c>
      <c r="D1280" s="2">
        <v>0.8993278935185185</v>
      </c>
      <c r="E1280" t="s">
        <v>1914</v>
      </c>
      <c r="F1280" t="s">
        <v>1915</v>
      </c>
      <c r="G1280" t="s">
        <v>976</v>
      </c>
      <c r="H1280" t="s">
        <v>1199</v>
      </c>
      <c r="I1280" t="s">
        <v>839</v>
      </c>
      <c r="J1280" t="s">
        <v>682</v>
      </c>
      <c r="K1280" t="s">
        <v>23</v>
      </c>
      <c r="L1280">
        <v>108.05</v>
      </c>
      <c r="M1280" s="1">
        <v>45823</v>
      </c>
      <c r="N1280" t="s">
        <v>28</v>
      </c>
      <c r="O1280">
        <v>15</v>
      </c>
      <c r="P1280">
        <v>6</v>
      </c>
      <c r="Q1280">
        <v>2</v>
      </c>
      <c r="R1280">
        <v>2025</v>
      </c>
    </row>
    <row r="1281" spans="1:18">
      <c r="A1281">
        <v>63.239999999999995</v>
      </c>
      <c r="B1281">
        <v>3</v>
      </c>
      <c r="C1281">
        <v>1280</v>
      </c>
      <c r="D1281" s="2">
        <v>8.6705439814814808E-2</v>
      </c>
      <c r="E1281" t="s">
        <v>982</v>
      </c>
      <c r="F1281" t="s">
        <v>983</v>
      </c>
      <c r="G1281" t="s">
        <v>984</v>
      </c>
      <c r="H1281" t="s">
        <v>985</v>
      </c>
      <c r="I1281" t="s">
        <v>817</v>
      </c>
      <c r="J1281" t="s">
        <v>223</v>
      </c>
      <c r="K1281" t="s">
        <v>19</v>
      </c>
      <c r="L1281">
        <v>21.08</v>
      </c>
      <c r="M1281" s="1">
        <v>45650</v>
      </c>
      <c r="N1281" t="s">
        <v>48</v>
      </c>
      <c r="O1281">
        <v>24</v>
      </c>
      <c r="P1281">
        <v>12</v>
      </c>
      <c r="Q1281">
        <v>4</v>
      </c>
      <c r="R1281">
        <v>2024</v>
      </c>
    </row>
    <row r="1282" spans="1:18">
      <c r="A1282">
        <v>26.45</v>
      </c>
      <c r="B1282">
        <v>5</v>
      </c>
      <c r="C1282">
        <v>1281</v>
      </c>
      <c r="D1282" s="2">
        <v>0.34439410879629628</v>
      </c>
      <c r="E1282" t="s">
        <v>2370</v>
      </c>
      <c r="F1282" t="s">
        <v>2371</v>
      </c>
      <c r="G1282" t="s">
        <v>1633</v>
      </c>
      <c r="H1282" t="s">
        <v>757</v>
      </c>
      <c r="I1282" t="s">
        <v>758</v>
      </c>
      <c r="J1282" t="s">
        <v>394</v>
      </c>
      <c r="K1282" t="s">
        <v>122</v>
      </c>
      <c r="L1282">
        <v>5.29</v>
      </c>
      <c r="M1282" s="1">
        <v>45615</v>
      </c>
      <c r="N1282" t="s">
        <v>48</v>
      </c>
      <c r="O1282">
        <v>19</v>
      </c>
      <c r="P1282">
        <v>11</v>
      </c>
      <c r="Q1282">
        <v>4</v>
      </c>
      <c r="R1282">
        <v>2024</v>
      </c>
    </row>
    <row r="1283" spans="1:18">
      <c r="A1283">
        <v>175.28</v>
      </c>
      <c r="B1283">
        <v>2</v>
      </c>
      <c r="C1283">
        <v>1282</v>
      </c>
      <c r="D1283" s="2">
        <v>0.34376059027777778</v>
      </c>
      <c r="E1283" t="s">
        <v>2902</v>
      </c>
      <c r="F1283" t="s">
        <v>2903</v>
      </c>
      <c r="G1283" t="s">
        <v>2904</v>
      </c>
      <c r="H1283" t="s">
        <v>160</v>
      </c>
      <c r="I1283" t="s">
        <v>790</v>
      </c>
      <c r="J1283" t="s">
        <v>561</v>
      </c>
      <c r="K1283" t="s">
        <v>17</v>
      </c>
      <c r="L1283">
        <v>87.64</v>
      </c>
      <c r="M1283" s="1">
        <v>45646</v>
      </c>
      <c r="N1283" t="s">
        <v>79</v>
      </c>
      <c r="O1283">
        <v>20</v>
      </c>
      <c r="P1283">
        <v>12</v>
      </c>
      <c r="Q1283">
        <v>4</v>
      </c>
      <c r="R1283">
        <v>2024</v>
      </c>
    </row>
    <row r="1284" spans="1:18">
      <c r="A1284">
        <v>391.08000000000004</v>
      </c>
      <c r="B1284">
        <v>3</v>
      </c>
      <c r="C1284">
        <v>1283</v>
      </c>
      <c r="D1284" s="2">
        <v>0.92742527777777772</v>
      </c>
      <c r="E1284" t="s">
        <v>2655</v>
      </c>
      <c r="F1284" t="s">
        <v>2656</v>
      </c>
      <c r="G1284" t="s">
        <v>2657</v>
      </c>
      <c r="H1284" t="s">
        <v>1395</v>
      </c>
      <c r="I1284" t="s">
        <v>776</v>
      </c>
      <c r="J1284" t="s">
        <v>118</v>
      </c>
      <c r="K1284" t="s">
        <v>31</v>
      </c>
      <c r="L1284">
        <v>130.36000000000001</v>
      </c>
      <c r="M1284" s="1">
        <v>45831</v>
      </c>
      <c r="N1284" t="s">
        <v>93</v>
      </c>
      <c r="O1284">
        <v>23</v>
      </c>
      <c r="P1284">
        <v>6</v>
      </c>
      <c r="Q1284">
        <v>2</v>
      </c>
      <c r="R1284">
        <v>2025</v>
      </c>
    </row>
    <row r="1285" spans="1:18">
      <c r="A1285">
        <v>729.04</v>
      </c>
      <c r="B1285">
        <v>4</v>
      </c>
      <c r="C1285">
        <v>1284</v>
      </c>
      <c r="D1285" s="2">
        <v>0.24158593749999999</v>
      </c>
      <c r="E1285" t="s">
        <v>2673</v>
      </c>
      <c r="F1285" t="s">
        <v>2674</v>
      </c>
      <c r="G1285" t="s">
        <v>1121</v>
      </c>
      <c r="H1285" t="s">
        <v>2574</v>
      </c>
      <c r="I1285" t="s">
        <v>839</v>
      </c>
      <c r="J1285" t="s">
        <v>378</v>
      </c>
      <c r="K1285" t="s">
        <v>57</v>
      </c>
      <c r="L1285">
        <v>182.26</v>
      </c>
      <c r="M1285" s="1">
        <v>46217</v>
      </c>
      <c r="N1285" t="s">
        <v>48</v>
      </c>
      <c r="O1285">
        <v>14</v>
      </c>
      <c r="P1285">
        <v>7</v>
      </c>
      <c r="Q1285">
        <v>3</v>
      </c>
      <c r="R1285">
        <v>2026</v>
      </c>
    </row>
    <row r="1286" spans="1:18">
      <c r="A1286">
        <v>239.16</v>
      </c>
      <c r="B1286">
        <v>2</v>
      </c>
      <c r="C1286">
        <v>1285</v>
      </c>
      <c r="D1286" s="2">
        <v>0.31880677083333331</v>
      </c>
      <c r="E1286" t="s">
        <v>2027</v>
      </c>
      <c r="F1286" t="s">
        <v>1355</v>
      </c>
      <c r="G1286" t="s">
        <v>1508</v>
      </c>
      <c r="H1286" t="s">
        <v>1002</v>
      </c>
      <c r="I1286" t="s">
        <v>1003</v>
      </c>
      <c r="J1286" t="s">
        <v>143</v>
      </c>
      <c r="K1286" t="s">
        <v>69</v>
      </c>
      <c r="L1286">
        <v>119.58</v>
      </c>
      <c r="M1286" s="1">
        <v>45977</v>
      </c>
      <c r="N1286" t="s">
        <v>28</v>
      </c>
      <c r="O1286">
        <v>16</v>
      </c>
      <c r="P1286">
        <v>11</v>
      </c>
      <c r="Q1286">
        <v>4</v>
      </c>
      <c r="R1286">
        <v>2025</v>
      </c>
    </row>
    <row r="1287" spans="1:18">
      <c r="A1287">
        <v>253.89</v>
      </c>
      <c r="B1287">
        <v>3</v>
      </c>
      <c r="C1287">
        <v>1286</v>
      </c>
      <c r="D1287" s="2">
        <v>0.22374846064814816</v>
      </c>
      <c r="E1287" t="s">
        <v>1802</v>
      </c>
      <c r="F1287" t="s">
        <v>1803</v>
      </c>
      <c r="G1287" t="s">
        <v>906</v>
      </c>
      <c r="H1287" t="s">
        <v>970</v>
      </c>
      <c r="I1287" t="s">
        <v>790</v>
      </c>
      <c r="J1287" t="s">
        <v>528</v>
      </c>
      <c r="K1287" t="s">
        <v>69</v>
      </c>
      <c r="L1287">
        <v>84.63</v>
      </c>
      <c r="M1287" s="1">
        <v>46138</v>
      </c>
      <c r="N1287" t="s">
        <v>28</v>
      </c>
      <c r="O1287">
        <v>26</v>
      </c>
      <c r="P1287">
        <v>4</v>
      </c>
      <c r="Q1287">
        <v>2</v>
      </c>
      <c r="R1287">
        <v>2026</v>
      </c>
    </row>
    <row r="1288" spans="1:18">
      <c r="A1288">
        <v>169.88</v>
      </c>
      <c r="B1288">
        <v>2</v>
      </c>
      <c r="C1288">
        <v>1287</v>
      </c>
      <c r="D1288" s="2">
        <v>0.17567148148148148</v>
      </c>
      <c r="E1288" t="s">
        <v>2905</v>
      </c>
      <c r="F1288" t="s">
        <v>2906</v>
      </c>
      <c r="G1288" t="s">
        <v>1338</v>
      </c>
      <c r="H1288" t="s">
        <v>1550</v>
      </c>
      <c r="I1288" t="s">
        <v>776</v>
      </c>
      <c r="J1288" t="s">
        <v>554</v>
      </c>
      <c r="K1288" t="s">
        <v>17</v>
      </c>
      <c r="L1288">
        <v>84.94</v>
      </c>
      <c r="M1288" s="1">
        <v>45563</v>
      </c>
      <c r="N1288" t="s">
        <v>14</v>
      </c>
      <c r="O1288">
        <v>28</v>
      </c>
      <c r="P1288">
        <v>9</v>
      </c>
      <c r="Q1288">
        <v>3</v>
      </c>
      <c r="R1288">
        <v>2024</v>
      </c>
    </row>
    <row r="1289" spans="1:18">
      <c r="A1289">
        <v>138.78</v>
      </c>
      <c r="B1289">
        <v>3</v>
      </c>
      <c r="C1289">
        <v>1288</v>
      </c>
      <c r="D1289" s="2">
        <v>0.70879429398148153</v>
      </c>
      <c r="E1289" t="s">
        <v>2921</v>
      </c>
      <c r="F1289" t="s">
        <v>2922</v>
      </c>
      <c r="G1289" t="s">
        <v>1149</v>
      </c>
      <c r="H1289" t="s">
        <v>380</v>
      </c>
      <c r="I1289" t="s">
        <v>776</v>
      </c>
      <c r="J1289" t="s">
        <v>190</v>
      </c>
      <c r="K1289" t="s">
        <v>39</v>
      </c>
      <c r="L1289">
        <v>46.26</v>
      </c>
      <c r="M1289" s="1">
        <v>45862</v>
      </c>
      <c r="N1289" t="s">
        <v>105</v>
      </c>
      <c r="O1289">
        <v>24</v>
      </c>
      <c r="P1289">
        <v>7</v>
      </c>
      <c r="Q1289">
        <v>3</v>
      </c>
      <c r="R1289">
        <v>2025</v>
      </c>
    </row>
    <row r="1290" spans="1:18">
      <c r="A1290">
        <v>113.85</v>
      </c>
      <c r="B1290">
        <v>5</v>
      </c>
      <c r="C1290">
        <v>1289</v>
      </c>
      <c r="D1290" s="2">
        <v>0.59922966435185188</v>
      </c>
      <c r="E1290" t="s">
        <v>1407</v>
      </c>
      <c r="F1290" t="s">
        <v>1408</v>
      </c>
      <c r="G1290" t="s">
        <v>1409</v>
      </c>
      <c r="H1290" t="s">
        <v>1410</v>
      </c>
      <c r="I1290" t="s">
        <v>812</v>
      </c>
      <c r="J1290" t="s">
        <v>1250</v>
      </c>
      <c r="K1290" t="s">
        <v>23</v>
      </c>
      <c r="L1290">
        <v>22.77</v>
      </c>
      <c r="M1290" s="1">
        <v>46168</v>
      </c>
      <c r="N1290" t="s">
        <v>48</v>
      </c>
      <c r="O1290">
        <v>26</v>
      </c>
      <c r="P1290">
        <v>5</v>
      </c>
      <c r="Q1290">
        <v>2</v>
      </c>
      <c r="R1290">
        <v>2026</v>
      </c>
    </row>
    <row r="1291" spans="1:18">
      <c r="A1291">
        <v>173.48</v>
      </c>
      <c r="B1291">
        <v>1</v>
      </c>
      <c r="C1291">
        <v>1290</v>
      </c>
      <c r="D1291" s="2">
        <v>0.58454687500000002</v>
      </c>
      <c r="E1291" t="s">
        <v>2693</v>
      </c>
      <c r="F1291" t="s">
        <v>2694</v>
      </c>
      <c r="G1291" t="s">
        <v>2695</v>
      </c>
      <c r="H1291" t="s">
        <v>691</v>
      </c>
      <c r="I1291" t="s">
        <v>776</v>
      </c>
      <c r="J1291" t="s">
        <v>728</v>
      </c>
      <c r="K1291" t="s">
        <v>46</v>
      </c>
      <c r="L1291">
        <v>173.48</v>
      </c>
      <c r="M1291" s="1">
        <v>46161</v>
      </c>
      <c r="N1291" t="s">
        <v>48</v>
      </c>
      <c r="O1291">
        <v>19</v>
      </c>
      <c r="P1291">
        <v>5</v>
      </c>
      <c r="Q1291">
        <v>2</v>
      </c>
      <c r="R1291">
        <v>2026</v>
      </c>
    </row>
    <row r="1292" spans="1:18">
      <c r="A1292">
        <v>131.12</v>
      </c>
      <c r="B1292">
        <v>2</v>
      </c>
      <c r="C1292">
        <v>1291</v>
      </c>
      <c r="D1292" s="2">
        <v>0.78434496527777775</v>
      </c>
      <c r="E1292" t="s">
        <v>1850</v>
      </c>
      <c r="F1292" t="s">
        <v>1851</v>
      </c>
      <c r="G1292" t="s">
        <v>833</v>
      </c>
      <c r="H1292" t="s">
        <v>49</v>
      </c>
      <c r="I1292" t="s">
        <v>807</v>
      </c>
      <c r="J1292" t="s">
        <v>291</v>
      </c>
      <c r="K1292" t="s">
        <v>51</v>
      </c>
      <c r="L1292">
        <v>65.56</v>
      </c>
      <c r="M1292" s="1">
        <v>45665</v>
      </c>
      <c r="N1292" t="s">
        <v>34</v>
      </c>
      <c r="O1292">
        <v>8</v>
      </c>
      <c r="P1292">
        <v>1</v>
      </c>
      <c r="Q1292">
        <v>1</v>
      </c>
      <c r="R1292">
        <v>2025</v>
      </c>
    </row>
    <row r="1293" spans="1:18">
      <c r="A1293">
        <v>52.400000000000006</v>
      </c>
      <c r="B1293">
        <v>5</v>
      </c>
      <c r="C1293">
        <v>1292</v>
      </c>
      <c r="D1293" s="2">
        <v>2.7387488425925925E-2</v>
      </c>
      <c r="E1293" t="s">
        <v>2087</v>
      </c>
      <c r="F1293" t="s">
        <v>2088</v>
      </c>
      <c r="G1293" t="s">
        <v>820</v>
      </c>
      <c r="H1293" t="s">
        <v>995</v>
      </c>
      <c r="I1293" t="s">
        <v>781</v>
      </c>
      <c r="J1293" t="s">
        <v>578</v>
      </c>
      <c r="K1293" t="s">
        <v>82</v>
      </c>
      <c r="L1293">
        <v>10.48</v>
      </c>
      <c r="M1293" s="1">
        <v>46107</v>
      </c>
      <c r="N1293" t="s">
        <v>105</v>
      </c>
      <c r="O1293">
        <v>26</v>
      </c>
      <c r="P1293">
        <v>3</v>
      </c>
      <c r="Q1293">
        <v>1</v>
      </c>
      <c r="R1293">
        <v>2026</v>
      </c>
    </row>
    <row r="1294" spans="1:18">
      <c r="A1294">
        <v>105.9</v>
      </c>
      <c r="B1294">
        <v>5</v>
      </c>
      <c r="C1294">
        <v>1293</v>
      </c>
      <c r="D1294" s="2">
        <v>0.66005930555555559</v>
      </c>
      <c r="E1294" t="s">
        <v>1570</v>
      </c>
      <c r="F1294" t="s">
        <v>1571</v>
      </c>
      <c r="G1294" t="s">
        <v>1274</v>
      </c>
      <c r="H1294" t="s">
        <v>1502</v>
      </c>
      <c r="I1294" t="s">
        <v>817</v>
      </c>
      <c r="J1294" t="s">
        <v>712</v>
      </c>
      <c r="K1294" t="s">
        <v>60</v>
      </c>
      <c r="L1294">
        <v>21.18</v>
      </c>
      <c r="M1294" s="1">
        <v>45744</v>
      </c>
      <c r="N1294" t="s">
        <v>79</v>
      </c>
      <c r="O1294">
        <v>28</v>
      </c>
      <c r="P1294">
        <v>3</v>
      </c>
      <c r="Q1294">
        <v>1</v>
      </c>
      <c r="R1294">
        <v>2025</v>
      </c>
    </row>
    <row r="1295" spans="1:18">
      <c r="A1295">
        <v>32.43</v>
      </c>
      <c r="B1295">
        <v>1</v>
      </c>
      <c r="C1295">
        <v>1294</v>
      </c>
      <c r="D1295" s="2">
        <v>0.99449716435185187</v>
      </c>
      <c r="E1295" t="s">
        <v>1812</v>
      </c>
      <c r="F1295" t="s">
        <v>1813</v>
      </c>
      <c r="G1295" t="s">
        <v>925</v>
      </c>
      <c r="H1295" t="s">
        <v>548</v>
      </c>
      <c r="I1295" t="s">
        <v>790</v>
      </c>
      <c r="J1295" t="s">
        <v>77</v>
      </c>
      <c r="K1295" t="s">
        <v>17</v>
      </c>
      <c r="L1295">
        <v>32.43</v>
      </c>
      <c r="M1295" s="1">
        <v>45998</v>
      </c>
      <c r="N1295" t="s">
        <v>28</v>
      </c>
      <c r="O1295">
        <v>7</v>
      </c>
      <c r="P1295">
        <v>12</v>
      </c>
      <c r="Q1295">
        <v>4</v>
      </c>
      <c r="R1295">
        <v>2025</v>
      </c>
    </row>
    <row r="1296" spans="1:18">
      <c r="A1296">
        <v>190.76</v>
      </c>
      <c r="B1296">
        <v>1</v>
      </c>
      <c r="C1296">
        <v>1295</v>
      </c>
      <c r="D1296" s="2">
        <v>0.41935243055555554</v>
      </c>
      <c r="E1296" t="s">
        <v>2456</v>
      </c>
      <c r="F1296" t="s">
        <v>2457</v>
      </c>
      <c r="G1296" t="s">
        <v>882</v>
      </c>
      <c r="H1296" t="s">
        <v>1280</v>
      </c>
      <c r="I1296" t="s">
        <v>908</v>
      </c>
      <c r="J1296" t="s">
        <v>1430</v>
      </c>
      <c r="K1296" t="s">
        <v>60</v>
      </c>
      <c r="L1296">
        <v>190.76</v>
      </c>
      <c r="M1296" s="1">
        <v>45943</v>
      </c>
      <c r="N1296" t="s">
        <v>93</v>
      </c>
      <c r="O1296">
        <v>13</v>
      </c>
      <c r="P1296">
        <v>10</v>
      </c>
      <c r="Q1296">
        <v>4</v>
      </c>
      <c r="R1296">
        <v>2025</v>
      </c>
    </row>
    <row r="1297" spans="1:18">
      <c r="A1297">
        <v>58.17</v>
      </c>
      <c r="B1297">
        <v>1</v>
      </c>
      <c r="C1297">
        <v>1296</v>
      </c>
      <c r="D1297" s="2">
        <v>0.12633770833333333</v>
      </c>
      <c r="E1297" t="s">
        <v>1782</v>
      </c>
      <c r="F1297" t="s">
        <v>1783</v>
      </c>
      <c r="G1297" t="s">
        <v>1085</v>
      </c>
      <c r="H1297" t="s">
        <v>1002</v>
      </c>
      <c r="I1297" t="s">
        <v>892</v>
      </c>
      <c r="J1297" t="s">
        <v>615</v>
      </c>
      <c r="K1297" t="s">
        <v>100</v>
      </c>
      <c r="L1297">
        <v>58.17</v>
      </c>
      <c r="M1297" s="1">
        <v>46199</v>
      </c>
      <c r="N1297" t="s">
        <v>79</v>
      </c>
      <c r="O1297">
        <v>26</v>
      </c>
      <c r="P1297">
        <v>6</v>
      </c>
      <c r="Q1297">
        <v>2</v>
      </c>
      <c r="R1297">
        <v>2026</v>
      </c>
    </row>
    <row r="1298" spans="1:18">
      <c r="A1298">
        <v>398.65000000000003</v>
      </c>
      <c r="B1298">
        <v>5</v>
      </c>
      <c r="C1298">
        <v>1297</v>
      </c>
      <c r="D1298" s="2">
        <v>0.74597149305555555</v>
      </c>
      <c r="E1298" t="s">
        <v>2209</v>
      </c>
      <c r="F1298" t="s">
        <v>2210</v>
      </c>
      <c r="G1298" t="s">
        <v>1035</v>
      </c>
      <c r="H1298" t="s">
        <v>1630</v>
      </c>
      <c r="I1298" t="s">
        <v>763</v>
      </c>
      <c r="J1298" t="s">
        <v>621</v>
      </c>
      <c r="K1298" t="s">
        <v>19</v>
      </c>
      <c r="L1298">
        <v>79.73</v>
      </c>
      <c r="M1298" s="1">
        <v>45589</v>
      </c>
      <c r="N1298" t="s">
        <v>105</v>
      </c>
      <c r="O1298">
        <v>24</v>
      </c>
      <c r="P1298">
        <v>10</v>
      </c>
      <c r="Q1298">
        <v>4</v>
      </c>
      <c r="R1298">
        <v>2024</v>
      </c>
    </row>
    <row r="1299" spans="1:18">
      <c r="A1299">
        <v>488.48</v>
      </c>
      <c r="B1299">
        <v>2</v>
      </c>
      <c r="C1299">
        <v>1298</v>
      </c>
      <c r="D1299" s="2">
        <v>0.52397192129629633</v>
      </c>
      <c r="E1299" t="s">
        <v>1463</v>
      </c>
      <c r="F1299" t="s">
        <v>1464</v>
      </c>
      <c r="G1299" t="s">
        <v>882</v>
      </c>
      <c r="H1299" t="s">
        <v>1465</v>
      </c>
      <c r="I1299" t="s">
        <v>817</v>
      </c>
      <c r="J1299" t="s">
        <v>61</v>
      </c>
      <c r="K1299" t="s">
        <v>55</v>
      </c>
      <c r="L1299">
        <v>244.24</v>
      </c>
      <c r="M1299" s="1">
        <v>45797</v>
      </c>
      <c r="N1299" t="s">
        <v>48</v>
      </c>
      <c r="O1299">
        <v>20</v>
      </c>
      <c r="P1299">
        <v>5</v>
      </c>
      <c r="Q1299">
        <v>2</v>
      </c>
      <c r="R1299">
        <v>2025</v>
      </c>
    </row>
    <row r="1300" spans="1:18">
      <c r="A1300">
        <v>484.68</v>
      </c>
      <c r="B1300">
        <v>3</v>
      </c>
      <c r="C1300">
        <v>1299</v>
      </c>
      <c r="D1300" s="2">
        <v>0.29460508101851851</v>
      </c>
      <c r="E1300" t="s">
        <v>3413</v>
      </c>
      <c r="F1300" t="s">
        <v>3444</v>
      </c>
      <c r="G1300" t="s">
        <v>1556</v>
      </c>
      <c r="H1300" t="s">
        <v>919</v>
      </c>
      <c r="I1300" t="s">
        <v>786</v>
      </c>
      <c r="J1300" t="s">
        <v>422</v>
      </c>
      <c r="K1300" t="s">
        <v>122</v>
      </c>
      <c r="L1300">
        <v>161.56</v>
      </c>
      <c r="M1300" s="1">
        <v>45789</v>
      </c>
      <c r="N1300" t="s">
        <v>93</v>
      </c>
      <c r="O1300">
        <v>12</v>
      </c>
      <c r="P1300">
        <v>5</v>
      </c>
      <c r="Q1300">
        <v>2</v>
      </c>
      <c r="R1300">
        <v>2025</v>
      </c>
    </row>
    <row r="1301" spans="1:18">
      <c r="A1301">
        <v>200.92</v>
      </c>
      <c r="B1301">
        <v>2</v>
      </c>
      <c r="C1301">
        <v>1300</v>
      </c>
      <c r="D1301" s="2">
        <v>0.41171332175925923</v>
      </c>
      <c r="E1301" t="s">
        <v>2545</v>
      </c>
      <c r="F1301" t="s">
        <v>2546</v>
      </c>
      <c r="G1301" t="s">
        <v>1590</v>
      </c>
      <c r="H1301" t="s">
        <v>1469</v>
      </c>
      <c r="I1301" t="s">
        <v>908</v>
      </c>
      <c r="J1301" t="s">
        <v>703</v>
      </c>
      <c r="K1301" t="s">
        <v>60</v>
      </c>
      <c r="L1301">
        <v>100.46</v>
      </c>
      <c r="M1301" s="1">
        <v>45823</v>
      </c>
      <c r="N1301" t="s">
        <v>28</v>
      </c>
      <c r="O1301">
        <v>15</v>
      </c>
      <c r="P1301">
        <v>6</v>
      </c>
      <c r="Q1301">
        <v>2</v>
      </c>
      <c r="R1301">
        <v>2025</v>
      </c>
    </row>
    <row r="1302" spans="1:18">
      <c r="A1302">
        <v>367.16</v>
      </c>
      <c r="B1302">
        <v>2</v>
      </c>
      <c r="C1302">
        <v>1301</v>
      </c>
      <c r="D1302" s="2">
        <v>0.88890127314814815</v>
      </c>
      <c r="E1302" t="s">
        <v>3292</v>
      </c>
      <c r="F1302" t="s">
        <v>3293</v>
      </c>
      <c r="G1302" t="s">
        <v>1633</v>
      </c>
      <c r="H1302" t="s">
        <v>513</v>
      </c>
      <c r="I1302" t="s">
        <v>786</v>
      </c>
      <c r="J1302" t="s">
        <v>641</v>
      </c>
      <c r="K1302" t="s">
        <v>46</v>
      </c>
      <c r="L1302">
        <v>183.58</v>
      </c>
      <c r="M1302" s="1">
        <v>45575</v>
      </c>
      <c r="N1302" t="s">
        <v>105</v>
      </c>
      <c r="O1302">
        <v>10</v>
      </c>
      <c r="P1302">
        <v>10</v>
      </c>
      <c r="Q1302">
        <v>4</v>
      </c>
      <c r="R1302">
        <v>2024</v>
      </c>
    </row>
    <row r="1303" spans="1:18">
      <c r="A1303">
        <v>606.68999999999994</v>
      </c>
      <c r="B1303">
        <v>3</v>
      </c>
      <c r="C1303">
        <v>1302</v>
      </c>
      <c r="D1303" s="2">
        <v>0.74541493055555552</v>
      </c>
      <c r="E1303" t="s">
        <v>2641</v>
      </c>
      <c r="F1303" t="s">
        <v>2642</v>
      </c>
      <c r="G1303" t="s">
        <v>2643</v>
      </c>
      <c r="H1303" t="s">
        <v>785</v>
      </c>
      <c r="I1303" t="s">
        <v>786</v>
      </c>
      <c r="J1303" t="s">
        <v>321</v>
      </c>
      <c r="K1303" t="s">
        <v>17</v>
      </c>
      <c r="L1303">
        <v>202.23</v>
      </c>
      <c r="M1303" s="1">
        <v>45806</v>
      </c>
      <c r="N1303" t="s">
        <v>105</v>
      </c>
      <c r="O1303">
        <v>29</v>
      </c>
      <c r="P1303">
        <v>5</v>
      </c>
      <c r="Q1303">
        <v>2</v>
      </c>
      <c r="R1303">
        <v>2025</v>
      </c>
    </row>
    <row r="1304" spans="1:18">
      <c r="A1304">
        <v>15.870000000000001</v>
      </c>
      <c r="B1304">
        <v>3</v>
      </c>
      <c r="C1304">
        <v>1303</v>
      </c>
      <c r="D1304" s="2">
        <v>0.96882224537037032</v>
      </c>
      <c r="E1304" t="s">
        <v>3316</v>
      </c>
      <c r="F1304" t="s">
        <v>3317</v>
      </c>
      <c r="G1304" t="s">
        <v>2479</v>
      </c>
      <c r="H1304" t="s">
        <v>513</v>
      </c>
      <c r="I1304" t="s">
        <v>786</v>
      </c>
      <c r="J1304" t="s">
        <v>394</v>
      </c>
      <c r="K1304" t="s">
        <v>122</v>
      </c>
      <c r="L1304">
        <v>5.29</v>
      </c>
      <c r="M1304" s="1">
        <v>45927</v>
      </c>
      <c r="N1304" t="s">
        <v>14</v>
      </c>
      <c r="O1304">
        <v>27</v>
      </c>
      <c r="P1304">
        <v>9</v>
      </c>
      <c r="Q1304">
        <v>3</v>
      </c>
      <c r="R1304">
        <v>2025</v>
      </c>
    </row>
    <row r="1305" spans="1:18">
      <c r="A1305">
        <v>817</v>
      </c>
      <c r="B1305">
        <v>4</v>
      </c>
      <c r="C1305">
        <v>1304</v>
      </c>
      <c r="D1305" s="2">
        <v>0.35365266203703705</v>
      </c>
      <c r="E1305" t="s">
        <v>2531</v>
      </c>
      <c r="F1305" t="s">
        <v>2532</v>
      </c>
      <c r="G1305" t="s">
        <v>756</v>
      </c>
      <c r="H1305" t="s">
        <v>29</v>
      </c>
      <c r="I1305" t="s">
        <v>821</v>
      </c>
      <c r="J1305" t="s">
        <v>341</v>
      </c>
      <c r="K1305" t="s">
        <v>21</v>
      </c>
      <c r="L1305">
        <v>204.25</v>
      </c>
      <c r="M1305" s="1">
        <v>45952</v>
      </c>
      <c r="N1305" t="s">
        <v>34</v>
      </c>
      <c r="O1305">
        <v>22</v>
      </c>
      <c r="P1305">
        <v>10</v>
      </c>
      <c r="Q1305">
        <v>4</v>
      </c>
      <c r="R1305">
        <v>2025</v>
      </c>
    </row>
    <row r="1306" spans="1:18">
      <c r="A1306">
        <v>89.85</v>
      </c>
      <c r="B1306">
        <v>1</v>
      </c>
      <c r="C1306">
        <v>1305</v>
      </c>
      <c r="D1306" s="2">
        <v>2.6848784722222224E-2</v>
      </c>
      <c r="E1306" t="s">
        <v>1988</v>
      </c>
      <c r="F1306" t="s">
        <v>1989</v>
      </c>
      <c r="G1306" t="s">
        <v>1117</v>
      </c>
      <c r="H1306" t="s">
        <v>829</v>
      </c>
      <c r="I1306" t="s">
        <v>830</v>
      </c>
      <c r="J1306" t="s">
        <v>381</v>
      </c>
      <c r="K1306" t="s">
        <v>27</v>
      </c>
      <c r="L1306">
        <v>89.85</v>
      </c>
      <c r="M1306" s="1">
        <v>46163</v>
      </c>
      <c r="N1306" t="s">
        <v>105</v>
      </c>
      <c r="O1306">
        <v>21</v>
      </c>
      <c r="P1306">
        <v>5</v>
      </c>
      <c r="Q1306">
        <v>2</v>
      </c>
      <c r="R1306">
        <v>2026</v>
      </c>
    </row>
    <row r="1307" spans="1:18">
      <c r="A1307">
        <v>64.14</v>
      </c>
      <c r="B1307">
        <v>3</v>
      </c>
      <c r="C1307">
        <v>1306</v>
      </c>
      <c r="D1307" s="2">
        <v>0.4639272800925926</v>
      </c>
      <c r="E1307" t="s">
        <v>2983</v>
      </c>
      <c r="F1307" t="s">
        <v>2570</v>
      </c>
      <c r="G1307" t="s">
        <v>1965</v>
      </c>
      <c r="H1307" t="s">
        <v>869</v>
      </c>
      <c r="I1307" t="s">
        <v>812</v>
      </c>
      <c r="J1307" t="s">
        <v>600</v>
      </c>
      <c r="K1307" t="s">
        <v>69</v>
      </c>
      <c r="L1307">
        <v>21.38</v>
      </c>
      <c r="M1307" s="1">
        <v>45622</v>
      </c>
      <c r="N1307" t="s">
        <v>48</v>
      </c>
      <c r="O1307">
        <v>26</v>
      </c>
      <c r="P1307">
        <v>11</v>
      </c>
      <c r="Q1307">
        <v>4</v>
      </c>
      <c r="R1307">
        <v>2024</v>
      </c>
    </row>
    <row r="1308" spans="1:18">
      <c r="A1308">
        <v>108.05</v>
      </c>
      <c r="B1308">
        <v>1</v>
      </c>
      <c r="C1308">
        <v>1307</v>
      </c>
      <c r="D1308" s="2">
        <v>8.5775925925925933E-3</v>
      </c>
      <c r="E1308" t="s">
        <v>2266</v>
      </c>
      <c r="F1308" t="s">
        <v>2267</v>
      </c>
      <c r="G1308" t="s">
        <v>1440</v>
      </c>
      <c r="H1308" t="s">
        <v>1469</v>
      </c>
      <c r="I1308" t="s">
        <v>908</v>
      </c>
      <c r="J1308" t="s">
        <v>682</v>
      </c>
      <c r="K1308" t="s">
        <v>23</v>
      </c>
      <c r="L1308">
        <v>108.05</v>
      </c>
      <c r="M1308" s="1">
        <v>45587</v>
      </c>
      <c r="N1308" t="s">
        <v>48</v>
      </c>
      <c r="O1308">
        <v>22</v>
      </c>
      <c r="P1308">
        <v>10</v>
      </c>
      <c r="Q1308">
        <v>4</v>
      </c>
      <c r="R1308">
        <v>2024</v>
      </c>
    </row>
    <row r="1309" spans="1:18">
      <c r="A1309">
        <v>423.15</v>
      </c>
      <c r="B1309">
        <v>5</v>
      </c>
      <c r="C1309">
        <v>1308</v>
      </c>
      <c r="D1309" s="2">
        <v>0.68830410879629633</v>
      </c>
      <c r="E1309" t="s">
        <v>1303</v>
      </c>
      <c r="F1309" t="s">
        <v>1304</v>
      </c>
      <c r="G1309" t="s">
        <v>1305</v>
      </c>
      <c r="H1309" t="s">
        <v>1306</v>
      </c>
      <c r="I1309" t="s">
        <v>966</v>
      </c>
      <c r="J1309" t="s">
        <v>495</v>
      </c>
      <c r="K1309" t="s">
        <v>39</v>
      </c>
      <c r="L1309">
        <v>84.63</v>
      </c>
      <c r="M1309" s="1">
        <v>45556</v>
      </c>
      <c r="N1309" t="s">
        <v>14</v>
      </c>
      <c r="O1309">
        <v>21</v>
      </c>
      <c r="P1309">
        <v>9</v>
      </c>
      <c r="Q1309">
        <v>3</v>
      </c>
      <c r="R1309">
        <v>2024</v>
      </c>
    </row>
    <row r="1310" spans="1:18">
      <c r="A1310">
        <v>67.56</v>
      </c>
      <c r="B1310">
        <v>2</v>
      </c>
      <c r="C1310">
        <v>1309</v>
      </c>
      <c r="D1310" s="2">
        <v>0.14661273148148149</v>
      </c>
      <c r="E1310" t="s">
        <v>2995</v>
      </c>
      <c r="F1310" t="s">
        <v>2996</v>
      </c>
      <c r="G1310" t="s">
        <v>2108</v>
      </c>
      <c r="H1310" t="s">
        <v>1039</v>
      </c>
      <c r="I1310" t="s">
        <v>758</v>
      </c>
      <c r="J1310" t="s">
        <v>625</v>
      </c>
      <c r="K1310" t="s">
        <v>43</v>
      </c>
      <c r="L1310">
        <v>33.78</v>
      </c>
      <c r="M1310" s="1">
        <v>45786</v>
      </c>
      <c r="N1310" t="s">
        <v>79</v>
      </c>
      <c r="O1310">
        <v>9</v>
      </c>
      <c r="P1310">
        <v>5</v>
      </c>
      <c r="Q1310">
        <v>2</v>
      </c>
      <c r="R1310">
        <v>2025</v>
      </c>
    </row>
    <row r="1311" spans="1:18">
      <c r="A1311">
        <v>209.84</v>
      </c>
      <c r="B1311">
        <v>2</v>
      </c>
      <c r="C1311">
        <v>1310</v>
      </c>
      <c r="D1311" s="2">
        <v>0.90619328703703705</v>
      </c>
      <c r="E1311" t="s">
        <v>2839</v>
      </c>
      <c r="F1311" t="s">
        <v>2840</v>
      </c>
      <c r="G1311" t="s">
        <v>1124</v>
      </c>
      <c r="H1311" t="s">
        <v>1740</v>
      </c>
      <c r="I1311" t="s">
        <v>954</v>
      </c>
      <c r="J1311" t="s">
        <v>351</v>
      </c>
      <c r="K1311" t="s">
        <v>57</v>
      </c>
      <c r="L1311">
        <v>104.92</v>
      </c>
      <c r="M1311" s="1">
        <v>46259</v>
      </c>
      <c r="N1311" t="s">
        <v>48</v>
      </c>
      <c r="O1311">
        <v>25</v>
      </c>
      <c r="P1311">
        <v>8</v>
      </c>
      <c r="Q1311">
        <v>3</v>
      </c>
      <c r="R1311">
        <v>2026</v>
      </c>
    </row>
    <row r="1312" spans="1:18">
      <c r="A1312">
        <v>435.24</v>
      </c>
      <c r="B1312">
        <v>4</v>
      </c>
      <c r="C1312">
        <v>1311</v>
      </c>
      <c r="D1312" s="2">
        <v>9.1651724537037044E-2</v>
      </c>
      <c r="E1312" t="s">
        <v>2002</v>
      </c>
      <c r="F1312" t="s">
        <v>2003</v>
      </c>
      <c r="G1312" t="s">
        <v>2004</v>
      </c>
      <c r="H1312" t="s">
        <v>794</v>
      </c>
      <c r="I1312" t="s">
        <v>821</v>
      </c>
      <c r="J1312" t="s">
        <v>453</v>
      </c>
      <c r="K1312" t="s">
        <v>55</v>
      </c>
      <c r="L1312">
        <v>108.81</v>
      </c>
      <c r="M1312" s="1">
        <v>45976</v>
      </c>
      <c r="N1312" t="s">
        <v>14</v>
      </c>
      <c r="O1312">
        <v>15</v>
      </c>
      <c r="P1312">
        <v>11</v>
      </c>
      <c r="Q1312">
        <v>4</v>
      </c>
      <c r="R1312">
        <v>2025</v>
      </c>
    </row>
    <row r="1313" spans="1:18">
      <c r="A1313">
        <v>25.46</v>
      </c>
      <c r="B1313">
        <v>1</v>
      </c>
      <c r="C1313">
        <v>1312</v>
      </c>
      <c r="D1313" s="2">
        <v>0.59305508101851856</v>
      </c>
      <c r="E1313" t="s">
        <v>3423</v>
      </c>
      <c r="F1313" t="s">
        <v>3424</v>
      </c>
      <c r="G1313" t="s">
        <v>1859</v>
      </c>
      <c r="H1313" t="s">
        <v>829</v>
      </c>
      <c r="I1313" t="s">
        <v>830</v>
      </c>
      <c r="J1313" t="s">
        <v>86</v>
      </c>
      <c r="K1313" t="s">
        <v>46</v>
      </c>
      <c r="L1313">
        <v>25.46</v>
      </c>
      <c r="M1313" s="1">
        <v>46013</v>
      </c>
      <c r="N1313" t="s">
        <v>93</v>
      </c>
      <c r="O1313">
        <v>22</v>
      </c>
      <c r="P1313">
        <v>12</v>
      </c>
      <c r="Q1313">
        <v>4</v>
      </c>
      <c r="R1313">
        <v>2025</v>
      </c>
    </row>
    <row r="1314" spans="1:18">
      <c r="A1314">
        <v>684.78</v>
      </c>
      <c r="B1314">
        <v>3</v>
      </c>
      <c r="C1314">
        <v>1313</v>
      </c>
      <c r="D1314" s="2">
        <v>0.7942206828703704</v>
      </c>
      <c r="E1314" t="s">
        <v>1473</v>
      </c>
      <c r="F1314" t="s">
        <v>1474</v>
      </c>
      <c r="G1314" t="s">
        <v>751</v>
      </c>
      <c r="H1314" t="s">
        <v>862</v>
      </c>
      <c r="I1314" t="s">
        <v>981</v>
      </c>
      <c r="J1314" t="s">
        <v>268</v>
      </c>
      <c r="K1314" t="s">
        <v>97</v>
      </c>
      <c r="L1314">
        <v>228.26</v>
      </c>
      <c r="M1314" s="1">
        <v>45960</v>
      </c>
      <c r="N1314" t="s">
        <v>105</v>
      </c>
      <c r="O1314">
        <v>30</v>
      </c>
      <c r="P1314">
        <v>10</v>
      </c>
      <c r="Q1314">
        <v>4</v>
      </c>
      <c r="R1314">
        <v>2025</v>
      </c>
    </row>
    <row r="1315" spans="1:18">
      <c r="A1315">
        <v>969.44</v>
      </c>
      <c r="B1315">
        <v>4</v>
      </c>
      <c r="C1315">
        <v>1314</v>
      </c>
      <c r="D1315" s="2">
        <v>0.14075587962962963</v>
      </c>
      <c r="E1315" t="s">
        <v>2983</v>
      </c>
      <c r="F1315" t="s">
        <v>2570</v>
      </c>
      <c r="G1315" t="s">
        <v>1965</v>
      </c>
      <c r="H1315" t="s">
        <v>869</v>
      </c>
      <c r="I1315" t="s">
        <v>812</v>
      </c>
      <c r="J1315" t="s">
        <v>115</v>
      </c>
      <c r="K1315" t="s">
        <v>55</v>
      </c>
      <c r="L1315">
        <v>242.36</v>
      </c>
      <c r="M1315" s="1">
        <v>45782</v>
      </c>
      <c r="N1315" t="s">
        <v>93</v>
      </c>
      <c r="O1315">
        <v>5</v>
      </c>
      <c r="P1315">
        <v>5</v>
      </c>
      <c r="Q1315">
        <v>2</v>
      </c>
      <c r="R1315">
        <v>2025</v>
      </c>
    </row>
    <row r="1316" spans="1:18">
      <c r="A1316">
        <v>151.94999999999999</v>
      </c>
      <c r="B1316">
        <v>3</v>
      </c>
      <c r="C1316">
        <v>1315</v>
      </c>
      <c r="D1316" s="2">
        <v>0.82773356481481486</v>
      </c>
      <c r="E1316" t="s">
        <v>796</v>
      </c>
      <c r="F1316" t="s">
        <v>797</v>
      </c>
      <c r="G1316" t="s">
        <v>798</v>
      </c>
      <c r="H1316" t="s">
        <v>780</v>
      </c>
      <c r="I1316" t="s">
        <v>781</v>
      </c>
      <c r="J1316" t="s">
        <v>403</v>
      </c>
      <c r="K1316" t="s">
        <v>23</v>
      </c>
      <c r="L1316">
        <v>50.65</v>
      </c>
      <c r="M1316" s="1">
        <v>45839</v>
      </c>
      <c r="N1316" t="s">
        <v>48</v>
      </c>
      <c r="O1316">
        <v>1</v>
      </c>
      <c r="P1316">
        <v>7</v>
      </c>
      <c r="Q1316">
        <v>3</v>
      </c>
      <c r="R1316">
        <v>2025</v>
      </c>
    </row>
    <row r="1317" spans="1:18">
      <c r="A1317">
        <v>803.85</v>
      </c>
      <c r="B1317">
        <v>5</v>
      </c>
      <c r="C1317">
        <v>1316</v>
      </c>
      <c r="D1317" s="2">
        <v>0.98651122685185189</v>
      </c>
      <c r="E1317" t="s">
        <v>1789</v>
      </c>
      <c r="F1317" t="s">
        <v>1790</v>
      </c>
      <c r="G1317" t="s">
        <v>1791</v>
      </c>
      <c r="H1317" t="s">
        <v>1630</v>
      </c>
      <c r="I1317" t="s">
        <v>763</v>
      </c>
      <c r="J1317" t="s">
        <v>44</v>
      </c>
      <c r="K1317" t="s">
        <v>31</v>
      </c>
      <c r="L1317">
        <v>160.77000000000001</v>
      </c>
      <c r="M1317" s="1">
        <v>45567</v>
      </c>
      <c r="N1317" t="s">
        <v>34</v>
      </c>
      <c r="O1317">
        <v>2</v>
      </c>
      <c r="P1317">
        <v>10</v>
      </c>
      <c r="Q1317">
        <v>4</v>
      </c>
      <c r="R1317">
        <v>2024</v>
      </c>
    </row>
    <row r="1318" spans="1:18">
      <c r="A1318">
        <v>134.24</v>
      </c>
      <c r="B1318">
        <v>4</v>
      </c>
      <c r="C1318">
        <v>1317</v>
      </c>
      <c r="D1318" s="2">
        <v>0.73371921296296294</v>
      </c>
      <c r="E1318" t="s">
        <v>2577</v>
      </c>
      <c r="F1318" t="s">
        <v>2578</v>
      </c>
      <c r="G1318" t="s">
        <v>1508</v>
      </c>
      <c r="H1318" t="s">
        <v>1600</v>
      </c>
      <c r="I1318" t="s">
        <v>768</v>
      </c>
      <c r="J1318" t="s">
        <v>609</v>
      </c>
      <c r="K1318" t="s">
        <v>27</v>
      </c>
      <c r="L1318">
        <v>33.56</v>
      </c>
      <c r="M1318" s="1">
        <v>46115</v>
      </c>
      <c r="N1318" t="s">
        <v>79</v>
      </c>
      <c r="O1318">
        <v>3</v>
      </c>
      <c r="P1318">
        <v>4</v>
      </c>
      <c r="Q1318">
        <v>2</v>
      </c>
      <c r="R1318">
        <v>2026</v>
      </c>
    </row>
    <row r="1319" spans="1:18">
      <c r="A1319">
        <v>99.390000000000015</v>
      </c>
      <c r="B1319">
        <v>3</v>
      </c>
      <c r="C1319">
        <v>1318</v>
      </c>
      <c r="D1319" s="2">
        <v>0.13848295138888889</v>
      </c>
      <c r="E1319" t="s">
        <v>3060</v>
      </c>
      <c r="F1319" t="s">
        <v>2894</v>
      </c>
      <c r="G1319" t="s">
        <v>925</v>
      </c>
      <c r="H1319" t="s">
        <v>513</v>
      </c>
      <c r="I1319" t="s">
        <v>786</v>
      </c>
      <c r="J1319" t="s">
        <v>164</v>
      </c>
      <c r="K1319" t="s">
        <v>46</v>
      </c>
      <c r="L1319">
        <v>33.130000000000003</v>
      </c>
      <c r="M1319" s="1">
        <v>46170</v>
      </c>
      <c r="N1319" t="s">
        <v>105</v>
      </c>
      <c r="O1319">
        <v>28</v>
      </c>
      <c r="P1319">
        <v>5</v>
      </c>
      <c r="Q1319">
        <v>2</v>
      </c>
      <c r="R1319">
        <v>2026</v>
      </c>
    </row>
    <row r="1320" spans="1:18">
      <c r="A1320">
        <v>202.53</v>
      </c>
      <c r="B1320">
        <v>1</v>
      </c>
      <c r="C1320">
        <v>1319</v>
      </c>
      <c r="D1320" s="2">
        <v>0.21079319444444444</v>
      </c>
      <c r="E1320" t="s">
        <v>2384</v>
      </c>
      <c r="F1320" t="s">
        <v>2385</v>
      </c>
      <c r="G1320" t="s">
        <v>2386</v>
      </c>
      <c r="H1320" t="s">
        <v>1469</v>
      </c>
      <c r="I1320" t="s">
        <v>908</v>
      </c>
      <c r="J1320" t="s">
        <v>251</v>
      </c>
      <c r="K1320" t="s">
        <v>122</v>
      </c>
      <c r="L1320">
        <v>202.53</v>
      </c>
      <c r="M1320" s="1">
        <v>45796</v>
      </c>
      <c r="N1320" t="s">
        <v>93</v>
      </c>
      <c r="O1320">
        <v>19</v>
      </c>
      <c r="P1320">
        <v>5</v>
      </c>
      <c r="Q1320">
        <v>2</v>
      </c>
      <c r="R1320">
        <v>2025</v>
      </c>
    </row>
    <row r="1321" spans="1:18">
      <c r="A1321">
        <v>166.85</v>
      </c>
      <c r="B1321">
        <v>5</v>
      </c>
      <c r="C1321">
        <v>1320</v>
      </c>
      <c r="D1321" s="2">
        <v>0.4395628240740741</v>
      </c>
      <c r="E1321" t="s">
        <v>2953</v>
      </c>
      <c r="F1321" t="s">
        <v>2954</v>
      </c>
      <c r="G1321" t="s">
        <v>1698</v>
      </c>
      <c r="H1321" t="s">
        <v>1395</v>
      </c>
      <c r="I1321" t="s">
        <v>776</v>
      </c>
      <c r="J1321" t="s">
        <v>388</v>
      </c>
      <c r="K1321" t="s">
        <v>46</v>
      </c>
      <c r="L1321">
        <v>33.369999999999997</v>
      </c>
      <c r="M1321" s="1">
        <v>45818</v>
      </c>
      <c r="N1321" t="s">
        <v>48</v>
      </c>
      <c r="O1321">
        <v>10</v>
      </c>
      <c r="P1321">
        <v>6</v>
      </c>
      <c r="Q1321">
        <v>2</v>
      </c>
      <c r="R1321">
        <v>2025</v>
      </c>
    </row>
    <row r="1322" spans="1:18">
      <c r="A1322">
        <v>224.2</v>
      </c>
      <c r="B1322">
        <v>4</v>
      </c>
      <c r="C1322">
        <v>1321</v>
      </c>
      <c r="D1322" s="2">
        <v>9.352803240740741E-2</v>
      </c>
      <c r="E1322" t="s">
        <v>1627</v>
      </c>
      <c r="F1322" t="s">
        <v>1628</v>
      </c>
      <c r="G1322" t="s">
        <v>1629</v>
      </c>
      <c r="H1322" t="s">
        <v>1630</v>
      </c>
      <c r="I1322" t="s">
        <v>763</v>
      </c>
      <c r="J1322" t="s">
        <v>32</v>
      </c>
      <c r="K1322" t="s">
        <v>19</v>
      </c>
      <c r="L1322">
        <v>56.05</v>
      </c>
      <c r="M1322" s="1">
        <v>46035</v>
      </c>
      <c r="N1322" t="s">
        <v>48</v>
      </c>
      <c r="O1322">
        <v>13</v>
      </c>
      <c r="P1322">
        <v>1</v>
      </c>
      <c r="Q1322">
        <v>1</v>
      </c>
      <c r="R1322">
        <v>2026</v>
      </c>
    </row>
    <row r="1323" spans="1:18">
      <c r="A1323">
        <v>940.44</v>
      </c>
      <c r="B1323">
        <v>4</v>
      </c>
      <c r="C1323">
        <v>1322</v>
      </c>
      <c r="D1323" s="2">
        <v>5.4948958333333332E-2</v>
      </c>
      <c r="E1323" t="s">
        <v>3112</v>
      </c>
      <c r="F1323" t="s">
        <v>3113</v>
      </c>
      <c r="G1323" t="s">
        <v>3114</v>
      </c>
      <c r="H1323" t="s">
        <v>1107</v>
      </c>
      <c r="I1323" t="s">
        <v>763</v>
      </c>
      <c r="J1323" t="s">
        <v>337</v>
      </c>
      <c r="K1323" t="s">
        <v>37</v>
      </c>
      <c r="L1323">
        <v>235.11</v>
      </c>
      <c r="M1323" s="1">
        <v>45857</v>
      </c>
      <c r="N1323" t="s">
        <v>14</v>
      </c>
      <c r="O1323">
        <v>19</v>
      </c>
      <c r="P1323">
        <v>7</v>
      </c>
      <c r="Q1323">
        <v>3</v>
      </c>
      <c r="R1323">
        <v>2025</v>
      </c>
    </row>
    <row r="1324" spans="1:18">
      <c r="A1324">
        <v>165.38</v>
      </c>
      <c r="B1324">
        <v>2</v>
      </c>
      <c r="C1324">
        <v>1323</v>
      </c>
      <c r="D1324" s="2">
        <v>0.41091677083333333</v>
      </c>
      <c r="E1324" t="s">
        <v>2063</v>
      </c>
      <c r="F1324" t="s">
        <v>2064</v>
      </c>
      <c r="G1324" t="s">
        <v>2065</v>
      </c>
      <c r="H1324" t="s">
        <v>1156</v>
      </c>
      <c r="I1324" t="s">
        <v>821</v>
      </c>
      <c r="J1324" t="s">
        <v>650</v>
      </c>
      <c r="K1324" t="s">
        <v>37</v>
      </c>
      <c r="L1324">
        <v>82.69</v>
      </c>
      <c r="M1324" s="1">
        <v>45848</v>
      </c>
      <c r="N1324" t="s">
        <v>105</v>
      </c>
      <c r="O1324">
        <v>10</v>
      </c>
      <c r="P1324">
        <v>7</v>
      </c>
      <c r="Q1324">
        <v>3</v>
      </c>
      <c r="R1324">
        <v>2025</v>
      </c>
    </row>
    <row r="1325" spans="1:18">
      <c r="A1325">
        <v>240.58</v>
      </c>
      <c r="B1325">
        <v>1</v>
      </c>
      <c r="C1325">
        <v>1324</v>
      </c>
      <c r="D1325" s="2">
        <v>0.2473430787037037</v>
      </c>
      <c r="E1325" t="s">
        <v>2157</v>
      </c>
      <c r="F1325" t="s">
        <v>2158</v>
      </c>
      <c r="G1325" t="s">
        <v>849</v>
      </c>
      <c r="H1325" t="s">
        <v>1339</v>
      </c>
      <c r="I1325" t="s">
        <v>1247</v>
      </c>
      <c r="J1325" t="s">
        <v>475</v>
      </c>
      <c r="K1325" t="s">
        <v>27</v>
      </c>
      <c r="L1325">
        <v>240.58</v>
      </c>
      <c r="M1325" s="1">
        <v>46175</v>
      </c>
      <c r="N1325" t="s">
        <v>48</v>
      </c>
      <c r="O1325">
        <v>2</v>
      </c>
      <c r="P1325">
        <v>6</v>
      </c>
      <c r="Q1325">
        <v>2</v>
      </c>
      <c r="R1325">
        <v>2026</v>
      </c>
    </row>
    <row r="1326" spans="1:18">
      <c r="A1326">
        <v>1169.55</v>
      </c>
      <c r="B1326">
        <v>5</v>
      </c>
      <c r="C1326">
        <v>1325</v>
      </c>
      <c r="D1326" s="2">
        <v>0.68124736111111106</v>
      </c>
      <c r="E1326" t="s">
        <v>1743</v>
      </c>
      <c r="F1326" t="s">
        <v>1744</v>
      </c>
      <c r="G1326" t="s">
        <v>1745</v>
      </c>
      <c r="H1326" t="s">
        <v>666</v>
      </c>
      <c r="I1326" t="s">
        <v>954</v>
      </c>
      <c r="J1326" t="s">
        <v>272</v>
      </c>
      <c r="K1326" t="s">
        <v>55</v>
      </c>
      <c r="L1326">
        <v>233.91</v>
      </c>
      <c r="M1326" s="1">
        <v>46058</v>
      </c>
      <c r="N1326" t="s">
        <v>105</v>
      </c>
      <c r="O1326">
        <v>5</v>
      </c>
      <c r="P1326">
        <v>2</v>
      </c>
      <c r="Q1326">
        <v>1</v>
      </c>
      <c r="R1326">
        <v>2026</v>
      </c>
    </row>
    <row r="1327" spans="1:18">
      <c r="A1327">
        <v>77.47</v>
      </c>
      <c r="B1327">
        <v>1</v>
      </c>
      <c r="C1327">
        <v>1326</v>
      </c>
      <c r="D1327" s="2">
        <v>0.87387984953703701</v>
      </c>
      <c r="E1327" t="s">
        <v>2858</v>
      </c>
      <c r="F1327" t="s">
        <v>2859</v>
      </c>
      <c r="G1327" t="s">
        <v>1418</v>
      </c>
      <c r="H1327" t="s">
        <v>879</v>
      </c>
      <c r="I1327" t="s">
        <v>748</v>
      </c>
      <c r="J1327" t="s">
        <v>638</v>
      </c>
      <c r="K1327" t="s">
        <v>100</v>
      </c>
      <c r="L1327">
        <v>77.47</v>
      </c>
      <c r="M1327" s="1">
        <v>45635</v>
      </c>
      <c r="N1327" t="s">
        <v>93</v>
      </c>
      <c r="O1327">
        <v>9</v>
      </c>
      <c r="P1327">
        <v>12</v>
      </c>
      <c r="Q1327">
        <v>4</v>
      </c>
      <c r="R1327">
        <v>2024</v>
      </c>
    </row>
    <row r="1328" spans="1:18">
      <c r="A1328">
        <v>235.19</v>
      </c>
      <c r="B1328">
        <v>1</v>
      </c>
      <c r="C1328">
        <v>1327</v>
      </c>
      <c r="D1328" s="2">
        <v>0.15849653935185185</v>
      </c>
      <c r="E1328" t="s">
        <v>1748</v>
      </c>
      <c r="F1328" t="s">
        <v>1749</v>
      </c>
      <c r="G1328" t="s">
        <v>766</v>
      </c>
      <c r="H1328" t="s">
        <v>980</v>
      </c>
      <c r="I1328" t="s">
        <v>981</v>
      </c>
      <c r="J1328" t="s">
        <v>396</v>
      </c>
      <c r="K1328" t="s">
        <v>122</v>
      </c>
      <c r="L1328">
        <v>235.19</v>
      </c>
      <c r="M1328" s="1">
        <v>46248</v>
      </c>
      <c r="N1328" t="s">
        <v>79</v>
      </c>
      <c r="O1328">
        <v>14</v>
      </c>
      <c r="P1328">
        <v>8</v>
      </c>
      <c r="Q1328">
        <v>3</v>
      </c>
      <c r="R1328">
        <v>2026</v>
      </c>
    </row>
    <row r="1329" spans="1:18">
      <c r="A1329">
        <v>565.44000000000005</v>
      </c>
      <c r="B1329">
        <v>4</v>
      </c>
      <c r="C1329">
        <v>1328</v>
      </c>
      <c r="D1329" s="2">
        <v>0.76474500000000001</v>
      </c>
      <c r="E1329" t="s">
        <v>3187</v>
      </c>
      <c r="F1329" t="s">
        <v>3188</v>
      </c>
      <c r="G1329" t="s">
        <v>1501</v>
      </c>
      <c r="H1329" t="s">
        <v>1189</v>
      </c>
      <c r="I1329" t="s">
        <v>892</v>
      </c>
      <c r="J1329" t="s">
        <v>181</v>
      </c>
      <c r="K1329" t="s">
        <v>82</v>
      </c>
      <c r="L1329">
        <v>141.36000000000001</v>
      </c>
      <c r="M1329" s="1">
        <v>45704</v>
      </c>
      <c r="N1329" t="s">
        <v>28</v>
      </c>
      <c r="O1329">
        <v>16</v>
      </c>
      <c r="P1329">
        <v>2</v>
      </c>
      <c r="Q1329">
        <v>1</v>
      </c>
      <c r="R1329">
        <v>2025</v>
      </c>
    </row>
    <row r="1330" spans="1:18">
      <c r="A1330">
        <v>14.05</v>
      </c>
      <c r="B1330">
        <v>1</v>
      </c>
      <c r="C1330">
        <v>1329</v>
      </c>
      <c r="D1330" s="2">
        <v>0.43454833333333331</v>
      </c>
      <c r="E1330" t="s">
        <v>754</v>
      </c>
      <c r="F1330" t="s">
        <v>755</v>
      </c>
      <c r="G1330" t="s">
        <v>756</v>
      </c>
      <c r="H1330" t="s">
        <v>757</v>
      </c>
      <c r="I1330" t="s">
        <v>758</v>
      </c>
      <c r="J1330" t="s">
        <v>435</v>
      </c>
      <c r="K1330" t="s">
        <v>51</v>
      </c>
      <c r="L1330">
        <v>14.05</v>
      </c>
      <c r="M1330" s="1">
        <v>45887</v>
      </c>
      <c r="N1330" t="s">
        <v>93</v>
      </c>
      <c r="O1330">
        <v>18</v>
      </c>
      <c r="P1330">
        <v>8</v>
      </c>
      <c r="Q1330">
        <v>3</v>
      </c>
      <c r="R1330">
        <v>2025</v>
      </c>
    </row>
    <row r="1331" spans="1:18">
      <c r="A1331">
        <v>142.88999999999999</v>
      </c>
      <c r="B1331">
        <v>1</v>
      </c>
      <c r="C1331">
        <v>1330</v>
      </c>
      <c r="D1331" s="2">
        <v>0.86999135416666662</v>
      </c>
      <c r="E1331" t="s">
        <v>759</v>
      </c>
      <c r="F1331" t="s">
        <v>760</v>
      </c>
      <c r="G1331" t="s">
        <v>761</v>
      </c>
      <c r="H1331" t="s">
        <v>762</v>
      </c>
      <c r="I1331" t="s">
        <v>763</v>
      </c>
      <c r="J1331" t="s">
        <v>232</v>
      </c>
      <c r="K1331" t="s">
        <v>97</v>
      </c>
      <c r="L1331">
        <v>142.88999999999999</v>
      </c>
      <c r="M1331" s="1">
        <v>45900</v>
      </c>
      <c r="N1331" t="s">
        <v>28</v>
      </c>
      <c r="O1331">
        <v>31</v>
      </c>
      <c r="P1331">
        <v>8</v>
      </c>
      <c r="Q1331">
        <v>3</v>
      </c>
      <c r="R1331">
        <v>2025</v>
      </c>
    </row>
    <row r="1332" spans="1:18">
      <c r="A1332">
        <v>819.80000000000007</v>
      </c>
      <c r="B1332">
        <v>5</v>
      </c>
      <c r="C1332">
        <v>1331</v>
      </c>
      <c r="D1332" s="2">
        <v>0.22348175925925926</v>
      </c>
      <c r="E1332" t="s">
        <v>3167</v>
      </c>
      <c r="F1332" t="s">
        <v>3168</v>
      </c>
      <c r="G1332" t="s">
        <v>1117</v>
      </c>
      <c r="H1332" t="s">
        <v>1920</v>
      </c>
      <c r="I1332" t="s">
        <v>807</v>
      </c>
      <c r="J1332" t="s">
        <v>731</v>
      </c>
      <c r="K1332" t="s">
        <v>21</v>
      </c>
      <c r="L1332">
        <v>163.96</v>
      </c>
      <c r="M1332" s="1">
        <v>45897</v>
      </c>
      <c r="N1332" t="s">
        <v>105</v>
      </c>
      <c r="O1332">
        <v>28</v>
      </c>
      <c r="P1332">
        <v>8</v>
      </c>
      <c r="Q1332">
        <v>3</v>
      </c>
      <c r="R1332">
        <v>2025</v>
      </c>
    </row>
    <row r="1333" spans="1:18">
      <c r="A1333">
        <v>59.52</v>
      </c>
      <c r="B1333">
        <v>4</v>
      </c>
      <c r="C1333">
        <v>1332</v>
      </c>
      <c r="D1333" s="2">
        <v>8.0127615740740746E-2</v>
      </c>
      <c r="E1333" t="s">
        <v>3398</v>
      </c>
      <c r="F1333" t="s">
        <v>3399</v>
      </c>
      <c r="G1333" t="s">
        <v>2306</v>
      </c>
      <c r="H1333" t="s">
        <v>211</v>
      </c>
      <c r="I1333" t="s">
        <v>966</v>
      </c>
      <c r="J1333" t="s">
        <v>349</v>
      </c>
      <c r="K1333" t="s">
        <v>51</v>
      </c>
      <c r="L1333">
        <v>14.88</v>
      </c>
      <c r="M1333" s="1">
        <v>46082</v>
      </c>
      <c r="N1333" t="s">
        <v>28</v>
      </c>
      <c r="O1333">
        <v>1</v>
      </c>
      <c r="P1333">
        <v>3</v>
      </c>
      <c r="Q1333">
        <v>1</v>
      </c>
      <c r="R1333">
        <v>2026</v>
      </c>
    </row>
    <row r="1334" spans="1:18">
      <c r="A1334">
        <v>90.42</v>
      </c>
      <c r="B1334">
        <v>2</v>
      </c>
      <c r="C1334">
        <v>1333</v>
      </c>
      <c r="D1334" s="2">
        <v>0.96951453703703705</v>
      </c>
      <c r="E1334" t="s">
        <v>1827</v>
      </c>
      <c r="F1334" t="s">
        <v>1828</v>
      </c>
      <c r="G1334" t="s">
        <v>1829</v>
      </c>
      <c r="H1334" t="s">
        <v>1339</v>
      </c>
      <c r="I1334" t="s">
        <v>1247</v>
      </c>
      <c r="J1334" t="s">
        <v>542</v>
      </c>
      <c r="K1334" t="s">
        <v>46</v>
      </c>
      <c r="L1334">
        <v>45.21</v>
      </c>
      <c r="M1334" s="1">
        <v>46134</v>
      </c>
      <c r="N1334" t="s">
        <v>34</v>
      </c>
      <c r="O1334">
        <v>22</v>
      </c>
      <c r="P1334">
        <v>4</v>
      </c>
      <c r="Q1334">
        <v>2</v>
      </c>
      <c r="R1334">
        <v>2026</v>
      </c>
    </row>
    <row r="1335" spans="1:18">
      <c r="A1335">
        <v>836.08</v>
      </c>
      <c r="B1335">
        <v>4</v>
      </c>
      <c r="C1335">
        <v>1334</v>
      </c>
      <c r="D1335" s="2">
        <v>0.67236442129629626</v>
      </c>
      <c r="E1335" t="s">
        <v>855</v>
      </c>
      <c r="F1335" t="s">
        <v>856</v>
      </c>
      <c r="G1335" t="s">
        <v>857</v>
      </c>
      <c r="H1335" t="s">
        <v>858</v>
      </c>
      <c r="I1335" t="s">
        <v>753</v>
      </c>
      <c r="J1335" t="s">
        <v>62</v>
      </c>
      <c r="K1335" t="s">
        <v>17</v>
      </c>
      <c r="L1335">
        <v>209.02</v>
      </c>
      <c r="M1335" s="1">
        <v>45640</v>
      </c>
      <c r="N1335" t="s">
        <v>14</v>
      </c>
      <c r="O1335">
        <v>14</v>
      </c>
      <c r="P1335">
        <v>12</v>
      </c>
      <c r="Q1335">
        <v>4</v>
      </c>
      <c r="R1335">
        <v>2024</v>
      </c>
    </row>
    <row r="1336" spans="1:18">
      <c r="A1336">
        <v>384.7</v>
      </c>
      <c r="B1336">
        <v>5</v>
      </c>
      <c r="C1336">
        <v>1335</v>
      </c>
      <c r="D1336" s="2">
        <v>4.3363391203703701E-2</v>
      </c>
      <c r="E1336" t="s">
        <v>2795</v>
      </c>
      <c r="F1336" t="s">
        <v>2796</v>
      </c>
      <c r="G1336" t="s">
        <v>2797</v>
      </c>
      <c r="H1336" t="s">
        <v>1691</v>
      </c>
      <c r="I1336" t="s">
        <v>821</v>
      </c>
      <c r="J1336" t="s">
        <v>119</v>
      </c>
      <c r="K1336" t="s">
        <v>60</v>
      </c>
      <c r="L1336">
        <v>76.94</v>
      </c>
      <c r="M1336" s="1">
        <v>45822</v>
      </c>
      <c r="N1336" t="s">
        <v>14</v>
      </c>
      <c r="O1336">
        <v>14</v>
      </c>
      <c r="P1336">
        <v>6</v>
      </c>
      <c r="Q1336">
        <v>2</v>
      </c>
      <c r="R1336">
        <v>2025</v>
      </c>
    </row>
    <row r="1337" spans="1:18">
      <c r="A1337">
        <v>488.48</v>
      </c>
      <c r="B1337">
        <v>2</v>
      </c>
      <c r="C1337">
        <v>1336</v>
      </c>
      <c r="D1337" s="2">
        <v>0.92921304398148152</v>
      </c>
      <c r="E1337" t="s">
        <v>3431</v>
      </c>
      <c r="F1337" t="s">
        <v>3432</v>
      </c>
      <c r="G1337" t="s">
        <v>2331</v>
      </c>
      <c r="H1337" t="s">
        <v>345</v>
      </c>
      <c r="I1337" t="s">
        <v>892</v>
      </c>
      <c r="J1337" t="s">
        <v>61</v>
      </c>
      <c r="K1337" t="s">
        <v>55</v>
      </c>
      <c r="L1337">
        <v>244.24</v>
      </c>
      <c r="M1337" s="1">
        <v>46068</v>
      </c>
      <c r="N1337" t="s">
        <v>28</v>
      </c>
      <c r="O1337">
        <v>15</v>
      </c>
      <c r="P1337">
        <v>2</v>
      </c>
      <c r="Q1337">
        <v>1</v>
      </c>
      <c r="R1337">
        <v>2026</v>
      </c>
    </row>
    <row r="1338" spans="1:18">
      <c r="A1338">
        <v>933.68</v>
      </c>
      <c r="B1338">
        <v>4</v>
      </c>
      <c r="C1338">
        <v>1337</v>
      </c>
      <c r="D1338" s="2">
        <v>0.23069471064814814</v>
      </c>
      <c r="E1338" t="s">
        <v>2221</v>
      </c>
      <c r="F1338" t="s">
        <v>2222</v>
      </c>
      <c r="G1338" t="s">
        <v>798</v>
      </c>
      <c r="H1338" t="s">
        <v>816</v>
      </c>
      <c r="I1338" t="s">
        <v>817</v>
      </c>
      <c r="J1338" t="s">
        <v>632</v>
      </c>
      <c r="K1338" t="s">
        <v>57</v>
      </c>
      <c r="L1338">
        <v>233.42</v>
      </c>
      <c r="M1338" s="1">
        <v>45946</v>
      </c>
      <c r="N1338" t="s">
        <v>105</v>
      </c>
      <c r="O1338">
        <v>16</v>
      </c>
      <c r="P1338">
        <v>10</v>
      </c>
      <c r="Q1338">
        <v>4</v>
      </c>
      <c r="R1338">
        <v>2025</v>
      </c>
    </row>
    <row r="1339" spans="1:18">
      <c r="A1339">
        <v>103.69999999999999</v>
      </c>
      <c r="B1339">
        <v>5</v>
      </c>
      <c r="C1339">
        <v>1338</v>
      </c>
      <c r="D1339" s="2">
        <v>0.52410502314814811</v>
      </c>
      <c r="E1339" t="s">
        <v>3191</v>
      </c>
      <c r="F1339" t="s">
        <v>3192</v>
      </c>
      <c r="G1339" t="s">
        <v>1862</v>
      </c>
      <c r="H1339" t="s">
        <v>1465</v>
      </c>
      <c r="I1339" t="s">
        <v>817</v>
      </c>
      <c r="J1339" t="s">
        <v>70</v>
      </c>
      <c r="K1339" t="s">
        <v>27</v>
      </c>
      <c r="L1339">
        <v>20.74</v>
      </c>
      <c r="M1339" s="1">
        <v>45975</v>
      </c>
      <c r="N1339" t="s">
        <v>79</v>
      </c>
      <c r="O1339">
        <v>14</v>
      </c>
      <c r="P1339">
        <v>11</v>
      </c>
      <c r="Q1339">
        <v>4</v>
      </c>
      <c r="R1339">
        <v>2025</v>
      </c>
    </row>
    <row r="1340" spans="1:18">
      <c r="A1340">
        <v>363.42</v>
      </c>
      <c r="B1340">
        <v>3</v>
      </c>
      <c r="C1340">
        <v>1339</v>
      </c>
      <c r="D1340" s="2">
        <v>0.60059590277777775</v>
      </c>
      <c r="E1340" t="s">
        <v>3272</v>
      </c>
      <c r="F1340" t="s">
        <v>3273</v>
      </c>
      <c r="G1340" t="s">
        <v>2416</v>
      </c>
      <c r="H1340" t="s">
        <v>1740</v>
      </c>
      <c r="I1340" t="s">
        <v>954</v>
      </c>
      <c r="J1340" t="s">
        <v>640</v>
      </c>
      <c r="K1340" t="s">
        <v>82</v>
      </c>
      <c r="L1340">
        <v>121.14</v>
      </c>
      <c r="M1340" s="1">
        <v>45857</v>
      </c>
      <c r="N1340" t="s">
        <v>14</v>
      </c>
      <c r="O1340">
        <v>19</v>
      </c>
      <c r="P1340">
        <v>7</v>
      </c>
      <c r="Q1340">
        <v>3</v>
      </c>
      <c r="R1340">
        <v>2025</v>
      </c>
    </row>
    <row r="1341" spans="1:18">
      <c r="A1341">
        <v>888.08</v>
      </c>
      <c r="B1341">
        <v>4</v>
      </c>
      <c r="C1341">
        <v>1340</v>
      </c>
      <c r="D1341" s="2">
        <v>0.21635888888888888</v>
      </c>
      <c r="E1341" t="s">
        <v>1354</v>
      </c>
      <c r="F1341" t="s">
        <v>1355</v>
      </c>
      <c r="G1341" t="s">
        <v>1324</v>
      </c>
      <c r="H1341" t="s">
        <v>196</v>
      </c>
      <c r="I1341" t="s">
        <v>1247</v>
      </c>
      <c r="J1341" t="s">
        <v>501</v>
      </c>
      <c r="K1341" t="s">
        <v>25</v>
      </c>
      <c r="L1341">
        <v>222.02</v>
      </c>
      <c r="M1341" s="1">
        <v>45989</v>
      </c>
      <c r="N1341" t="s">
        <v>79</v>
      </c>
      <c r="O1341">
        <v>28</v>
      </c>
      <c r="P1341">
        <v>11</v>
      </c>
      <c r="Q1341">
        <v>4</v>
      </c>
      <c r="R1341">
        <v>2025</v>
      </c>
    </row>
    <row r="1342" spans="1:18">
      <c r="A1342">
        <v>129.72999999999999</v>
      </c>
      <c r="B1342">
        <v>1</v>
      </c>
      <c r="C1342">
        <v>1341</v>
      </c>
      <c r="D1342" s="2">
        <v>0.14697244212962962</v>
      </c>
      <c r="E1342" t="s">
        <v>2928</v>
      </c>
      <c r="F1342" t="s">
        <v>2929</v>
      </c>
      <c r="G1342" t="s">
        <v>2354</v>
      </c>
      <c r="H1342" t="s">
        <v>843</v>
      </c>
      <c r="I1342" t="s">
        <v>753</v>
      </c>
      <c r="J1342" t="s">
        <v>20</v>
      </c>
      <c r="K1342" t="s">
        <v>21</v>
      </c>
      <c r="L1342">
        <v>129.72999999999999</v>
      </c>
      <c r="M1342" s="1">
        <v>45632</v>
      </c>
      <c r="N1342" t="s">
        <v>79</v>
      </c>
      <c r="O1342">
        <v>6</v>
      </c>
      <c r="P1342">
        <v>12</v>
      </c>
      <c r="Q1342">
        <v>4</v>
      </c>
      <c r="R1342">
        <v>2024</v>
      </c>
    </row>
    <row r="1343" spans="1:18">
      <c r="A1343">
        <v>1119.0999999999999</v>
      </c>
      <c r="B1343">
        <v>5</v>
      </c>
      <c r="C1343">
        <v>1342</v>
      </c>
      <c r="D1343" s="2">
        <v>0.60899549768518524</v>
      </c>
      <c r="E1343" t="s">
        <v>2028</v>
      </c>
      <c r="F1343" t="s">
        <v>2029</v>
      </c>
      <c r="G1343" t="s">
        <v>2030</v>
      </c>
      <c r="H1343" t="s">
        <v>1002</v>
      </c>
      <c r="I1343" t="s">
        <v>892</v>
      </c>
      <c r="J1343" t="s">
        <v>588</v>
      </c>
      <c r="K1343" t="s">
        <v>82</v>
      </c>
      <c r="L1343">
        <v>223.82</v>
      </c>
      <c r="M1343" s="1">
        <v>45758</v>
      </c>
      <c r="N1343" t="s">
        <v>79</v>
      </c>
      <c r="O1343">
        <v>11</v>
      </c>
      <c r="P1343">
        <v>4</v>
      </c>
      <c r="Q1343">
        <v>2</v>
      </c>
      <c r="R1343">
        <v>2025</v>
      </c>
    </row>
    <row r="1344" spans="1:18">
      <c r="A1344">
        <v>909.88</v>
      </c>
      <c r="B1344">
        <v>4</v>
      </c>
      <c r="C1344">
        <v>1343</v>
      </c>
      <c r="D1344" s="2">
        <v>0.18320700231481482</v>
      </c>
      <c r="E1344" t="s">
        <v>2717</v>
      </c>
      <c r="F1344" t="s">
        <v>2718</v>
      </c>
      <c r="G1344" t="s">
        <v>941</v>
      </c>
      <c r="H1344" t="s">
        <v>1434</v>
      </c>
      <c r="I1344" t="s">
        <v>786</v>
      </c>
      <c r="J1344" t="s">
        <v>116</v>
      </c>
      <c r="K1344" t="s">
        <v>57</v>
      </c>
      <c r="L1344">
        <v>227.47</v>
      </c>
      <c r="M1344" s="1">
        <v>45884</v>
      </c>
      <c r="N1344" t="s">
        <v>79</v>
      </c>
      <c r="O1344">
        <v>15</v>
      </c>
      <c r="P1344">
        <v>8</v>
      </c>
      <c r="Q1344">
        <v>3</v>
      </c>
      <c r="R1344">
        <v>2025</v>
      </c>
    </row>
    <row r="1345" spans="1:18">
      <c r="A1345">
        <v>9.73</v>
      </c>
      <c r="B1345">
        <v>1</v>
      </c>
      <c r="C1345">
        <v>1344</v>
      </c>
      <c r="D1345" s="2">
        <v>0.57963293981481478</v>
      </c>
      <c r="E1345" t="s">
        <v>1289</v>
      </c>
      <c r="F1345" t="s">
        <v>1290</v>
      </c>
      <c r="G1345" t="s">
        <v>1291</v>
      </c>
      <c r="H1345" t="s">
        <v>1292</v>
      </c>
      <c r="I1345" t="s">
        <v>1247</v>
      </c>
      <c r="J1345" t="s">
        <v>716</v>
      </c>
      <c r="K1345" t="s">
        <v>19</v>
      </c>
      <c r="L1345">
        <v>9.73</v>
      </c>
      <c r="M1345" s="1">
        <v>45707</v>
      </c>
      <c r="N1345" t="s">
        <v>34</v>
      </c>
      <c r="O1345">
        <v>19</v>
      </c>
      <c r="P1345">
        <v>2</v>
      </c>
      <c r="Q1345">
        <v>1</v>
      </c>
      <c r="R1345">
        <v>2025</v>
      </c>
    </row>
    <row r="1346" spans="1:18">
      <c r="A1346">
        <v>147</v>
      </c>
      <c r="B1346">
        <v>4</v>
      </c>
      <c r="C1346">
        <v>1345</v>
      </c>
      <c r="D1346" s="2">
        <v>0.30201493055555556</v>
      </c>
      <c r="E1346" t="s">
        <v>2101</v>
      </c>
      <c r="F1346" t="s">
        <v>2102</v>
      </c>
      <c r="G1346" t="s">
        <v>2103</v>
      </c>
      <c r="H1346" t="s">
        <v>1089</v>
      </c>
      <c r="I1346" t="s">
        <v>812</v>
      </c>
      <c r="J1346" t="s">
        <v>637</v>
      </c>
      <c r="K1346" t="s">
        <v>100</v>
      </c>
      <c r="L1346">
        <v>36.75</v>
      </c>
      <c r="M1346" s="1">
        <v>46259</v>
      </c>
      <c r="N1346" t="s">
        <v>48</v>
      </c>
      <c r="O1346">
        <v>25</v>
      </c>
      <c r="P1346">
        <v>8</v>
      </c>
      <c r="Q1346">
        <v>3</v>
      </c>
      <c r="R1346">
        <v>2026</v>
      </c>
    </row>
    <row r="1347" spans="1:18">
      <c r="A1347">
        <v>44.27</v>
      </c>
      <c r="B1347">
        <v>1</v>
      </c>
      <c r="C1347">
        <v>1346</v>
      </c>
      <c r="D1347" s="2">
        <v>0.45055589120370371</v>
      </c>
      <c r="E1347" t="s">
        <v>1850</v>
      </c>
      <c r="F1347" t="s">
        <v>1851</v>
      </c>
      <c r="G1347" t="s">
        <v>833</v>
      </c>
      <c r="H1347" t="s">
        <v>49</v>
      </c>
      <c r="I1347" t="s">
        <v>807</v>
      </c>
      <c r="J1347" t="s">
        <v>296</v>
      </c>
      <c r="K1347" t="s">
        <v>122</v>
      </c>
      <c r="L1347">
        <v>44.27</v>
      </c>
      <c r="M1347" s="1">
        <v>46210</v>
      </c>
      <c r="N1347" t="s">
        <v>48</v>
      </c>
      <c r="O1347">
        <v>7</v>
      </c>
      <c r="P1347">
        <v>7</v>
      </c>
      <c r="Q1347">
        <v>3</v>
      </c>
      <c r="R1347">
        <v>2026</v>
      </c>
    </row>
    <row r="1348" spans="1:18">
      <c r="A1348">
        <v>453.39</v>
      </c>
      <c r="B1348">
        <v>3</v>
      </c>
      <c r="C1348">
        <v>1347</v>
      </c>
      <c r="D1348" s="2">
        <v>0.55210129629629634</v>
      </c>
      <c r="E1348" t="s">
        <v>2381</v>
      </c>
      <c r="F1348" t="s">
        <v>2382</v>
      </c>
      <c r="G1348" t="s">
        <v>2383</v>
      </c>
      <c r="H1348" t="s">
        <v>1359</v>
      </c>
      <c r="I1348" t="s">
        <v>768</v>
      </c>
      <c r="J1348" t="s">
        <v>655</v>
      </c>
      <c r="K1348" t="s">
        <v>82</v>
      </c>
      <c r="L1348">
        <v>151.13</v>
      </c>
      <c r="M1348" s="1">
        <v>45746</v>
      </c>
      <c r="N1348" t="s">
        <v>28</v>
      </c>
      <c r="O1348">
        <v>30</v>
      </c>
      <c r="P1348">
        <v>3</v>
      </c>
      <c r="Q1348">
        <v>1</v>
      </c>
      <c r="R1348">
        <v>2025</v>
      </c>
    </row>
    <row r="1349" spans="1:18">
      <c r="A1349">
        <v>90.07</v>
      </c>
      <c r="B1349">
        <v>1</v>
      </c>
      <c r="C1349">
        <v>1348</v>
      </c>
      <c r="D1349" s="2">
        <v>0.70652212962962968</v>
      </c>
      <c r="E1349" t="s">
        <v>2528</v>
      </c>
      <c r="F1349" t="s">
        <v>2529</v>
      </c>
      <c r="G1349" t="s">
        <v>2530</v>
      </c>
      <c r="H1349" t="s">
        <v>853</v>
      </c>
      <c r="I1349" t="s">
        <v>854</v>
      </c>
      <c r="J1349" t="s">
        <v>707</v>
      </c>
      <c r="K1349" t="s">
        <v>23</v>
      </c>
      <c r="L1349">
        <v>90.07</v>
      </c>
      <c r="M1349" s="1">
        <v>45778</v>
      </c>
      <c r="N1349" t="s">
        <v>105</v>
      </c>
      <c r="O1349">
        <v>1</v>
      </c>
      <c r="P1349">
        <v>5</v>
      </c>
      <c r="Q1349">
        <v>2</v>
      </c>
      <c r="R1349">
        <v>2025</v>
      </c>
    </row>
    <row r="1350" spans="1:18">
      <c r="A1350">
        <v>243.64</v>
      </c>
      <c r="B1350">
        <v>4</v>
      </c>
      <c r="C1350">
        <v>1349</v>
      </c>
      <c r="D1350" s="2">
        <v>2.5215682870370369E-2</v>
      </c>
      <c r="E1350" t="s">
        <v>3148</v>
      </c>
      <c r="F1350" t="s">
        <v>3149</v>
      </c>
      <c r="G1350" t="s">
        <v>1709</v>
      </c>
      <c r="H1350" t="s">
        <v>691</v>
      </c>
      <c r="I1350" t="s">
        <v>776</v>
      </c>
      <c r="J1350" t="s">
        <v>550</v>
      </c>
      <c r="K1350" t="s">
        <v>55</v>
      </c>
      <c r="L1350">
        <v>60.91</v>
      </c>
      <c r="M1350" s="1">
        <v>46079</v>
      </c>
      <c r="N1350" t="s">
        <v>105</v>
      </c>
      <c r="O1350">
        <v>26</v>
      </c>
      <c r="P1350">
        <v>2</v>
      </c>
      <c r="Q1350">
        <v>1</v>
      </c>
      <c r="R1350">
        <v>2026</v>
      </c>
    </row>
    <row r="1351" spans="1:18">
      <c r="A1351">
        <v>11.63</v>
      </c>
      <c r="B1351">
        <v>1</v>
      </c>
      <c r="C1351">
        <v>1350</v>
      </c>
      <c r="D1351" s="2">
        <v>0.96371120370370367</v>
      </c>
      <c r="E1351" t="s">
        <v>3425</v>
      </c>
      <c r="F1351" t="s">
        <v>3426</v>
      </c>
      <c r="G1351" t="s">
        <v>1311</v>
      </c>
      <c r="H1351" t="s">
        <v>644</v>
      </c>
      <c r="I1351" t="s">
        <v>748</v>
      </c>
      <c r="J1351" t="s">
        <v>301</v>
      </c>
      <c r="K1351" t="s">
        <v>69</v>
      </c>
      <c r="L1351">
        <v>11.63</v>
      </c>
      <c r="M1351" s="1">
        <v>45948</v>
      </c>
      <c r="N1351" t="s">
        <v>14</v>
      </c>
      <c r="O1351">
        <v>18</v>
      </c>
      <c r="P1351">
        <v>10</v>
      </c>
      <c r="Q1351">
        <v>4</v>
      </c>
      <c r="R1351">
        <v>2025</v>
      </c>
    </row>
    <row r="1352" spans="1:18">
      <c r="A1352">
        <v>652.55999999999995</v>
      </c>
      <c r="B1352">
        <v>4</v>
      </c>
      <c r="C1352">
        <v>1351</v>
      </c>
      <c r="D1352" s="2">
        <v>0.71237020833333331</v>
      </c>
      <c r="E1352" t="s">
        <v>2976</v>
      </c>
      <c r="F1352" t="s">
        <v>2977</v>
      </c>
      <c r="G1352" t="s">
        <v>2692</v>
      </c>
      <c r="H1352" t="s">
        <v>619</v>
      </c>
      <c r="I1352" t="s">
        <v>758</v>
      </c>
      <c r="J1352" t="s">
        <v>183</v>
      </c>
      <c r="K1352" t="s">
        <v>19</v>
      </c>
      <c r="L1352">
        <v>163.13999999999999</v>
      </c>
      <c r="M1352" s="1">
        <v>46208</v>
      </c>
      <c r="N1352" t="s">
        <v>28</v>
      </c>
      <c r="O1352">
        <v>5</v>
      </c>
      <c r="P1352">
        <v>7</v>
      </c>
      <c r="Q1352">
        <v>3</v>
      </c>
      <c r="R1352">
        <v>2026</v>
      </c>
    </row>
    <row r="1353" spans="1:18">
      <c r="A1353">
        <v>529.59</v>
      </c>
      <c r="B1353">
        <v>3</v>
      </c>
      <c r="C1353">
        <v>1352</v>
      </c>
      <c r="D1353" s="2">
        <v>0.24241202546296298</v>
      </c>
      <c r="E1353" t="s">
        <v>2965</v>
      </c>
      <c r="F1353" t="s">
        <v>2966</v>
      </c>
      <c r="G1353" t="s">
        <v>1559</v>
      </c>
      <c r="H1353" t="s">
        <v>1137</v>
      </c>
      <c r="I1353" t="s">
        <v>748</v>
      </c>
      <c r="J1353" t="s">
        <v>631</v>
      </c>
      <c r="K1353" t="s">
        <v>39</v>
      </c>
      <c r="L1353">
        <v>176.53</v>
      </c>
      <c r="M1353" s="1">
        <v>46127</v>
      </c>
      <c r="N1353" t="s">
        <v>34</v>
      </c>
      <c r="O1353">
        <v>15</v>
      </c>
      <c r="P1353">
        <v>4</v>
      </c>
      <c r="Q1353">
        <v>2</v>
      </c>
      <c r="R1353">
        <v>2026</v>
      </c>
    </row>
    <row r="1354" spans="1:18">
      <c r="A1354">
        <v>176.14999999999998</v>
      </c>
      <c r="B1354">
        <v>5</v>
      </c>
      <c r="C1354">
        <v>1353</v>
      </c>
      <c r="D1354" s="2">
        <v>0.82269302083333329</v>
      </c>
      <c r="E1354" t="s">
        <v>1850</v>
      </c>
      <c r="F1354" t="s">
        <v>1851</v>
      </c>
      <c r="G1354" t="s">
        <v>833</v>
      </c>
      <c r="H1354" t="s">
        <v>49</v>
      </c>
      <c r="I1354" t="s">
        <v>807</v>
      </c>
      <c r="J1354" t="s">
        <v>261</v>
      </c>
      <c r="K1354" t="s">
        <v>31</v>
      </c>
      <c r="L1354">
        <v>35.229999999999997</v>
      </c>
      <c r="M1354" s="1">
        <v>45707</v>
      </c>
      <c r="N1354" t="s">
        <v>34</v>
      </c>
      <c r="O1354">
        <v>19</v>
      </c>
      <c r="P1354">
        <v>2</v>
      </c>
      <c r="Q1354">
        <v>1</v>
      </c>
      <c r="R1354">
        <v>2025</v>
      </c>
    </row>
    <row r="1355" spans="1:18">
      <c r="A1355">
        <v>45.21</v>
      </c>
      <c r="B1355">
        <v>1</v>
      </c>
      <c r="C1355">
        <v>1354</v>
      </c>
      <c r="D1355" s="2">
        <v>0.10189328703703704</v>
      </c>
      <c r="E1355" t="s">
        <v>1947</v>
      </c>
      <c r="F1355" t="s">
        <v>1948</v>
      </c>
      <c r="G1355" t="s">
        <v>1038</v>
      </c>
      <c r="H1355" t="s">
        <v>414</v>
      </c>
      <c r="I1355" t="s">
        <v>795</v>
      </c>
      <c r="J1355" t="s">
        <v>542</v>
      </c>
      <c r="K1355" t="s">
        <v>46</v>
      </c>
      <c r="L1355">
        <v>45.21</v>
      </c>
      <c r="M1355" s="1">
        <v>46121</v>
      </c>
      <c r="N1355" t="s">
        <v>105</v>
      </c>
      <c r="O1355">
        <v>9</v>
      </c>
      <c r="P1355">
        <v>4</v>
      </c>
      <c r="Q1355">
        <v>2</v>
      </c>
      <c r="R1355">
        <v>2026</v>
      </c>
    </row>
    <row r="1356" spans="1:18">
      <c r="A1356">
        <v>38.730000000000004</v>
      </c>
      <c r="B1356">
        <v>3</v>
      </c>
      <c r="C1356">
        <v>1355</v>
      </c>
      <c r="D1356" s="2">
        <v>0.77831524305555555</v>
      </c>
      <c r="E1356" t="s">
        <v>1530</v>
      </c>
      <c r="F1356" t="s">
        <v>1902</v>
      </c>
      <c r="G1356" t="s">
        <v>1903</v>
      </c>
      <c r="H1356" t="s">
        <v>49</v>
      </c>
      <c r="I1356" t="s">
        <v>892</v>
      </c>
      <c r="J1356" t="s">
        <v>38</v>
      </c>
      <c r="K1356" t="s">
        <v>39</v>
      </c>
      <c r="L1356">
        <v>12.91</v>
      </c>
      <c r="M1356" s="1">
        <v>45665</v>
      </c>
      <c r="N1356" t="s">
        <v>34</v>
      </c>
      <c r="O1356">
        <v>8</v>
      </c>
      <c r="P1356">
        <v>1</v>
      </c>
      <c r="Q1356">
        <v>1</v>
      </c>
      <c r="R1356">
        <v>2025</v>
      </c>
    </row>
    <row r="1357" spans="1:18">
      <c r="A1357">
        <v>784.30000000000007</v>
      </c>
      <c r="B1357">
        <v>5</v>
      </c>
      <c r="C1357">
        <v>1356</v>
      </c>
      <c r="D1357" s="2">
        <v>0.25556950231481479</v>
      </c>
      <c r="E1357" t="s">
        <v>3017</v>
      </c>
      <c r="F1357" t="s">
        <v>3018</v>
      </c>
      <c r="G1357" t="s">
        <v>2007</v>
      </c>
      <c r="H1357" t="s">
        <v>1359</v>
      </c>
      <c r="I1357" t="s">
        <v>768</v>
      </c>
      <c r="J1357" t="s">
        <v>602</v>
      </c>
      <c r="K1357" t="s">
        <v>17</v>
      </c>
      <c r="L1357">
        <v>156.86000000000001</v>
      </c>
      <c r="M1357" s="1">
        <v>45881</v>
      </c>
      <c r="N1357" t="s">
        <v>48</v>
      </c>
      <c r="O1357">
        <v>12</v>
      </c>
      <c r="P1357">
        <v>8</v>
      </c>
      <c r="Q1357">
        <v>3</v>
      </c>
      <c r="R1357">
        <v>2025</v>
      </c>
    </row>
    <row r="1358" spans="1:18">
      <c r="A1358">
        <v>119.43</v>
      </c>
      <c r="B1358">
        <v>3</v>
      </c>
      <c r="C1358">
        <v>1357</v>
      </c>
      <c r="D1358" s="2">
        <v>0.6488586458333333</v>
      </c>
      <c r="E1358" t="s">
        <v>2176</v>
      </c>
      <c r="F1358" t="s">
        <v>2177</v>
      </c>
      <c r="G1358" t="s">
        <v>1768</v>
      </c>
      <c r="H1358" t="s">
        <v>1359</v>
      </c>
      <c r="I1358" t="s">
        <v>768</v>
      </c>
      <c r="J1358" t="s">
        <v>154</v>
      </c>
      <c r="K1358" t="s">
        <v>37</v>
      </c>
      <c r="L1358">
        <v>39.81</v>
      </c>
      <c r="M1358" s="1">
        <v>46254</v>
      </c>
      <c r="N1358" t="s">
        <v>105</v>
      </c>
      <c r="O1358">
        <v>20</v>
      </c>
      <c r="P1358">
        <v>8</v>
      </c>
      <c r="Q1358">
        <v>3</v>
      </c>
      <c r="R1358">
        <v>2026</v>
      </c>
    </row>
    <row r="1359" spans="1:18">
      <c r="A1359">
        <v>186.98</v>
      </c>
      <c r="B1359">
        <v>1</v>
      </c>
      <c r="C1359">
        <v>1358</v>
      </c>
      <c r="D1359" s="2">
        <v>0.58003634259259262</v>
      </c>
      <c r="E1359" t="s">
        <v>1315</v>
      </c>
      <c r="F1359" t="s">
        <v>1316</v>
      </c>
      <c r="G1359" t="s">
        <v>1317</v>
      </c>
      <c r="H1359" t="s">
        <v>1318</v>
      </c>
      <c r="I1359" t="s">
        <v>807</v>
      </c>
      <c r="J1359" t="s">
        <v>139</v>
      </c>
      <c r="K1359" t="s">
        <v>122</v>
      </c>
      <c r="L1359">
        <v>186.98</v>
      </c>
      <c r="M1359" s="1">
        <v>46246</v>
      </c>
      <c r="N1359" t="s">
        <v>34</v>
      </c>
      <c r="O1359">
        <v>12</v>
      </c>
      <c r="P1359">
        <v>8</v>
      </c>
      <c r="Q1359">
        <v>3</v>
      </c>
      <c r="R1359">
        <v>2026</v>
      </c>
    </row>
    <row r="1360" spans="1:18">
      <c r="A1360">
        <v>633.52</v>
      </c>
      <c r="B1360">
        <v>4</v>
      </c>
      <c r="C1360">
        <v>1359</v>
      </c>
      <c r="D1360" s="2">
        <v>0.47856832175925929</v>
      </c>
      <c r="E1360" t="s">
        <v>2230</v>
      </c>
      <c r="F1360" t="s">
        <v>2231</v>
      </c>
      <c r="G1360" t="s">
        <v>2232</v>
      </c>
      <c r="H1360" t="s">
        <v>1002</v>
      </c>
      <c r="I1360" t="s">
        <v>892</v>
      </c>
      <c r="J1360" t="s">
        <v>172</v>
      </c>
      <c r="K1360" t="s">
        <v>46</v>
      </c>
      <c r="L1360">
        <v>158.38</v>
      </c>
      <c r="M1360" s="1">
        <v>45602</v>
      </c>
      <c r="N1360" t="s">
        <v>34</v>
      </c>
      <c r="O1360">
        <v>6</v>
      </c>
      <c r="P1360">
        <v>11</v>
      </c>
      <c r="Q1360">
        <v>4</v>
      </c>
      <c r="R1360">
        <v>2024</v>
      </c>
    </row>
    <row r="1361" spans="1:18">
      <c r="A1361">
        <v>208.91</v>
      </c>
      <c r="B1361">
        <v>1</v>
      </c>
      <c r="C1361">
        <v>1360</v>
      </c>
      <c r="D1361" s="2">
        <v>6.6104004629629634E-2</v>
      </c>
      <c r="E1361" t="s">
        <v>2223</v>
      </c>
      <c r="F1361" t="s">
        <v>2224</v>
      </c>
      <c r="G1361" t="s">
        <v>1274</v>
      </c>
      <c r="H1361" t="s">
        <v>2225</v>
      </c>
      <c r="I1361" t="s">
        <v>786</v>
      </c>
      <c r="J1361" t="s">
        <v>723</v>
      </c>
      <c r="K1361" t="s">
        <v>46</v>
      </c>
      <c r="L1361">
        <v>208.91</v>
      </c>
      <c r="M1361" s="1">
        <v>45869</v>
      </c>
      <c r="N1361" t="s">
        <v>105</v>
      </c>
      <c r="O1361">
        <v>31</v>
      </c>
      <c r="P1361">
        <v>7</v>
      </c>
      <c r="Q1361">
        <v>3</v>
      </c>
      <c r="R1361">
        <v>2025</v>
      </c>
    </row>
    <row r="1362" spans="1:18">
      <c r="A1362">
        <v>169.59</v>
      </c>
      <c r="B1362">
        <v>3</v>
      </c>
      <c r="C1362">
        <v>1361</v>
      </c>
      <c r="D1362" s="2">
        <v>0.8198328240740741</v>
      </c>
      <c r="E1362" t="s">
        <v>1372</v>
      </c>
      <c r="F1362" t="s">
        <v>1373</v>
      </c>
      <c r="G1362" t="s">
        <v>1374</v>
      </c>
      <c r="H1362" t="s">
        <v>49</v>
      </c>
      <c r="I1362" t="s">
        <v>807</v>
      </c>
      <c r="J1362" t="s">
        <v>123</v>
      </c>
      <c r="K1362" t="s">
        <v>43</v>
      </c>
      <c r="L1362">
        <v>56.53</v>
      </c>
      <c r="M1362" s="1">
        <v>46088</v>
      </c>
      <c r="N1362" t="s">
        <v>14</v>
      </c>
      <c r="O1362">
        <v>7</v>
      </c>
      <c r="P1362">
        <v>3</v>
      </c>
      <c r="Q1362">
        <v>1</v>
      </c>
      <c r="R1362">
        <v>2026</v>
      </c>
    </row>
    <row r="1363" spans="1:18">
      <c r="A1363">
        <v>347.12</v>
      </c>
      <c r="B1363">
        <v>2</v>
      </c>
      <c r="C1363">
        <v>1362</v>
      </c>
      <c r="D1363" s="2">
        <v>0.35421922453703703</v>
      </c>
      <c r="E1363" t="s">
        <v>3411</v>
      </c>
      <c r="F1363" t="s">
        <v>3412</v>
      </c>
      <c r="G1363" t="s">
        <v>1245</v>
      </c>
      <c r="H1363" t="s">
        <v>2154</v>
      </c>
      <c r="I1363" t="s">
        <v>1003</v>
      </c>
      <c r="J1363" t="s">
        <v>706</v>
      </c>
      <c r="K1363" t="s">
        <v>39</v>
      </c>
      <c r="L1363">
        <v>173.56</v>
      </c>
      <c r="M1363" s="1">
        <v>45559</v>
      </c>
      <c r="N1363" t="s">
        <v>48</v>
      </c>
      <c r="O1363">
        <v>24</v>
      </c>
      <c r="P1363">
        <v>9</v>
      </c>
      <c r="Q1363">
        <v>3</v>
      </c>
      <c r="R1363">
        <v>2024</v>
      </c>
    </row>
    <row r="1364" spans="1:18">
      <c r="A1364">
        <v>649.84</v>
      </c>
      <c r="B1364">
        <v>4</v>
      </c>
      <c r="C1364">
        <v>1363</v>
      </c>
      <c r="D1364" s="2">
        <v>0.71055859953703704</v>
      </c>
      <c r="E1364" t="s">
        <v>2442</v>
      </c>
      <c r="F1364" t="s">
        <v>2443</v>
      </c>
      <c r="G1364" t="s">
        <v>872</v>
      </c>
      <c r="H1364" t="s">
        <v>1525</v>
      </c>
      <c r="I1364" t="s">
        <v>763</v>
      </c>
      <c r="J1364" t="s">
        <v>218</v>
      </c>
      <c r="K1364" t="s">
        <v>97</v>
      </c>
      <c r="L1364">
        <v>162.46</v>
      </c>
      <c r="M1364" s="1">
        <v>46165</v>
      </c>
      <c r="N1364" t="s">
        <v>14</v>
      </c>
      <c r="O1364">
        <v>23</v>
      </c>
      <c r="P1364">
        <v>5</v>
      </c>
      <c r="Q1364">
        <v>2</v>
      </c>
      <c r="R1364">
        <v>2026</v>
      </c>
    </row>
    <row r="1365" spans="1:18">
      <c r="A1365">
        <v>209.56</v>
      </c>
      <c r="B1365">
        <v>4</v>
      </c>
      <c r="C1365">
        <v>1364</v>
      </c>
      <c r="D1365" s="2">
        <v>0.61563731481481476</v>
      </c>
      <c r="E1365" t="s">
        <v>2865</v>
      </c>
      <c r="F1365" t="s">
        <v>2866</v>
      </c>
      <c r="G1365" t="s">
        <v>1085</v>
      </c>
      <c r="H1365" t="s">
        <v>608</v>
      </c>
      <c r="I1365" t="s">
        <v>966</v>
      </c>
      <c r="J1365" t="s">
        <v>358</v>
      </c>
      <c r="K1365" t="s">
        <v>37</v>
      </c>
      <c r="L1365">
        <v>52.39</v>
      </c>
      <c r="M1365" s="1">
        <v>45783</v>
      </c>
      <c r="N1365" t="s">
        <v>48</v>
      </c>
      <c r="O1365">
        <v>6</v>
      </c>
      <c r="P1365">
        <v>5</v>
      </c>
      <c r="Q1365">
        <v>2</v>
      </c>
      <c r="R1365">
        <v>2025</v>
      </c>
    </row>
    <row r="1366" spans="1:18">
      <c r="A1366">
        <v>332.52</v>
      </c>
      <c r="B1366">
        <v>2</v>
      </c>
      <c r="C1366">
        <v>1365</v>
      </c>
      <c r="D1366" s="2">
        <v>6.9072268518518512E-2</v>
      </c>
      <c r="E1366" t="s">
        <v>2501</v>
      </c>
      <c r="F1366" t="s">
        <v>2502</v>
      </c>
      <c r="G1366" t="s">
        <v>2503</v>
      </c>
      <c r="H1366" t="s">
        <v>548</v>
      </c>
      <c r="I1366" t="s">
        <v>790</v>
      </c>
      <c r="J1366" t="s">
        <v>72</v>
      </c>
      <c r="K1366" t="s">
        <v>37</v>
      </c>
      <c r="L1366">
        <v>166.26</v>
      </c>
      <c r="M1366" s="1">
        <v>46166</v>
      </c>
      <c r="N1366" t="s">
        <v>28</v>
      </c>
      <c r="O1366">
        <v>24</v>
      </c>
      <c r="P1366">
        <v>5</v>
      </c>
      <c r="Q1366">
        <v>2</v>
      </c>
      <c r="R1366">
        <v>2026</v>
      </c>
    </row>
    <row r="1367" spans="1:18">
      <c r="A1367">
        <v>484.88</v>
      </c>
      <c r="B1367">
        <v>4</v>
      </c>
      <c r="C1367">
        <v>1366</v>
      </c>
      <c r="D1367" s="2">
        <v>0.62187555555555551</v>
      </c>
      <c r="E1367" t="s">
        <v>1971</v>
      </c>
      <c r="F1367" t="s">
        <v>1972</v>
      </c>
      <c r="G1367" t="s">
        <v>1973</v>
      </c>
      <c r="H1367" t="s">
        <v>513</v>
      </c>
      <c r="I1367" t="s">
        <v>786</v>
      </c>
      <c r="J1367" t="s">
        <v>47</v>
      </c>
      <c r="K1367" t="s">
        <v>46</v>
      </c>
      <c r="L1367">
        <v>121.22</v>
      </c>
      <c r="M1367" s="1">
        <v>46191</v>
      </c>
      <c r="N1367" t="s">
        <v>105</v>
      </c>
      <c r="O1367">
        <v>18</v>
      </c>
      <c r="P1367">
        <v>6</v>
      </c>
      <c r="Q1367">
        <v>2</v>
      </c>
      <c r="R1367">
        <v>2026</v>
      </c>
    </row>
    <row r="1368" spans="1:18">
      <c r="A1368">
        <v>148.53</v>
      </c>
      <c r="B1368">
        <v>1</v>
      </c>
      <c r="C1368">
        <v>1367</v>
      </c>
      <c r="D1368" s="2">
        <v>0.16648949074074074</v>
      </c>
      <c r="E1368" t="s">
        <v>3300</v>
      </c>
      <c r="F1368" t="s">
        <v>3301</v>
      </c>
      <c r="G1368" t="s">
        <v>1260</v>
      </c>
      <c r="H1368" t="s">
        <v>113</v>
      </c>
      <c r="I1368" t="s">
        <v>854</v>
      </c>
      <c r="J1368" t="s">
        <v>104</v>
      </c>
      <c r="K1368" t="s">
        <v>51</v>
      </c>
      <c r="L1368">
        <v>148.53</v>
      </c>
      <c r="M1368" s="1">
        <v>45803</v>
      </c>
      <c r="N1368" t="s">
        <v>93</v>
      </c>
      <c r="O1368">
        <v>26</v>
      </c>
      <c r="P1368">
        <v>5</v>
      </c>
      <c r="Q1368">
        <v>2</v>
      </c>
      <c r="R1368">
        <v>2025</v>
      </c>
    </row>
    <row r="1369" spans="1:18">
      <c r="A1369">
        <v>301.84999999999997</v>
      </c>
      <c r="B1369">
        <v>5</v>
      </c>
      <c r="C1369">
        <v>1368</v>
      </c>
      <c r="D1369" s="2">
        <v>0.43369082175925927</v>
      </c>
      <c r="E1369" t="s">
        <v>2724</v>
      </c>
      <c r="F1369" t="s">
        <v>2725</v>
      </c>
      <c r="G1369" t="s">
        <v>2726</v>
      </c>
      <c r="H1369" t="s">
        <v>965</v>
      </c>
      <c r="I1369" t="s">
        <v>966</v>
      </c>
      <c r="J1369" t="s">
        <v>681</v>
      </c>
      <c r="K1369" t="s">
        <v>43</v>
      </c>
      <c r="L1369">
        <v>60.37</v>
      </c>
      <c r="M1369" s="1">
        <v>46007</v>
      </c>
      <c r="N1369" t="s">
        <v>48</v>
      </c>
      <c r="O1369">
        <v>16</v>
      </c>
      <c r="P1369">
        <v>12</v>
      </c>
      <c r="Q1369">
        <v>4</v>
      </c>
      <c r="R1369">
        <v>2025</v>
      </c>
    </row>
    <row r="1370" spans="1:18">
      <c r="A1370">
        <v>222.26</v>
      </c>
      <c r="B1370">
        <v>2</v>
      </c>
      <c r="C1370">
        <v>1369</v>
      </c>
      <c r="D1370" s="2">
        <v>7.3088611111111104E-2</v>
      </c>
      <c r="E1370" t="s">
        <v>3413</v>
      </c>
      <c r="F1370" t="s">
        <v>3414</v>
      </c>
      <c r="G1370" t="s">
        <v>1569</v>
      </c>
      <c r="H1370" t="s">
        <v>929</v>
      </c>
      <c r="I1370" t="s">
        <v>1247</v>
      </c>
      <c r="J1370" t="s">
        <v>269</v>
      </c>
      <c r="K1370" t="s">
        <v>60</v>
      </c>
      <c r="L1370">
        <v>111.13</v>
      </c>
      <c r="M1370" s="1">
        <v>45825</v>
      </c>
      <c r="N1370" t="s">
        <v>48</v>
      </c>
      <c r="O1370">
        <v>17</v>
      </c>
      <c r="P1370">
        <v>6</v>
      </c>
      <c r="Q1370">
        <v>2</v>
      </c>
      <c r="R1370">
        <v>2025</v>
      </c>
    </row>
    <row r="1371" spans="1:18">
      <c r="A1371">
        <v>568.6</v>
      </c>
      <c r="B1371">
        <v>4</v>
      </c>
      <c r="C1371">
        <v>1370</v>
      </c>
      <c r="D1371" s="2">
        <v>0.86053116898148152</v>
      </c>
      <c r="E1371" t="s">
        <v>2702</v>
      </c>
      <c r="F1371" t="s">
        <v>2703</v>
      </c>
      <c r="G1371" t="s">
        <v>2383</v>
      </c>
      <c r="H1371" t="s">
        <v>942</v>
      </c>
      <c r="I1371" t="s">
        <v>943</v>
      </c>
      <c r="J1371" t="s">
        <v>216</v>
      </c>
      <c r="K1371" t="s">
        <v>100</v>
      </c>
      <c r="L1371">
        <v>142.15</v>
      </c>
      <c r="M1371" s="1">
        <v>46191</v>
      </c>
      <c r="N1371" t="s">
        <v>105</v>
      </c>
      <c r="O1371">
        <v>18</v>
      </c>
      <c r="P1371">
        <v>6</v>
      </c>
      <c r="Q1371">
        <v>2</v>
      </c>
      <c r="R1371">
        <v>2026</v>
      </c>
    </row>
    <row r="1372" spans="1:18">
      <c r="A1372">
        <v>518.91999999999996</v>
      </c>
      <c r="B1372">
        <v>4</v>
      </c>
      <c r="C1372">
        <v>1371</v>
      </c>
      <c r="D1372" s="2">
        <v>0.77363815972222227</v>
      </c>
      <c r="E1372" t="s">
        <v>3209</v>
      </c>
      <c r="F1372" t="s">
        <v>3210</v>
      </c>
      <c r="G1372" t="s">
        <v>3211</v>
      </c>
      <c r="H1372" t="s">
        <v>1107</v>
      </c>
      <c r="I1372" t="s">
        <v>892</v>
      </c>
      <c r="J1372" t="s">
        <v>20</v>
      </c>
      <c r="K1372" t="s">
        <v>21</v>
      </c>
      <c r="L1372">
        <v>129.72999999999999</v>
      </c>
      <c r="M1372" s="1">
        <v>45803</v>
      </c>
      <c r="N1372" t="s">
        <v>93</v>
      </c>
      <c r="O1372">
        <v>26</v>
      </c>
      <c r="P1372">
        <v>5</v>
      </c>
      <c r="Q1372">
        <v>2</v>
      </c>
      <c r="R1372">
        <v>2025</v>
      </c>
    </row>
    <row r="1373" spans="1:18">
      <c r="A1373">
        <v>1137.3499999999999</v>
      </c>
      <c r="B1373">
        <v>5</v>
      </c>
      <c r="C1373">
        <v>1372</v>
      </c>
      <c r="D1373" s="2">
        <v>0.67885599537037034</v>
      </c>
      <c r="E1373" t="s">
        <v>873</v>
      </c>
      <c r="F1373" t="s">
        <v>874</v>
      </c>
      <c r="G1373" t="s">
        <v>875</v>
      </c>
      <c r="H1373" t="s">
        <v>387</v>
      </c>
      <c r="I1373" t="s">
        <v>821</v>
      </c>
      <c r="J1373" t="s">
        <v>116</v>
      </c>
      <c r="K1373" t="s">
        <v>57</v>
      </c>
      <c r="L1373">
        <v>227.47</v>
      </c>
      <c r="M1373" s="1">
        <v>46145</v>
      </c>
      <c r="N1373" t="s">
        <v>28</v>
      </c>
      <c r="O1373">
        <v>3</v>
      </c>
      <c r="P1373">
        <v>5</v>
      </c>
      <c r="Q1373">
        <v>2</v>
      </c>
      <c r="R1373">
        <v>2026</v>
      </c>
    </row>
    <row r="1374" spans="1:18">
      <c r="A1374">
        <v>496.16</v>
      </c>
      <c r="B1374">
        <v>4</v>
      </c>
      <c r="C1374">
        <v>1373</v>
      </c>
      <c r="D1374" s="2">
        <v>0.33754848379629632</v>
      </c>
      <c r="E1374" t="s">
        <v>2205</v>
      </c>
      <c r="F1374" t="s">
        <v>2206</v>
      </c>
      <c r="G1374" t="s">
        <v>1114</v>
      </c>
      <c r="H1374" t="s">
        <v>635</v>
      </c>
      <c r="I1374" t="s">
        <v>768</v>
      </c>
      <c r="J1374" t="s">
        <v>543</v>
      </c>
      <c r="K1374" t="s">
        <v>37</v>
      </c>
      <c r="L1374">
        <v>124.04</v>
      </c>
      <c r="M1374" s="1">
        <v>46110</v>
      </c>
      <c r="N1374" t="s">
        <v>28</v>
      </c>
      <c r="O1374">
        <v>29</v>
      </c>
      <c r="P1374">
        <v>3</v>
      </c>
      <c r="Q1374">
        <v>1</v>
      </c>
      <c r="R1374">
        <v>2026</v>
      </c>
    </row>
    <row r="1375" spans="1:18">
      <c r="A1375">
        <v>890.04</v>
      </c>
      <c r="B1375">
        <v>4</v>
      </c>
      <c r="C1375">
        <v>1374</v>
      </c>
      <c r="D1375" s="2">
        <v>0.26793627314814816</v>
      </c>
      <c r="E1375" t="s">
        <v>2424</v>
      </c>
      <c r="F1375" t="s">
        <v>2425</v>
      </c>
      <c r="G1375" t="s">
        <v>960</v>
      </c>
      <c r="H1375" t="s">
        <v>29</v>
      </c>
      <c r="I1375" t="s">
        <v>821</v>
      </c>
      <c r="J1375" t="s">
        <v>142</v>
      </c>
      <c r="K1375" t="s">
        <v>60</v>
      </c>
      <c r="L1375">
        <v>222.51</v>
      </c>
      <c r="M1375" s="1">
        <v>46017</v>
      </c>
      <c r="N1375" t="s">
        <v>79</v>
      </c>
      <c r="O1375">
        <v>26</v>
      </c>
      <c r="P1375">
        <v>12</v>
      </c>
      <c r="Q1375">
        <v>4</v>
      </c>
      <c r="R1375">
        <v>2025</v>
      </c>
    </row>
    <row r="1376" spans="1:18">
      <c r="A1376">
        <v>76.44</v>
      </c>
      <c r="B1376">
        <v>1</v>
      </c>
      <c r="C1376">
        <v>1375</v>
      </c>
      <c r="D1376" s="2">
        <v>0.30303253472222225</v>
      </c>
      <c r="E1376" t="s">
        <v>2764</v>
      </c>
      <c r="F1376" t="s">
        <v>2765</v>
      </c>
      <c r="G1376" t="s">
        <v>1074</v>
      </c>
      <c r="H1376" t="s">
        <v>838</v>
      </c>
      <c r="I1376" t="s">
        <v>839</v>
      </c>
      <c r="J1376" t="s">
        <v>92</v>
      </c>
      <c r="K1376" t="s">
        <v>51</v>
      </c>
      <c r="L1376">
        <v>76.44</v>
      </c>
      <c r="M1376" s="1">
        <v>45758</v>
      </c>
      <c r="N1376" t="s">
        <v>79</v>
      </c>
      <c r="O1376">
        <v>11</v>
      </c>
      <c r="P1376">
        <v>4</v>
      </c>
      <c r="Q1376">
        <v>2</v>
      </c>
      <c r="R1376">
        <v>2025</v>
      </c>
    </row>
    <row r="1377" spans="1:18">
      <c r="A1377">
        <v>5.61</v>
      </c>
      <c r="B1377">
        <v>1</v>
      </c>
      <c r="C1377">
        <v>1376</v>
      </c>
      <c r="D1377" s="2">
        <v>0.39996934027777775</v>
      </c>
      <c r="E1377" t="s">
        <v>3084</v>
      </c>
      <c r="F1377" t="s">
        <v>3085</v>
      </c>
      <c r="G1377" t="s">
        <v>3086</v>
      </c>
      <c r="H1377" t="s">
        <v>562</v>
      </c>
      <c r="I1377" t="s">
        <v>753</v>
      </c>
      <c r="J1377" t="s">
        <v>352</v>
      </c>
      <c r="K1377" t="s">
        <v>82</v>
      </c>
      <c r="L1377">
        <v>5.61</v>
      </c>
      <c r="M1377" s="1">
        <v>45730</v>
      </c>
      <c r="N1377" t="s">
        <v>79</v>
      </c>
      <c r="O1377">
        <v>14</v>
      </c>
      <c r="P1377">
        <v>3</v>
      </c>
      <c r="Q1377">
        <v>1</v>
      </c>
      <c r="R1377">
        <v>2025</v>
      </c>
    </row>
    <row r="1378" spans="1:18">
      <c r="A1378">
        <v>207.88</v>
      </c>
      <c r="B1378">
        <v>2</v>
      </c>
      <c r="C1378">
        <v>1377</v>
      </c>
      <c r="D1378" s="2">
        <v>0.39157331018518521</v>
      </c>
      <c r="E1378" t="s">
        <v>3361</v>
      </c>
      <c r="F1378" t="s">
        <v>3362</v>
      </c>
      <c r="G1378" t="s">
        <v>1512</v>
      </c>
      <c r="H1378" t="s">
        <v>1944</v>
      </c>
      <c r="I1378" t="s">
        <v>1003</v>
      </c>
      <c r="J1378" t="s">
        <v>210</v>
      </c>
      <c r="K1378" t="s">
        <v>55</v>
      </c>
      <c r="L1378">
        <v>103.94</v>
      </c>
      <c r="M1378" s="1">
        <v>45779</v>
      </c>
      <c r="N1378" t="s">
        <v>79</v>
      </c>
      <c r="O1378">
        <v>2</v>
      </c>
      <c r="P1378">
        <v>5</v>
      </c>
      <c r="Q1378">
        <v>2</v>
      </c>
      <c r="R1378">
        <v>2025</v>
      </c>
    </row>
    <row r="1379" spans="1:18">
      <c r="A1379">
        <v>219.20000000000002</v>
      </c>
      <c r="B1379">
        <v>5</v>
      </c>
      <c r="C1379">
        <v>1378</v>
      </c>
      <c r="D1379" s="2">
        <v>0.61977050925925925</v>
      </c>
      <c r="E1379" t="s">
        <v>1029</v>
      </c>
      <c r="F1379" t="s">
        <v>1030</v>
      </c>
      <c r="G1379" t="s">
        <v>1031</v>
      </c>
      <c r="H1379" t="s">
        <v>1032</v>
      </c>
      <c r="I1379" t="s">
        <v>839</v>
      </c>
      <c r="J1379" t="s">
        <v>335</v>
      </c>
      <c r="K1379" t="s">
        <v>37</v>
      </c>
      <c r="L1379">
        <v>43.84</v>
      </c>
      <c r="M1379" s="1">
        <v>45835</v>
      </c>
      <c r="N1379" t="s">
        <v>79</v>
      </c>
      <c r="O1379">
        <v>27</v>
      </c>
      <c r="P1379">
        <v>6</v>
      </c>
      <c r="Q1379">
        <v>2</v>
      </c>
      <c r="R1379">
        <v>2025</v>
      </c>
    </row>
    <row r="1380" spans="1:18">
      <c r="A1380">
        <v>296.56</v>
      </c>
      <c r="B1380">
        <v>2</v>
      </c>
      <c r="C1380">
        <v>1379</v>
      </c>
      <c r="D1380" s="2">
        <v>1.9752187500000001E-2</v>
      </c>
      <c r="E1380" t="s">
        <v>1023</v>
      </c>
      <c r="F1380" t="s">
        <v>1024</v>
      </c>
      <c r="G1380" t="s">
        <v>1025</v>
      </c>
      <c r="H1380" t="s">
        <v>1026</v>
      </c>
      <c r="I1380" t="s">
        <v>896</v>
      </c>
      <c r="J1380" t="s">
        <v>568</v>
      </c>
      <c r="K1380" t="s">
        <v>51</v>
      </c>
      <c r="L1380">
        <v>148.28</v>
      </c>
      <c r="M1380" s="1">
        <v>45669</v>
      </c>
      <c r="N1380" t="s">
        <v>28</v>
      </c>
      <c r="O1380">
        <v>12</v>
      </c>
      <c r="P1380">
        <v>1</v>
      </c>
      <c r="Q1380">
        <v>1</v>
      </c>
      <c r="R1380">
        <v>2025</v>
      </c>
    </row>
    <row r="1381" spans="1:18">
      <c r="A1381">
        <v>164.67000000000002</v>
      </c>
      <c r="B1381">
        <v>3</v>
      </c>
      <c r="C1381">
        <v>1380</v>
      </c>
      <c r="D1381" s="2">
        <v>2.8594525462962962E-2</v>
      </c>
      <c r="E1381" t="s">
        <v>1871</v>
      </c>
      <c r="F1381" t="s">
        <v>1872</v>
      </c>
      <c r="G1381" t="s">
        <v>1873</v>
      </c>
      <c r="H1381" t="s">
        <v>747</v>
      </c>
      <c r="I1381" t="s">
        <v>748</v>
      </c>
      <c r="J1381" t="s">
        <v>431</v>
      </c>
      <c r="K1381" t="s">
        <v>17</v>
      </c>
      <c r="L1381">
        <v>54.89</v>
      </c>
      <c r="M1381" s="1">
        <v>46193</v>
      </c>
      <c r="N1381" t="s">
        <v>14</v>
      </c>
      <c r="O1381">
        <v>20</v>
      </c>
      <c r="P1381">
        <v>6</v>
      </c>
      <c r="Q1381">
        <v>2</v>
      </c>
      <c r="R1381">
        <v>2026</v>
      </c>
    </row>
    <row r="1382" spans="1:18">
      <c r="A1382">
        <v>55.82</v>
      </c>
      <c r="B1382">
        <v>1</v>
      </c>
      <c r="C1382">
        <v>1381</v>
      </c>
      <c r="D1382" s="2">
        <v>0.72777645833333338</v>
      </c>
      <c r="E1382" t="s">
        <v>1928</v>
      </c>
      <c r="F1382" t="s">
        <v>1929</v>
      </c>
      <c r="G1382" t="s">
        <v>1577</v>
      </c>
      <c r="H1382" t="s">
        <v>747</v>
      </c>
      <c r="I1382" t="s">
        <v>748</v>
      </c>
      <c r="J1382" t="s">
        <v>109</v>
      </c>
      <c r="K1382" t="s">
        <v>46</v>
      </c>
      <c r="L1382">
        <v>55.82</v>
      </c>
      <c r="M1382" s="1">
        <v>46262</v>
      </c>
      <c r="N1382" t="s">
        <v>79</v>
      </c>
      <c r="O1382">
        <v>28</v>
      </c>
      <c r="P1382">
        <v>8</v>
      </c>
      <c r="Q1382">
        <v>3</v>
      </c>
      <c r="R1382">
        <v>2026</v>
      </c>
    </row>
    <row r="1383" spans="1:18">
      <c r="A1383">
        <v>189.85</v>
      </c>
      <c r="B1383">
        <v>1</v>
      </c>
      <c r="C1383">
        <v>1382</v>
      </c>
      <c r="D1383" s="2">
        <v>0.3179679050925926</v>
      </c>
      <c r="E1383" t="s">
        <v>3133</v>
      </c>
      <c r="F1383" t="s">
        <v>3134</v>
      </c>
      <c r="G1383" t="s">
        <v>1556</v>
      </c>
      <c r="H1383" t="s">
        <v>2982</v>
      </c>
      <c r="I1383" t="s">
        <v>839</v>
      </c>
      <c r="J1383" t="s">
        <v>569</v>
      </c>
      <c r="K1383" t="s">
        <v>43</v>
      </c>
      <c r="L1383">
        <v>189.85</v>
      </c>
      <c r="M1383" s="1">
        <v>46198</v>
      </c>
      <c r="N1383" t="s">
        <v>105</v>
      </c>
      <c r="O1383">
        <v>25</v>
      </c>
      <c r="P1383">
        <v>6</v>
      </c>
      <c r="Q1383">
        <v>2</v>
      </c>
      <c r="R1383">
        <v>2026</v>
      </c>
    </row>
    <row r="1384" spans="1:18">
      <c r="A1384">
        <v>231.29999999999998</v>
      </c>
      <c r="B1384">
        <v>5</v>
      </c>
      <c r="C1384">
        <v>1383</v>
      </c>
      <c r="D1384" s="2">
        <v>0.86691196759259259</v>
      </c>
      <c r="E1384" t="s">
        <v>1435</v>
      </c>
      <c r="F1384" t="s">
        <v>1436</v>
      </c>
      <c r="G1384" t="s">
        <v>1437</v>
      </c>
      <c r="H1384" t="s">
        <v>387</v>
      </c>
      <c r="I1384" t="s">
        <v>821</v>
      </c>
      <c r="J1384" t="s">
        <v>190</v>
      </c>
      <c r="K1384" t="s">
        <v>39</v>
      </c>
      <c r="L1384">
        <v>46.26</v>
      </c>
      <c r="M1384" s="1">
        <v>45799</v>
      </c>
      <c r="N1384" t="s">
        <v>105</v>
      </c>
      <c r="O1384">
        <v>22</v>
      </c>
      <c r="P1384">
        <v>5</v>
      </c>
      <c r="Q1384">
        <v>2</v>
      </c>
      <c r="R1384">
        <v>2025</v>
      </c>
    </row>
    <row r="1385" spans="1:18">
      <c r="A1385">
        <v>477.06</v>
      </c>
      <c r="B1385">
        <v>2</v>
      </c>
      <c r="C1385">
        <v>1384</v>
      </c>
      <c r="D1385" s="2">
        <v>0.4620944212962963</v>
      </c>
      <c r="E1385" t="s">
        <v>1719</v>
      </c>
      <c r="F1385" t="s">
        <v>1720</v>
      </c>
      <c r="G1385" t="s">
        <v>1721</v>
      </c>
      <c r="H1385" t="s">
        <v>1722</v>
      </c>
      <c r="I1385" t="s">
        <v>954</v>
      </c>
      <c r="J1385" t="s">
        <v>660</v>
      </c>
      <c r="K1385" t="s">
        <v>25</v>
      </c>
      <c r="L1385">
        <v>238.53</v>
      </c>
      <c r="M1385" s="1">
        <v>45928</v>
      </c>
      <c r="N1385" t="s">
        <v>28</v>
      </c>
      <c r="O1385">
        <v>28</v>
      </c>
      <c r="P1385">
        <v>9</v>
      </c>
      <c r="Q1385">
        <v>3</v>
      </c>
      <c r="R1385">
        <v>2025</v>
      </c>
    </row>
    <row r="1386" spans="1:18">
      <c r="A1386">
        <v>230.53</v>
      </c>
      <c r="B1386">
        <v>1</v>
      </c>
      <c r="C1386">
        <v>1385</v>
      </c>
      <c r="D1386" s="2">
        <v>0.45653089120370371</v>
      </c>
      <c r="E1386" t="s">
        <v>2861</v>
      </c>
      <c r="F1386" t="s">
        <v>2862</v>
      </c>
      <c r="G1386" t="s">
        <v>1642</v>
      </c>
      <c r="H1386" t="s">
        <v>2468</v>
      </c>
      <c r="I1386" t="s">
        <v>763</v>
      </c>
      <c r="J1386" t="s">
        <v>389</v>
      </c>
      <c r="K1386" t="s">
        <v>82</v>
      </c>
      <c r="L1386">
        <v>230.53</v>
      </c>
      <c r="M1386" s="1">
        <v>45917</v>
      </c>
      <c r="N1386" t="s">
        <v>34</v>
      </c>
      <c r="O1386">
        <v>17</v>
      </c>
      <c r="P1386">
        <v>9</v>
      </c>
      <c r="Q1386">
        <v>3</v>
      </c>
      <c r="R1386">
        <v>2025</v>
      </c>
    </row>
    <row r="1387" spans="1:18">
      <c r="A1387">
        <v>282.64999999999998</v>
      </c>
      <c r="B1387">
        <v>5</v>
      </c>
      <c r="C1387">
        <v>1386</v>
      </c>
      <c r="D1387" s="2">
        <v>0.24031878472222223</v>
      </c>
      <c r="E1387" t="s">
        <v>916</v>
      </c>
      <c r="F1387" t="s">
        <v>917</v>
      </c>
      <c r="G1387" t="s">
        <v>918</v>
      </c>
      <c r="H1387" t="s">
        <v>919</v>
      </c>
      <c r="I1387" t="s">
        <v>786</v>
      </c>
      <c r="J1387" t="s">
        <v>123</v>
      </c>
      <c r="K1387" t="s">
        <v>43</v>
      </c>
      <c r="L1387">
        <v>56.53</v>
      </c>
      <c r="M1387" s="1">
        <v>45716</v>
      </c>
      <c r="N1387" t="s">
        <v>79</v>
      </c>
      <c r="O1387">
        <v>28</v>
      </c>
      <c r="P1387">
        <v>2</v>
      </c>
      <c r="Q1387">
        <v>1</v>
      </c>
      <c r="R1387">
        <v>2025</v>
      </c>
    </row>
    <row r="1388" spans="1:18">
      <c r="A1388">
        <v>558.40000000000009</v>
      </c>
      <c r="B1388">
        <v>5</v>
      </c>
      <c r="C1388">
        <v>1387</v>
      </c>
      <c r="D1388" s="2">
        <v>6.2563773148148144E-3</v>
      </c>
      <c r="E1388" t="s">
        <v>2096</v>
      </c>
      <c r="F1388" t="s">
        <v>2097</v>
      </c>
      <c r="G1388" t="s">
        <v>2098</v>
      </c>
      <c r="H1388" t="s">
        <v>464</v>
      </c>
      <c r="I1388" t="s">
        <v>896</v>
      </c>
      <c r="J1388" t="s">
        <v>540</v>
      </c>
      <c r="K1388" t="s">
        <v>19</v>
      </c>
      <c r="L1388">
        <v>111.68</v>
      </c>
      <c r="M1388" s="1">
        <v>45908</v>
      </c>
      <c r="N1388" t="s">
        <v>93</v>
      </c>
      <c r="O1388">
        <v>8</v>
      </c>
      <c r="P1388">
        <v>9</v>
      </c>
      <c r="Q1388">
        <v>3</v>
      </c>
      <c r="R1388">
        <v>2025</v>
      </c>
    </row>
    <row r="1389" spans="1:18">
      <c r="A1389">
        <v>21.18</v>
      </c>
      <c r="B1389">
        <v>1</v>
      </c>
      <c r="C1389">
        <v>1388</v>
      </c>
      <c r="D1389" s="2">
        <v>0.21882983796296296</v>
      </c>
      <c r="E1389" t="s">
        <v>1758</v>
      </c>
      <c r="F1389" t="s">
        <v>1759</v>
      </c>
      <c r="G1389" t="s">
        <v>1013</v>
      </c>
      <c r="H1389" t="s">
        <v>151</v>
      </c>
      <c r="I1389" t="s">
        <v>1003</v>
      </c>
      <c r="J1389" t="s">
        <v>530</v>
      </c>
      <c r="K1389" t="s">
        <v>37</v>
      </c>
      <c r="L1389">
        <v>21.18</v>
      </c>
      <c r="M1389" s="1">
        <v>45795</v>
      </c>
      <c r="N1389" t="s">
        <v>28</v>
      </c>
      <c r="O1389">
        <v>18</v>
      </c>
      <c r="P1389">
        <v>5</v>
      </c>
      <c r="Q1389">
        <v>2</v>
      </c>
      <c r="R1389">
        <v>2025</v>
      </c>
    </row>
    <row r="1390" spans="1:18">
      <c r="A1390">
        <v>926.56</v>
      </c>
      <c r="B1390">
        <v>4</v>
      </c>
      <c r="C1390">
        <v>1389</v>
      </c>
      <c r="D1390" s="2">
        <v>0.49826233796296299</v>
      </c>
      <c r="E1390" t="s">
        <v>749</v>
      </c>
      <c r="F1390" t="s">
        <v>750</v>
      </c>
      <c r="G1390" t="s">
        <v>751</v>
      </c>
      <c r="H1390" t="s">
        <v>752</v>
      </c>
      <c r="I1390" t="s">
        <v>753</v>
      </c>
      <c r="J1390" t="s">
        <v>658</v>
      </c>
      <c r="K1390" t="s">
        <v>69</v>
      </c>
      <c r="L1390">
        <v>231.64</v>
      </c>
      <c r="M1390" s="1">
        <v>45834</v>
      </c>
      <c r="N1390" t="s">
        <v>105</v>
      </c>
      <c r="O1390">
        <v>26</v>
      </c>
      <c r="P1390">
        <v>6</v>
      </c>
      <c r="Q1390">
        <v>2</v>
      </c>
      <c r="R1390">
        <v>2025</v>
      </c>
    </row>
    <row r="1391" spans="1:18">
      <c r="A1391">
        <v>279.56</v>
      </c>
      <c r="B1391">
        <v>4</v>
      </c>
      <c r="C1391">
        <v>1390</v>
      </c>
      <c r="D1391" s="2">
        <v>0.99123069444444445</v>
      </c>
      <c r="E1391" t="s">
        <v>2011</v>
      </c>
      <c r="F1391" t="s">
        <v>2012</v>
      </c>
      <c r="G1391" t="s">
        <v>2013</v>
      </c>
      <c r="H1391" t="s">
        <v>1172</v>
      </c>
      <c r="I1391" t="s">
        <v>830</v>
      </c>
      <c r="J1391" t="s">
        <v>366</v>
      </c>
      <c r="K1391" t="s">
        <v>19</v>
      </c>
      <c r="L1391">
        <v>69.89</v>
      </c>
      <c r="M1391" s="1">
        <v>45841</v>
      </c>
      <c r="N1391" t="s">
        <v>105</v>
      </c>
      <c r="O1391">
        <v>3</v>
      </c>
      <c r="P1391">
        <v>7</v>
      </c>
      <c r="Q1391">
        <v>3</v>
      </c>
      <c r="R1391">
        <v>2025</v>
      </c>
    </row>
    <row r="1392" spans="1:18">
      <c r="A1392">
        <v>457.1</v>
      </c>
      <c r="B1392">
        <v>5</v>
      </c>
      <c r="C1392">
        <v>1391</v>
      </c>
      <c r="D1392" s="2">
        <v>0.57471179398148153</v>
      </c>
      <c r="E1392" t="s">
        <v>2336</v>
      </c>
      <c r="F1392" t="s">
        <v>2337</v>
      </c>
      <c r="G1392" t="s">
        <v>2338</v>
      </c>
      <c r="H1392" t="s">
        <v>1811</v>
      </c>
      <c r="I1392" t="s">
        <v>892</v>
      </c>
      <c r="J1392" t="s">
        <v>479</v>
      </c>
      <c r="K1392" t="s">
        <v>17</v>
      </c>
      <c r="L1392">
        <v>91.42</v>
      </c>
      <c r="M1392" s="1">
        <v>45614</v>
      </c>
      <c r="N1392" t="s">
        <v>93</v>
      </c>
      <c r="O1392">
        <v>18</v>
      </c>
      <c r="P1392">
        <v>11</v>
      </c>
      <c r="Q1392">
        <v>4</v>
      </c>
      <c r="R1392">
        <v>2024</v>
      </c>
    </row>
    <row r="1393" spans="1:18">
      <c r="A1393">
        <v>133.1</v>
      </c>
      <c r="B1393">
        <v>2</v>
      </c>
      <c r="C1393">
        <v>1392</v>
      </c>
      <c r="D1393" s="2">
        <v>0.97066478009259261</v>
      </c>
      <c r="E1393" t="s">
        <v>3046</v>
      </c>
      <c r="F1393" t="s">
        <v>3047</v>
      </c>
      <c r="G1393" t="s">
        <v>2513</v>
      </c>
      <c r="H1393" t="s">
        <v>829</v>
      </c>
      <c r="I1393" t="s">
        <v>830</v>
      </c>
      <c r="J1393" t="s">
        <v>452</v>
      </c>
      <c r="K1393" t="s">
        <v>69</v>
      </c>
      <c r="L1393">
        <v>66.55</v>
      </c>
      <c r="M1393" s="1">
        <v>45867</v>
      </c>
      <c r="N1393" t="s">
        <v>48</v>
      </c>
      <c r="O1393">
        <v>29</v>
      </c>
      <c r="P1393">
        <v>7</v>
      </c>
      <c r="Q1393">
        <v>3</v>
      </c>
      <c r="R1393">
        <v>2025</v>
      </c>
    </row>
    <row r="1394" spans="1:18">
      <c r="A1394">
        <v>65.760000000000005</v>
      </c>
      <c r="B1394">
        <v>3</v>
      </c>
      <c r="C1394">
        <v>1393</v>
      </c>
      <c r="D1394" s="2">
        <v>0.72833836805555552</v>
      </c>
      <c r="E1394" t="s">
        <v>1160</v>
      </c>
      <c r="F1394" t="s">
        <v>1161</v>
      </c>
      <c r="G1394" t="s">
        <v>1162</v>
      </c>
      <c r="H1394" t="s">
        <v>794</v>
      </c>
      <c r="I1394" t="s">
        <v>795</v>
      </c>
      <c r="J1394" t="s">
        <v>217</v>
      </c>
      <c r="K1394" t="s">
        <v>60</v>
      </c>
      <c r="L1394">
        <v>21.92</v>
      </c>
      <c r="M1394" s="1">
        <v>46146</v>
      </c>
      <c r="N1394" t="s">
        <v>93</v>
      </c>
      <c r="O1394">
        <v>4</v>
      </c>
      <c r="P1394">
        <v>5</v>
      </c>
      <c r="Q1394">
        <v>2</v>
      </c>
      <c r="R1394">
        <v>2026</v>
      </c>
    </row>
    <row r="1395" spans="1:18">
      <c r="A1395">
        <v>130.63999999999999</v>
      </c>
      <c r="B1395">
        <v>1</v>
      </c>
      <c r="C1395">
        <v>1394</v>
      </c>
      <c r="D1395" s="2">
        <v>0.42235276620370371</v>
      </c>
      <c r="E1395" t="s">
        <v>1496</v>
      </c>
      <c r="F1395" t="s">
        <v>1497</v>
      </c>
      <c r="G1395" t="s">
        <v>1498</v>
      </c>
      <c r="H1395" t="s">
        <v>772</v>
      </c>
      <c r="I1395" t="s">
        <v>758</v>
      </c>
      <c r="J1395" t="s">
        <v>553</v>
      </c>
      <c r="K1395" t="s">
        <v>100</v>
      </c>
      <c r="L1395">
        <v>130.63999999999999</v>
      </c>
      <c r="M1395" s="1">
        <v>45715</v>
      </c>
      <c r="N1395" t="s">
        <v>105</v>
      </c>
      <c r="O1395">
        <v>27</v>
      </c>
      <c r="P1395">
        <v>2</v>
      </c>
      <c r="Q1395">
        <v>1</v>
      </c>
      <c r="R1395">
        <v>2025</v>
      </c>
    </row>
    <row r="1396" spans="1:18">
      <c r="A1396">
        <v>22.56</v>
      </c>
      <c r="B1396">
        <v>1</v>
      </c>
      <c r="C1396">
        <v>1395</v>
      </c>
      <c r="D1396" s="2">
        <v>0.41781804398148148</v>
      </c>
      <c r="E1396" t="s">
        <v>3405</v>
      </c>
      <c r="F1396" t="s">
        <v>3406</v>
      </c>
      <c r="G1396" t="s">
        <v>3156</v>
      </c>
      <c r="H1396" t="s">
        <v>970</v>
      </c>
      <c r="I1396" t="s">
        <v>790</v>
      </c>
      <c r="J1396" t="s">
        <v>371</v>
      </c>
      <c r="K1396" t="s">
        <v>21</v>
      </c>
      <c r="L1396">
        <v>22.56</v>
      </c>
      <c r="M1396" s="1">
        <v>45987</v>
      </c>
      <c r="N1396" t="s">
        <v>34</v>
      </c>
      <c r="O1396">
        <v>26</v>
      </c>
      <c r="P1396">
        <v>11</v>
      </c>
      <c r="Q1396">
        <v>4</v>
      </c>
      <c r="R1396">
        <v>2025</v>
      </c>
    </row>
    <row r="1397" spans="1:18">
      <c r="A1397">
        <v>176.34</v>
      </c>
      <c r="B1397">
        <v>2</v>
      </c>
      <c r="C1397">
        <v>1396</v>
      </c>
      <c r="D1397" s="2">
        <v>0.37082877314814816</v>
      </c>
      <c r="E1397" t="s">
        <v>1062</v>
      </c>
      <c r="F1397" t="s">
        <v>1063</v>
      </c>
      <c r="G1397" t="s">
        <v>1064</v>
      </c>
      <c r="H1397" t="s">
        <v>151</v>
      </c>
      <c r="I1397" t="s">
        <v>1003</v>
      </c>
      <c r="J1397" t="s">
        <v>177</v>
      </c>
      <c r="K1397" t="s">
        <v>17</v>
      </c>
      <c r="L1397">
        <v>88.17</v>
      </c>
      <c r="M1397" s="1">
        <v>45935</v>
      </c>
      <c r="N1397" t="s">
        <v>28</v>
      </c>
      <c r="O1397">
        <v>5</v>
      </c>
      <c r="P1397">
        <v>10</v>
      </c>
      <c r="Q1397">
        <v>4</v>
      </c>
      <c r="R1397">
        <v>2025</v>
      </c>
    </row>
    <row r="1398" spans="1:18">
      <c r="A1398">
        <v>655.23</v>
      </c>
      <c r="B1398">
        <v>3</v>
      </c>
      <c r="C1398">
        <v>1397</v>
      </c>
      <c r="D1398" s="2">
        <v>0.59100458333333339</v>
      </c>
      <c r="E1398" t="s">
        <v>2737</v>
      </c>
      <c r="F1398" t="s">
        <v>2738</v>
      </c>
      <c r="G1398" t="s">
        <v>1110</v>
      </c>
      <c r="H1398" t="s">
        <v>825</v>
      </c>
      <c r="I1398" t="s">
        <v>781</v>
      </c>
      <c r="J1398" t="s">
        <v>411</v>
      </c>
      <c r="K1398" t="s">
        <v>82</v>
      </c>
      <c r="L1398">
        <v>218.41</v>
      </c>
      <c r="M1398" s="1">
        <v>45934</v>
      </c>
      <c r="N1398" t="s">
        <v>14</v>
      </c>
      <c r="O1398">
        <v>4</v>
      </c>
      <c r="P1398">
        <v>10</v>
      </c>
      <c r="Q1398">
        <v>4</v>
      </c>
      <c r="R1398">
        <v>2025</v>
      </c>
    </row>
    <row r="1399" spans="1:18">
      <c r="A1399">
        <v>299.56</v>
      </c>
      <c r="B1399">
        <v>2</v>
      </c>
      <c r="C1399">
        <v>1398</v>
      </c>
      <c r="D1399" s="2">
        <v>0.39822271990740743</v>
      </c>
      <c r="E1399" t="s">
        <v>1802</v>
      </c>
      <c r="F1399" t="s">
        <v>1803</v>
      </c>
      <c r="G1399" t="s">
        <v>906</v>
      </c>
      <c r="H1399" t="s">
        <v>970</v>
      </c>
      <c r="I1399" t="s">
        <v>790</v>
      </c>
      <c r="J1399" t="s">
        <v>427</v>
      </c>
      <c r="K1399" t="s">
        <v>21</v>
      </c>
      <c r="L1399">
        <v>149.78</v>
      </c>
      <c r="M1399" s="1">
        <v>45548</v>
      </c>
      <c r="N1399" t="s">
        <v>79</v>
      </c>
      <c r="O1399">
        <v>13</v>
      </c>
      <c r="P1399">
        <v>9</v>
      </c>
      <c r="Q1399">
        <v>3</v>
      </c>
      <c r="R1399">
        <v>2024</v>
      </c>
    </row>
    <row r="1400" spans="1:18">
      <c r="A1400">
        <v>169.28</v>
      </c>
      <c r="B1400">
        <v>4</v>
      </c>
      <c r="C1400">
        <v>1399</v>
      </c>
      <c r="D1400" s="2">
        <v>0.76795805555555552</v>
      </c>
      <c r="E1400" t="s">
        <v>1040</v>
      </c>
      <c r="F1400" t="s">
        <v>1041</v>
      </c>
      <c r="G1400" t="s">
        <v>1042</v>
      </c>
      <c r="H1400" t="s">
        <v>942</v>
      </c>
      <c r="I1400" t="s">
        <v>943</v>
      </c>
      <c r="J1400" t="s">
        <v>415</v>
      </c>
      <c r="K1400" t="s">
        <v>43</v>
      </c>
      <c r="L1400">
        <v>42.32</v>
      </c>
      <c r="M1400" s="1">
        <v>45776</v>
      </c>
      <c r="N1400" t="s">
        <v>48</v>
      </c>
      <c r="O1400">
        <v>29</v>
      </c>
      <c r="P1400">
        <v>4</v>
      </c>
      <c r="Q1400">
        <v>2</v>
      </c>
      <c r="R1400">
        <v>2025</v>
      </c>
    </row>
    <row r="1401" spans="1:18">
      <c r="A1401">
        <v>446.15000000000003</v>
      </c>
      <c r="B1401">
        <v>5</v>
      </c>
      <c r="C1401">
        <v>1400</v>
      </c>
      <c r="D1401" s="2">
        <v>0.6657184606481481</v>
      </c>
      <c r="E1401" t="s">
        <v>2501</v>
      </c>
      <c r="F1401" t="s">
        <v>2502</v>
      </c>
      <c r="G1401" t="s">
        <v>2503</v>
      </c>
      <c r="H1401" t="s">
        <v>548</v>
      </c>
      <c r="I1401" t="s">
        <v>790</v>
      </c>
      <c r="J1401" t="s">
        <v>401</v>
      </c>
      <c r="K1401" t="s">
        <v>31</v>
      </c>
      <c r="L1401">
        <v>89.23</v>
      </c>
      <c r="M1401" s="1">
        <v>45620</v>
      </c>
      <c r="N1401" t="s">
        <v>28</v>
      </c>
      <c r="O1401">
        <v>24</v>
      </c>
      <c r="P1401">
        <v>11</v>
      </c>
      <c r="Q1401">
        <v>4</v>
      </c>
      <c r="R1401">
        <v>2024</v>
      </c>
    </row>
    <row r="1402" spans="1:18">
      <c r="A1402">
        <v>219.20000000000002</v>
      </c>
      <c r="B1402">
        <v>5</v>
      </c>
      <c r="C1402">
        <v>1401</v>
      </c>
      <c r="D1402" s="2">
        <v>0.33999021990740741</v>
      </c>
      <c r="E1402" t="s">
        <v>1910</v>
      </c>
      <c r="F1402" t="s">
        <v>1911</v>
      </c>
      <c r="G1402" t="s">
        <v>846</v>
      </c>
      <c r="H1402" t="s">
        <v>883</v>
      </c>
      <c r="I1402" t="s">
        <v>807</v>
      </c>
      <c r="J1402" t="s">
        <v>335</v>
      </c>
      <c r="K1402" t="s">
        <v>37</v>
      </c>
      <c r="L1402">
        <v>43.84</v>
      </c>
      <c r="M1402" s="1">
        <v>45970</v>
      </c>
      <c r="N1402" t="s">
        <v>28</v>
      </c>
      <c r="O1402">
        <v>9</v>
      </c>
      <c r="P1402">
        <v>11</v>
      </c>
      <c r="Q1402">
        <v>4</v>
      </c>
      <c r="R1402">
        <v>2025</v>
      </c>
    </row>
    <row r="1403" spans="1:18">
      <c r="A1403">
        <v>545.64</v>
      </c>
      <c r="B1403">
        <v>3</v>
      </c>
      <c r="C1403">
        <v>1402</v>
      </c>
      <c r="D1403" s="2">
        <v>1.7822013888888887E-2</v>
      </c>
      <c r="E1403" t="s">
        <v>2363</v>
      </c>
      <c r="F1403" t="s">
        <v>2364</v>
      </c>
      <c r="G1403" t="s">
        <v>2365</v>
      </c>
      <c r="H1403" t="s">
        <v>903</v>
      </c>
      <c r="I1403" t="s">
        <v>786</v>
      </c>
      <c r="J1403" t="s">
        <v>549</v>
      </c>
      <c r="K1403" t="s">
        <v>82</v>
      </c>
      <c r="L1403">
        <v>181.88</v>
      </c>
      <c r="M1403" s="1">
        <v>45885</v>
      </c>
      <c r="N1403" t="s">
        <v>14</v>
      </c>
      <c r="O1403">
        <v>16</v>
      </c>
      <c r="P1403">
        <v>8</v>
      </c>
      <c r="Q1403">
        <v>3</v>
      </c>
      <c r="R1403">
        <v>2025</v>
      </c>
    </row>
    <row r="1404" spans="1:18">
      <c r="A1404">
        <v>91.42</v>
      </c>
      <c r="B1404">
        <v>1</v>
      </c>
      <c r="C1404">
        <v>1403</v>
      </c>
      <c r="D1404" s="2">
        <v>0.67474584490740741</v>
      </c>
      <c r="E1404" t="s">
        <v>2739</v>
      </c>
      <c r="F1404" t="s">
        <v>2740</v>
      </c>
      <c r="G1404" t="s">
        <v>2060</v>
      </c>
      <c r="H1404" t="s">
        <v>691</v>
      </c>
      <c r="I1404" t="s">
        <v>776</v>
      </c>
      <c r="J1404" t="s">
        <v>479</v>
      </c>
      <c r="K1404" t="s">
        <v>17</v>
      </c>
      <c r="L1404">
        <v>91.42</v>
      </c>
      <c r="M1404" s="1">
        <v>45923</v>
      </c>
      <c r="N1404" t="s">
        <v>48</v>
      </c>
      <c r="O1404">
        <v>23</v>
      </c>
      <c r="P1404">
        <v>9</v>
      </c>
      <c r="Q1404">
        <v>3</v>
      </c>
      <c r="R1404">
        <v>2025</v>
      </c>
    </row>
    <row r="1405" spans="1:18">
      <c r="A1405">
        <v>156.86000000000001</v>
      </c>
      <c r="B1405">
        <v>1</v>
      </c>
      <c r="C1405">
        <v>1404</v>
      </c>
      <c r="D1405" s="2">
        <v>0.98806434027777779</v>
      </c>
      <c r="E1405" t="s">
        <v>889</v>
      </c>
      <c r="F1405" t="s">
        <v>890</v>
      </c>
      <c r="G1405" t="s">
        <v>891</v>
      </c>
      <c r="H1405" t="s">
        <v>64</v>
      </c>
      <c r="I1405" t="s">
        <v>892</v>
      </c>
      <c r="J1405" t="s">
        <v>602</v>
      </c>
      <c r="K1405" t="s">
        <v>17</v>
      </c>
      <c r="L1405">
        <v>156.86000000000001</v>
      </c>
      <c r="M1405" s="1">
        <v>45723</v>
      </c>
      <c r="N1405" t="s">
        <v>79</v>
      </c>
      <c r="O1405">
        <v>7</v>
      </c>
      <c r="P1405">
        <v>3</v>
      </c>
      <c r="Q1405">
        <v>1</v>
      </c>
      <c r="R1405">
        <v>2025</v>
      </c>
    </row>
    <row r="1406" spans="1:18">
      <c r="A1406">
        <v>170.59</v>
      </c>
      <c r="B1406">
        <v>1</v>
      </c>
      <c r="C1406">
        <v>1405</v>
      </c>
      <c r="D1406" s="2">
        <v>0.46755291666666665</v>
      </c>
      <c r="E1406" t="s">
        <v>2320</v>
      </c>
      <c r="F1406" t="s">
        <v>2321</v>
      </c>
      <c r="G1406" t="s">
        <v>1657</v>
      </c>
      <c r="H1406" t="s">
        <v>113</v>
      </c>
      <c r="I1406" t="s">
        <v>854</v>
      </c>
      <c r="J1406" t="s">
        <v>735</v>
      </c>
      <c r="K1406" t="s">
        <v>51</v>
      </c>
      <c r="L1406">
        <v>170.59</v>
      </c>
      <c r="M1406" s="1">
        <v>45976</v>
      </c>
      <c r="N1406" t="s">
        <v>14</v>
      </c>
      <c r="O1406">
        <v>15</v>
      </c>
      <c r="P1406">
        <v>11</v>
      </c>
      <c r="Q1406">
        <v>4</v>
      </c>
      <c r="R1406">
        <v>2025</v>
      </c>
    </row>
    <row r="1407" spans="1:18">
      <c r="A1407">
        <v>65.760000000000005</v>
      </c>
      <c r="B1407">
        <v>3</v>
      </c>
      <c r="C1407">
        <v>1406</v>
      </c>
      <c r="D1407" s="2">
        <v>7.7404039351851847E-2</v>
      </c>
      <c r="E1407" t="s">
        <v>1296</v>
      </c>
      <c r="F1407" t="s">
        <v>1297</v>
      </c>
      <c r="G1407" t="s">
        <v>1298</v>
      </c>
      <c r="H1407" t="s">
        <v>1254</v>
      </c>
      <c r="I1407" t="s">
        <v>781</v>
      </c>
      <c r="J1407" t="s">
        <v>217</v>
      </c>
      <c r="K1407" t="s">
        <v>60</v>
      </c>
      <c r="L1407">
        <v>21.92</v>
      </c>
      <c r="M1407" s="1">
        <v>46030</v>
      </c>
      <c r="N1407" t="s">
        <v>105</v>
      </c>
      <c r="O1407">
        <v>8</v>
      </c>
      <c r="P1407">
        <v>1</v>
      </c>
      <c r="Q1407">
        <v>1</v>
      </c>
      <c r="R1407">
        <v>2026</v>
      </c>
    </row>
    <row r="1408" spans="1:18">
      <c r="A1408">
        <v>117.32</v>
      </c>
      <c r="B1408">
        <v>4</v>
      </c>
      <c r="C1408">
        <v>1407</v>
      </c>
      <c r="D1408" s="2">
        <v>0.93772370370370373</v>
      </c>
      <c r="E1408" t="s">
        <v>3514</v>
      </c>
      <c r="F1408" t="s">
        <v>3515</v>
      </c>
      <c r="G1408" t="s">
        <v>1906</v>
      </c>
      <c r="H1408" t="s">
        <v>1318</v>
      </c>
      <c r="I1408" t="s">
        <v>807</v>
      </c>
      <c r="J1408" t="s">
        <v>289</v>
      </c>
      <c r="K1408" t="s">
        <v>60</v>
      </c>
      <c r="L1408">
        <v>29.33</v>
      </c>
      <c r="M1408" s="1">
        <v>45654</v>
      </c>
      <c r="N1408" t="s">
        <v>14</v>
      </c>
      <c r="O1408">
        <v>28</v>
      </c>
      <c r="P1408">
        <v>12</v>
      </c>
      <c r="Q1408">
        <v>4</v>
      </c>
      <c r="R1408">
        <v>2024</v>
      </c>
    </row>
    <row r="1409" spans="1:18">
      <c r="A1409">
        <v>772.88</v>
      </c>
      <c r="B1409">
        <v>4</v>
      </c>
      <c r="C1409">
        <v>1408</v>
      </c>
      <c r="D1409" s="2">
        <v>0.66525805555555551</v>
      </c>
      <c r="E1409" t="s">
        <v>1677</v>
      </c>
      <c r="F1409" t="s">
        <v>1678</v>
      </c>
      <c r="G1409" t="s">
        <v>1679</v>
      </c>
      <c r="H1409" t="s">
        <v>767</v>
      </c>
      <c r="I1409" t="s">
        <v>768</v>
      </c>
      <c r="J1409" t="s">
        <v>430</v>
      </c>
      <c r="K1409" t="s">
        <v>27</v>
      </c>
      <c r="L1409">
        <v>193.22</v>
      </c>
      <c r="M1409" s="1">
        <v>46009</v>
      </c>
      <c r="N1409" t="s">
        <v>105</v>
      </c>
      <c r="O1409">
        <v>18</v>
      </c>
      <c r="P1409">
        <v>12</v>
      </c>
      <c r="Q1409">
        <v>4</v>
      </c>
      <c r="R1409">
        <v>2025</v>
      </c>
    </row>
    <row r="1410" spans="1:18">
      <c r="A1410">
        <v>5.48</v>
      </c>
      <c r="B1410">
        <v>4</v>
      </c>
      <c r="C1410">
        <v>1409</v>
      </c>
      <c r="D1410" s="2">
        <v>0.70050131944444449</v>
      </c>
      <c r="E1410" t="s">
        <v>3286</v>
      </c>
      <c r="F1410" t="s">
        <v>3287</v>
      </c>
      <c r="G1410" t="s">
        <v>1629</v>
      </c>
      <c r="H1410" t="s">
        <v>862</v>
      </c>
      <c r="I1410" t="s">
        <v>807</v>
      </c>
      <c r="J1410" t="s">
        <v>85</v>
      </c>
      <c r="K1410" t="s">
        <v>37</v>
      </c>
      <c r="L1410">
        <v>1.37</v>
      </c>
      <c r="M1410" s="1">
        <v>45860</v>
      </c>
      <c r="N1410" t="s">
        <v>48</v>
      </c>
      <c r="O1410">
        <v>22</v>
      </c>
      <c r="P1410">
        <v>7</v>
      </c>
      <c r="Q1410">
        <v>3</v>
      </c>
      <c r="R1410">
        <v>2025</v>
      </c>
    </row>
    <row r="1411" spans="1:18">
      <c r="A1411">
        <v>932.84</v>
      </c>
      <c r="B1411">
        <v>4</v>
      </c>
      <c r="C1411">
        <v>1410</v>
      </c>
      <c r="D1411" s="2">
        <v>2.5597962962962961E-2</v>
      </c>
      <c r="E1411" t="s">
        <v>2798</v>
      </c>
      <c r="F1411" t="s">
        <v>2799</v>
      </c>
      <c r="G1411" t="s">
        <v>2800</v>
      </c>
      <c r="H1411" t="s">
        <v>929</v>
      </c>
      <c r="I1411" t="s">
        <v>830</v>
      </c>
      <c r="J1411" t="s">
        <v>648</v>
      </c>
      <c r="K1411" t="s">
        <v>57</v>
      </c>
      <c r="L1411">
        <v>233.21</v>
      </c>
      <c r="M1411" s="1">
        <v>45988</v>
      </c>
      <c r="N1411" t="s">
        <v>105</v>
      </c>
      <c r="O1411">
        <v>27</v>
      </c>
      <c r="P1411">
        <v>11</v>
      </c>
      <c r="Q1411">
        <v>4</v>
      </c>
      <c r="R1411">
        <v>2025</v>
      </c>
    </row>
    <row r="1412" spans="1:18">
      <c r="A1412">
        <v>901.56</v>
      </c>
      <c r="B1412">
        <v>4</v>
      </c>
      <c r="C1412">
        <v>1411</v>
      </c>
      <c r="D1412" s="2">
        <v>0.74132946759259255</v>
      </c>
      <c r="E1412" t="s">
        <v>2258</v>
      </c>
      <c r="F1412" t="s">
        <v>2259</v>
      </c>
      <c r="G1412" t="s">
        <v>2260</v>
      </c>
      <c r="H1412" t="s">
        <v>772</v>
      </c>
      <c r="I1412" t="s">
        <v>758</v>
      </c>
      <c r="J1412" t="s">
        <v>152</v>
      </c>
      <c r="K1412" t="s">
        <v>19</v>
      </c>
      <c r="L1412">
        <v>225.39</v>
      </c>
      <c r="M1412" s="1">
        <v>45791</v>
      </c>
      <c r="N1412" t="s">
        <v>34</v>
      </c>
      <c r="O1412">
        <v>14</v>
      </c>
      <c r="P1412">
        <v>5</v>
      </c>
      <c r="Q1412">
        <v>2</v>
      </c>
      <c r="R1412">
        <v>2025</v>
      </c>
    </row>
    <row r="1413" spans="1:18">
      <c r="A1413">
        <v>117.32</v>
      </c>
      <c r="B1413">
        <v>4</v>
      </c>
      <c r="C1413">
        <v>1412</v>
      </c>
      <c r="D1413" s="2">
        <v>0.79872709490740745</v>
      </c>
      <c r="E1413" t="s">
        <v>2741</v>
      </c>
      <c r="F1413" t="s">
        <v>2742</v>
      </c>
      <c r="G1413" t="s">
        <v>2743</v>
      </c>
      <c r="H1413" t="s">
        <v>995</v>
      </c>
      <c r="I1413" t="s">
        <v>781</v>
      </c>
      <c r="J1413" t="s">
        <v>289</v>
      </c>
      <c r="K1413" t="s">
        <v>60</v>
      </c>
      <c r="L1413">
        <v>29.33</v>
      </c>
      <c r="M1413" s="1">
        <v>45749</v>
      </c>
      <c r="N1413" t="s">
        <v>34</v>
      </c>
      <c r="O1413">
        <v>2</v>
      </c>
      <c r="P1413">
        <v>4</v>
      </c>
      <c r="Q1413">
        <v>2</v>
      </c>
      <c r="R1413">
        <v>2025</v>
      </c>
    </row>
    <row r="1414" spans="1:18">
      <c r="A1414">
        <v>157.85999999999999</v>
      </c>
      <c r="B1414">
        <v>3</v>
      </c>
      <c r="C1414">
        <v>1413</v>
      </c>
      <c r="D1414" s="2">
        <v>0.60056628472222218</v>
      </c>
      <c r="E1414" t="s">
        <v>2564</v>
      </c>
      <c r="F1414" t="s">
        <v>2565</v>
      </c>
      <c r="G1414" t="s">
        <v>2566</v>
      </c>
      <c r="H1414" t="s">
        <v>280</v>
      </c>
      <c r="I1414" t="s">
        <v>812</v>
      </c>
      <c r="J1414" t="s">
        <v>270</v>
      </c>
      <c r="K1414" t="s">
        <v>55</v>
      </c>
      <c r="L1414">
        <v>52.62</v>
      </c>
      <c r="M1414" s="1">
        <v>46066</v>
      </c>
      <c r="N1414" t="s">
        <v>79</v>
      </c>
      <c r="O1414">
        <v>13</v>
      </c>
      <c r="P1414">
        <v>2</v>
      </c>
      <c r="Q1414">
        <v>1</v>
      </c>
      <c r="R1414">
        <v>2026</v>
      </c>
    </row>
    <row r="1415" spans="1:18">
      <c r="A1415">
        <v>291.26</v>
      </c>
      <c r="B1415">
        <v>2</v>
      </c>
      <c r="C1415">
        <v>1414</v>
      </c>
      <c r="D1415" s="2">
        <v>0.33697439814814817</v>
      </c>
      <c r="E1415" t="s">
        <v>2196</v>
      </c>
      <c r="F1415" t="s">
        <v>2197</v>
      </c>
      <c r="G1415" t="s">
        <v>1777</v>
      </c>
      <c r="H1415" t="s">
        <v>953</v>
      </c>
      <c r="I1415" t="s">
        <v>954</v>
      </c>
      <c r="J1415" t="s">
        <v>191</v>
      </c>
      <c r="K1415" t="s">
        <v>60</v>
      </c>
      <c r="L1415">
        <v>145.63</v>
      </c>
      <c r="M1415" s="1">
        <v>45879</v>
      </c>
      <c r="N1415" t="s">
        <v>28</v>
      </c>
      <c r="O1415">
        <v>10</v>
      </c>
      <c r="P1415">
        <v>8</v>
      </c>
      <c r="Q1415">
        <v>3</v>
      </c>
      <c r="R1415">
        <v>2025</v>
      </c>
    </row>
    <row r="1416" spans="1:18">
      <c r="A1416">
        <v>124.14999999999999</v>
      </c>
      <c r="B1416">
        <v>5</v>
      </c>
      <c r="C1416">
        <v>1415</v>
      </c>
      <c r="D1416" s="2">
        <v>0.72750980324074077</v>
      </c>
      <c r="E1416" t="s">
        <v>1956</v>
      </c>
      <c r="F1416" t="s">
        <v>1957</v>
      </c>
      <c r="G1416" t="s">
        <v>899</v>
      </c>
      <c r="H1416" t="s">
        <v>136</v>
      </c>
      <c r="I1416" t="s">
        <v>954</v>
      </c>
      <c r="J1416" t="s">
        <v>338</v>
      </c>
      <c r="K1416" t="s">
        <v>82</v>
      </c>
      <c r="L1416">
        <v>24.83</v>
      </c>
      <c r="M1416" s="1">
        <v>46142</v>
      </c>
      <c r="N1416" t="s">
        <v>105</v>
      </c>
      <c r="O1416">
        <v>30</v>
      </c>
      <c r="P1416">
        <v>4</v>
      </c>
      <c r="Q1416">
        <v>2</v>
      </c>
      <c r="R1416">
        <v>2026</v>
      </c>
    </row>
    <row r="1417" spans="1:18">
      <c r="A1417">
        <v>360.28</v>
      </c>
      <c r="B1417">
        <v>4</v>
      </c>
      <c r="C1417">
        <v>1416</v>
      </c>
      <c r="D1417" s="2">
        <v>3.3740613425925929E-2</v>
      </c>
      <c r="E1417" t="s">
        <v>3457</v>
      </c>
      <c r="F1417" t="s">
        <v>3458</v>
      </c>
      <c r="G1417" t="s">
        <v>3459</v>
      </c>
      <c r="H1417" t="s">
        <v>1362</v>
      </c>
      <c r="I1417" t="s">
        <v>896</v>
      </c>
      <c r="J1417" t="s">
        <v>707</v>
      </c>
      <c r="K1417" t="s">
        <v>23</v>
      </c>
      <c r="L1417">
        <v>90.07</v>
      </c>
      <c r="M1417" s="1">
        <v>46268</v>
      </c>
      <c r="N1417" t="s">
        <v>105</v>
      </c>
      <c r="O1417">
        <v>3</v>
      </c>
      <c r="P1417">
        <v>9</v>
      </c>
      <c r="Q1417">
        <v>3</v>
      </c>
      <c r="R1417">
        <v>2026</v>
      </c>
    </row>
    <row r="1418" spans="1:18">
      <c r="A1418">
        <v>2.44</v>
      </c>
      <c r="B1418">
        <v>2</v>
      </c>
      <c r="C1418">
        <v>1417</v>
      </c>
      <c r="D1418" s="2">
        <v>0.11911475694444444</v>
      </c>
      <c r="E1418" t="s">
        <v>1309</v>
      </c>
      <c r="F1418" t="s">
        <v>1310</v>
      </c>
      <c r="G1418" t="s">
        <v>1311</v>
      </c>
      <c r="H1418" t="s">
        <v>49</v>
      </c>
      <c r="I1418" t="s">
        <v>807</v>
      </c>
      <c r="J1418" t="s">
        <v>242</v>
      </c>
      <c r="K1418" t="s">
        <v>19</v>
      </c>
      <c r="L1418">
        <v>1.22</v>
      </c>
      <c r="M1418" s="1">
        <v>45794</v>
      </c>
      <c r="N1418" t="s">
        <v>14</v>
      </c>
      <c r="O1418">
        <v>17</v>
      </c>
      <c r="P1418">
        <v>5</v>
      </c>
      <c r="Q1418">
        <v>2</v>
      </c>
      <c r="R1418">
        <v>2025</v>
      </c>
    </row>
    <row r="1419" spans="1:18">
      <c r="A1419">
        <v>643.71</v>
      </c>
      <c r="B1419">
        <v>3</v>
      </c>
      <c r="C1419">
        <v>1418</v>
      </c>
      <c r="D1419" s="2">
        <v>0.36265597222222223</v>
      </c>
      <c r="E1419" t="s">
        <v>3053</v>
      </c>
      <c r="F1419" t="s">
        <v>3054</v>
      </c>
      <c r="G1419" t="s">
        <v>1455</v>
      </c>
      <c r="H1419" t="s">
        <v>767</v>
      </c>
      <c r="I1419" t="s">
        <v>768</v>
      </c>
      <c r="J1419" t="s">
        <v>383</v>
      </c>
      <c r="K1419" t="s">
        <v>39</v>
      </c>
      <c r="L1419">
        <v>214.57</v>
      </c>
      <c r="M1419" s="1">
        <v>46100</v>
      </c>
      <c r="N1419" t="s">
        <v>105</v>
      </c>
      <c r="O1419">
        <v>19</v>
      </c>
      <c r="P1419">
        <v>3</v>
      </c>
      <c r="Q1419">
        <v>1</v>
      </c>
      <c r="R1419">
        <v>2026</v>
      </c>
    </row>
    <row r="1420" spans="1:18">
      <c r="A1420">
        <v>339.04</v>
      </c>
      <c r="B1420">
        <v>4</v>
      </c>
      <c r="C1420">
        <v>1419</v>
      </c>
      <c r="D1420" s="2">
        <v>0.25228133101851852</v>
      </c>
      <c r="E1420" t="s">
        <v>1402</v>
      </c>
      <c r="F1420" t="s">
        <v>1403</v>
      </c>
      <c r="G1420" t="s">
        <v>1404</v>
      </c>
      <c r="H1420" t="s">
        <v>691</v>
      </c>
      <c r="I1420" t="s">
        <v>776</v>
      </c>
      <c r="J1420" t="s">
        <v>363</v>
      </c>
      <c r="K1420" t="s">
        <v>100</v>
      </c>
      <c r="L1420">
        <v>84.76</v>
      </c>
      <c r="M1420" s="1">
        <v>46180</v>
      </c>
      <c r="N1420" t="s">
        <v>28</v>
      </c>
      <c r="O1420">
        <v>7</v>
      </c>
      <c r="P1420">
        <v>6</v>
      </c>
      <c r="Q1420">
        <v>2</v>
      </c>
      <c r="R1420">
        <v>2026</v>
      </c>
    </row>
    <row r="1421" spans="1:18">
      <c r="A1421">
        <v>913.04</v>
      </c>
      <c r="B1421">
        <v>4</v>
      </c>
      <c r="C1421">
        <v>1420</v>
      </c>
      <c r="D1421" s="2">
        <v>0.2933045486111111</v>
      </c>
      <c r="E1421" t="s">
        <v>2715</v>
      </c>
      <c r="F1421" t="s">
        <v>2716</v>
      </c>
      <c r="G1421" t="s">
        <v>2338</v>
      </c>
      <c r="H1421" t="s">
        <v>869</v>
      </c>
      <c r="I1421" t="s">
        <v>1247</v>
      </c>
      <c r="J1421" t="s">
        <v>268</v>
      </c>
      <c r="K1421" t="s">
        <v>97</v>
      </c>
      <c r="L1421">
        <v>228.26</v>
      </c>
      <c r="M1421" s="1">
        <v>46110</v>
      </c>
      <c r="N1421" t="s">
        <v>28</v>
      </c>
      <c r="O1421">
        <v>29</v>
      </c>
      <c r="P1421">
        <v>3</v>
      </c>
      <c r="Q1421">
        <v>1</v>
      </c>
      <c r="R1421">
        <v>2026</v>
      </c>
    </row>
    <row r="1422" spans="1:18">
      <c r="A1422">
        <v>402.06</v>
      </c>
      <c r="B1422">
        <v>2</v>
      </c>
      <c r="C1422">
        <v>1421</v>
      </c>
      <c r="D1422" s="2">
        <v>0.87692653935185183</v>
      </c>
      <c r="E1422" t="s">
        <v>3296</v>
      </c>
      <c r="F1422" t="s">
        <v>1820</v>
      </c>
      <c r="G1422" t="s">
        <v>793</v>
      </c>
      <c r="H1422" t="s">
        <v>767</v>
      </c>
      <c r="I1422" t="s">
        <v>768</v>
      </c>
      <c r="J1422" t="s">
        <v>314</v>
      </c>
      <c r="K1422" t="s">
        <v>100</v>
      </c>
      <c r="L1422">
        <v>201.03</v>
      </c>
      <c r="M1422" s="1">
        <v>45725</v>
      </c>
      <c r="N1422" t="s">
        <v>28</v>
      </c>
      <c r="O1422">
        <v>9</v>
      </c>
      <c r="P1422">
        <v>3</v>
      </c>
      <c r="Q1422">
        <v>1</v>
      </c>
      <c r="R1422">
        <v>2025</v>
      </c>
    </row>
    <row r="1423" spans="1:18">
      <c r="A1423">
        <v>394.26</v>
      </c>
      <c r="B1423">
        <v>3</v>
      </c>
      <c r="C1423">
        <v>1422</v>
      </c>
      <c r="D1423" s="2">
        <v>0.65950717592592589</v>
      </c>
      <c r="E1423" t="s">
        <v>2591</v>
      </c>
      <c r="F1423" t="s">
        <v>2592</v>
      </c>
      <c r="G1423" t="s">
        <v>875</v>
      </c>
      <c r="H1423" t="s">
        <v>985</v>
      </c>
      <c r="I1423" t="s">
        <v>817</v>
      </c>
      <c r="J1423" t="s">
        <v>679</v>
      </c>
      <c r="K1423" t="s">
        <v>25</v>
      </c>
      <c r="L1423">
        <v>131.41999999999999</v>
      </c>
      <c r="M1423" s="1">
        <v>46137</v>
      </c>
      <c r="N1423" t="s">
        <v>14</v>
      </c>
      <c r="O1423">
        <v>25</v>
      </c>
      <c r="P1423">
        <v>4</v>
      </c>
      <c r="Q1423">
        <v>2</v>
      </c>
      <c r="R1423">
        <v>2026</v>
      </c>
    </row>
    <row r="1424" spans="1:18">
      <c r="A1424">
        <v>1069.0999999999999</v>
      </c>
      <c r="B1424">
        <v>5</v>
      </c>
      <c r="C1424">
        <v>1423</v>
      </c>
      <c r="D1424" s="2">
        <v>0.88172296296296293</v>
      </c>
      <c r="E1424" t="s">
        <v>3007</v>
      </c>
      <c r="F1424" t="s">
        <v>3008</v>
      </c>
      <c r="G1424" t="s">
        <v>1053</v>
      </c>
      <c r="H1424" t="s">
        <v>113</v>
      </c>
      <c r="I1424" t="s">
        <v>854</v>
      </c>
      <c r="J1424" t="s">
        <v>266</v>
      </c>
      <c r="K1424" t="s">
        <v>19</v>
      </c>
      <c r="L1424">
        <v>213.82</v>
      </c>
      <c r="M1424" s="1">
        <v>45676</v>
      </c>
      <c r="N1424" t="s">
        <v>28</v>
      </c>
      <c r="O1424">
        <v>19</v>
      </c>
      <c r="P1424">
        <v>1</v>
      </c>
      <c r="Q1424">
        <v>1</v>
      </c>
      <c r="R1424">
        <v>2025</v>
      </c>
    </row>
    <row r="1425" spans="1:18">
      <c r="A1425">
        <v>33.869999999999997</v>
      </c>
      <c r="B1425">
        <v>3</v>
      </c>
      <c r="C1425">
        <v>1424</v>
      </c>
      <c r="D1425" s="2">
        <v>0.1474585300925926</v>
      </c>
      <c r="E1425" t="s">
        <v>1065</v>
      </c>
      <c r="F1425" t="s">
        <v>1066</v>
      </c>
      <c r="G1425" t="s">
        <v>984</v>
      </c>
      <c r="H1425" t="s">
        <v>1067</v>
      </c>
      <c r="I1425" t="s">
        <v>854</v>
      </c>
      <c r="J1425" t="s">
        <v>596</v>
      </c>
      <c r="K1425" t="s">
        <v>39</v>
      </c>
      <c r="L1425">
        <v>11.29</v>
      </c>
      <c r="M1425" s="1">
        <v>46247</v>
      </c>
      <c r="N1425" t="s">
        <v>105</v>
      </c>
      <c r="O1425">
        <v>13</v>
      </c>
      <c r="P1425">
        <v>8</v>
      </c>
      <c r="Q1425">
        <v>3</v>
      </c>
      <c r="R1425">
        <v>2026</v>
      </c>
    </row>
    <row r="1426" spans="1:18">
      <c r="A1426">
        <v>335.04</v>
      </c>
      <c r="B1426">
        <v>3</v>
      </c>
      <c r="C1426">
        <v>1425</v>
      </c>
      <c r="D1426" s="2">
        <v>0.31644262731481482</v>
      </c>
      <c r="E1426" t="s">
        <v>2454</v>
      </c>
      <c r="F1426" t="s">
        <v>2455</v>
      </c>
      <c r="G1426" t="s">
        <v>1447</v>
      </c>
      <c r="H1426" t="s">
        <v>635</v>
      </c>
      <c r="I1426" t="s">
        <v>768</v>
      </c>
      <c r="J1426" t="s">
        <v>540</v>
      </c>
      <c r="K1426" t="s">
        <v>19</v>
      </c>
      <c r="L1426">
        <v>111.68</v>
      </c>
      <c r="M1426" s="1">
        <v>45780</v>
      </c>
      <c r="N1426" t="s">
        <v>14</v>
      </c>
      <c r="O1426">
        <v>3</v>
      </c>
      <c r="P1426">
        <v>5</v>
      </c>
      <c r="Q1426">
        <v>2</v>
      </c>
      <c r="R1426">
        <v>2025</v>
      </c>
    </row>
    <row r="1427" spans="1:18">
      <c r="A1427">
        <v>349.92</v>
      </c>
      <c r="B1427">
        <v>4</v>
      </c>
      <c r="C1427">
        <v>1426</v>
      </c>
      <c r="D1427" s="2">
        <v>0.58769862268518513</v>
      </c>
      <c r="E1427" t="s">
        <v>1079</v>
      </c>
      <c r="F1427" t="s">
        <v>1080</v>
      </c>
      <c r="G1427" t="s">
        <v>1081</v>
      </c>
      <c r="H1427" t="s">
        <v>772</v>
      </c>
      <c r="I1427" t="s">
        <v>758</v>
      </c>
      <c r="J1427" t="s">
        <v>604</v>
      </c>
      <c r="K1427" t="s">
        <v>69</v>
      </c>
      <c r="L1427">
        <v>87.48</v>
      </c>
      <c r="M1427" s="1">
        <v>45834</v>
      </c>
      <c r="N1427" t="s">
        <v>105</v>
      </c>
      <c r="O1427">
        <v>26</v>
      </c>
      <c r="P1427">
        <v>6</v>
      </c>
      <c r="Q1427">
        <v>2</v>
      </c>
      <c r="R1427">
        <v>2025</v>
      </c>
    </row>
    <row r="1428" spans="1:18">
      <c r="A1428">
        <v>476.13</v>
      </c>
      <c r="B1428">
        <v>3</v>
      </c>
      <c r="C1428">
        <v>1427</v>
      </c>
      <c r="D1428" s="2">
        <v>0.73187194444444448</v>
      </c>
      <c r="E1428" t="s">
        <v>2239</v>
      </c>
      <c r="F1428" t="s">
        <v>2240</v>
      </c>
      <c r="G1428" t="s">
        <v>2241</v>
      </c>
      <c r="H1428" t="s">
        <v>1002</v>
      </c>
      <c r="I1428" t="s">
        <v>1003</v>
      </c>
      <c r="J1428" t="s">
        <v>204</v>
      </c>
      <c r="K1428" t="s">
        <v>97</v>
      </c>
      <c r="L1428">
        <v>158.71</v>
      </c>
      <c r="M1428" s="1">
        <v>46182</v>
      </c>
      <c r="N1428" t="s">
        <v>48</v>
      </c>
      <c r="O1428">
        <v>9</v>
      </c>
      <c r="P1428">
        <v>6</v>
      </c>
      <c r="Q1428">
        <v>2</v>
      </c>
      <c r="R1428">
        <v>2026</v>
      </c>
    </row>
    <row r="1429" spans="1:18">
      <c r="A1429">
        <v>606.1</v>
      </c>
      <c r="B1429">
        <v>5</v>
      </c>
      <c r="C1429">
        <v>1428</v>
      </c>
      <c r="D1429" s="2">
        <v>0.50189140046296299</v>
      </c>
      <c r="E1429" t="s">
        <v>1530</v>
      </c>
      <c r="F1429" t="s">
        <v>1902</v>
      </c>
      <c r="G1429" t="s">
        <v>1903</v>
      </c>
      <c r="H1429" t="s">
        <v>49</v>
      </c>
      <c r="I1429" t="s">
        <v>892</v>
      </c>
      <c r="J1429" t="s">
        <v>47</v>
      </c>
      <c r="K1429" t="s">
        <v>46</v>
      </c>
      <c r="L1429">
        <v>121.22</v>
      </c>
      <c r="M1429" s="1">
        <v>46116</v>
      </c>
      <c r="N1429" t="s">
        <v>14</v>
      </c>
      <c r="O1429">
        <v>4</v>
      </c>
      <c r="P1429">
        <v>4</v>
      </c>
      <c r="Q1429">
        <v>2</v>
      </c>
      <c r="R1429">
        <v>2026</v>
      </c>
    </row>
    <row r="1430" spans="1:18">
      <c r="A1430">
        <v>393.3</v>
      </c>
      <c r="B1430">
        <v>2</v>
      </c>
      <c r="C1430">
        <v>1429</v>
      </c>
      <c r="D1430" s="2">
        <v>0.12506246527777778</v>
      </c>
      <c r="E1430" t="s">
        <v>2439</v>
      </c>
      <c r="F1430" t="s">
        <v>2440</v>
      </c>
      <c r="G1430" t="s">
        <v>1716</v>
      </c>
      <c r="H1430" t="s">
        <v>2441</v>
      </c>
      <c r="I1430" t="s">
        <v>834</v>
      </c>
      <c r="J1430" t="s">
        <v>226</v>
      </c>
      <c r="K1430" t="s">
        <v>97</v>
      </c>
      <c r="L1430">
        <v>196.65</v>
      </c>
      <c r="M1430" s="1">
        <v>45671</v>
      </c>
      <c r="N1430" t="s">
        <v>48</v>
      </c>
      <c r="O1430">
        <v>14</v>
      </c>
      <c r="P1430">
        <v>1</v>
      </c>
      <c r="Q1430">
        <v>1</v>
      </c>
      <c r="R1430">
        <v>2025</v>
      </c>
    </row>
    <row r="1431" spans="1:18">
      <c r="A1431">
        <v>716.91</v>
      </c>
      <c r="B1431">
        <v>3</v>
      </c>
      <c r="C1431">
        <v>1430</v>
      </c>
      <c r="D1431" s="2">
        <v>0.65279697916666668</v>
      </c>
      <c r="E1431" t="s">
        <v>1427</v>
      </c>
      <c r="F1431" t="s">
        <v>1428</v>
      </c>
      <c r="G1431" t="s">
        <v>1429</v>
      </c>
      <c r="H1431" t="s">
        <v>1168</v>
      </c>
      <c r="I1431" t="s">
        <v>758</v>
      </c>
      <c r="J1431" t="s">
        <v>180</v>
      </c>
      <c r="K1431" t="s">
        <v>55</v>
      </c>
      <c r="L1431">
        <v>238.97</v>
      </c>
      <c r="M1431" s="1">
        <v>45655</v>
      </c>
      <c r="N1431" t="s">
        <v>28</v>
      </c>
      <c r="O1431">
        <v>29</v>
      </c>
      <c r="P1431">
        <v>12</v>
      </c>
      <c r="Q1431">
        <v>4</v>
      </c>
      <c r="R1431">
        <v>2024</v>
      </c>
    </row>
    <row r="1432" spans="1:18">
      <c r="A1432">
        <v>80.94</v>
      </c>
      <c r="B1432">
        <v>3</v>
      </c>
      <c r="C1432">
        <v>1431</v>
      </c>
      <c r="D1432" s="2">
        <v>5.1412731481481483E-2</v>
      </c>
      <c r="E1432" t="s">
        <v>3171</v>
      </c>
      <c r="F1432" t="s">
        <v>3172</v>
      </c>
      <c r="G1432" t="s">
        <v>998</v>
      </c>
      <c r="H1432" t="s">
        <v>747</v>
      </c>
      <c r="I1432" t="s">
        <v>748</v>
      </c>
      <c r="J1432" t="s">
        <v>458</v>
      </c>
      <c r="K1432" t="s">
        <v>37</v>
      </c>
      <c r="L1432">
        <v>26.98</v>
      </c>
      <c r="M1432" s="1">
        <v>45869</v>
      </c>
      <c r="N1432" t="s">
        <v>105</v>
      </c>
      <c r="O1432">
        <v>31</v>
      </c>
      <c r="P1432">
        <v>7</v>
      </c>
      <c r="Q1432">
        <v>3</v>
      </c>
      <c r="R1432">
        <v>2025</v>
      </c>
    </row>
    <row r="1433" spans="1:18">
      <c r="A1433">
        <v>202.27</v>
      </c>
      <c r="B1433">
        <v>1</v>
      </c>
      <c r="C1433">
        <v>1432</v>
      </c>
      <c r="D1433" s="2">
        <v>0.87091505787037038</v>
      </c>
      <c r="E1433" t="s">
        <v>1710</v>
      </c>
      <c r="F1433" t="s">
        <v>1711</v>
      </c>
      <c r="G1433" t="s">
        <v>1539</v>
      </c>
      <c r="H1433" t="s">
        <v>1156</v>
      </c>
      <c r="I1433" t="s">
        <v>839</v>
      </c>
      <c r="J1433" t="s">
        <v>541</v>
      </c>
      <c r="K1433" t="s">
        <v>43</v>
      </c>
      <c r="L1433">
        <v>202.27</v>
      </c>
      <c r="M1433" s="1">
        <v>46064</v>
      </c>
      <c r="N1433" t="s">
        <v>34</v>
      </c>
      <c r="O1433">
        <v>11</v>
      </c>
      <c r="P1433">
        <v>2</v>
      </c>
      <c r="Q1433">
        <v>1</v>
      </c>
      <c r="R1433">
        <v>2026</v>
      </c>
    </row>
    <row r="1434" spans="1:18">
      <c r="A1434">
        <v>58.95</v>
      </c>
      <c r="B1434">
        <v>1</v>
      </c>
      <c r="C1434">
        <v>1433</v>
      </c>
      <c r="D1434" s="2">
        <v>0.43577962962962963</v>
      </c>
      <c r="E1434" t="s">
        <v>3159</v>
      </c>
      <c r="F1434" t="s">
        <v>3160</v>
      </c>
      <c r="G1434" t="s">
        <v>1652</v>
      </c>
      <c r="H1434" t="s">
        <v>1107</v>
      </c>
      <c r="I1434" t="s">
        <v>763</v>
      </c>
      <c r="J1434" t="s">
        <v>75</v>
      </c>
      <c r="K1434" t="s">
        <v>27</v>
      </c>
      <c r="L1434">
        <v>58.95</v>
      </c>
      <c r="M1434" s="1">
        <v>46138</v>
      </c>
      <c r="N1434" t="s">
        <v>28</v>
      </c>
      <c r="O1434">
        <v>26</v>
      </c>
      <c r="P1434">
        <v>4</v>
      </c>
      <c r="Q1434">
        <v>2</v>
      </c>
      <c r="R1434">
        <v>2026</v>
      </c>
    </row>
    <row r="1435" spans="1:18">
      <c r="A1435">
        <v>51.34</v>
      </c>
      <c r="B1435">
        <v>1</v>
      </c>
      <c r="C1435">
        <v>1434</v>
      </c>
      <c r="D1435" s="2">
        <v>0.21621987268518519</v>
      </c>
      <c r="E1435" t="s">
        <v>2959</v>
      </c>
      <c r="F1435" t="s">
        <v>2960</v>
      </c>
      <c r="G1435" t="s">
        <v>1559</v>
      </c>
      <c r="H1435" t="s">
        <v>1239</v>
      </c>
      <c r="I1435" t="s">
        <v>795</v>
      </c>
      <c r="J1435" t="s">
        <v>376</v>
      </c>
      <c r="K1435" t="s">
        <v>51</v>
      </c>
      <c r="L1435">
        <v>51.34</v>
      </c>
      <c r="M1435" s="1">
        <v>45668</v>
      </c>
      <c r="N1435" t="s">
        <v>14</v>
      </c>
      <c r="O1435">
        <v>11</v>
      </c>
      <c r="P1435">
        <v>1</v>
      </c>
      <c r="Q1435">
        <v>1</v>
      </c>
      <c r="R1435">
        <v>2025</v>
      </c>
    </row>
    <row r="1436" spans="1:18">
      <c r="A1436">
        <v>297.8</v>
      </c>
      <c r="B1436">
        <v>5</v>
      </c>
      <c r="C1436">
        <v>1435</v>
      </c>
      <c r="D1436" s="2">
        <v>1.1487743055555555E-2</v>
      </c>
      <c r="E1436" t="s">
        <v>1677</v>
      </c>
      <c r="F1436" t="s">
        <v>1678</v>
      </c>
      <c r="G1436" t="s">
        <v>1679</v>
      </c>
      <c r="H1436" t="s">
        <v>767</v>
      </c>
      <c r="I1436" t="s">
        <v>768</v>
      </c>
      <c r="J1436" t="s">
        <v>573</v>
      </c>
      <c r="K1436" t="s">
        <v>55</v>
      </c>
      <c r="L1436">
        <v>59.56</v>
      </c>
      <c r="M1436" s="1">
        <v>45999</v>
      </c>
      <c r="N1436" t="s">
        <v>93</v>
      </c>
      <c r="O1436">
        <v>8</v>
      </c>
      <c r="P1436">
        <v>12</v>
      </c>
      <c r="Q1436">
        <v>4</v>
      </c>
      <c r="R1436">
        <v>2025</v>
      </c>
    </row>
    <row r="1437" spans="1:18">
      <c r="A1437">
        <v>28.27</v>
      </c>
      <c r="B1437">
        <v>1</v>
      </c>
      <c r="C1437">
        <v>1436</v>
      </c>
      <c r="D1437" s="2">
        <v>0.42512260416666664</v>
      </c>
      <c r="E1437" t="s">
        <v>1519</v>
      </c>
      <c r="F1437" t="s">
        <v>1520</v>
      </c>
      <c r="G1437" t="s">
        <v>1521</v>
      </c>
      <c r="H1437" t="s">
        <v>1172</v>
      </c>
      <c r="I1437" t="s">
        <v>830</v>
      </c>
      <c r="J1437" t="s">
        <v>184</v>
      </c>
      <c r="K1437" t="s">
        <v>31</v>
      </c>
      <c r="L1437">
        <v>28.27</v>
      </c>
      <c r="M1437" s="1">
        <v>45647</v>
      </c>
      <c r="N1437" t="s">
        <v>14</v>
      </c>
      <c r="O1437">
        <v>21</v>
      </c>
      <c r="P1437">
        <v>12</v>
      </c>
      <c r="Q1437">
        <v>4</v>
      </c>
      <c r="R1437">
        <v>2024</v>
      </c>
    </row>
    <row r="1438" spans="1:18">
      <c r="A1438">
        <v>323.12</v>
      </c>
      <c r="B1438">
        <v>2</v>
      </c>
      <c r="C1438">
        <v>1437</v>
      </c>
      <c r="D1438" s="2">
        <v>0.79737017361111107</v>
      </c>
      <c r="E1438" t="s">
        <v>2501</v>
      </c>
      <c r="F1438" t="s">
        <v>2502</v>
      </c>
      <c r="G1438" t="s">
        <v>2503</v>
      </c>
      <c r="H1438" t="s">
        <v>548</v>
      </c>
      <c r="I1438" t="s">
        <v>790</v>
      </c>
      <c r="J1438" t="s">
        <v>422</v>
      </c>
      <c r="K1438" t="s">
        <v>122</v>
      </c>
      <c r="L1438">
        <v>161.56</v>
      </c>
      <c r="M1438" s="1">
        <v>45963</v>
      </c>
      <c r="N1438" t="s">
        <v>28</v>
      </c>
      <c r="O1438">
        <v>2</v>
      </c>
      <c r="P1438">
        <v>11</v>
      </c>
      <c r="Q1438">
        <v>4</v>
      </c>
      <c r="R1438">
        <v>2025</v>
      </c>
    </row>
    <row r="1439" spans="1:18">
      <c r="A1439">
        <v>288.93</v>
      </c>
      <c r="B1439">
        <v>3</v>
      </c>
      <c r="C1439">
        <v>1438</v>
      </c>
      <c r="D1439" s="2">
        <v>0.68331901620370372</v>
      </c>
      <c r="E1439" t="s">
        <v>3053</v>
      </c>
      <c r="F1439" t="s">
        <v>3054</v>
      </c>
      <c r="G1439" t="s">
        <v>1455</v>
      </c>
      <c r="H1439" t="s">
        <v>767</v>
      </c>
      <c r="I1439" t="s">
        <v>768</v>
      </c>
      <c r="J1439" t="s">
        <v>237</v>
      </c>
      <c r="K1439" t="s">
        <v>27</v>
      </c>
      <c r="L1439">
        <v>96.31</v>
      </c>
      <c r="M1439" s="1">
        <v>45628</v>
      </c>
      <c r="N1439" t="s">
        <v>93</v>
      </c>
      <c r="O1439">
        <v>2</v>
      </c>
      <c r="P1439">
        <v>12</v>
      </c>
      <c r="Q1439">
        <v>4</v>
      </c>
      <c r="R1439">
        <v>2024</v>
      </c>
    </row>
    <row r="1440" spans="1:18">
      <c r="A1440">
        <v>725.97</v>
      </c>
      <c r="B1440">
        <v>3</v>
      </c>
      <c r="C1440">
        <v>1439</v>
      </c>
      <c r="D1440" s="2">
        <v>0.80219995370370367</v>
      </c>
      <c r="E1440" t="s">
        <v>3421</v>
      </c>
      <c r="F1440" t="s">
        <v>3422</v>
      </c>
      <c r="G1440" t="s">
        <v>906</v>
      </c>
      <c r="H1440" t="s">
        <v>1118</v>
      </c>
      <c r="I1440" t="s">
        <v>821</v>
      </c>
      <c r="J1440" t="s">
        <v>521</v>
      </c>
      <c r="K1440" t="s">
        <v>17</v>
      </c>
      <c r="L1440">
        <v>241.99</v>
      </c>
      <c r="M1440" s="1">
        <v>45636</v>
      </c>
      <c r="N1440" t="s">
        <v>48</v>
      </c>
      <c r="O1440">
        <v>10</v>
      </c>
      <c r="P1440">
        <v>12</v>
      </c>
      <c r="Q1440">
        <v>4</v>
      </c>
      <c r="R1440">
        <v>2024</v>
      </c>
    </row>
    <row r="1441" spans="1:18">
      <c r="A1441">
        <v>661.41</v>
      </c>
      <c r="B1441">
        <v>3</v>
      </c>
      <c r="C1441">
        <v>1440</v>
      </c>
      <c r="D1441" s="2">
        <v>0.55396289351851857</v>
      </c>
      <c r="E1441" t="s">
        <v>863</v>
      </c>
      <c r="F1441" t="s">
        <v>864</v>
      </c>
      <c r="G1441" t="s">
        <v>865</v>
      </c>
      <c r="H1441" t="s">
        <v>708</v>
      </c>
      <c r="I1441" t="s">
        <v>834</v>
      </c>
      <c r="J1441" t="s">
        <v>496</v>
      </c>
      <c r="K1441" t="s">
        <v>17</v>
      </c>
      <c r="L1441">
        <v>220.47</v>
      </c>
      <c r="M1441" s="1">
        <v>45708</v>
      </c>
      <c r="N1441" t="s">
        <v>105</v>
      </c>
      <c r="O1441">
        <v>20</v>
      </c>
      <c r="P1441">
        <v>2</v>
      </c>
      <c r="Q1441">
        <v>1</v>
      </c>
      <c r="R1441">
        <v>2025</v>
      </c>
    </row>
    <row r="1442" spans="1:18">
      <c r="A1442">
        <v>174.96</v>
      </c>
      <c r="B1442">
        <v>2</v>
      </c>
      <c r="C1442">
        <v>1441</v>
      </c>
      <c r="D1442" s="2">
        <v>0.84427685185185186</v>
      </c>
      <c r="E1442" t="s">
        <v>1631</v>
      </c>
      <c r="F1442" t="s">
        <v>1632</v>
      </c>
      <c r="G1442" t="s">
        <v>1633</v>
      </c>
      <c r="H1442" t="s">
        <v>136</v>
      </c>
      <c r="I1442" t="s">
        <v>776</v>
      </c>
      <c r="J1442" t="s">
        <v>604</v>
      </c>
      <c r="K1442" t="s">
        <v>69</v>
      </c>
      <c r="L1442">
        <v>87.48</v>
      </c>
      <c r="M1442" s="1">
        <v>45845</v>
      </c>
      <c r="N1442" t="s">
        <v>93</v>
      </c>
      <c r="O1442">
        <v>7</v>
      </c>
      <c r="P1442">
        <v>7</v>
      </c>
      <c r="Q1442">
        <v>3</v>
      </c>
      <c r="R1442">
        <v>2025</v>
      </c>
    </row>
    <row r="1443" spans="1:18">
      <c r="A1443">
        <v>116.66</v>
      </c>
      <c r="B1443">
        <v>2</v>
      </c>
      <c r="C1443">
        <v>1442</v>
      </c>
      <c r="D1443" s="2">
        <v>0.7293323611111111</v>
      </c>
      <c r="E1443" t="s">
        <v>1750</v>
      </c>
      <c r="F1443" t="s">
        <v>1751</v>
      </c>
      <c r="G1443" t="s">
        <v>771</v>
      </c>
      <c r="H1443" t="s">
        <v>780</v>
      </c>
      <c r="I1443" t="s">
        <v>781</v>
      </c>
      <c r="J1443" t="s">
        <v>408</v>
      </c>
      <c r="K1443" t="s">
        <v>17</v>
      </c>
      <c r="L1443">
        <v>58.33</v>
      </c>
      <c r="M1443" s="1">
        <v>46256</v>
      </c>
      <c r="N1443" t="s">
        <v>14</v>
      </c>
      <c r="O1443">
        <v>22</v>
      </c>
      <c r="P1443">
        <v>8</v>
      </c>
      <c r="Q1443">
        <v>3</v>
      </c>
      <c r="R1443">
        <v>2026</v>
      </c>
    </row>
    <row r="1444" spans="1:18">
      <c r="A1444">
        <v>867.4</v>
      </c>
      <c r="B1444">
        <v>5</v>
      </c>
      <c r="C1444">
        <v>1443</v>
      </c>
      <c r="D1444" s="2">
        <v>7.0223645833333334E-2</v>
      </c>
      <c r="E1444" t="s">
        <v>2760</v>
      </c>
      <c r="F1444" t="s">
        <v>2761</v>
      </c>
      <c r="G1444" t="s">
        <v>935</v>
      </c>
      <c r="H1444" t="s">
        <v>869</v>
      </c>
      <c r="I1444" t="s">
        <v>807</v>
      </c>
      <c r="J1444" t="s">
        <v>728</v>
      </c>
      <c r="K1444" t="s">
        <v>46</v>
      </c>
      <c r="L1444">
        <v>173.48</v>
      </c>
      <c r="M1444" s="1">
        <v>45556</v>
      </c>
      <c r="N1444" t="s">
        <v>14</v>
      </c>
      <c r="O1444">
        <v>21</v>
      </c>
      <c r="P1444">
        <v>9</v>
      </c>
      <c r="Q1444">
        <v>3</v>
      </c>
      <c r="R1444">
        <v>2024</v>
      </c>
    </row>
    <row r="1445" spans="1:18">
      <c r="A1445">
        <v>266.06</v>
      </c>
      <c r="B1445">
        <v>2</v>
      </c>
      <c r="C1445">
        <v>1444</v>
      </c>
      <c r="D1445" s="2">
        <v>0.70321870370370365</v>
      </c>
      <c r="E1445" t="s">
        <v>2669</v>
      </c>
      <c r="F1445" t="s">
        <v>2670</v>
      </c>
      <c r="G1445" t="s">
        <v>1025</v>
      </c>
      <c r="H1445" t="s">
        <v>942</v>
      </c>
      <c r="I1445" t="s">
        <v>943</v>
      </c>
      <c r="J1445" t="s">
        <v>112</v>
      </c>
      <c r="K1445" t="s">
        <v>21</v>
      </c>
      <c r="L1445">
        <v>133.03</v>
      </c>
      <c r="M1445" s="1">
        <v>46264</v>
      </c>
      <c r="N1445" t="s">
        <v>28</v>
      </c>
      <c r="O1445">
        <v>30</v>
      </c>
      <c r="P1445">
        <v>8</v>
      </c>
      <c r="Q1445">
        <v>3</v>
      </c>
      <c r="R1445">
        <v>2026</v>
      </c>
    </row>
    <row r="1446" spans="1:18">
      <c r="A1446">
        <v>457.48</v>
      </c>
      <c r="B1446">
        <v>2</v>
      </c>
      <c r="C1446">
        <v>1445</v>
      </c>
      <c r="D1446" s="2">
        <v>0.28066446759259261</v>
      </c>
      <c r="E1446" t="s">
        <v>3098</v>
      </c>
      <c r="F1446" t="s">
        <v>3099</v>
      </c>
      <c r="G1446" t="s">
        <v>1585</v>
      </c>
      <c r="H1446" t="s">
        <v>2247</v>
      </c>
      <c r="I1446" t="s">
        <v>781</v>
      </c>
      <c r="J1446" t="s">
        <v>566</v>
      </c>
      <c r="K1446" t="s">
        <v>69</v>
      </c>
      <c r="L1446">
        <v>228.74</v>
      </c>
      <c r="M1446" s="1">
        <v>45731</v>
      </c>
      <c r="N1446" t="s">
        <v>14</v>
      </c>
      <c r="O1446">
        <v>15</v>
      </c>
      <c r="P1446">
        <v>3</v>
      </c>
      <c r="Q1446">
        <v>1</v>
      </c>
      <c r="R1446">
        <v>2025</v>
      </c>
    </row>
    <row r="1447" spans="1:18">
      <c r="A1447">
        <v>77.58</v>
      </c>
      <c r="B1447">
        <v>3</v>
      </c>
      <c r="C1447">
        <v>1446</v>
      </c>
      <c r="D1447" s="2">
        <v>0.18345818287037036</v>
      </c>
      <c r="E1447" t="s">
        <v>3464</v>
      </c>
      <c r="F1447" t="s">
        <v>3465</v>
      </c>
      <c r="G1447" t="s">
        <v>2338</v>
      </c>
      <c r="H1447" t="s">
        <v>919</v>
      </c>
      <c r="I1447" t="s">
        <v>786</v>
      </c>
      <c r="J1447" t="s">
        <v>282</v>
      </c>
      <c r="K1447" t="s">
        <v>21</v>
      </c>
      <c r="L1447">
        <v>25.86</v>
      </c>
      <c r="M1447" s="1">
        <v>46143</v>
      </c>
      <c r="N1447" t="s">
        <v>79</v>
      </c>
      <c r="O1447">
        <v>1</v>
      </c>
      <c r="P1447">
        <v>5</v>
      </c>
      <c r="Q1447">
        <v>2</v>
      </c>
      <c r="R1447">
        <v>2026</v>
      </c>
    </row>
    <row r="1448" spans="1:18">
      <c r="A1448">
        <v>241.96</v>
      </c>
      <c r="B1448">
        <v>4</v>
      </c>
      <c r="C1448">
        <v>1447</v>
      </c>
      <c r="D1448" s="2">
        <v>0.81295819444444439</v>
      </c>
      <c r="E1448" t="s">
        <v>1634</v>
      </c>
      <c r="F1448" t="s">
        <v>1635</v>
      </c>
      <c r="G1448" t="s">
        <v>952</v>
      </c>
      <c r="H1448" t="s">
        <v>1026</v>
      </c>
      <c r="I1448" t="s">
        <v>896</v>
      </c>
      <c r="J1448" t="s">
        <v>558</v>
      </c>
      <c r="K1448" t="s">
        <v>43</v>
      </c>
      <c r="L1448">
        <v>60.49</v>
      </c>
      <c r="M1448" s="1">
        <v>45792</v>
      </c>
      <c r="N1448" t="s">
        <v>105</v>
      </c>
      <c r="O1448">
        <v>15</v>
      </c>
      <c r="P1448">
        <v>5</v>
      </c>
      <c r="Q1448">
        <v>2</v>
      </c>
      <c r="R1448">
        <v>2025</v>
      </c>
    </row>
    <row r="1449" spans="1:18">
      <c r="A1449">
        <v>347.12</v>
      </c>
      <c r="B1449">
        <v>2</v>
      </c>
      <c r="C1449">
        <v>1448</v>
      </c>
      <c r="D1449" s="2">
        <v>0.35764569444444444</v>
      </c>
      <c r="E1449" t="s">
        <v>2897</v>
      </c>
      <c r="F1449" t="s">
        <v>2898</v>
      </c>
      <c r="G1449" t="s">
        <v>811</v>
      </c>
      <c r="H1449" t="s">
        <v>1318</v>
      </c>
      <c r="I1449" t="s">
        <v>807</v>
      </c>
      <c r="J1449" t="s">
        <v>706</v>
      </c>
      <c r="K1449" t="s">
        <v>39</v>
      </c>
      <c r="L1449">
        <v>173.56</v>
      </c>
      <c r="M1449" s="1">
        <v>45621</v>
      </c>
      <c r="N1449" t="s">
        <v>93</v>
      </c>
      <c r="O1449">
        <v>25</v>
      </c>
      <c r="P1449">
        <v>11</v>
      </c>
      <c r="Q1449">
        <v>4</v>
      </c>
      <c r="R1449">
        <v>2024</v>
      </c>
    </row>
    <row r="1450" spans="1:18">
      <c r="A1450">
        <v>102.25</v>
      </c>
      <c r="B1450">
        <v>5</v>
      </c>
      <c r="C1450">
        <v>1449</v>
      </c>
      <c r="D1450" s="2">
        <v>0.92314317129629631</v>
      </c>
      <c r="E1450" t="s">
        <v>1874</v>
      </c>
      <c r="F1450" t="s">
        <v>1875</v>
      </c>
      <c r="G1450" t="s">
        <v>1876</v>
      </c>
      <c r="H1450" t="s">
        <v>929</v>
      </c>
      <c r="I1450" t="s">
        <v>786</v>
      </c>
      <c r="J1450" t="s">
        <v>555</v>
      </c>
      <c r="K1450" t="s">
        <v>37</v>
      </c>
      <c r="L1450">
        <v>20.45</v>
      </c>
      <c r="M1450" s="1">
        <v>45997</v>
      </c>
      <c r="N1450" t="s">
        <v>14</v>
      </c>
      <c r="O1450">
        <v>6</v>
      </c>
      <c r="P1450">
        <v>12</v>
      </c>
      <c r="Q1450">
        <v>4</v>
      </c>
      <c r="R1450">
        <v>2025</v>
      </c>
    </row>
    <row r="1451" spans="1:18">
      <c r="A1451">
        <v>32.72</v>
      </c>
      <c r="B1451">
        <v>2</v>
      </c>
      <c r="C1451">
        <v>1450</v>
      </c>
      <c r="D1451" s="2">
        <v>0.42643077546296299</v>
      </c>
      <c r="E1451" t="s">
        <v>1180</v>
      </c>
      <c r="F1451" t="s">
        <v>1181</v>
      </c>
      <c r="G1451" t="s">
        <v>1182</v>
      </c>
      <c r="H1451" t="s">
        <v>953</v>
      </c>
      <c r="I1451" t="s">
        <v>954</v>
      </c>
      <c r="J1451" t="s">
        <v>1183</v>
      </c>
      <c r="K1451" t="s">
        <v>100</v>
      </c>
      <c r="L1451">
        <v>16.36</v>
      </c>
      <c r="M1451" s="1">
        <v>45930</v>
      </c>
      <c r="N1451" t="s">
        <v>48</v>
      </c>
      <c r="O1451">
        <v>30</v>
      </c>
      <c r="P1451">
        <v>9</v>
      </c>
      <c r="Q1451">
        <v>3</v>
      </c>
      <c r="R1451">
        <v>2025</v>
      </c>
    </row>
    <row r="1452" spans="1:18">
      <c r="A1452">
        <v>14.84</v>
      </c>
      <c r="B1452">
        <v>2</v>
      </c>
      <c r="C1452">
        <v>1451</v>
      </c>
      <c r="D1452" s="2">
        <v>0.46051510416666669</v>
      </c>
      <c r="E1452" t="s">
        <v>2230</v>
      </c>
      <c r="F1452" t="s">
        <v>2231</v>
      </c>
      <c r="G1452" t="s">
        <v>2232</v>
      </c>
      <c r="H1452" t="s">
        <v>1002</v>
      </c>
      <c r="I1452" t="s">
        <v>892</v>
      </c>
      <c r="J1452" t="s">
        <v>194</v>
      </c>
      <c r="K1452" t="s">
        <v>39</v>
      </c>
      <c r="L1452">
        <v>7.42</v>
      </c>
      <c r="M1452" s="1">
        <v>45958</v>
      </c>
      <c r="N1452" t="s">
        <v>48</v>
      </c>
      <c r="O1452">
        <v>28</v>
      </c>
      <c r="P1452">
        <v>10</v>
      </c>
      <c r="Q1452">
        <v>4</v>
      </c>
      <c r="R1452">
        <v>2025</v>
      </c>
    </row>
    <row r="1453" spans="1:18">
      <c r="A1453">
        <v>87.64</v>
      </c>
      <c r="B1453">
        <v>1</v>
      </c>
      <c r="C1453">
        <v>1452</v>
      </c>
      <c r="D1453" s="2">
        <v>0.71889310185185185</v>
      </c>
      <c r="E1453" t="s">
        <v>1945</v>
      </c>
      <c r="F1453" t="s">
        <v>1946</v>
      </c>
      <c r="G1453" t="s">
        <v>1556</v>
      </c>
      <c r="H1453" t="s">
        <v>1061</v>
      </c>
      <c r="I1453" t="s">
        <v>834</v>
      </c>
      <c r="J1453" t="s">
        <v>561</v>
      </c>
      <c r="K1453" t="s">
        <v>17</v>
      </c>
      <c r="L1453">
        <v>87.64</v>
      </c>
      <c r="M1453" s="1">
        <v>46236</v>
      </c>
      <c r="N1453" t="s">
        <v>28</v>
      </c>
      <c r="O1453">
        <v>2</v>
      </c>
      <c r="P1453">
        <v>8</v>
      </c>
      <c r="Q1453">
        <v>3</v>
      </c>
      <c r="R1453">
        <v>2026</v>
      </c>
    </row>
    <row r="1454" spans="1:18">
      <c r="A1454">
        <v>229.85</v>
      </c>
      <c r="B1454">
        <v>1</v>
      </c>
      <c r="C1454">
        <v>1453</v>
      </c>
      <c r="D1454" s="2">
        <v>0.65534717592592595</v>
      </c>
      <c r="E1454" t="s">
        <v>1879</v>
      </c>
      <c r="F1454" t="s">
        <v>1880</v>
      </c>
      <c r="G1454" t="s">
        <v>1881</v>
      </c>
      <c r="H1454" t="s">
        <v>1882</v>
      </c>
      <c r="I1454" t="s">
        <v>795</v>
      </c>
      <c r="J1454" t="s">
        <v>63</v>
      </c>
      <c r="K1454" t="s">
        <v>25</v>
      </c>
      <c r="L1454">
        <v>229.85</v>
      </c>
      <c r="M1454" s="1">
        <v>45771</v>
      </c>
      <c r="N1454" t="s">
        <v>105</v>
      </c>
      <c r="O1454">
        <v>24</v>
      </c>
      <c r="P1454">
        <v>4</v>
      </c>
      <c r="Q1454">
        <v>2</v>
      </c>
      <c r="R1454">
        <v>2025</v>
      </c>
    </row>
    <row r="1455" spans="1:18">
      <c r="A1455">
        <v>41.48</v>
      </c>
      <c r="B1455">
        <v>2</v>
      </c>
      <c r="C1455">
        <v>1454</v>
      </c>
      <c r="D1455" s="2">
        <v>0.26398172453703705</v>
      </c>
      <c r="E1455" t="s">
        <v>2729</v>
      </c>
      <c r="F1455" t="s">
        <v>2730</v>
      </c>
      <c r="G1455" t="s">
        <v>1582</v>
      </c>
      <c r="H1455" t="s">
        <v>1254</v>
      </c>
      <c r="I1455" t="s">
        <v>781</v>
      </c>
      <c r="J1455" t="s">
        <v>70</v>
      </c>
      <c r="K1455" t="s">
        <v>27</v>
      </c>
      <c r="L1455">
        <v>20.74</v>
      </c>
      <c r="M1455" s="1">
        <v>45792</v>
      </c>
      <c r="N1455" t="s">
        <v>105</v>
      </c>
      <c r="O1455">
        <v>15</v>
      </c>
      <c r="P1455">
        <v>5</v>
      </c>
      <c r="Q1455">
        <v>2</v>
      </c>
      <c r="R1455">
        <v>2025</v>
      </c>
    </row>
    <row r="1456" spans="1:18">
      <c r="A1456">
        <v>852.84999999999991</v>
      </c>
      <c r="B1456">
        <v>5</v>
      </c>
      <c r="C1456">
        <v>1455</v>
      </c>
      <c r="D1456" s="2">
        <v>0.54078259259259265</v>
      </c>
      <c r="E1456" t="s">
        <v>2597</v>
      </c>
      <c r="F1456" t="s">
        <v>2598</v>
      </c>
      <c r="G1456" t="s">
        <v>1973</v>
      </c>
      <c r="H1456" t="s">
        <v>1666</v>
      </c>
      <c r="I1456" t="s">
        <v>830</v>
      </c>
      <c r="J1456" t="s">
        <v>482</v>
      </c>
      <c r="K1456" t="s">
        <v>82</v>
      </c>
      <c r="L1456">
        <v>170.57</v>
      </c>
      <c r="M1456" s="1">
        <v>45796</v>
      </c>
      <c r="N1456" t="s">
        <v>93</v>
      </c>
      <c r="O1456">
        <v>19</v>
      </c>
      <c r="P1456">
        <v>5</v>
      </c>
      <c r="Q1456">
        <v>2</v>
      </c>
      <c r="R1456">
        <v>2025</v>
      </c>
    </row>
    <row r="1457" spans="1:18">
      <c r="A1457">
        <v>789.04</v>
      </c>
      <c r="B1457">
        <v>4</v>
      </c>
      <c r="C1457">
        <v>1456</v>
      </c>
      <c r="D1457" s="2">
        <v>0.55070877314814815</v>
      </c>
      <c r="E1457" t="s">
        <v>2226</v>
      </c>
      <c r="F1457" t="s">
        <v>2227</v>
      </c>
      <c r="G1457" t="s">
        <v>1188</v>
      </c>
      <c r="H1457" t="s">
        <v>1089</v>
      </c>
      <c r="I1457" t="s">
        <v>812</v>
      </c>
      <c r="J1457" t="s">
        <v>293</v>
      </c>
      <c r="K1457" t="s">
        <v>100</v>
      </c>
      <c r="L1457">
        <v>197.26</v>
      </c>
      <c r="M1457" s="1">
        <v>46094</v>
      </c>
      <c r="N1457" t="s">
        <v>79</v>
      </c>
      <c r="O1457">
        <v>13</v>
      </c>
      <c r="P1457">
        <v>3</v>
      </c>
      <c r="Q1457">
        <v>1</v>
      </c>
      <c r="R1457">
        <v>2026</v>
      </c>
    </row>
    <row r="1458" spans="1:18">
      <c r="A1458">
        <v>314.52</v>
      </c>
      <c r="B1458">
        <v>2</v>
      </c>
      <c r="C1458">
        <v>1457</v>
      </c>
      <c r="D1458" s="2">
        <v>0.85809265046296301</v>
      </c>
      <c r="E1458" t="s">
        <v>2081</v>
      </c>
      <c r="F1458" t="s">
        <v>2082</v>
      </c>
      <c r="G1458" t="s">
        <v>2083</v>
      </c>
      <c r="H1458" t="s">
        <v>1944</v>
      </c>
      <c r="I1458" t="s">
        <v>1003</v>
      </c>
      <c r="J1458" t="s">
        <v>68</v>
      </c>
      <c r="K1458" t="s">
        <v>69</v>
      </c>
      <c r="L1458">
        <v>157.26</v>
      </c>
      <c r="M1458" s="1">
        <v>46032</v>
      </c>
      <c r="N1458" t="s">
        <v>14</v>
      </c>
      <c r="O1458">
        <v>10</v>
      </c>
      <c r="P1458">
        <v>1</v>
      </c>
      <c r="Q1458">
        <v>1</v>
      </c>
      <c r="R1458">
        <v>2026</v>
      </c>
    </row>
    <row r="1459" spans="1:18">
      <c r="A1459">
        <v>240.96</v>
      </c>
      <c r="B1459">
        <v>1</v>
      </c>
      <c r="C1459">
        <v>1458</v>
      </c>
      <c r="D1459" s="2">
        <v>0.89446473379629632</v>
      </c>
      <c r="E1459" t="s">
        <v>2918</v>
      </c>
      <c r="F1459" t="s">
        <v>2919</v>
      </c>
      <c r="G1459" t="s">
        <v>2920</v>
      </c>
      <c r="H1459" t="s">
        <v>1649</v>
      </c>
      <c r="I1459" t="s">
        <v>790</v>
      </c>
      <c r="J1459" t="s">
        <v>357</v>
      </c>
      <c r="K1459" t="s">
        <v>39</v>
      </c>
      <c r="L1459">
        <v>240.96</v>
      </c>
      <c r="M1459" s="1">
        <v>45859</v>
      </c>
      <c r="N1459" t="s">
        <v>93</v>
      </c>
      <c r="O1459">
        <v>21</v>
      </c>
      <c r="P1459">
        <v>7</v>
      </c>
      <c r="Q1459">
        <v>3</v>
      </c>
      <c r="R1459">
        <v>2025</v>
      </c>
    </row>
    <row r="1460" spans="1:18">
      <c r="A1460">
        <v>735.66</v>
      </c>
      <c r="B1460">
        <v>3</v>
      </c>
      <c r="C1460">
        <v>1459</v>
      </c>
      <c r="D1460" s="2">
        <v>0.56157174768518514</v>
      </c>
      <c r="E1460" t="s">
        <v>2638</v>
      </c>
      <c r="F1460" t="s">
        <v>2639</v>
      </c>
      <c r="G1460" t="s">
        <v>2640</v>
      </c>
      <c r="H1460" t="s">
        <v>328</v>
      </c>
      <c r="I1460" t="s">
        <v>1247</v>
      </c>
      <c r="J1460" t="s">
        <v>168</v>
      </c>
      <c r="K1460" t="s">
        <v>46</v>
      </c>
      <c r="L1460">
        <v>245.22</v>
      </c>
      <c r="M1460" s="1">
        <v>45703</v>
      </c>
      <c r="N1460" t="s">
        <v>14</v>
      </c>
      <c r="O1460">
        <v>15</v>
      </c>
      <c r="P1460">
        <v>2</v>
      </c>
      <c r="Q1460">
        <v>1</v>
      </c>
      <c r="R1460">
        <v>2025</v>
      </c>
    </row>
    <row r="1461" spans="1:18">
      <c r="A1461">
        <v>490.44</v>
      </c>
      <c r="B1461">
        <v>2</v>
      </c>
      <c r="C1461">
        <v>1460</v>
      </c>
      <c r="D1461" s="2">
        <v>0.23669261574074074</v>
      </c>
      <c r="E1461" t="s">
        <v>1855</v>
      </c>
      <c r="F1461" t="s">
        <v>1856</v>
      </c>
      <c r="G1461" t="s">
        <v>1532</v>
      </c>
      <c r="H1461" t="s">
        <v>1302</v>
      </c>
      <c r="I1461" t="s">
        <v>786</v>
      </c>
      <c r="J1461" t="s">
        <v>168</v>
      </c>
      <c r="K1461" t="s">
        <v>46</v>
      </c>
      <c r="L1461">
        <v>245.22</v>
      </c>
      <c r="M1461" s="1">
        <v>45863</v>
      </c>
      <c r="N1461" t="s">
        <v>79</v>
      </c>
      <c r="O1461">
        <v>25</v>
      </c>
      <c r="P1461">
        <v>7</v>
      </c>
      <c r="Q1461">
        <v>3</v>
      </c>
      <c r="R1461">
        <v>2025</v>
      </c>
    </row>
    <row r="1462" spans="1:18">
      <c r="A1462">
        <v>128.72</v>
      </c>
      <c r="B1462">
        <v>1</v>
      </c>
      <c r="C1462">
        <v>1461</v>
      </c>
      <c r="D1462" s="2">
        <v>0.40974884259259259</v>
      </c>
      <c r="E1462" t="s">
        <v>1819</v>
      </c>
      <c r="F1462" t="s">
        <v>1820</v>
      </c>
      <c r="G1462" t="s">
        <v>1821</v>
      </c>
      <c r="H1462" t="s">
        <v>1199</v>
      </c>
      <c r="I1462" t="s">
        <v>839</v>
      </c>
      <c r="J1462" t="s">
        <v>693</v>
      </c>
      <c r="K1462" t="s">
        <v>46</v>
      </c>
      <c r="L1462">
        <v>128.72</v>
      </c>
      <c r="M1462" s="1">
        <v>45993</v>
      </c>
      <c r="N1462" t="s">
        <v>48</v>
      </c>
      <c r="O1462">
        <v>2</v>
      </c>
      <c r="P1462">
        <v>12</v>
      </c>
      <c r="Q1462">
        <v>4</v>
      </c>
      <c r="R1462">
        <v>2025</v>
      </c>
    </row>
    <row r="1463" spans="1:18">
      <c r="A1463">
        <v>1110.95</v>
      </c>
      <c r="B1463">
        <v>5</v>
      </c>
      <c r="C1463">
        <v>1462</v>
      </c>
      <c r="D1463" s="2">
        <v>0.99927717592592591</v>
      </c>
      <c r="E1463" t="s">
        <v>2483</v>
      </c>
      <c r="F1463" t="s">
        <v>2484</v>
      </c>
      <c r="G1463" t="s">
        <v>1155</v>
      </c>
      <c r="H1463" t="s">
        <v>106</v>
      </c>
      <c r="I1463" t="s">
        <v>790</v>
      </c>
      <c r="J1463" t="s">
        <v>1082</v>
      </c>
      <c r="K1463" t="s">
        <v>69</v>
      </c>
      <c r="L1463">
        <v>222.19</v>
      </c>
      <c r="M1463" s="1">
        <v>46109</v>
      </c>
      <c r="N1463" t="s">
        <v>14</v>
      </c>
      <c r="O1463">
        <v>28</v>
      </c>
      <c r="P1463">
        <v>3</v>
      </c>
      <c r="Q1463">
        <v>1</v>
      </c>
      <c r="R1463">
        <v>2026</v>
      </c>
    </row>
    <row r="1464" spans="1:18">
      <c r="A1464">
        <v>383.94</v>
      </c>
      <c r="B1464">
        <v>3</v>
      </c>
      <c r="C1464">
        <v>1463</v>
      </c>
      <c r="D1464" s="2">
        <v>1.9998252314814814E-2</v>
      </c>
      <c r="E1464" t="s">
        <v>1650</v>
      </c>
      <c r="F1464" t="s">
        <v>1651</v>
      </c>
      <c r="G1464" t="s">
        <v>1652</v>
      </c>
      <c r="H1464" t="s">
        <v>1239</v>
      </c>
      <c r="I1464" t="s">
        <v>795</v>
      </c>
      <c r="J1464" t="s">
        <v>277</v>
      </c>
      <c r="K1464" t="s">
        <v>122</v>
      </c>
      <c r="L1464">
        <v>127.98</v>
      </c>
      <c r="M1464" s="1">
        <v>45612</v>
      </c>
      <c r="N1464" t="s">
        <v>14</v>
      </c>
      <c r="O1464">
        <v>16</v>
      </c>
      <c r="P1464">
        <v>11</v>
      </c>
      <c r="Q1464">
        <v>4</v>
      </c>
      <c r="R1464">
        <v>2024</v>
      </c>
    </row>
    <row r="1465" spans="1:18">
      <c r="A1465">
        <v>157.80000000000001</v>
      </c>
      <c r="B1465">
        <v>4</v>
      </c>
      <c r="C1465">
        <v>1464</v>
      </c>
      <c r="D1465" s="2">
        <v>0.89204843749999996</v>
      </c>
      <c r="E1465" t="s">
        <v>2795</v>
      </c>
      <c r="F1465" t="s">
        <v>2796</v>
      </c>
      <c r="G1465" t="s">
        <v>2797</v>
      </c>
      <c r="H1465" t="s">
        <v>1691</v>
      </c>
      <c r="I1465" t="s">
        <v>821</v>
      </c>
      <c r="J1465" t="s">
        <v>668</v>
      </c>
      <c r="K1465" t="s">
        <v>46</v>
      </c>
      <c r="L1465">
        <v>39.450000000000003</v>
      </c>
      <c r="M1465" s="1">
        <v>45924</v>
      </c>
      <c r="N1465" t="s">
        <v>34</v>
      </c>
      <c r="O1465">
        <v>24</v>
      </c>
      <c r="P1465">
        <v>9</v>
      </c>
      <c r="Q1465">
        <v>3</v>
      </c>
      <c r="R1465">
        <v>2025</v>
      </c>
    </row>
    <row r="1466" spans="1:18">
      <c r="A1466">
        <v>18.84</v>
      </c>
      <c r="B1466">
        <v>4</v>
      </c>
      <c r="C1466">
        <v>1465</v>
      </c>
      <c r="D1466" s="2">
        <v>0.51812849537037042</v>
      </c>
      <c r="E1466" t="s">
        <v>1480</v>
      </c>
      <c r="F1466" t="s">
        <v>1481</v>
      </c>
      <c r="G1466" t="s">
        <v>1482</v>
      </c>
      <c r="H1466" t="s">
        <v>15</v>
      </c>
      <c r="I1466" t="s">
        <v>834</v>
      </c>
      <c r="J1466" t="s">
        <v>454</v>
      </c>
      <c r="K1466" t="s">
        <v>23</v>
      </c>
      <c r="L1466">
        <v>4.71</v>
      </c>
      <c r="M1466" s="1">
        <v>45993</v>
      </c>
      <c r="N1466" t="s">
        <v>48</v>
      </c>
      <c r="O1466">
        <v>2</v>
      </c>
      <c r="P1466">
        <v>12</v>
      </c>
      <c r="Q1466">
        <v>4</v>
      </c>
      <c r="R1466">
        <v>2025</v>
      </c>
    </row>
    <row r="1467" spans="1:18">
      <c r="A1467">
        <v>155.85000000000002</v>
      </c>
      <c r="B1467">
        <v>3</v>
      </c>
      <c r="C1467">
        <v>1466</v>
      </c>
      <c r="D1467" s="2">
        <v>0.63576482638888887</v>
      </c>
      <c r="E1467" t="s">
        <v>2180</v>
      </c>
      <c r="F1467" t="s">
        <v>2181</v>
      </c>
      <c r="G1467" t="s">
        <v>1455</v>
      </c>
      <c r="H1467" t="s">
        <v>1239</v>
      </c>
      <c r="I1467" t="s">
        <v>795</v>
      </c>
      <c r="J1467" t="s">
        <v>315</v>
      </c>
      <c r="K1467" t="s">
        <v>27</v>
      </c>
      <c r="L1467">
        <v>51.95</v>
      </c>
      <c r="M1467" s="1">
        <v>45778</v>
      </c>
      <c r="N1467" t="s">
        <v>105</v>
      </c>
      <c r="O1467">
        <v>1</v>
      </c>
      <c r="P1467">
        <v>5</v>
      </c>
      <c r="Q1467">
        <v>2</v>
      </c>
      <c r="R1467">
        <v>2025</v>
      </c>
    </row>
    <row r="1468" spans="1:18">
      <c r="A1468">
        <v>740.19999999999993</v>
      </c>
      <c r="B1468">
        <v>5</v>
      </c>
      <c r="C1468">
        <v>1467</v>
      </c>
      <c r="D1468" s="2">
        <v>0.99705856481481481</v>
      </c>
      <c r="E1468" t="s">
        <v>3193</v>
      </c>
      <c r="F1468" t="s">
        <v>3194</v>
      </c>
      <c r="G1468" t="s">
        <v>1274</v>
      </c>
      <c r="H1468" t="s">
        <v>1089</v>
      </c>
      <c r="I1468" t="s">
        <v>812</v>
      </c>
      <c r="J1468" t="s">
        <v>260</v>
      </c>
      <c r="K1468" t="s">
        <v>46</v>
      </c>
      <c r="L1468">
        <v>148.04</v>
      </c>
      <c r="M1468" s="1">
        <v>45816</v>
      </c>
      <c r="N1468" t="s">
        <v>28</v>
      </c>
      <c r="O1468">
        <v>8</v>
      </c>
      <c r="P1468">
        <v>6</v>
      </c>
      <c r="Q1468">
        <v>2</v>
      </c>
      <c r="R1468">
        <v>2025</v>
      </c>
    </row>
    <row r="1469" spans="1:18">
      <c r="A1469">
        <v>190.48</v>
      </c>
      <c r="B1469">
        <v>4</v>
      </c>
      <c r="C1469">
        <v>1468</v>
      </c>
      <c r="D1469" s="2">
        <v>0.74983649305555555</v>
      </c>
      <c r="E1469" t="s">
        <v>2938</v>
      </c>
      <c r="F1469" t="s">
        <v>2939</v>
      </c>
      <c r="G1469" t="s">
        <v>2940</v>
      </c>
      <c r="H1469" t="s">
        <v>915</v>
      </c>
      <c r="I1469" t="s">
        <v>768</v>
      </c>
      <c r="J1469" t="s">
        <v>508</v>
      </c>
      <c r="K1469" t="s">
        <v>43</v>
      </c>
      <c r="L1469">
        <v>47.62</v>
      </c>
      <c r="M1469" s="1">
        <v>46123</v>
      </c>
      <c r="N1469" t="s">
        <v>14</v>
      </c>
      <c r="O1469">
        <v>11</v>
      </c>
      <c r="P1469">
        <v>4</v>
      </c>
      <c r="Q1469">
        <v>2</v>
      </c>
      <c r="R1469">
        <v>2026</v>
      </c>
    </row>
    <row r="1470" spans="1:18">
      <c r="A1470">
        <v>399.6</v>
      </c>
      <c r="B1470">
        <v>5</v>
      </c>
      <c r="C1470">
        <v>1469</v>
      </c>
      <c r="D1470" s="2">
        <v>0.93899586805555557</v>
      </c>
      <c r="E1470" t="s">
        <v>1998</v>
      </c>
      <c r="F1470" t="s">
        <v>1999</v>
      </c>
      <c r="G1470" t="s">
        <v>1162</v>
      </c>
      <c r="H1470" t="s">
        <v>806</v>
      </c>
      <c r="I1470" t="s">
        <v>807</v>
      </c>
      <c r="J1470" t="s">
        <v>209</v>
      </c>
      <c r="K1470" t="s">
        <v>25</v>
      </c>
      <c r="L1470">
        <v>79.92</v>
      </c>
      <c r="M1470" s="1">
        <v>45910</v>
      </c>
      <c r="N1470" t="s">
        <v>34</v>
      </c>
      <c r="O1470">
        <v>10</v>
      </c>
      <c r="P1470">
        <v>9</v>
      </c>
      <c r="Q1470">
        <v>3</v>
      </c>
      <c r="R1470">
        <v>2025</v>
      </c>
    </row>
    <row r="1471" spans="1:18">
      <c r="A1471">
        <v>18.02</v>
      </c>
      <c r="B1471">
        <v>2</v>
      </c>
      <c r="C1471">
        <v>1470</v>
      </c>
      <c r="D1471" s="2">
        <v>0.81953673611111111</v>
      </c>
      <c r="E1471" t="s">
        <v>1062</v>
      </c>
      <c r="F1471" t="s">
        <v>1063</v>
      </c>
      <c r="G1471" t="s">
        <v>1064</v>
      </c>
      <c r="H1471" t="s">
        <v>151</v>
      </c>
      <c r="I1471" t="s">
        <v>1003</v>
      </c>
      <c r="J1471" t="s">
        <v>455</v>
      </c>
      <c r="K1471" t="s">
        <v>69</v>
      </c>
      <c r="L1471">
        <v>9.01</v>
      </c>
      <c r="M1471" s="1">
        <v>46129</v>
      </c>
      <c r="N1471" t="s">
        <v>79</v>
      </c>
      <c r="O1471">
        <v>17</v>
      </c>
      <c r="P1471">
        <v>4</v>
      </c>
      <c r="Q1471">
        <v>2</v>
      </c>
      <c r="R1471">
        <v>2026</v>
      </c>
    </row>
    <row r="1472" spans="1:18">
      <c r="A1472">
        <v>541.84</v>
      </c>
      <c r="B1472">
        <v>4</v>
      </c>
      <c r="C1472">
        <v>1471</v>
      </c>
      <c r="D1472" s="2">
        <v>7.3978530092592587E-2</v>
      </c>
      <c r="E1472" t="s">
        <v>1284</v>
      </c>
      <c r="F1472" t="s">
        <v>1285</v>
      </c>
      <c r="G1472" t="s">
        <v>1286</v>
      </c>
      <c r="H1472" t="s">
        <v>199</v>
      </c>
      <c r="I1472" t="s">
        <v>781</v>
      </c>
      <c r="J1472" t="s">
        <v>503</v>
      </c>
      <c r="K1472" t="s">
        <v>43</v>
      </c>
      <c r="L1472">
        <v>135.46</v>
      </c>
      <c r="M1472" s="1">
        <v>45981</v>
      </c>
      <c r="N1472" t="s">
        <v>105</v>
      </c>
      <c r="O1472">
        <v>20</v>
      </c>
      <c r="P1472">
        <v>11</v>
      </c>
      <c r="Q1472">
        <v>4</v>
      </c>
      <c r="R1472">
        <v>2025</v>
      </c>
    </row>
    <row r="1473" spans="1:18">
      <c r="A1473">
        <v>105.24</v>
      </c>
      <c r="B1473">
        <v>2</v>
      </c>
      <c r="C1473">
        <v>1472</v>
      </c>
      <c r="D1473" s="2">
        <v>0.37181915509259261</v>
      </c>
      <c r="E1473" t="s">
        <v>2706</v>
      </c>
      <c r="F1473" t="s">
        <v>2707</v>
      </c>
      <c r="G1473" t="s">
        <v>1909</v>
      </c>
      <c r="H1473" t="s">
        <v>15</v>
      </c>
      <c r="I1473" t="s">
        <v>834</v>
      </c>
      <c r="J1473" t="s">
        <v>270</v>
      </c>
      <c r="K1473" t="s">
        <v>55</v>
      </c>
      <c r="L1473">
        <v>52.62</v>
      </c>
      <c r="M1473" s="1">
        <v>45691</v>
      </c>
      <c r="N1473" t="s">
        <v>93</v>
      </c>
      <c r="O1473">
        <v>3</v>
      </c>
      <c r="P1473">
        <v>2</v>
      </c>
      <c r="Q1473">
        <v>1</v>
      </c>
      <c r="R1473">
        <v>2025</v>
      </c>
    </row>
    <row r="1474" spans="1:18">
      <c r="A1474">
        <v>231.64</v>
      </c>
      <c r="B1474">
        <v>1</v>
      </c>
      <c r="C1474">
        <v>1473</v>
      </c>
      <c r="D1474" s="2">
        <v>0.9021862268518519</v>
      </c>
      <c r="E1474" t="s">
        <v>2997</v>
      </c>
      <c r="F1474" t="s">
        <v>2998</v>
      </c>
      <c r="G1474" t="s">
        <v>2383</v>
      </c>
      <c r="H1474" t="s">
        <v>869</v>
      </c>
      <c r="I1474" t="s">
        <v>812</v>
      </c>
      <c r="J1474" t="s">
        <v>658</v>
      </c>
      <c r="K1474" t="s">
        <v>69</v>
      </c>
      <c r="L1474">
        <v>231.64</v>
      </c>
      <c r="M1474" s="1">
        <v>45654</v>
      </c>
      <c r="N1474" t="s">
        <v>14</v>
      </c>
      <c r="O1474">
        <v>28</v>
      </c>
      <c r="P1474">
        <v>12</v>
      </c>
      <c r="Q1474">
        <v>4</v>
      </c>
      <c r="R1474">
        <v>2024</v>
      </c>
    </row>
    <row r="1475" spans="1:18">
      <c r="A1475">
        <v>234.31</v>
      </c>
      <c r="B1475">
        <v>1</v>
      </c>
      <c r="C1475">
        <v>1474</v>
      </c>
      <c r="D1475" s="2">
        <v>4.6575532407407409E-2</v>
      </c>
      <c r="E1475" t="s">
        <v>1598</v>
      </c>
      <c r="F1475" t="s">
        <v>1599</v>
      </c>
      <c r="G1475" t="s">
        <v>1283</v>
      </c>
      <c r="H1475" t="s">
        <v>1600</v>
      </c>
      <c r="I1475" t="s">
        <v>768</v>
      </c>
      <c r="J1475" t="s">
        <v>150</v>
      </c>
      <c r="K1475" t="s">
        <v>60</v>
      </c>
      <c r="L1475">
        <v>234.31</v>
      </c>
      <c r="M1475" s="1">
        <v>46007</v>
      </c>
      <c r="N1475" t="s">
        <v>48</v>
      </c>
      <c r="O1475">
        <v>16</v>
      </c>
      <c r="P1475">
        <v>12</v>
      </c>
      <c r="Q1475">
        <v>4</v>
      </c>
      <c r="R1475">
        <v>2025</v>
      </c>
    </row>
    <row r="1476" spans="1:18">
      <c r="A1476">
        <v>173.27</v>
      </c>
      <c r="B1476">
        <v>1</v>
      </c>
      <c r="C1476">
        <v>1475</v>
      </c>
      <c r="D1476" s="2">
        <v>0.84196159722222219</v>
      </c>
      <c r="E1476" t="s">
        <v>799</v>
      </c>
      <c r="F1476" t="s">
        <v>800</v>
      </c>
      <c r="G1476" t="s">
        <v>801</v>
      </c>
      <c r="H1476" t="s">
        <v>802</v>
      </c>
      <c r="I1476" t="s">
        <v>748</v>
      </c>
      <c r="J1476" t="s">
        <v>185</v>
      </c>
      <c r="K1476" t="s">
        <v>57</v>
      </c>
      <c r="L1476">
        <v>173.27</v>
      </c>
      <c r="M1476" s="1">
        <v>45599</v>
      </c>
      <c r="N1476" t="s">
        <v>28</v>
      </c>
      <c r="O1476">
        <v>3</v>
      </c>
      <c r="P1476">
        <v>11</v>
      </c>
      <c r="Q1476">
        <v>4</v>
      </c>
      <c r="R1476">
        <v>2024</v>
      </c>
    </row>
    <row r="1477" spans="1:18">
      <c r="A1477">
        <v>114.60000000000001</v>
      </c>
      <c r="B1477">
        <v>5</v>
      </c>
      <c r="C1477">
        <v>1476</v>
      </c>
      <c r="D1477" s="2">
        <v>0.59798138888888885</v>
      </c>
      <c r="E1477" t="s">
        <v>1008</v>
      </c>
      <c r="F1477" t="s">
        <v>1009</v>
      </c>
      <c r="G1477" t="s">
        <v>1010</v>
      </c>
      <c r="H1477" t="s">
        <v>829</v>
      </c>
      <c r="I1477" t="s">
        <v>830</v>
      </c>
      <c r="J1477" t="s">
        <v>167</v>
      </c>
      <c r="K1477" t="s">
        <v>23</v>
      </c>
      <c r="L1477">
        <v>22.92</v>
      </c>
      <c r="M1477" s="1">
        <v>46247</v>
      </c>
      <c r="N1477" t="s">
        <v>105</v>
      </c>
      <c r="O1477">
        <v>13</v>
      </c>
      <c r="P1477">
        <v>8</v>
      </c>
      <c r="Q1477">
        <v>3</v>
      </c>
      <c r="R1477">
        <v>2026</v>
      </c>
    </row>
    <row r="1478" spans="1:18">
      <c r="A1478">
        <v>338.52</v>
      </c>
      <c r="B1478">
        <v>4</v>
      </c>
      <c r="C1478">
        <v>1477</v>
      </c>
      <c r="D1478" s="2">
        <v>0.7658729861111111</v>
      </c>
      <c r="E1478" t="s">
        <v>1029</v>
      </c>
      <c r="F1478" t="s">
        <v>1030</v>
      </c>
      <c r="G1478" t="s">
        <v>1031</v>
      </c>
      <c r="H1478" t="s">
        <v>1032</v>
      </c>
      <c r="I1478" t="s">
        <v>839</v>
      </c>
      <c r="J1478" t="s">
        <v>528</v>
      </c>
      <c r="K1478" t="s">
        <v>69</v>
      </c>
      <c r="L1478">
        <v>84.63</v>
      </c>
      <c r="M1478" s="1">
        <v>46168</v>
      </c>
      <c r="N1478" t="s">
        <v>48</v>
      </c>
      <c r="O1478">
        <v>26</v>
      </c>
      <c r="P1478">
        <v>5</v>
      </c>
      <c r="Q1478">
        <v>2</v>
      </c>
      <c r="R1478">
        <v>2026</v>
      </c>
    </row>
    <row r="1479" spans="1:18">
      <c r="A1479">
        <v>928.34999999999991</v>
      </c>
      <c r="B1479">
        <v>5</v>
      </c>
      <c r="C1479">
        <v>1478</v>
      </c>
      <c r="D1479" s="2">
        <v>0.64846359953703703</v>
      </c>
      <c r="E1479" t="s">
        <v>2547</v>
      </c>
      <c r="F1479" t="s">
        <v>2548</v>
      </c>
      <c r="G1479" t="s">
        <v>1938</v>
      </c>
      <c r="H1479" t="s">
        <v>1670</v>
      </c>
      <c r="I1479" t="s">
        <v>1247</v>
      </c>
      <c r="J1479" t="s">
        <v>720</v>
      </c>
      <c r="K1479" t="s">
        <v>100</v>
      </c>
      <c r="L1479">
        <v>185.67</v>
      </c>
      <c r="M1479" s="1">
        <v>45681</v>
      </c>
      <c r="N1479" t="s">
        <v>79</v>
      </c>
      <c r="O1479">
        <v>24</v>
      </c>
      <c r="P1479">
        <v>1</v>
      </c>
      <c r="Q1479">
        <v>1</v>
      </c>
      <c r="R1479">
        <v>2025</v>
      </c>
    </row>
    <row r="1480" spans="1:18">
      <c r="A1480">
        <v>655.23</v>
      </c>
      <c r="B1480">
        <v>3</v>
      </c>
      <c r="C1480">
        <v>1479</v>
      </c>
      <c r="D1480" s="2">
        <v>5.3374282407407408E-2</v>
      </c>
      <c r="E1480" t="s">
        <v>2079</v>
      </c>
      <c r="F1480" t="s">
        <v>2080</v>
      </c>
      <c r="G1480" t="s">
        <v>1698</v>
      </c>
      <c r="H1480" t="s">
        <v>1673</v>
      </c>
      <c r="I1480" t="s">
        <v>821</v>
      </c>
      <c r="J1480" t="s">
        <v>411</v>
      </c>
      <c r="K1480" t="s">
        <v>82</v>
      </c>
      <c r="L1480">
        <v>218.41</v>
      </c>
      <c r="M1480" s="1">
        <v>45861</v>
      </c>
      <c r="N1480" t="s">
        <v>34</v>
      </c>
      <c r="O1480">
        <v>23</v>
      </c>
      <c r="P1480">
        <v>7</v>
      </c>
      <c r="Q1480">
        <v>3</v>
      </c>
      <c r="R1480">
        <v>2025</v>
      </c>
    </row>
    <row r="1481" spans="1:18">
      <c r="A1481">
        <v>437.52</v>
      </c>
      <c r="B1481">
        <v>2</v>
      </c>
      <c r="C1481">
        <v>1480</v>
      </c>
      <c r="D1481" s="2">
        <v>0.40333776620370371</v>
      </c>
      <c r="E1481" t="s">
        <v>1068</v>
      </c>
      <c r="F1481" t="s">
        <v>1069</v>
      </c>
      <c r="G1481" t="s">
        <v>1070</v>
      </c>
      <c r="H1481" t="s">
        <v>1071</v>
      </c>
      <c r="I1481" t="s">
        <v>817</v>
      </c>
      <c r="J1481" t="s">
        <v>67</v>
      </c>
      <c r="K1481" t="s">
        <v>31</v>
      </c>
      <c r="L1481">
        <v>218.76</v>
      </c>
      <c r="M1481" s="1">
        <v>45664</v>
      </c>
      <c r="N1481" t="s">
        <v>48</v>
      </c>
      <c r="O1481">
        <v>7</v>
      </c>
      <c r="P1481">
        <v>1</v>
      </c>
      <c r="Q1481">
        <v>1</v>
      </c>
      <c r="R1481">
        <v>2025</v>
      </c>
    </row>
    <row r="1482" spans="1:18">
      <c r="A1482">
        <v>1114.8</v>
      </c>
      <c r="B1482">
        <v>5</v>
      </c>
      <c r="C1482">
        <v>1481</v>
      </c>
      <c r="D1482" s="2">
        <v>0.23267697916666666</v>
      </c>
      <c r="E1482" t="s">
        <v>2464</v>
      </c>
      <c r="F1482" t="s">
        <v>2465</v>
      </c>
      <c r="G1482" t="s">
        <v>1660</v>
      </c>
      <c r="H1482" t="s">
        <v>513</v>
      </c>
      <c r="I1482" t="s">
        <v>786</v>
      </c>
      <c r="J1482" t="s">
        <v>715</v>
      </c>
      <c r="K1482" t="s">
        <v>55</v>
      </c>
      <c r="L1482">
        <v>222.96</v>
      </c>
      <c r="M1482" s="1">
        <v>45686</v>
      </c>
      <c r="N1482" t="s">
        <v>34</v>
      </c>
      <c r="O1482">
        <v>29</v>
      </c>
      <c r="P1482">
        <v>1</v>
      </c>
      <c r="Q1482">
        <v>1</v>
      </c>
      <c r="R1482">
        <v>2025</v>
      </c>
    </row>
    <row r="1483" spans="1:18">
      <c r="A1483">
        <v>144.47999999999999</v>
      </c>
      <c r="B1483">
        <v>1</v>
      </c>
      <c r="C1483">
        <v>1482</v>
      </c>
      <c r="D1483" s="2">
        <v>0.21568599537037036</v>
      </c>
      <c r="E1483" t="s">
        <v>1674</v>
      </c>
      <c r="F1483" t="s">
        <v>1675</v>
      </c>
      <c r="G1483" t="s">
        <v>1676</v>
      </c>
      <c r="H1483" t="s">
        <v>995</v>
      </c>
      <c r="I1483" t="s">
        <v>781</v>
      </c>
      <c r="J1483" t="s">
        <v>1441</v>
      </c>
      <c r="K1483" t="s">
        <v>19</v>
      </c>
      <c r="L1483">
        <v>144.47999999999999</v>
      </c>
      <c r="M1483" s="1">
        <v>46086</v>
      </c>
      <c r="N1483" t="s">
        <v>105</v>
      </c>
      <c r="O1483">
        <v>5</v>
      </c>
      <c r="P1483">
        <v>3</v>
      </c>
      <c r="Q1483">
        <v>1</v>
      </c>
      <c r="R1483">
        <v>2026</v>
      </c>
    </row>
    <row r="1484" spans="1:18">
      <c r="A1484">
        <v>816.15</v>
      </c>
      <c r="B1484">
        <v>5</v>
      </c>
      <c r="C1484">
        <v>1483</v>
      </c>
      <c r="D1484" s="2">
        <v>0.42915726851851854</v>
      </c>
      <c r="E1484" t="s">
        <v>1381</v>
      </c>
      <c r="F1484" t="s">
        <v>1382</v>
      </c>
      <c r="G1484" t="s">
        <v>1383</v>
      </c>
      <c r="H1484" t="s">
        <v>1384</v>
      </c>
      <c r="I1484" t="s">
        <v>908</v>
      </c>
      <c r="J1484" t="s">
        <v>593</v>
      </c>
      <c r="K1484" t="s">
        <v>97</v>
      </c>
      <c r="L1484">
        <v>163.22999999999999</v>
      </c>
      <c r="M1484" s="1">
        <v>45963</v>
      </c>
      <c r="N1484" t="s">
        <v>28</v>
      </c>
      <c r="O1484">
        <v>2</v>
      </c>
      <c r="P1484">
        <v>11</v>
      </c>
      <c r="Q1484">
        <v>4</v>
      </c>
      <c r="R1484">
        <v>2025</v>
      </c>
    </row>
    <row r="1485" spans="1:18">
      <c r="A1485">
        <v>537.88</v>
      </c>
      <c r="B1485">
        <v>4</v>
      </c>
      <c r="C1485">
        <v>1484</v>
      </c>
      <c r="D1485" s="2">
        <v>0.8755583564814815</v>
      </c>
      <c r="E1485" t="s">
        <v>2180</v>
      </c>
      <c r="F1485" t="s">
        <v>2181</v>
      </c>
      <c r="G1485" t="s">
        <v>1455</v>
      </c>
      <c r="H1485" t="s">
        <v>1239</v>
      </c>
      <c r="I1485" t="s">
        <v>795</v>
      </c>
      <c r="J1485" t="s">
        <v>76</v>
      </c>
      <c r="K1485" t="s">
        <v>69</v>
      </c>
      <c r="L1485">
        <v>134.47</v>
      </c>
      <c r="M1485" s="1">
        <v>45980</v>
      </c>
      <c r="N1485" t="s">
        <v>34</v>
      </c>
      <c r="O1485">
        <v>19</v>
      </c>
      <c r="P1485">
        <v>11</v>
      </c>
      <c r="Q1485">
        <v>4</v>
      </c>
      <c r="R1485">
        <v>2025</v>
      </c>
    </row>
    <row r="1486" spans="1:18">
      <c r="A1486">
        <v>176.34</v>
      </c>
      <c r="B1486">
        <v>2</v>
      </c>
      <c r="C1486">
        <v>1485</v>
      </c>
      <c r="D1486" s="2">
        <v>0.24627847222222221</v>
      </c>
      <c r="E1486" t="s">
        <v>2756</v>
      </c>
      <c r="F1486" t="s">
        <v>2757</v>
      </c>
      <c r="G1486" t="s">
        <v>868</v>
      </c>
      <c r="H1486" t="s">
        <v>829</v>
      </c>
      <c r="I1486" t="s">
        <v>830</v>
      </c>
      <c r="J1486" t="s">
        <v>177</v>
      </c>
      <c r="K1486" t="s">
        <v>17</v>
      </c>
      <c r="L1486">
        <v>88.17</v>
      </c>
      <c r="M1486" s="1">
        <v>46048</v>
      </c>
      <c r="N1486" t="s">
        <v>93</v>
      </c>
      <c r="O1486">
        <v>26</v>
      </c>
      <c r="P1486">
        <v>1</v>
      </c>
      <c r="Q1486">
        <v>1</v>
      </c>
      <c r="R1486">
        <v>2026</v>
      </c>
    </row>
    <row r="1487" spans="1:18">
      <c r="A1487">
        <v>1125.25</v>
      </c>
      <c r="B1487">
        <v>5</v>
      </c>
      <c r="C1487">
        <v>1486</v>
      </c>
      <c r="D1487" s="2">
        <v>0.32351230324074076</v>
      </c>
      <c r="E1487" t="s">
        <v>2923</v>
      </c>
      <c r="F1487" t="s">
        <v>2924</v>
      </c>
      <c r="G1487" t="s">
        <v>1585</v>
      </c>
      <c r="H1487" t="s">
        <v>1111</v>
      </c>
      <c r="I1487" t="s">
        <v>981</v>
      </c>
      <c r="J1487" t="s">
        <v>320</v>
      </c>
      <c r="K1487" t="s">
        <v>21</v>
      </c>
      <c r="L1487">
        <v>225.05</v>
      </c>
      <c r="M1487" s="1">
        <v>45972</v>
      </c>
      <c r="N1487" t="s">
        <v>48</v>
      </c>
      <c r="O1487">
        <v>11</v>
      </c>
      <c r="P1487">
        <v>11</v>
      </c>
      <c r="Q1487">
        <v>4</v>
      </c>
      <c r="R1487">
        <v>2025</v>
      </c>
    </row>
    <row r="1488" spans="1:18">
      <c r="A1488">
        <v>450.65</v>
      </c>
      <c r="B1488">
        <v>5</v>
      </c>
      <c r="C1488">
        <v>1487</v>
      </c>
      <c r="D1488" s="2">
        <v>0.45784207175925928</v>
      </c>
      <c r="E1488" t="s">
        <v>1912</v>
      </c>
      <c r="F1488" t="s">
        <v>1913</v>
      </c>
      <c r="G1488" t="s">
        <v>1565</v>
      </c>
      <c r="H1488" t="s">
        <v>806</v>
      </c>
      <c r="I1488" t="s">
        <v>807</v>
      </c>
      <c r="J1488" t="s">
        <v>304</v>
      </c>
      <c r="K1488" t="s">
        <v>100</v>
      </c>
      <c r="L1488">
        <v>90.13</v>
      </c>
      <c r="M1488" s="1">
        <v>45656</v>
      </c>
      <c r="N1488" t="s">
        <v>93</v>
      </c>
      <c r="O1488">
        <v>30</v>
      </c>
      <c r="P1488">
        <v>12</v>
      </c>
      <c r="Q1488">
        <v>4</v>
      </c>
      <c r="R1488">
        <v>2024</v>
      </c>
    </row>
    <row r="1489" spans="1:18">
      <c r="A1489">
        <v>117.9</v>
      </c>
      <c r="B1489">
        <v>2</v>
      </c>
      <c r="C1489">
        <v>1488</v>
      </c>
      <c r="D1489" s="2">
        <v>0.1476066550925926</v>
      </c>
      <c r="E1489" t="s">
        <v>3242</v>
      </c>
      <c r="F1489" t="s">
        <v>3243</v>
      </c>
      <c r="G1489" t="s">
        <v>861</v>
      </c>
      <c r="H1489" t="s">
        <v>961</v>
      </c>
      <c r="I1489" t="s">
        <v>807</v>
      </c>
      <c r="J1489" t="s">
        <v>75</v>
      </c>
      <c r="K1489" t="s">
        <v>27</v>
      </c>
      <c r="L1489">
        <v>58.95</v>
      </c>
      <c r="M1489" s="1">
        <v>46065</v>
      </c>
      <c r="N1489" t="s">
        <v>105</v>
      </c>
      <c r="O1489">
        <v>12</v>
      </c>
      <c r="P1489">
        <v>2</v>
      </c>
      <c r="Q1489">
        <v>1</v>
      </c>
      <c r="R1489">
        <v>2026</v>
      </c>
    </row>
    <row r="1490" spans="1:18">
      <c r="A1490">
        <v>210.02</v>
      </c>
      <c r="B1490">
        <v>2</v>
      </c>
      <c r="C1490">
        <v>1489</v>
      </c>
      <c r="D1490" s="2">
        <v>0.56945231481481484</v>
      </c>
      <c r="E1490" t="s">
        <v>2724</v>
      </c>
      <c r="F1490" t="s">
        <v>2860</v>
      </c>
      <c r="G1490" t="s">
        <v>1698</v>
      </c>
      <c r="H1490" t="s">
        <v>1984</v>
      </c>
      <c r="I1490" t="s">
        <v>768</v>
      </c>
      <c r="J1490" t="s">
        <v>448</v>
      </c>
      <c r="K1490" t="s">
        <v>55</v>
      </c>
      <c r="L1490">
        <v>105.01</v>
      </c>
      <c r="M1490" s="1">
        <v>45875</v>
      </c>
      <c r="N1490" t="s">
        <v>34</v>
      </c>
      <c r="O1490">
        <v>6</v>
      </c>
      <c r="P1490">
        <v>8</v>
      </c>
      <c r="Q1490">
        <v>3</v>
      </c>
      <c r="R1490">
        <v>2025</v>
      </c>
    </row>
    <row r="1491" spans="1:18">
      <c r="A1491">
        <v>44.82</v>
      </c>
      <c r="B1491">
        <v>2</v>
      </c>
      <c r="C1491">
        <v>1490</v>
      </c>
      <c r="D1491" s="2">
        <v>0.9116147916666667</v>
      </c>
      <c r="E1491" t="s">
        <v>2450</v>
      </c>
      <c r="F1491" t="s">
        <v>2451</v>
      </c>
      <c r="G1491" t="s">
        <v>1162</v>
      </c>
      <c r="H1491" t="s">
        <v>1032</v>
      </c>
      <c r="I1491" t="s">
        <v>839</v>
      </c>
      <c r="J1491" t="s">
        <v>484</v>
      </c>
      <c r="K1491" t="s">
        <v>25</v>
      </c>
      <c r="L1491">
        <v>22.41</v>
      </c>
      <c r="M1491" s="1">
        <v>45570</v>
      </c>
      <c r="N1491" t="s">
        <v>14</v>
      </c>
      <c r="O1491">
        <v>5</v>
      </c>
      <c r="P1491">
        <v>10</v>
      </c>
      <c r="Q1491">
        <v>4</v>
      </c>
      <c r="R1491">
        <v>2024</v>
      </c>
    </row>
    <row r="1492" spans="1:18">
      <c r="A1492">
        <v>591.78</v>
      </c>
      <c r="B1492">
        <v>3</v>
      </c>
      <c r="C1492">
        <v>1491</v>
      </c>
      <c r="D1492" s="2">
        <v>4.0126527777777775E-2</v>
      </c>
      <c r="E1492" t="s">
        <v>1992</v>
      </c>
      <c r="F1492" t="s">
        <v>1993</v>
      </c>
      <c r="G1492" t="s">
        <v>1968</v>
      </c>
      <c r="H1492" t="s">
        <v>1257</v>
      </c>
      <c r="I1492" t="s">
        <v>839</v>
      </c>
      <c r="J1492" t="s">
        <v>402</v>
      </c>
      <c r="K1492" t="s">
        <v>19</v>
      </c>
      <c r="L1492">
        <v>197.26</v>
      </c>
      <c r="M1492" s="1">
        <v>45556</v>
      </c>
      <c r="N1492" t="s">
        <v>14</v>
      </c>
      <c r="O1492">
        <v>21</v>
      </c>
      <c r="P1492">
        <v>9</v>
      </c>
      <c r="Q1492">
        <v>3</v>
      </c>
      <c r="R1492">
        <v>2024</v>
      </c>
    </row>
    <row r="1493" spans="1:18">
      <c r="A1493">
        <v>89.85</v>
      </c>
      <c r="B1493">
        <v>1</v>
      </c>
      <c r="C1493">
        <v>1492</v>
      </c>
      <c r="D1493" s="2">
        <v>0.37286065972222221</v>
      </c>
      <c r="E1493" t="s">
        <v>1122</v>
      </c>
      <c r="F1493" t="s">
        <v>1123</v>
      </c>
      <c r="G1493" t="s">
        <v>1124</v>
      </c>
      <c r="H1493" t="s">
        <v>15</v>
      </c>
      <c r="I1493" t="s">
        <v>834</v>
      </c>
      <c r="J1493" t="s">
        <v>381</v>
      </c>
      <c r="K1493" t="s">
        <v>27</v>
      </c>
      <c r="L1493">
        <v>89.85</v>
      </c>
      <c r="M1493" s="1">
        <v>45794</v>
      </c>
      <c r="N1493" t="s">
        <v>14</v>
      </c>
      <c r="O1493">
        <v>17</v>
      </c>
      <c r="P1493">
        <v>5</v>
      </c>
      <c r="Q1493">
        <v>2</v>
      </c>
      <c r="R1493">
        <v>2025</v>
      </c>
    </row>
    <row r="1494" spans="1:18">
      <c r="A1494">
        <v>180.31</v>
      </c>
      <c r="B1494">
        <v>1</v>
      </c>
      <c r="C1494">
        <v>1493</v>
      </c>
      <c r="D1494" s="2">
        <v>0.87436778935185189</v>
      </c>
      <c r="E1494" t="s">
        <v>2930</v>
      </c>
      <c r="F1494" t="s">
        <v>2931</v>
      </c>
      <c r="G1494" t="s">
        <v>2354</v>
      </c>
      <c r="H1494" t="s">
        <v>942</v>
      </c>
      <c r="I1494" t="s">
        <v>943</v>
      </c>
      <c r="J1494" t="s">
        <v>643</v>
      </c>
      <c r="K1494" t="s">
        <v>37</v>
      </c>
      <c r="L1494">
        <v>180.31</v>
      </c>
      <c r="M1494" s="1">
        <v>45646</v>
      </c>
      <c r="N1494" t="s">
        <v>79</v>
      </c>
      <c r="O1494">
        <v>20</v>
      </c>
      <c r="P1494">
        <v>12</v>
      </c>
      <c r="Q1494">
        <v>4</v>
      </c>
      <c r="R1494">
        <v>2024</v>
      </c>
    </row>
    <row r="1495" spans="1:18">
      <c r="A1495">
        <v>286.92</v>
      </c>
      <c r="B1495">
        <v>2</v>
      </c>
      <c r="C1495">
        <v>1494</v>
      </c>
      <c r="D1495" s="2">
        <v>0.1935243287037037</v>
      </c>
      <c r="E1495" t="s">
        <v>2770</v>
      </c>
      <c r="F1495" t="s">
        <v>2771</v>
      </c>
      <c r="G1495" t="s">
        <v>2772</v>
      </c>
      <c r="H1495" t="s">
        <v>903</v>
      </c>
      <c r="I1495" t="s">
        <v>786</v>
      </c>
      <c r="J1495" t="s">
        <v>299</v>
      </c>
      <c r="K1495" t="s">
        <v>57</v>
      </c>
      <c r="L1495">
        <v>143.46</v>
      </c>
      <c r="M1495" s="1">
        <v>46126</v>
      </c>
      <c r="N1495" t="s">
        <v>48</v>
      </c>
      <c r="O1495">
        <v>14</v>
      </c>
      <c r="P1495">
        <v>4</v>
      </c>
      <c r="Q1495">
        <v>2</v>
      </c>
      <c r="R1495">
        <v>2026</v>
      </c>
    </row>
    <row r="1496" spans="1:18">
      <c r="A1496">
        <v>827.36</v>
      </c>
      <c r="B1496">
        <v>4</v>
      </c>
      <c r="C1496">
        <v>1495</v>
      </c>
      <c r="D1496" s="2">
        <v>0.37303149305555555</v>
      </c>
      <c r="E1496" t="s">
        <v>2781</v>
      </c>
      <c r="F1496" t="s">
        <v>2782</v>
      </c>
      <c r="G1496" t="s">
        <v>2419</v>
      </c>
      <c r="H1496" t="s">
        <v>136</v>
      </c>
      <c r="I1496" t="s">
        <v>776</v>
      </c>
      <c r="J1496" t="s">
        <v>192</v>
      </c>
      <c r="K1496" t="s">
        <v>46</v>
      </c>
      <c r="L1496">
        <v>206.84</v>
      </c>
      <c r="M1496" s="1">
        <v>46230</v>
      </c>
      <c r="N1496" t="s">
        <v>93</v>
      </c>
      <c r="O1496">
        <v>27</v>
      </c>
      <c r="P1496">
        <v>7</v>
      </c>
      <c r="Q1496">
        <v>3</v>
      </c>
      <c r="R1496">
        <v>2026</v>
      </c>
    </row>
    <row r="1497" spans="1:18">
      <c r="A1497">
        <v>113.85</v>
      </c>
      <c r="B1497">
        <v>5</v>
      </c>
      <c r="C1497">
        <v>1496</v>
      </c>
      <c r="D1497" s="2">
        <v>0.99579365740740744</v>
      </c>
      <c r="E1497" t="s">
        <v>1947</v>
      </c>
      <c r="F1497" t="s">
        <v>1948</v>
      </c>
      <c r="G1497" t="s">
        <v>1038</v>
      </c>
      <c r="H1497" t="s">
        <v>414</v>
      </c>
      <c r="I1497" t="s">
        <v>795</v>
      </c>
      <c r="J1497" t="s">
        <v>1250</v>
      </c>
      <c r="K1497" t="s">
        <v>23</v>
      </c>
      <c r="L1497">
        <v>22.77</v>
      </c>
      <c r="M1497" s="1">
        <v>45747</v>
      </c>
      <c r="N1497" t="s">
        <v>93</v>
      </c>
      <c r="O1497">
        <v>31</v>
      </c>
      <c r="P1497">
        <v>3</v>
      </c>
      <c r="Q1497">
        <v>1</v>
      </c>
      <c r="R1497">
        <v>2025</v>
      </c>
    </row>
    <row r="1498" spans="1:18">
      <c r="A1498">
        <v>287.14</v>
      </c>
      <c r="B1498">
        <v>2</v>
      </c>
      <c r="C1498">
        <v>1497</v>
      </c>
      <c r="D1498" s="2">
        <v>0.72678219907407404</v>
      </c>
      <c r="E1498" t="s">
        <v>2611</v>
      </c>
      <c r="F1498" t="s">
        <v>2612</v>
      </c>
      <c r="G1498" t="s">
        <v>1050</v>
      </c>
      <c r="H1498" t="s">
        <v>1395</v>
      </c>
      <c r="I1498" t="s">
        <v>776</v>
      </c>
      <c r="J1498" t="s">
        <v>514</v>
      </c>
      <c r="K1498" t="s">
        <v>23</v>
      </c>
      <c r="L1498">
        <v>143.57</v>
      </c>
      <c r="M1498" s="1">
        <v>45755</v>
      </c>
      <c r="N1498" t="s">
        <v>48</v>
      </c>
      <c r="O1498">
        <v>8</v>
      </c>
      <c r="P1498">
        <v>4</v>
      </c>
      <c r="Q1498">
        <v>2</v>
      </c>
      <c r="R1498">
        <v>2025</v>
      </c>
    </row>
    <row r="1499" spans="1:18">
      <c r="A1499">
        <v>61.86</v>
      </c>
      <c r="B1499">
        <v>3</v>
      </c>
      <c r="C1499">
        <v>1498</v>
      </c>
      <c r="D1499" s="2">
        <v>1.2873668981481481E-2</v>
      </c>
      <c r="E1499" t="s">
        <v>3377</v>
      </c>
      <c r="F1499" t="s">
        <v>3378</v>
      </c>
      <c r="G1499" t="s">
        <v>1283</v>
      </c>
      <c r="H1499" t="s">
        <v>644</v>
      </c>
      <c r="I1499" t="s">
        <v>748</v>
      </c>
      <c r="J1499" t="s">
        <v>96</v>
      </c>
      <c r="K1499" t="s">
        <v>97</v>
      </c>
      <c r="L1499">
        <v>20.62</v>
      </c>
      <c r="M1499" s="1">
        <v>46184</v>
      </c>
      <c r="N1499" t="s">
        <v>105</v>
      </c>
      <c r="O1499">
        <v>11</v>
      </c>
      <c r="P1499">
        <v>6</v>
      </c>
      <c r="Q1499">
        <v>2</v>
      </c>
      <c r="R1499">
        <v>2026</v>
      </c>
    </row>
    <row r="1500" spans="1:18">
      <c r="A1500">
        <v>12.62</v>
      </c>
      <c r="B1500">
        <v>1</v>
      </c>
      <c r="C1500">
        <v>1499</v>
      </c>
      <c r="D1500" s="2">
        <v>7.0433483796296298E-2</v>
      </c>
      <c r="E1500" t="s">
        <v>1346</v>
      </c>
      <c r="F1500" t="s">
        <v>1347</v>
      </c>
      <c r="G1500" t="s">
        <v>1348</v>
      </c>
      <c r="H1500" t="s">
        <v>548</v>
      </c>
      <c r="I1500" t="s">
        <v>790</v>
      </c>
      <c r="J1500" t="s">
        <v>256</v>
      </c>
      <c r="K1500" t="s">
        <v>31</v>
      </c>
      <c r="L1500">
        <v>12.62</v>
      </c>
      <c r="M1500" s="1">
        <v>46023</v>
      </c>
      <c r="N1500" t="s">
        <v>105</v>
      </c>
      <c r="O1500">
        <v>1</v>
      </c>
      <c r="P1500">
        <v>1</v>
      </c>
      <c r="Q1500">
        <v>1</v>
      </c>
      <c r="R1500">
        <v>2026</v>
      </c>
    </row>
    <row r="1501" spans="1:18">
      <c r="A1501">
        <v>174.96</v>
      </c>
      <c r="B1501">
        <v>2</v>
      </c>
      <c r="C1501">
        <v>1500</v>
      </c>
      <c r="D1501" s="2">
        <v>0.78664978009259257</v>
      </c>
      <c r="E1501" t="s">
        <v>3205</v>
      </c>
      <c r="F1501" t="s">
        <v>3206</v>
      </c>
      <c r="G1501" t="s">
        <v>1192</v>
      </c>
      <c r="H1501" t="s">
        <v>1206</v>
      </c>
      <c r="I1501" t="s">
        <v>943</v>
      </c>
      <c r="J1501" t="s">
        <v>604</v>
      </c>
      <c r="K1501" t="s">
        <v>69</v>
      </c>
      <c r="L1501">
        <v>87.48</v>
      </c>
      <c r="M1501" s="1">
        <v>46169</v>
      </c>
      <c r="N1501" t="s">
        <v>34</v>
      </c>
      <c r="O1501">
        <v>27</v>
      </c>
      <c r="P1501">
        <v>5</v>
      </c>
      <c r="Q1501">
        <v>2</v>
      </c>
      <c r="R1501">
        <v>2026</v>
      </c>
    </row>
    <row r="1502" spans="1:18">
      <c r="A1502">
        <v>100.68</v>
      </c>
      <c r="B1502">
        <v>3</v>
      </c>
      <c r="C1502">
        <v>1501</v>
      </c>
      <c r="D1502" s="2">
        <v>0.73779094907407405</v>
      </c>
      <c r="E1502" t="s">
        <v>3387</v>
      </c>
      <c r="F1502" t="s">
        <v>3388</v>
      </c>
      <c r="G1502" t="s">
        <v>1597</v>
      </c>
      <c r="H1502" t="s">
        <v>151</v>
      </c>
      <c r="I1502" t="s">
        <v>1003</v>
      </c>
      <c r="J1502" t="s">
        <v>609</v>
      </c>
      <c r="K1502" t="s">
        <v>27</v>
      </c>
      <c r="L1502">
        <v>33.56</v>
      </c>
      <c r="M1502" s="1">
        <v>45677</v>
      </c>
      <c r="N1502" t="s">
        <v>93</v>
      </c>
      <c r="O1502">
        <v>20</v>
      </c>
      <c r="P1502">
        <v>1</v>
      </c>
      <c r="Q1502">
        <v>1</v>
      </c>
      <c r="R1502">
        <v>2025</v>
      </c>
    </row>
    <row r="1503" spans="1:18">
      <c r="A1503">
        <v>169.59</v>
      </c>
      <c r="B1503">
        <v>3</v>
      </c>
      <c r="C1503">
        <v>1502</v>
      </c>
      <c r="D1503" s="2">
        <v>0.39730643518518516</v>
      </c>
      <c r="E1503" t="s">
        <v>1836</v>
      </c>
      <c r="F1503" t="s">
        <v>1837</v>
      </c>
      <c r="G1503" t="s">
        <v>1838</v>
      </c>
      <c r="H1503" t="s">
        <v>64</v>
      </c>
      <c r="I1503" t="s">
        <v>892</v>
      </c>
      <c r="J1503" t="s">
        <v>123</v>
      </c>
      <c r="K1503" t="s">
        <v>43</v>
      </c>
      <c r="L1503">
        <v>56.53</v>
      </c>
      <c r="M1503" s="1">
        <v>46024</v>
      </c>
      <c r="N1503" t="s">
        <v>79</v>
      </c>
      <c r="O1503">
        <v>2</v>
      </c>
      <c r="P1503">
        <v>1</v>
      </c>
      <c r="Q1503">
        <v>1</v>
      </c>
      <c r="R1503">
        <v>2026</v>
      </c>
    </row>
    <row r="1504" spans="1:18">
      <c r="A1504">
        <v>229.85</v>
      </c>
      <c r="B1504">
        <v>1</v>
      </c>
      <c r="C1504">
        <v>1503</v>
      </c>
      <c r="D1504" s="2">
        <v>0.77448557870370371</v>
      </c>
      <c r="E1504" t="s">
        <v>2298</v>
      </c>
      <c r="F1504" t="s">
        <v>2299</v>
      </c>
      <c r="G1504" t="s">
        <v>1498</v>
      </c>
      <c r="H1504" t="s">
        <v>1318</v>
      </c>
      <c r="I1504" t="s">
        <v>807</v>
      </c>
      <c r="J1504" t="s">
        <v>63</v>
      </c>
      <c r="K1504" t="s">
        <v>25</v>
      </c>
      <c r="L1504">
        <v>229.85</v>
      </c>
      <c r="M1504" s="1">
        <v>45786</v>
      </c>
      <c r="N1504" t="s">
        <v>79</v>
      </c>
      <c r="O1504">
        <v>9</v>
      </c>
      <c r="P1504">
        <v>5</v>
      </c>
      <c r="Q1504">
        <v>2</v>
      </c>
      <c r="R1504">
        <v>2025</v>
      </c>
    </row>
    <row r="1505" spans="1:18">
      <c r="A1505">
        <v>400.54</v>
      </c>
      <c r="B1505">
        <v>2</v>
      </c>
      <c r="C1505">
        <v>1504</v>
      </c>
      <c r="D1505" s="2">
        <v>0.82247138888888893</v>
      </c>
      <c r="E1505" t="s">
        <v>1661</v>
      </c>
      <c r="F1505" t="s">
        <v>1662</v>
      </c>
      <c r="G1505" t="s">
        <v>1515</v>
      </c>
      <c r="H1505" t="s">
        <v>883</v>
      </c>
      <c r="I1505" t="s">
        <v>807</v>
      </c>
      <c r="J1505" t="s">
        <v>434</v>
      </c>
      <c r="K1505" t="s">
        <v>57</v>
      </c>
      <c r="L1505">
        <v>200.27</v>
      </c>
      <c r="M1505" s="1">
        <v>45919</v>
      </c>
      <c r="N1505" t="s">
        <v>79</v>
      </c>
      <c r="O1505">
        <v>19</v>
      </c>
      <c r="P1505">
        <v>9</v>
      </c>
      <c r="Q1505">
        <v>3</v>
      </c>
      <c r="R1505">
        <v>2025</v>
      </c>
    </row>
    <row r="1506" spans="1:18">
      <c r="A1506">
        <v>469.76</v>
      </c>
      <c r="B1506">
        <v>4</v>
      </c>
      <c r="C1506">
        <v>1505</v>
      </c>
      <c r="D1506" s="2">
        <v>0.70905170138888884</v>
      </c>
      <c r="E1506" t="s">
        <v>1153</v>
      </c>
      <c r="F1506" t="s">
        <v>1154</v>
      </c>
      <c r="G1506" t="s">
        <v>1155</v>
      </c>
      <c r="H1506" t="s">
        <v>1156</v>
      </c>
      <c r="I1506" t="s">
        <v>821</v>
      </c>
      <c r="J1506" t="s">
        <v>419</v>
      </c>
      <c r="K1506" t="s">
        <v>39</v>
      </c>
      <c r="L1506">
        <v>117.44</v>
      </c>
      <c r="M1506" s="1">
        <v>45934</v>
      </c>
      <c r="N1506" t="s">
        <v>14</v>
      </c>
      <c r="O1506">
        <v>4</v>
      </c>
      <c r="P1506">
        <v>10</v>
      </c>
      <c r="Q1506">
        <v>4</v>
      </c>
      <c r="R1506">
        <v>2025</v>
      </c>
    </row>
    <row r="1507" spans="1:18">
      <c r="A1507">
        <v>131.25</v>
      </c>
      <c r="B1507">
        <v>5</v>
      </c>
      <c r="C1507">
        <v>1506</v>
      </c>
      <c r="D1507" s="2">
        <v>0.5120074189814815</v>
      </c>
      <c r="E1507" t="s">
        <v>2552</v>
      </c>
      <c r="F1507" t="s">
        <v>2553</v>
      </c>
      <c r="G1507" t="s">
        <v>1524</v>
      </c>
      <c r="H1507" t="s">
        <v>196</v>
      </c>
      <c r="I1507" t="s">
        <v>1247</v>
      </c>
      <c r="J1507" t="s">
        <v>493</v>
      </c>
      <c r="K1507" t="s">
        <v>46</v>
      </c>
      <c r="L1507">
        <v>26.25</v>
      </c>
      <c r="M1507" s="1">
        <v>45745</v>
      </c>
      <c r="N1507" t="s">
        <v>14</v>
      </c>
      <c r="O1507">
        <v>29</v>
      </c>
      <c r="P1507">
        <v>3</v>
      </c>
      <c r="Q1507">
        <v>1</v>
      </c>
      <c r="R1507">
        <v>2025</v>
      </c>
    </row>
    <row r="1508" spans="1:18">
      <c r="A1508">
        <v>729.68999999999994</v>
      </c>
      <c r="B1508">
        <v>3</v>
      </c>
      <c r="C1508">
        <v>1507</v>
      </c>
      <c r="D1508" s="2">
        <v>0.98211291666666667</v>
      </c>
      <c r="E1508" t="s">
        <v>1658</v>
      </c>
      <c r="F1508" t="s">
        <v>1659</v>
      </c>
      <c r="G1508" t="s">
        <v>1660</v>
      </c>
      <c r="H1508" t="s">
        <v>785</v>
      </c>
      <c r="I1508" t="s">
        <v>786</v>
      </c>
      <c r="J1508" t="s">
        <v>126</v>
      </c>
      <c r="K1508" t="s">
        <v>43</v>
      </c>
      <c r="L1508">
        <v>243.23</v>
      </c>
      <c r="M1508" s="1">
        <v>46170</v>
      </c>
      <c r="N1508" t="s">
        <v>105</v>
      </c>
      <c r="O1508">
        <v>28</v>
      </c>
      <c r="P1508">
        <v>5</v>
      </c>
      <c r="Q1508">
        <v>2</v>
      </c>
      <c r="R1508">
        <v>2026</v>
      </c>
    </row>
    <row r="1509" spans="1:18">
      <c r="A1509">
        <v>383.44</v>
      </c>
      <c r="B1509">
        <v>2</v>
      </c>
      <c r="C1509">
        <v>1508</v>
      </c>
      <c r="D1509" s="2">
        <v>0.77631100694444444</v>
      </c>
      <c r="E1509" t="s">
        <v>2760</v>
      </c>
      <c r="F1509" t="s">
        <v>2761</v>
      </c>
      <c r="G1509" t="s">
        <v>935</v>
      </c>
      <c r="H1509" t="s">
        <v>869</v>
      </c>
      <c r="I1509" t="s">
        <v>807</v>
      </c>
      <c r="J1509" t="s">
        <v>667</v>
      </c>
      <c r="K1509" t="s">
        <v>51</v>
      </c>
      <c r="L1509">
        <v>191.72</v>
      </c>
      <c r="M1509" s="1">
        <v>45560</v>
      </c>
      <c r="N1509" t="s">
        <v>34</v>
      </c>
      <c r="O1509">
        <v>25</v>
      </c>
      <c r="P1509">
        <v>9</v>
      </c>
      <c r="Q1509">
        <v>3</v>
      </c>
      <c r="R1509">
        <v>2024</v>
      </c>
    </row>
    <row r="1510" spans="1:18">
      <c r="A1510">
        <v>98.82</v>
      </c>
      <c r="B1510">
        <v>2</v>
      </c>
      <c r="C1510">
        <v>1509</v>
      </c>
      <c r="D1510" s="2">
        <v>0.31806296296296294</v>
      </c>
      <c r="E1510" t="s">
        <v>3419</v>
      </c>
      <c r="F1510" t="s">
        <v>3420</v>
      </c>
      <c r="G1510" t="s">
        <v>1679</v>
      </c>
      <c r="H1510" t="s">
        <v>1649</v>
      </c>
      <c r="I1510" t="s">
        <v>790</v>
      </c>
      <c r="J1510" t="s">
        <v>144</v>
      </c>
      <c r="K1510" t="s">
        <v>97</v>
      </c>
      <c r="L1510">
        <v>49.41</v>
      </c>
      <c r="M1510" s="1">
        <v>45973</v>
      </c>
      <c r="N1510" t="s">
        <v>34</v>
      </c>
      <c r="O1510">
        <v>12</v>
      </c>
      <c r="P1510">
        <v>11</v>
      </c>
      <c r="Q1510">
        <v>4</v>
      </c>
      <c r="R1510">
        <v>2025</v>
      </c>
    </row>
    <row r="1511" spans="1:18">
      <c r="A1511">
        <v>85.7</v>
      </c>
      <c r="B1511">
        <v>5</v>
      </c>
      <c r="C1511">
        <v>1510</v>
      </c>
      <c r="D1511" s="2">
        <v>0.84915293981481477</v>
      </c>
      <c r="E1511" t="s">
        <v>1101</v>
      </c>
      <c r="F1511" t="s">
        <v>1102</v>
      </c>
      <c r="G1511" t="s">
        <v>1103</v>
      </c>
      <c r="H1511" t="s">
        <v>825</v>
      </c>
      <c r="I1511" t="s">
        <v>781</v>
      </c>
      <c r="J1511" t="s">
        <v>633</v>
      </c>
      <c r="K1511" t="s">
        <v>17</v>
      </c>
      <c r="L1511">
        <v>17.14</v>
      </c>
      <c r="M1511" s="1">
        <v>46087</v>
      </c>
      <c r="N1511" t="s">
        <v>79</v>
      </c>
      <c r="O1511">
        <v>6</v>
      </c>
      <c r="P1511">
        <v>3</v>
      </c>
      <c r="Q1511">
        <v>1</v>
      </c>
      <c r="R1511">
        <v>2026</v>
      </c>
    </row>
    <row r="1512" spans="1:18">
      <c r="A1512">
        <v>11.39</v>
      </c>
      <c r="B1512">
        <v>1</v>
      </c>
      <c r="C1512">
        <v>1511</v>
      </c>
      <c r="D1512" s="2">
        <v>0.59767870370370368</v>
      </c>
      <c r="E1512" t="s">
        <v>1051</v>
      </c>
      <c r="F1512" t="s">
        <v>1052</v>
      </c>
      <c r="G1512" t="s">
        <v>1053</v>
      </c>
      <c r="H1512" t="s">
        <v>1054</v>
      </c>
      <c r="I1512" t="s">
        <v>892</v>
      </c>
      <c r="J1512" t="s">
        <v>325</v>
      </c>
      <c r="K1512" t="s">
        <v>55</v>
      </c>
      <c r="L1512">
        <v>11.39</v>
      </c>
      <c r="M1512" s="1">
        <v>45817</v>
      </c>
      <c r="N1512" t="s">
        <v>93</v>
      </c>
      <c r="O1512">
        <v>9</v>
      </c>
      <c r="P1512">
        <v>6</v>
      </c>
      <c r="Q1512">
        <v>2</v>
      </c>
      <c r="R1512">
        <v>2025</v>
      </c>
    </row>
    <row r="1513" spans="1:18">
      <c r="A1513">
        <v>245.78</v>
      </c>
      <c r="B1513">
        <v>2</v>
      </c>
      <c r="C1513">
        <v>1512</v>
      </c>
      <c r="D1513" s="2">
        <v>0.39244108796296295</v>
      </c>
      <c r="E1513" t="s">
        <v>2817</v>
      </c>
      <c r="F1513" t="s">
        <v>2818</v>
      </c>
      <c r="G1513" t="s">
        <v>1512</v>
      </c>
      <c r="H1513" t="s">
        <v>1469</v>
      </c>
      <c r="I1513" t="s">
        <v>908</v>
      </c>
      <c r="J1513" t="s">
        <v>665</v>
      </c>
      <c r="K1513" t="s">
        <v>17</v>
      </c>
      <c r="L1513">
        <v>122.89</v>
      </c>
      <c r="M1513" s="1">
        <v>46029</v>
      </c>
      <c r="N1513" t="s">
        <v>34</v>
      </c>
      <c r="O1513">
        <v>7</v>
      </c>
      <c r="P1513">
        <v>1</v>
      </c>
      <c r="Q1513">
        <v>1</v>
      </c>
      <c r="R1513">
        <v>2026</v>
      </c>
    </row>
    <row r="1514" spans="1:18">
      <c r="A1514">
        <v>68.31</v>
      </c>
      <c r="B1514">
        <v>3</v>
      </c>
      <c r="C1514">
        <v>1513</v>
      </c>
      <c r="D1514" s="2">
        <v>0.28432622685185183</v>
      </c>
      <c r="E1514" t="s">
        <v>2634</v>
      </c>
      <c r="F1514" t="s">
        <v>2635</v>
      </c>
      <c r="G1514" t="s">
        <v>1490</v>
      </c>
      <c r="H1514" t="s">
        <v>816</v>
      </c>
      <c r="I1514" t="s">
        <v>817</v>
      </c>
      <c r="J1514" t="s">
        <v>1250</v>
      </c>
      <c r="K1514" t="s">
        <v>23</v>
      </c>
      <c r="L1514">
        <v>22.77</v>
      </c>
      <c r="M1514" s="1">
        <v>46144</v>
      </c>
      <c r="N1514" t="s">
        <v>14</v>
      </c>
      <c r="O1514">
        <v>2</v>
      </c>
      <c r="P1514">
        <v>5</v>
      </c>
      <c r="Q1514">
        <v>2</v>
      </c>
      <c r="R1514">
        <v>2026</v>
      </c>
    </row>
    <row r="1515" spans="1:18">
      <c r="A1515">
        <v>169.88</v>
      </c>
      <c r="B1515">
        <v>2</v>
      </c>
      <c r="C1515">
        <v>1514</v>
      </c>
      <c r="D1515" s="2">
        <v>0.73878505787037041</v>
      </c>
      <c r="E1515" t="s">
        <v>1299</v>
      </c>
      <c r="F1515" t="s">
        <v>1300</v>
      </c>
      <c r="G1515" t="s">
        <v>1301</v>
      </c>
      <c r="H1515" t="s">
        <v>1302</v>
      </c>
      <c r="I1515" t="s">
        <v>786</v>
      </c>
      <c r="J1515" t="s">
        <v>554</v>
      </c>
      <c r="K1515" t="s">
        <v>17</v>
      </c>
      <c r="L1515">
        <v>84.94</v>
      </c>
      <c r="M1515" s="1">
        <v>45891</v>
      </c>
      <c r="N1515" t="s">
        <v>79</v>
      </c>
      <c r="O1515">
        <v>22</v>
      </c>
      <c r="P1515">
        <v>8</v>
      </c>
      <c r="Q1515">
        <v>3</v>
      </c>
      <c r="R1515">
        <v>2025</v>
      </c>
    </row>
    <row r="1516" spans="1:18">
      <c r="A1516">
        <v>282.64999999999998</v>
      </c>
      <c r="B1516">
        <v>5</v>
      </c>
      <c r="C1516">
        <v>1515</v>
      </c>
      <c r="D1516" s="2">
        <v>0.17312262731481481</v>
      </c>
      <c r="E1516" t="s">
        <v>2300</v>
      </c>
      <c r="F1516" t="s">
        <v>2301</v>
      </c>
      <c r="G1516" t="s">
        <v>1962</v>
      </c>
      <c r="H1516" t="s">
        <v>1600</v>
      </c>
      <c r="I1516" t="s">
        <v>768</v>
      </c>
      <c r="J1516" t="s">
        <v>123</v>
      </c>
      <c r="K1516" t="s">
        <v>43</v>
      </c>
      <c r="L1516">
        <v>56.53</v>
      </c>
      <c r="M1516" s="1">
        <v>45660</v>
      </c>
      <c r="N1516" t="s">
        <v>79</v>
      </c>
      <c r="O1516">
        <v>3</v>
      </c>
      <c r="P1516">
        <v>1</v>
      </c>
      <c r="Q1516">
        <v>1</v>
      </c>
      <c r="R1516">
        <v>2025</v>
      </c>
    </row>
    <row r="1517" spans="1:18">
      <c r="A1517">
        <v>414.14</v>
      </c>
      <c r="B1517">
        <v>2</v>
      </c>
      <c r="C1517">
        <v>1516</v>
      </c>
      <c r="D1517" s="2">
        <v>0.49202111111111113</v>
      </c>
      <c r="E1517" t="s">
        <v>855</v>
      </c>
      <c r="F1517" t="s">
        <v>856</v>
      </c>
      <c r="G1517" t="s">
        <v>857</v>
      </c>
      <c r="H1517" t="s">
        <v>858</v>
      </c>
      <c r="I1517" t="s">
        <v>753</v>
      </c>
      <c r="J1517" t="s">
        <v>201</v>
      </c>
      <c r="K1517" t="s">
        <v>37</v>
      </c>
      <c r="L1517">
        <v>207.07</v>
      </c>
      <c r="M1517" s="1">
        <v>45844</v>
      </c>
      <c r="N1517" t="s">
        <v>28</v>
      </c>
      <c r="O1517">
        <v>6</v>
      </c>
      <c r="P1517">
        <v>7</v>
      </c>
      <c r="Q1517">
        <v>3</v>
      </c>
      <c r="R1517">
        <v>2025</v>
      </c>
    </row>
    <row r="1518" spans="1:18">
      <c r="A1518">
        <v>355.38</v>
      </c>
      <c r="B1518">
        <v>2</v>
      </c>
      <c r="C1518">
        <v>1517</v>
      </c>
      <c r="D1518" s="2">
        <v>0.71467228009259254</v>
      </c>
      <c r="E1518" t="s">
        <v>3473</v>
      </c>
      <c r="F1518" t="s">
        <v>3474</v>
      </c>
      <c r="G1518" t="s">
        <v>1074</v>
      </c>
      <c r="H1518" t="s">
        <v>160</v>
      </c>
      <c r="I1518" t="s">
        <v>790</v>
      </c>
      <c r="J1518" t="s">
        <v>52</v>
      </c>
      <c r="K1518" t="s">
        <v>21</v>
      </c>
      <c r="L1518">
        <v>177.69</v>
      </c>
      <c r="M1518" s="1">
        <v>45589</v>
      </c>
      <c r="N1518" t="s">
        <v>105</v>
      </c>
      <c r="O1518">
        <v>24</v>
      </c>
      <c r="P1518">
        <v>10</v>
      </c>
      <c r="Q1518">
        <v>4</v>
      </c>
      <c r="R1518">
        <v>2024</v>
      </c>
    </row>
    <row r="1519" spans="1:18">
      <c r="A1519">
        <v>215.16</v>
      </c>
      <c r="B1519">
        <v>3</v>
      </c>
      <c r="C1519">
        <v>1518</v>
      </c>
      <c r="D1519" s="2">
        <v>0.29001517361111112</v>
      </c>
      <c r="E1519" t="s">
        <v>2448</v>
      </c>
      <c r="F1519" t="s">
        <v>2449</v>
      </c>
      <c r="G1519" t="s">
        <v>1070</v>
      </c>
      <c r="H1519" t="s">
        <v>961</v>
      </c>
      <c r="I1519" t="s">
        <v>807</v>
      </c>
      <c r="J1519" t="s">
        <v>141</v>
      </c>
      <c r="K1519" t="s">
        <v>46</v>
      </c>
      <c r="L1519">
        <v>71.72</v>
      </c>
      <c r="M1519" s="1">
        <v>45560</v>
      </c>
      <c r="N1519" t="s">
        <v>34</v>
      </c>
      <c r="O1519">
        <v>25</v>
      </c>
      <c r="P1519">
        <v>9</v>
      </c>
      <c r="Q1519">
        <v>3</v>
      </c>
      <c r="R1519">
        <v>2024</v>
      </c>
    </row>
    <row r="1520" spans="1:18">
      <c r="A1520">
        <v>54.54</v>
      </c>
      <c r="B1520">
        <v>1</v>
      </c>
      <c r="C1520">
        <v>1519</v>
      </c>
      <c r="D1520" s="2">
        <v>0.13716681712962964</v>
      </c>
      <c r="E1520" t="s">
        <v>2349</v>
      </c>
      <c r="F1520" t="s">
        <v>1571</v>
      </c>
      <c r="G1520" t="s">
        <v>1045</v>
      </c>
      <c r="H1520" t="s">
        <v>919</v>
      </c>
      <c r="I1520" t="s">
        <v>786</v>
      </c>
      <c r="J1520" t="s">
        <v>292</v>
      </c>
      <c r="K1520" t="s">
        <v>97</v>
      </c>
      <c r="L1520">
        <v>54.54</v>
      </c>
      <c r="M1520" s="1">
        <v>45665</v>
      </c>
      <c r="N1520" t="s">
        <v>34</v>
      </c>
      <c r="O1520">
        <v>8</v>
      </c>
      <c r="P1520">
        <v>1</v>
      </c>
      <c r="Q1520">
        <v>1</v>
      </c>
      <c r="R1520">
        <v>2025</v>
      </c>
    </row>
    <row r="1521" spans="1:18">
      <c r="A1521">
        <v>297.08</v>
      </c>
      <c r="B1521">
        <v>2</v>
      </c>
      <c r="C1521">
        <v>1520</v>
      </c>
      <c r="D1521" s="2">
        <v>0.6692486689814815</v>
      </c>
      <c r="E1521" t="s">
        <v>1112</v>
      </c>
      <c r="F1521" t="s">
        <v>1113</v>
      </c>
      <c r="G1521" t="s">
        <v>1114</v>
      </c>
      <c r="H1521" t="s">
        <v>1078</v>
      </c>
      <c r="I1521" t="s">
        <v>781</v>
      </c>
      <c r="J1521" t="s">
        <v>16</v>
      </c>
      <c r="K1521" t="s">
        <v>17</v>
      </c>
      <c r="L1521">
        <v>148.54</v>
      </c>
      <c r="M1521" s="1">
        <v>45575</v>
      </c>
      <c r="N1521" t="s">
        <v>105</v>
      </c>
      <c r="O1521">
        <v>10</v>
      </c>
      <c r="P1521">
        <v>10</v>
      </c>
      <c r="Q1521">
        <v>4</v>
      </c>
      <c r="R1521">
        <v>2024</v>
      </c>
    </row>
    <row r="1522" spans="1:18">
      <c r="A1522">
        <v>559.29999999999995</v>
      </c>
      <c r="B1522">
        <v>5</v>
      </c>
      <c r="C1522">
        <v>1521</v>
      </c>
      <c r="D1522" s="2">
        <v>0.31844359953703705</v>
      </c>
      <c r="E1522" t="s">
        <v>1710</v>
      </c>
      <c r="F1522" t="s">
        <v>1711</v>
      </c>
      <c r="G1522" t="s">
        <v>1539</v>
      </c>
      <c r="H1522" t="s">
        <v>1156</v>
      </c>
      <c r="I1522" t="s">
        <v>839</v>
      </c>
      <c r="J1522" t="s">
        <v>432</v>
      </c>
      <c r="K1522" t="s">
        <v>46</v>
      </c>
      <c r="L1522">
        <v>111.86</v>
      </c>
      <c r="M1522" s="1">
        <v>46169</v>
      </c>
      <c r="N1522" t="s">
        <v>34</v>
      </c>
      <c r="O1522">
        <v>27</v>
      </c>
      <c r="P1522">
        <v>5</v>
      </c>
      <c r="Q1522">
        <v>2</v>
      </c>
      <c r="R1522">
        <v>2026</v>
      </c>
    </row>
    <row r="1523" spans="1:18">
      <c r="A1523">
        <v>255.96</v>
      </c>
      <c r="B1523">
        <v>2</v>
      </c>
      <c r="C1523">
        <v>1522</v>
      </c>
      <c r="D1523" s="2">
        <v>0.22838473379629629</v>
      </c>
      <c r="E1523" t="s">
        <v>1889</v>
      </c>
      <c r="F1523" t="s">
        <v>1890</v>
      </c>
      <c r="G1523" t="s">
        <v>1202</v>
      </c>
      <c r="H1523" t="s">
        <v>1591</v>
      </c>
      <c r="I1523" t="s">
        <v>966</v>
      </c>
      <c r="J1523" t="s">
        <v>277</v>
      </c>
      <c r="K1523" t="s">
        <v>122</v>
      </c>
      <c r="L1523">
        <v>127.98</v>
      </c>
      <c r="M1523" s="1">
        <v>45994</v>
      </c>
      <c r="N1523" t="s">
        <v>34</v>
      </c>
      <c r="O1523">
        <v>3</v>
      </c>
      <c r="P1523">
        <v>12</v>
      </c>
      <c r="Q1523">
        <v>4</v>
      </c>
      <c r="R1523">
        <v>2025</v>
      </c>
    </row>
    <row r="1524" spans="1:18">
      <c r="A1524">
        <v>168.14999999999998</v>
      </c>
      <c r="B1524">
        <v>3</v>
      </c>
      <c r="C1524">
        <v>1523</v>
      </c>
      <c r="D1524" s="2">
        <v>0.67155138888888888</v>
      </c>
      <c r="E1524" t="s">
        <v>1018</v>
      </c>
      <c r="F1524" t="s">
        <v>1019</v>
      </c>
      <c r="G1524" t="s">
        <v>1020</v>
      </c>
      <c r="H1524" t="s">
        <v>995</v>
      </c>
      <c r="I1524" t="s">
        <v>781</v>
      </c>
      <c r="J1524" t="s">
        <v>32</v>
      </c>
      <c r="K1524" t="s">
        <v>19</v>
      </c>
      <c r="L1524">
        <v>56.05</v>
      </c>
      <c r="M1524" s="1">
        <v>45986</v>
      </c>
      <c r="N1524" t="s">
        <v>48</v>
      </c>
      <c r="O1524">
        <v>25</v>
      </c>
      <c r="P1524">
        <v>11</v>
      </c>
      <c r="Q1524">
        <v>4</v>
      </c>
      <c r="R1524">
        <v>2025</v>
      </c>
    </row>
    <row r="1525" spans="1:18">
      <c r="A1525">
        <v>50.28</v>
      </c>
      <c r="B1525">
        <v>1</v>
      </c>
      <c r="C1525">
        <v>1524</v>
      </c>
      <c r="D1525" s="2">
        <v>0.11341734953703704</v>
      </c>
      <c r="E1525" t="s">
        <v>1794</v>
      </c>
      <c r="F1525" t="s">
        <v>1795</v>
      </c>
      <c r="G1525" t="s">
        <v>1016</v>
      </c>
      <c r="H1525" t="s">
        <v>762</v>
      </c>
      <c r="I1525" t="s">
        <v>763</v>
      </c>
      <c r="J1525" t="s">
        <v>519</v>
      </c>
      <c r="K1525" t="s">
        <v>51</v>
      </c>
      <c r="L1525">
        <v>50.28</v>
      </c>
      <c r="M1525" s="1">
        <v>45980</v>
      </c>
      <c r="N1525" t="s">
        <v>34</v>
      </c>
      <c r="O1525">
        <v>19</v>
      </c>
      <c r="P1525">
        <v>11</v>
      </c>
      <c r="Q1525">
        <v>4</v>
      </c>
      <c r="R1525">
        <v>2025</v>
      </c>
    </row>
    <row r="1526" spans="1:18">
      <c r="A1526">
        <v>524.6</v>
      </c>
      <c r="B1526">
        <v>5</v>
      </c>
      <c r="C1526">
        <v>1525</v>
      </c>
      <c r="D1526" s="2">
        <v>0.3643953240740741</v>
      </c>
      <c r="E1526" t="s">
        <v>2084</v>
      </c>
      <c r="F1526" t="s">
        <v>2085</v>
      </c>
      <c r="G1526" t="s">
        <v>2086</v>
      </c>
      <c r="H1526" t="s">
        <v>1209</v>
      </c>
      <c r="I1526" t="s">
        <v>776</v>
      </c>
      <c r="J1526" t="s">
        <v>351</v>
      </c>
      <c r="K1526" t="s">
        <v>57</v>
      </c>
      <c r="L1526">
        <v>104.92</v>
      </c>
      <c r="M1526" s="1">
        <v>46195</v>
      </c>
      <c r="N1526" t="s">
        <v>93</v>
      </c>
      <c r="O1526">
        <v>22</v>
      </c>
      <c r="P1526">
        <v>6</v>
      </c>
      <c r="Q1526">
        <v>2</v>
      </c>
      <c r="R1526">
        <v>2026</v>
      </c>
    </row>
    <row r="1527" spans="1:18">
      <c r="A1527">
        <v>972.30000000000007</v>
      </c>
      <c r="B1527">
        <v>5</v>
      </c>
      <c r="C1527">
        <v>1526</v>
      </c>
      <c r="D1527" s="2">
        <v>0.28022607638888891</v>
      </c>
      <c r="E1527" t="s">
        <v>2112</v>
      </c>
      <c r="F1527" t="s">
        <v>2113</v>
      </c>
      <c r="G1527" t="s">
        <v>2114</v>
      </c>
      <c r="H1527" t="s">
        <v>883</v>
      </c>
      <c r="I1527" t="s">
        <v>807</v>
      </c>
      <c r="J1527" t="s">
        <v>486</v>
      </c>
      <c r="K1527" t="s">
        <v>100</v>
      </c>
      <c r="L1527">
        <v>194.46</v>
      </c>
      <c r="M1527" s="1">
        <v>45909</v>
      </c>
      <c r="N1527" t="s">
        <v>48</v>
      </c>
      <c r="O1527">
        <v>9</v>
      </c>
      <c r="P1527">
        <v>9</v>
      </c>
      <c r="Q1527">
        <v>3</v>
      </c>
      <c r="R1527">
        <v>2025</v>
      </c>
    </row>
    <row r="1528" spans="1:18">
      <c r="A1528">
        <v>582.1</v>
      </c>
      <c r="B1528">
        <v>5</v>
      </c>
      <c r="C1528">
        <v>1527</v>
      </c>
      <c r="D1528" s="2">
        <v>0.40675335648148148</v>
      </c>
      <c r="E1528" t="s">
        <v>1704</v>
      </c>
      <c r="F1528" t="s">
        <v>1705</v>
      </c>
      <c r="G1528" t="s">
        <v>1706</v>
      </c>
      <c r="H1528" t="s">
        <v>1092</v>
      </c>
      <c r="I1528" t="s">
        <v>763</v>
      </c>
      <c r="J1528" t="s">
        <v>91</v>
      </c>
      <c r="K1528" t="s">
        <v>55</v>
      </c>
      <c r="L1528">
        <v>116.42</v>
      </c>
      <c r="M1528" s="1">
        <v>45630</v>
      </c>
      <c r="N1528" t="s">
        <v>34</v>
      </c>
      <c r="O1528">
        <v>4</v>
      </c>
      <c r="P1528">
        <v>12</v>
      </c>
      <c r="Q1528">
        <v>4</v>
      </c>
      <c r="R1528">
        <v>2024</v>
      </c>
    </row>
    <row r="1529" spans="1:18">
      <c r="A1529">
        <v>1072.8499999999999</v>
      </c>
      <c r="B1529">
        <v>5</v>
      </c>
      <c r="C1529">
        <v>1528</v>
      </c>
      <c r="D1529" s="2">
        <v>0.9669959953703704</v>
      </c>
      <c r="E1529" t="s">
        <v>3238</v>
      </c>
      <c r="F1529" t="s">
        <v>3239</v>
      </c>
      <c r="G1529" t="s">
        <v>820</v>
      </c>
      <c r="H1529" t="s">
        <v>328</v>
      </c>
      <c r="I1529" t="s">
        <v>1247</v>
      </c>
      <c r="J1529" t="s">
        <v>383</v>
      </c>
      <c r="K1529" t="s">
        <v>39</v>
      </c>
      <c r="L1529">
        <v>214.57</v>
      </c>
      <c r="M1529" s="1">
        <v>45670</v>
      </c>
      <c r="N1529" t="s">
        <v>93</v>
      </c>
      <c r="O1529">
        <v>13</v>
      </c>
      <c r="P1529">
        <v>1</v>
      </c>
      <c r="Q1529">
        <v>1</v>
      </c>
      <c r="R1529">
        <v>2025</v>
      </c>
    </row>
    <row r="1530" spans="1:18">
      <c r="A1530">
        <v>441.7</v>
      </c>
      <c r="B1530">
        <v>2</v>
      </c>
      <c r="C1530">
        <v>1529</v>
      </c>
      <c r="D1530" s="2">
        <v>0.56696502314814812</v>
      </c>
      <c r="E1530" t="s">
        <v>2002</v>
      </c>
      <c r="F1530" t="s">
        <v>2003</v>
      </c>
      <c r="G1530" t="s">
        <v>2004</v>
      </c>
      <c r="H1530" t="s">
        <v>794</v>
      </c>
      <c r="I1530" t="s">
        <v>821</v>
      </c>
      <c r="J1530" t="s">
        <v>309</v>
      </c>
      <c r="K1530" t="s">
        <v>100</v>
      </c>
      <c r="L1530">
        <v>220.85</v>
      </c>
      <c r="M1530" s="1">
        <v>45812</v>
      </c>
      <c r="N1530" t="s">
        <v>34</v>
      </c>
      <c r="O1530">
        <v>4</v>
      </c>
      <c r="P1530">
        <v>6</v>
      </c>
      <c r="Q1530">
        <v>2</v>
      </c>
      <c r="R1530">
        <v>2025</v>
      </c>
    </row>
    <row r="1531" spans="1:18">
      <c r="A1531">
        <v>316.76</v>
      </c>
      <c r="B1531">
        <v>2</v>
      </c>
      <c r="C1531">
        <v>1530</v>
      </c>
      <c r="D1531" s="2">
        <v>0.8943525347222222</v>
      </c>
      <c r="E1531" t="s">
        <v>2453</v>
      </c>
      <c r="F1531" t="s">
        <v>832</v>
      </c>
      <c r="G1531" t="s">
        <v>756</v>
      </c>
      <c r="H1531" t="s">
        <v>1280</v>
      </c>
      <c r="I1531" t="s">
        <v>908</v>
      </c>
      <c r="J1531" t="s">
        <v>172</v>
      </c>
      <c r="K1531" t="s">
        <v>46</v>
      </c>
      <c r="L1531">
        <v>158.38</v>
      </c>
      <c r="M1531" s="1">
        <v>46267</v>
      </c>
      <c r="N1531" t="s">
        <v>34</v>
      </c>
      <c r="O1531">
        <v>2</v>
      </c>
      <c r="P1531">
        <v>9</v>
      </c>
      <c r="Q1531">
        <v>3</v>
      </c>
      <c r="R1531">
        <v>2026</v>
      </c>
    </row>
    <row r="1532" spans="1:18">
      <c r="A1532">
        <v>22.44</v>
      </c>
      <c r="B1532">
        <v>4</v>
      </c>
      <c r="C1532">
        <v>1531</v>
      </c>
      <c r="D1532" s="2">
        <v>0.9244948842592593</v>
      </c>
      <c r="E1532" t="s">
        <v>1466</v>
      </c>
      <c r="F1532" t="s">
        <v>1467</v>
      </c>
      <c r="G1532" t="s">
        <v>1468</v>
      </c>
      <c r="H1532" t="s">
        <v>1469</v>
      </c>
      <c r="I1532" t="s">
        <v>908</v>
      </c>
      <c r="J1532" t="s">
        <v>352</v>
      </c>
      <c r="K1532" t="s">
        <v>82</v>
      </c>
      <c r="L1532">
        <v>5.61</v>
      </c>
      <c r="M1532" s="1">
        <v>46082</v>
      </c>
      <c r="N1532" t="s">
        <v>28</v>
      </c>
      <c r="O1532">
        <v>1</v>
      </c>
      <c r="P1532">
        <v>3</v>
      </c>
      <c r="Q1532">
        <v>1</v>
      </c>
      <c r="R1532">
        <v>2026</v>
      </c>
    </row>
    <row r="1533" spans="1:18">
      <c r="A1533">
        <v>2.74</v>
      </c>
      <c r="B1533">
        <v>2</v>
      </c>
      <c r="C1533">
        <v>1532</v>
      </c>
      <c r="D1533" s="2">
        <v>2.1763252314814813E-2</v>
      </c>
      <c r="E1533" t="s">
        <v>791</v>
      </c>
      <c r="F1533" t="s">
        <v>792</v>
      </c>
      <c r="G1533" t="s">
        <v>793</v>
      </c>
      <c r="H1533" t="s">
        <v>794</v>
      </c>
      <c r="I1533" t="s">
        <v>795</v>
      </c>
      <c r="J1533" t="s">
        <v>85</v>
      </c>
      <c r="K1533" t="s">
        <v>37</v>
      </c>
      <c r="L1533">
        <v>1.37</v>
      </c>
      <c r="M1533" s="1">
        <v>45813</v>
      </c>
      <c r="N1533" t="s">
        <v>105</v>
      </c>
      <c r="O1533">
        <v>5</v>
      </c>
      <c r="P1533">
        <v>6</v>
      </c>
      <c r="Q1533">
        <v>2</v>
      </c>
      <c r="R1533">
        <v>2025</v>
      </c>
    </row>
    <row r="1534" spans="1:18">
      <c r="A1534">
        <v>297.8</v>
      </c>
      <c r="B1534">
        <v>5</v>
      </c>
      <c r="C1534">
        <v>1533</v>
      </c>
      <c r="D1534" s="2">
        <v>0.99658940972222221</v>
      </c>
      <c r="E1534" t="s">
        <v>2041</v>
      </c>
      <c r="F1534" t="s">
        <v>2042</v>
      </c>
      <c r="G1534" t="s">
        <v>2043</v>
      </c>
      <c r="H1534" t="s">
        <v>2044</v>
      </c>
      <c r="I1534" t="s">
        <v>748</v>
      </c>
      <c r="J1534" t="s">
        <v>573</v>
      </c>
      <c r="K1534" t="s">
        <v>55</v>
      </c>
      <c r="L1534">
        <v>59.56</v>
      </c>
      <c r="M1534" s="1">
        <v>46192</v>
      </c>
      <c r="N1534" t="s">
        <v>79</v>
      </c>
      <c r="O1534">
        <v>19</v>
      </c>
      <c r="P1534">
        <v>6</v>
      </c>
      <c r="Q1534">
        <v>2</v>
      </c>
      <c r="R1534">
        <v>2026</v>
      </c>
    </row>
    <row r="1535" spans="1:18">
      <c r="A1535">
        <v>196.65</v>
      </c>
      <c r="B1535">
        <v>1</v>
      </c>
      <c r="C1535">
        <v>1534</v>
      </c>
      <c r="D1535" s="2">
        <v>0.49178787037037036</v>
      </c>
      <c r="E1535" t="s">
        <v>3345</v>
      </c>
      <c r="F1535" t="s">
        <v>3346</v>
      </c>
      <c r="G1535" t="s">
        <v>2030</v>
      </c>
      <c r="H1535" t="s">
        <v>1434</v>
      </c>
      <c r="I1535" t="s">
        <v>786</v>
      </c>
      <c r="J1535" t="s">
        <v>226</v>
      </c>
      <c r="K1535" t="s">
        <v>97</v>
      </c>
      <c r="L1535">
        <v>196.65</v>
      </c>
      <c r="M1535" s="1">
        <v>45725</v>
      </c>
      <c r="N1535" t="s">
        <v>28</v>
      </c>
      <c r="O1535">
        <v>9</v>
      </c>
      <c r="P1535">
        <v>3</v>
      </c>
      <c r="Q1535">
        <v>1</v>
      </c>
      <c r="R1535">
        <v>2025</v>
      </c>
    </row>
    <row r="1536" spans="1:18">
      <c r="A1536">
        <v>983.9</v>
      </c>
      <c r="B1536">
        <v>5</v>
      </c>
      <c r="C1536">
        <v>1535</v>
      </c>
      <c r="D1536" s="2">
        <v>9.6608333333333338E-3</v>
      </c>
      <c r="E1536" t="s">
        <v>2974</v>
      </c>
      <c r="F1536" t="s">
        <v>2975</v>
      </c>
      <c r="G1536" t="s">
        <v>888</v>
      </c>
      <c r="H1536" t="s">
        <v>1067</v>
      </c>
      <c r="I1536" t="s">
        <v>854</v>
      </c>
      <c r="J1536" t="s">
        <v>397</v>
      </c>
      <c r="K1536" t="s">
        <v>31</v>
      </c>
      <c r="L1536">
        <v>196.78</v>
      </c>
      <c r="M1536" s="1">
        <v>46038</v>
      </c>
      <c r="N1536" t="s">
        <v>79</v>
      </c>
      <c r="O1536">
        <v>16</v>
      </c>
      <c r="P1536">
        <v>1</v>
      </c>
      <c r="Q1536">
        <v>1</v>
      </c>
      <c r="R1536">
        <v>2026</v>
      </c>
    </row>
    <row r="1537" spans="1:18">
      <c r="A1537">
        <v>31.44</v>
      </c>
      <c r="B1537">
        <v>3</v>
      </c>
      <c r="C1537">
        <v>1536</v>
      </c>
      <c r="D1537" s="2">
        <v>0.57467586805555559</v>
      </c>
      <c r="E1537" t="s">
        <v>1240</v>
      </c>
      <c r="F1537" t="s">
        <v>1241</v>
      </c>
      <c r="G1537" t="s">
        <v>1242</v>
      </c>
      <c r="H1537" t="s">
        <v>1092</v>
      </c>
      <c r="I1537" t="s">
        <v>763</v>
      </c>
      <c r="J1537" t="s">
        <v>578</v>
      </c>
      <c r="K1537" t="s">
        <v>82</v>
      </c>
      <c r="L1537">
        <v>10.48</v>
      </c>
      <c r="M1537" s="1">
        <v>46035</v>
      </c>
      <c r="N1537" t="s">
        <v>48</v>
      </c>
      <c r="O1537">
        <v>13</v>
      </c>
      <c r="P1537">
        <v>1</v>
      </c>
      <c r="Q1537">
        <v>1</v>
      </c>
      <c r="R1537">
        <v>2026</v>
      </c>
    </row>
    <row r="1538" spans="1:18">
      <c r="A1538">
        <v>618.96</v>
      </c>
      <c r="B1538">
        <v>4</v>
      </c>
      <c r="C1538">
        <v>1537</v>
      </c>
      <c r="D1538" s="2">
        <v>0.17380128472222223</v>
      </c>
      <c r="E1538" t="s">
        <v>3023</v>
      </c>
      <c r="F1538" t="s">
        <v>3024</v>
      </c>
      <c r="G1538" t="s">
        <v>2365</v>
      </c>
      <c r="H1538" t="s">
        <v>106</v>
      </c>
      <c r="I1538" t="s">
        <v>790</v>
      </c>
      <c r="J1538" t="s">
        <v>547</v>
      </c>
      <c r="K1538" t="s">
        <v>97</v>
      </c>
      <c r="L1538">
        <v>154.74</v>
      </c>
      <c r="M1538" s="1">
        <v>46139</v>
      </c>
      <c r="N1538" t="s">
        <v>93</v>
      </c>
      <c r="O1538">
        <v>27</v>
      </c>
      <c r="P1538">
        <v>4</v>
      </c>
      <c r="Q1538">
        <v>2</v>
      </c>
      <c r="R1538">
        <v>2026</v>
      </c>
    </row>
    <row r="1539" spans="1:18">
      <c r="A1539">
        <v>815.69999999999993</v>
      </c>
      <c r="B1539">
        <v>5</v>
      </c>
      <c r="C1539">
        <v>1538</v>
      </c>
      <c r="D1539" s="2">
        <v>0.62146037037037039</v>
      </c>
      <c r="E1539" t="s">
        <v>2053</v>
      </c>
      <c r="F1539" t="s">
        <v>2054</v>
      </c>
      <c r="G1539" t="s">
        <v>1140</v>
      </c>
      <c r="H1539" t="s">
        <v>1540</v>
      </c>
      <c r="I1539" t="s">
        <v>768</v>
      </c>
      <c r="J1539" t="s">
        <v>183</v>
      </c>
      <c r="K1539" t="s">
        <v>19</v>
      </c>
      <c r="L1539">
        <v>163.13999999999999</v>
      </c>
      <c r="M1539" s="1">
        <v>45959</v>
      </c>
      <c r="N1539" t="s">
        <v>34</v>
      </c>
      <c r="O1539">
        <v>29</v>
      </c>
      <c r="P1539">
        <v>10</v>
      </c>
      <c r="Q1539">
        <v>4</v>
      </c>
      <c r="R1539">
        <v>2025</v>
      </c>
    </row>
    <row r="1540" spans="1:18">
      <c r="A1540">
        <v>255.96</v>
      </c>
      <c r="B1540">
        <v>2</v>
      </c>
      <c r="C1540">
        <v>1539</v>
      </c>
      <c r="D1540" s="2">
        <v>0.15246109953703704</v>
      </c>
      <c r="E1540" t="s">
        <v>2298</v>
      </c>
      <c r="F1540" t="s">
        <v>2299</v>
      </c>
      <c r="G1540" t="s">
        <v>1498</v>
      </c>
      <c r="H1540" t="s">
        <v>1318</v>
      </c>
      <c r="I1540" t="s">
        <v>807</v>
      </c>
      <c r="J1540" t="s">
        <v>277</v>
      </c>
      <c r="K1540" t="s">
        <v>122</v>
      </c>
      <c r="L1540">
        <v>127.98</v>
      </c>
      <c r="M1540" s="1">
        <v>45874</v>
      </c>
      <c r="N1540" t="s">
        <v>48</v>
      </c>
      <c r="O1540">
        <v>5</v>
      </c>
      <c r="P1540">
        <v>8</v>
      </c>
      <c r="Q1540">
        <v>3</v>
      </c>
      <c r="R1540">
        <v>2025</v>
      </c>
    </row>
    <row r="1541" spans="1:18">
      <c r="A1541">
        <v>113.82</v>
      </c>
      <c r="B1541">
        <v>3</v>
      </c>
      <c r="C1541">
        <v>1540</v>
      </c>
      <c r="D1541" s="2">
        <v>0.34717273148148148</v>
      </c>
      <c r="E1541" t="s">
        <v>2644</v>
      </c>
      <c r="F1541" t="s">
        <v>2645</v>
      </c>
      <c r="G1541" t="s">
        <v>2383</v>
      </c>
      <c r="H1541" t="s">
        <v>862</v>
      </c>
      <c r="I1541" t="s">
        <v>981</v>
      </c>
      <c r="J1541" t="s">
        <v>73</v>
      </c>
      <c r="K1541" t="s">
        <v>39</v>
      </c>
      <c r="L1541">
        <v>37.94</v>
      </c>
      <c r="M1541" s="1">
        <v>45921</v>
      </c>
      <c r="N1541" t="s">
        <v>28</v>
      </c>
      <c r="O1541">
        <v>21</v>
      </c>
      <c r="P1541">
        <v>9</v>
      </c>
      <c r="Q1541">
        <v>3</v>
      </c>
      <c r="R1541">
        <v>2025</v>
      </c>
    </row>
    <row r="1542" spans="1:18">
      <c r="A1542">
        <v>967.92</v>
      </c>
      <c r="B1542">
        <v>4</v>
      </c>
      <c r="C1542">
        <v>1541</v>
      </c>
      <c r="D1542" s="2">
        <v>0.2906521412037037</v>
      </c>
      <c r="E1542" t="s">
        <v>1658</v>
      </c>
      <c r="F1542" t="s">
        <v>1659</v>
      </c>
      <c r="G1542" t="s">
        <v>1660</v>
      </c>
      <c r="H1542" t="s">
        <v>785</v>
      </c>
      <c r="I1542" t="s">
        <v>786</v>
      </c>
      <c r="J1542" t="s">
        <v>203</v>
      </c>
      <c r="K1542" t="s">
        <v>100</v>
      </c>
      <c r="L1542">
        <v>241.98</v>
      </c>
      <c r="M1542" s="1">
        <v>46252</v>
      </c>
      <c r="N1542" t="s">
        <v>48</v>
      </c>
      <c r="O1542">
        <v>18</v>
      </c>
      <c r="P1542">
        <v>8</v>
      </c>
      <c r="Q1542">
        <v>3</v>
      </c>
      <c r="R1542">
        <v>2026</v>
      </c>
    </row>
    <row r="1543" spans="1:18">
      <c r="A1543">
        <v>269.98</v>
      </c>
      <c r="B1543">
        <v>2</v>
      </c>
      <c r="C1543">
        <v>1542</v>
      </c>
      <c r="D1543" s="2">
        <v>0.57317423611111107</v>
      </c>
      <c r="E1543" t="s">
        <v>1537</v>
      </c>
      <c r="F1543" t="s">
        <v>1538</v>
      </c>
      <c r="G1543" t="s">
        <v>1539</v>
      </c>
      <c r="H1543" t="s">
        <v>1540</v>
      </c>
      <c r="I1543" t="s">
        <v>768</v>
      </c>
      <c r="J1543" t="s">
        <v>428</v>
      </c>
      <c r="K1543" t="s">
        <v>31</v>
      </c>
      <c r="L1543">
        <v>134.99</v>
      </c>
      <c r="M1543" s="1">
        <v>45825</v>
      </c>
      <c r="N1543" t="s">
        <v>48</v>
      </c>
      <c r="O1543">
        <v>17</v>
      </c>
      <c r="P1543">
        <v>6</v>
      </c>
      <c r="Q1543">
        <v>2</v>
      </c>
      <c r="R1543">
        <v>2025</v>
      </c>
    </row>
    <row r="1544" spans="1:18">
      <c r="A1544">
        <v>36.76</v>
      </c>
      <c r="B1544">
        <v>4</v>
      </c>
      <c r="C1544">
        <v>1543</v>
      </c>
      <c r="D1544" s="2">
        <v>0.7821905555555555</v>
      </c>
      <c r="E1544" t="s">
        <v>3312</v>
      </c>
      <c r="F1544" t="s">
        <v>3313</v>
      </c>
      <c r="G1544" t="s">
        <v>1556</v>
      </c>
      <c r="H1544" t="s">
        <v>879</v>
      </c>
      <c r="I1544" t="s">
        <v>748</v>
      </c>
      <c r="J1544" t="s">
        <v>413</v>
      </c>
      <c r="K1544" t="s">
        <v>57</v>
      </c>
      <c r="L1544">
        <v>9.19</v>
      </c>
      <c r="M1544" s="1">
        <v>46069</v>
      </c>
      <c r="N1544" t="s">
        <v>93</v>
      </c>
      <c r="O1544">
        <v>16</v>
      </c>
      <c r="P1544">
        <v>2</v>
      </c>
      <c r="Q1544">
        <v>1</v>
      </c>
      <c r="R1544">
        <v>2026</v>
      </c>
    </row>
    <row r="1545" spans="1:18">
      <c r="A1545">
        <v>340.09999999999997</v>
      </c>
      <c r="B1545">
        <v>5</v>
      </c>
      <c r="C1545">
        <v>1544</v>
      </c>
      <c r="D1545" s="2">
        <v>0.91502303240740746</v>
      </c>
      <c r="E1545" t="s">
        <v>1021</v>
      </c>
      <c r="F1545" t="s">
        <v>1022</v>
      </c>
      <c r="G1545" t="s">
        <v>984</v>
      </c>
      <c r="H1545" t="s">
        <v>929</v>
      </c>
      <c r="I1545" t="s">
        <v>830</v>
      </c>
      <c r="J1545" t="s">
        <v>490</v>
      </c>
      <c r="K1545" t="s">
        <v>43</v>
      </c>
      <c r="L1545">
        <v>68.02</v>
      </c>
      <c r="M1545" s="1">
        <v>46215</v>
      </c>
      <c r="N1545" t="s">
        <v>28</v>
      </c>
      <c r="O1545">
        <v>12</v>
      </c>
      <c r="P1545">
        <v>7</v>
      </c>
      <c r="Q1545">
        <v>3</v>
      </c>
      <c r="R1545">
        <v>2026</v>
      </c>
    </row>
    <row r="1546" spans="1:18">
      <c r="A1546">
        <v>358.75</v>
      </c>
      <c r="B1546">
        <v>5</v>
      </c>
      <c r="C1546">
        <v>1545</v>
      </c>
      <c r="D1546" s="2">
        <v>0.50383119212962968</v>
      </c>
      <c r="E1546" t="s">
        <v>1563</v>
      </c>
      <c r="F1546" t="s">
        <v>1564</v>
      </c>
      <c r="G1546" t="s">
        <v>1565</v>
      </c>
      <c r="H1546" t="s">
        <v>1566</v>
      </c>
      <c r="I1546" t="s">
        <v>763</v>
      </c>
      <c r="J1546" t="s">
        <v>133</v>
      </c>
      <c r="K1546" t="s">
        <v>97</v>
      </c>
      <c r="L1546">
        <v>71.75</v>
      </c>
      <c r="M1546" s="1">
        <v>45937</v>
      </c>
      <c r="N1546" t="s">
        <v>48</v>
      </c>
      <c r="O1546">
        <v>7</v>
      </c>
      <c r="P1546">
        <v>10</v>
      </c>
      <c r="Q1546">
        <v>4</v>
      </c>
      <c r="R1546">
        <v>2025</v>
      </c>
    </row>
    <row r="1547" spans="1:18">
      <c r="A1547">
        <v>22.92</v>
      </c>
      <c r="B1547">
        <v>1</v>
      </c>
      <c r="C1547">
        <v>1546</v>
      </c>
      <c r="D1547" s="2">
        <v>0.13018968750000001</v>
      </c>
      <c r="E1547" t="s">
        <v>769</v>
      </c>
      <c r="F1547" t="s">
        <v>770</v>
      </c>
      <c r="G1547" t="s">
        <v>771</v>
      </c>
      <c r="H1547" t="s">
        <v>772</v>
      </c>
      <c r="I1547" t="s">
        <v>758</v>
      </c>
      <c r="J1547" t="s">
        <v>167</v>
      </c>
      <c r="K1547" t="s">
        <v>23</v>
      </c>
      <c r="L1547">
        <v>22.92</v>
      </c>
      <c r="M1547" s="1">
        <v>45971</v>
      </c>
      <c r="N1547" t="s">
        <v>93</v>
      </c>
      <c r="O1547">
        <v>10</v>
      </c>
      <c r="P1547">
        <v>11</v>
      </c>
      <c r="Q1547">
        <v>4</v>
      </c>
      <c r="R1547">
        <v>2025</v>
      </c>
    </row>
    <row r="1548" spans="1:18">
      <c r="A1548">
        <v>953.05000000000007</v>
      </c>
      <c r="B1548">
        <v>5</v>
      </c>
      <c r="C1548">
        <v>1547</v>
      </c>
      <c r="D1548" s="2">
        <v>7.9504502314814818E-2</v>
      </c>
      <c r="E1548" t="s">
        <v>1945</v>
      </c>
      <c r="F1548" t="s">
        <v>1946</v>
      </c>
      <c r="G1548" t="s">
        <v>1556</v>
      </c>
      <c r="H1548" t="s">
        <v>1061</v>
      </c>
      <c r="I1548" t="s">
        <v>834</v>
      </c>
      <c r="J1548" t="s">
        <v>156</v>
      </c>
      <c r="K1548" t="s">
        <v>57</v>
      </c>
      <c r="L1548">
        <v>190.61</v>
      </c>
      <c r="M1548" s="1">
        <v>45884</v>
      </c>
      <c r="N1548" t="s">
        <v>79</v>
      </c>
      <c r="O1548">
        <v>15</v>
      </c>
      <c r="P1548">
        <v>8</v>
      </c>
      <c r="Q1548">
        <v>3</v>
      </c>
      <c r="R1548">
        <v>2025</v>
      </c>
    </row>
    <row r="1549" spans="1:18">
      <c r="A1549">
        <v>154.74</v>
      </c>
      <c r="B1549">
        <v>1</v>
      </c>
      <c r="C1549">
        <v>1548</v>
      </c>
      <c r="D1549" s="2">
        <v>0.88730527777777779</v>
      </c>
      <c r="E1549" t="s">
        <v>2558</v>
      </c>
      <c r="F1549" t="s">
        <v>2559</v>
      </c>
      <c r="G1549" t="s">
        <v>2560</v>
      </c>
      <c r="H1549" t="s">
        <v>1302</v>
      </c>
      <c r="I1549" t="s">
        <v>786</v>
      </c>
      <c r="J1549" t="s">
        <v>547</v>
      </c>
      <c r="K1549" t="s">
        <v>97</v>
      </c>
      <c r="L1549">
        <v>154.74</v>
      </c>
      <c r="M1549" s="1">
        <v>46026</v>
      </c>
      <c r="N1549" t="s">
        <v>28</v>
      </c>
      <c r="O1549">
        <v>4</v>
      </c>
      <c r="P1549">
        <v>1</v>
      </c>
      <c r="Q1549">
        <v>1</v>
      </c>
      <c r="R1549">
        <v>2026</v>
      </c>
    </row>
    <row r="1550" spans="1:18">
      <c r="A1550">
        <v>9.51</v>
      </c>
      <c r="B1550">
        <v>1</v>
      </c>
      <c r="C1550">
        <v>1549</v>
      </c>
      <c r="D1550" s="2">
        <v>0.16954166666666667</v>
      </c>
      <c r="E1550" t="s">
        <v>1488</v>
      </c>
      <c r="F1550" t="s">
        <v>1489</v>
      </c>
      <c r="G1550" t="s">
        <v>1490</v>
      </c>
      <c r="H1550" t="s">
        <v>280</v>
      </c>
      <c r="I1550" t="s">
        <v>812</v>
      </c>
      <c r="J1550" t="s">
        <v>727</v>
      </c>
      <c r="K1550" t="s">
        <v>97</v>
      </c>
      <c r="L1550">
        <v>9.51</v>
      </c>
      <c r="M1550" s="1">
        <v>45737</v>
      </c>
      <c r="N1550" t="s">
        <v>79</v>
      </c>
      <c r="O1550">
        <v>21</v>
      </c>
      <c r="P1550">
        <v>3</v>
      </c>
      <c r="Q1550">
        <v>1</v>
      </c>
      <c r="R1550">
        <v>2025</v>
      </c>
    </row>
    <row r="1551" spans="1:18">
      <c r="A1551">
        <v>734.32</v>
      </c>
      <c r="B1551">
        <v>4</v>
      </c>
      <c r="C1551">
        <v>1550</v>
      </c>
      <c r="D1551" s="2">
        <v>0.47569684027777775</v>
      </c>
      <c r="E1551" t="s">
        <v>2664</v>
      </c>
      <c r="F1551" t="s">
        <v>2665</v>
      </c>
      <c r="G1551" t="s">
        <v>2666</v>
      </c>
      <c r="H1551" t="s">
        <v>869</v>
      </c>
      <c r="I1551" t="s">
        <v>807</v>
      </c>
      <c r="J1551" t="s">
        <v>641</v>
      </c>
      <c r="K1551" t="s">
        <v>46</v>
      </c>
      <c r="L1551">
        <v>183.58</v>
      </c>
      <c r="M1551" s="1">
        <v>45708</v>
      </c>
      <c r="N1551" t="s">
        <v>105</v>
      </c>
      <c r="O1551">
        <v>20</v>
      </c>
      <c r="P1551">
        <v>2</v>
      </c>
      <c r="Q1551">
        <v>1</v>
      </c>
      <c r="R1551">
        <v>2025</v>
      </c>
    </row>
    <row r="1552" spans="1:18">
      <c r="A1552">
        <v>968.44</v>
      </c>
      <c r="B1552">
        <v>4</v>
      </c>
      <c r="C1552">
        <v>1551</v>
      </c>
      <c r="D1552" s="2">
        <v>0.73294167824074075</v>
      </c>
      <c r="E1552" t="s">
        <v>1847</v>
      </c>
      <c r="F1552" t="s">
        <v>1848</v>
      </c>
      <c r="G1552" t="s">
        <v>1849</v>
      </c>
      <c r="H1552" t="s">
        <v>825</v>
      </c>
      <c r="I1552" t="s">
        <v>781</v>
      </c>
      <c r="J1552" t="s">
        <v>701</v>
      </c>
      <c r="K1552" t="s">
        <v>51</v>
      </c>
      <c r="L1552">
        <v>242.11</v>
      </c>
      <c r="M1552" s="1">
        <v>45847</v>
      </c>
      <c r="N1552" t="s">
        <v>34</v>
      </c>
      <c r="O1552">
        <v>9</v>
      </c>
      <c r="P1552">
        <v>7</v>
      </c>
      <c r="Q1552">
        <v>3</v>
      </c>
      <c r="R1552">
        <v>2025</v>
      </c>
    </row>
    <row r="1553" spans="1:18">
      <c r="A1553">
        <v>467.82</v>
      </c>
      <c r="B1553">
        <v>2</v>
      </c>
      <c r="C1553">
        <v>1552</v>
      </c>
      <c r="D1553" s="2">
        <v>0.43688285879629629</v>
      </c>
      <c r="E1553" t="s">
        <v>916</v>
      </c>
      <c r="F1553" t="s">
        <v>917</v>
      </c>
      <c r="G1553" t="s">
        <v>918</v>
      </c>
      <c r="H1553" t="s">
        <v>919</v>
      </c>
      <c r="I1553" t="s">
        <v>786</v>
      </c>
      <c r="J1553" t="s">
        <v>272</v>
      </c>
      <c r="K1553" t="s">
        <v>55</v>
      </c>
      <c r="L1553">
        <v>233.91</v>
      </c>
      <c r="M1553" s="1">
        <v>45695</v>
      </c>
      <c r="N1553" t="s">
        <v>79</v>
      </c>
      <c r="O1553">
        <v>7</v>
      </c>
      <c r="P1553">
        <v>2</v>
      </c>
      <c r="Q1553">
        <v>1</v>
      </c>
      <c r="R1553">
        <v>2025</v>
      </c>
    </row>
    <row r="1554" spans="1:18">
      <c r="A1554">
        <v>986.3</v>
      </c>
      <c r="B1554">
        <v>5</v>
      </c>
      <c r="C1554">
        <v>1553</v>
      </c>
      <c r="D1554" s="2">
        <v>0.15107328703703704</v>
      </c>
      <c r="E1554" t="s">
        <v>1131</v>
      </c>
      <c r="F1554" t="s">
        <v>1132</v>
      </c>
      <c r="G1554" t="s">
        <v>1133</v>
      </c>
      <c r="H1554" t="s">
        <v>1107</v>
      </c>
      <c r="I1554" t="s">
        <v>763</v>
      </c>
      <c r="J1554" t="s">
        <v>293</v>
      </c>
      <c r="K1554" t="s">
        <v>100</v>
      </c>
      <c r="L1554">
        <v>197.26</v>
      </c>
      <c r="M1554" s="1">
        <v>45920</v>
      </c>
      <c r="N1554" t="s">
        <v>14</v>
      </c>
      <c r="O1554">
        <v>20</v>
      </c>
      <c r="P1554">
        <v>9</v>
      </c>
      <c r="Q1554">
        <v>3</v>
      </c>
      <c r="R1554">
        <v>2025</v>
      </c>
    </row>
    <row r="1555" spans="1:18">
      <c r="A1555">
        <v>217.36</v>
      </c>
      <c r="B1555">
        <v>1</v>
      </c>
      <c r="C1555">
        <v>1554</v>
      </c>
      <c r="D1555" s="2">
        <v>0.25159491898148151</v>
      </c>
      <c r="E1555" t="s">
        <v>1040</v>
      </c>
      <c r="F1555" t="s">
        <v>1041</v>
      </c>
      <c r="G1555" t="s">
        <v>1042</v>
      </c>
      <c r="H1555" t="s">
        <v>942</v>
      </c>
      <c r="I1555" t="s">
        <v>943</v>
      </c>
      <c r="J1555" t="s">
        <v>103</v>
      </c>
      <c r="K1555" t="s">
        <v>46</v>
      </c>
      <c r="L1555">
        <v>217.36</v>
      </c>
      <c r="M1555" s="1">
        <v>46061</v>
      </c>
      <c r="N1555" t="s">
        <v>28</v>
      </c>
      <c r="O1555">
        <v>8</v>
      </c>
      <c r="P1555">
        <v>2</v>
      </c>
      <c r="Q1555">
        <v>1</v>
      </c>
      <c r="R1555">
        <v>2026</v>
      </c>
    </row>
    <row r="1556" spans="1:18">
      <c r="A1556">
        <v>675.42</v>
      </c>
      <c r="B1556">
        <v>3</v>
      </c>
      <c r="C1556">
        <v>1555</v>
      </c>
      <c r="D1556" s="2">
        <v>2.924429398148148E-2</v>
      </c>
      <c r="E1556" t="s">
        <v>1488</v>
      </c>
      <c r="F1556" t="s">
        <v>1489</v>
      </c>
      <c r="G1556" t="s">
        <v>1490</v>
      </c>
      <c r="H1556" t="s">
        <v>280</v>
      </c>
      <c r="I1556" t="s">
        <v>812</v>
      </c>
      <c r="J1556" t="s">
        <v>281</v>
      </c>
      <c r="K1556" t="s">
        <v>51</v>
      </c>
      <c r="L1556">
        <v>225.14</v>
      </c>
      <c r="M1556" s="1">
        <v>46197</v>
      </c>
      <c r="N1556" t="s">
        <v>34</v>
      </c>
      <c r="O1556">
        <v>24</v>
      </c>
      <c r="P1556">
        <v>6</v>
      </c>
      <c r="Q1556">
        <v>2</v>
      </c>
      <c r="R1556">
        <v>2026</v>
      </c>
    </row>
    <row r="1557" spans="1:18">
      <c r="A1557">
        <v>56.2</v>
      </c>
      <c r="B1557">
        <v>4</v>
      </c>
      <c r="C1557">
        <v>1556</v>
      </c>
      <c r="D1557" s="2">
        <v>0.86801384259259262</v>
      </c>
      <c r="E1557" t="s">
        <v>1732</v>
      </c>
      <c r="F1557" t="s">
        <v>1733</v>
      </c>
      <c r="G1557" t="s">
        <v>1734</v>
      </c>
      <c r="H1557" t="s">
        <v>15</v>
      </c>
      <c r="I1557" t="s">
        <v>834</v>
      </c>
      <c r="J1557" t="s">
        <v>435</v>
      </c>
      <c r="K1557" t="s">
        <v>51</v>
      </c>
      <c r="L1557">
        <v>14.05</v>
      </c>
      <c r="M1557" s="1">
        <v>45843</v>
      </c>
      <c r="N1557" t="s">
        <v>14</v>
      </c>
      <c r="O1557">
        <v>5</v>
      </c>
      <c r="P1557">
        <v>7</v>
      </c>
      <c r="Q1557">
        <v>3</v>
      </c>
      <c r="R1557">
        <v>2025</v>
      </c>
    </row>
    <row r="1558" spans="1:18">
      <c r="A1558">
        <v>183.75</v>
      </c>
      <c r="B1558">
        <v>5</v>
      </c>
      <c r="C1558">
        <v>1557</v>
      </c>
      <c r="D1558" s="2">
        <v>0.73643290509259263</v>
      </c>
      <c r="E1558" t="s">
        <v>1860</v>
      </c>
      <c r="F1558" t="s">
        <v>1861</v>
      </c>
      <c r="G1558" t="s">
        <v>1862</v>
      </c>
      <c r="H1558" t="s">
        <v>879</v>
      </c>
      <c r="I1558" t="s">
        <v>748</v>
      </c>
      <c r="J1558" t="s">
        <v>637</v>
      </c>
      <c r="K1558" t="s">
        <v>100</v>
      </c>
      <c r="L1558">
        <v>36.75</v>
      </c>
      <c r="M1558" s="1">
        <v>45708</v>
      </c>
      <c r="N1558" t="s">
        <v>105</v>
      </c>
      <c r="O1558">
        <v>20</v>
      </c>
      <c r="P1558">
        <v>2</v>
      </c>
      <c r="Q1558">
        <v>1</v>
      </c>
      <c r="R1558">
        <v>2025</v>
      </c>
    </row>
    <row r="1559" spans="1:18">
      <c r="A1559">
        <v>646.48</v>
      </c>
      <c r="B1559">
        <v>4</v>
      </c>
      <c r="C1559">
        <v>1558</v>
      </c>
      <c r="D1559" s="2">
        <v>0.90196746527777782</v>
      </c>
      <c r="E1559" t="s">
        <v>3135</v>
      </c>
      <c r="F1559" t="s">
        <v>3136</v>
      </c>
      <c r="G1559" t="s">
        <v>906</v>
      </c>
      <c r="H1559" t="s">
        <v>29</v>
      </c>
      <c r="I1559" t="s">
        <v>821</v>
      </c>
      <c r="J1559" t="s">
        <v>224</v>
      </c>
      <c r="K1559" t="s">
        <v>39</v>
      </c>
      <c r="L1559">
        <v>161.62</v>
      </c>
      <c r="M1559" s="1">
        <v>46271</v>
      </c>
      <c r="N1559" t="s">
        <v>28</v>
      </c>
      <c r="O1559">
        <v>6</v>
      </c>
      <c r="P1559">
        <v>9</v>
      </c>
      <c r="Q1559">
        <v>3</v>
      </c>
      <c r="R1559">
        <v>2026</v>
      </c>
    </row>
    <row r="1560" spans="1:18">
      <c r="A1560">
        <v>1110.95</v>
      </c>
      <c r="B1560">
        <v>5</v>
      </c>
      <c r="C1560">
        <v>1559</v>
      </c>
      <c r="D1560" s="2">
        <v>0.31768111111111114</v>
      </c>
      <c r="E1560" t="s">
        <v>3199</v>
      </c>
      <c r="F1560" t="s">
        <v>3200</v>
      </c>
      <c r="G1560" t="s">
        <v>1212</v>
      </c>
      <c r="H1560" t="s">
        <v>619</v>
      </c>
      <c r="I1560" t="s">
        <v>758</v>
      </c>
      <c r="J1560" t="s">
        <v>1082</v>
      </c>
      <c r="K1560" t="s">
        <v>69</v>
      </c>
      <c r="L1560">
        <v>222.19</v>
      </c>
      <c r="M1560" s="1">
        <v>45961</v>
      </c>
      <c r="N1560" t="s">
        <v>79</v>
      </c>
      <c r="O1560">
        <v>31</v>
      </c>
      <c r="P1560">
        <v>10</v>
      </c>
      <c r="Q1560">
        <v>4</v>
      </c>
      <c r="R1560">
        <v>2025</v>
      </c>
    </row>
    <row r="1561" spans="1:18">
      <c r="A1561">
        <v>62.91</v>
      </c>
      <c r="B1561">
        <v>3</v>
      </c>
      <c r="C1561">
        <v>1560</v>
      </c>
      <c r="D1561" s="2">
        <v>0.72212870370370374</v>
      </c>
      <c r="E1561" t="s">
        <v>3015</v>
      </c>
      <c r="F1561" t="s">
        <v>3016</v>
      </c>
      <c r="G1561" t="s">
        <v>2319</v>
      </c>
      <c r="H1561" t="s">
        <v>869</v>
      </c>
      <c r="I1561" t="s">
        <v>807</v>
      </c>
      <c r="J1561" t="s">
        <v>472</v>
      </c>
      <c r="K1561" t="s">
        <v>122</v>
      </c>
      <c r="L1561">
        <v>20.97</v>
      </c>
      <c r="M1561" s="1">
        <v>45962</v>
      </c>
      <c r="N1561" t="s">
        <v>14</v>
      </c>
      <c r="O1561">
        <v>1</v>
      </c>
      <c r="P1561">
        <v>11</v>
      </c>
      <c r="Q1561">
        <v>4</v>
      </c>
      <c r="R1561">
        <v>2025</v>
      </c>
    </row>
    <row r="1562" spans="1:18">
      <c r="A1562">
        <v>941.75</v>
      </c>
      <c r="B1562">
        <v>5</v>
      </c>
      <c r="C1562">
        <v>1561</v>
      </c>
      <c r="D1562" s="2">
        <v>0.9956817013888889</v>
      </c>
      <c r="E1562" t="s">
        <v>1210</v>
      </c>
      <c r="F1562" t="s">
        <v>1211</v>
      </c>
      <c r="G1562" t="s">
        <v>1212</v>
      </c>
      <c r="H1562" t="s">
        <v>1213</v>
      </c>
      <c r="I1562" t="s">
        <v>839</v>
      </c>
      <c r="J1562" t="s">
        <v>699</v>
      </c>
      <c r="K1562" t="s">
        <v>100</v>
      </c>
      <c r="L1562">
        <v>188.35</v>
      </c>
      <c r="M1562" s="1">
        <v>46156</v>
      </c>
      <c r="N1562" t="s">
        <v>105</v>
      </c>
      <c r="O1562">
        <v>14</v>
      </c>
      <c r="P1562">
        <v>5</v>
      </c>
      <c r="Q1562">
        <v>2</v>
      </c>
      <c r="R1562">
        <v>2026</v>
      </c>
    </row>
    <row r="1563" spans="1:18">
      <c r="A1563">
        <v>432.02</v>
      </c>
      <c r="B1563">
        <v>2</v>
      </c>
      <c r="C1563">
        <v>1562</v>
      </c>
      <c r="D1563" s="2">
        <v>0.47875158564814813</v>
      </c>
      <c r="E1563" t="s">
        <v>2867</v>
      </c>
      <c r="F1563" t="s">
        <v>2868</v>
      </c>
      <c r="G1563" t="s">
        <v>906</v>
      </c>
      <c r="H1563" t="s">
        <v>1525</v>
      </c>
      <c r="I1563" t="s">
        <v>763</v>
      </c>
      <c r="J1563" t="s">
        <v>336</v>
      </c>
      <c r="K1563" t="s">
        <v>82</v>
      </c>
      <c r="L1563">
        <v>216.01</v>
      </c>
      <c r="M1563" s="1">
        <v>45656</v>
      </c>
      <c r="N1563" t="s">
        <v>93</v>
      </c>
      <c r="O1563">
        <v>30</v>
      </c>
      <c r="P1563">
        <v>12</v>
      </c>
      <c r="Q1563">
        <v>4</v>
      </c>
      <c r="R1563">
        <v>2024</v>
      </c>
    </row>
    <row r="1564" spans="1:18">
      <c r="A1564">
        <v>368.67</v>
      </c>
      <c r="B1564">
        <v>3</v>
      </c>
      <c r="C1564">
        <v>1563</v>
      </c>
      <c r="D1564" s="2">
        <v>0.76793616898148143</v>
      </c>
      <c r="E1564" t="s">
        <v>859</v>
      </c>
      <c r="F1564" t="s">
        <v>860</v>
      </c>
      <c r="G1564" t="s">
        <v>861</v>
      </c>
      <c r="H1564" t="s">
        <v>862</v>
      </c>
      <c r="I1564" t="s">
        <v>758</v>
      </c>
      <c r="J1564" t="s">
        <v>665</v>
      </c>
      <c r="K1564" t="s">
        <v>17</v>
      </c>
      <c r="L1564">
        <v>122.89</v>
      </c>
      <c r="M1564" s="1">
        <v>45668</v>
      </c>
      <c r="N1564" t="s">
        <v>14</v>
      </c>
      <c r="O1564">
        <v>11</v>
      </c>
      <c r="P1564">
        <v>1</v>
      </c>
      <c r="Q1564">
        <v>1</v>
      </c>
      <c r="R1564">
        <v>2025</v>
      </c>
    </row>
    <row r="1565" spans="1:18">
      <c r="A1565">
        <v>488.32</v>
      </c>
      <c r="B1565">
        <v>4</v>
      </c>
      <c r="C1565">
        <v>1564</v>
      </c>
      <c r="D1565" s="2">
        <v>0.89088950231481479</v>
      </c>
      <c r="E1565" t="s">
        <v>2255</v>
      </c>
      <c r="F1565" t="s">
        <v>2177</v>
      </c>
      <c r="G1565" t="s">
        <v>766</v>
      </c>
      <c r="H1565" t="s">
        <v>49</v>
      </c>
      <c r="I1565" t="s">
        <v>892</v>
      </c>
      <c r="J1565" t="s">
        <v>646</v>
      </c>
      <c r="K1565" t="s">
        <v>21</v>
      </c>
      <c r="L1565">
        <v>122.08</v>
      </c>
      <c r="M1565" s="1">
        <v>46133</v>
      </c>
      <c r="N1565" t="s">
        <v>48</v>
      </c>
      <c r="O1565">
        <v>21</v>
      </c>
      <c r="P1565">
        <v>4</v>
      </c>
      <c r="Q1565">
        <v>2</v>
      </c>
      <c r="R1565">
        <v>2026</v>
      </c>
    </row>
    <row r="1566" spans="1:18">
      <c r="A1566">
        <v>3.09</v>
      </c>
      <c r="B1566">
        <v>3</v>
      </c>
      <c r="C1566">
        <v>1565</v>
      </c>
      <c r="D1566" s="2">
        <v>0.42314068287037038</v>
      </c>
      <c r="E1566" t="s">
        <v>1954</v>
      </c>
      <c r="F1566" t="s">
        <v>1955</v>
      </c>
      <c r="G1566" t="s">
        <v>1679</v>
      </c>
      <c r="H1566" t="s">
        <v>1257</v>
      </c>
      <c r="I1566" t="s">
        <v>839</v>
      </c>
      <c r="J1566" t="s">
        <v>711</v>
      </c>
      <c r="K1566" t="s">
        <v>122</v>
      </c>
      <c r="L1566">
        <v>1.03</v>
      </c>
      <c r="M1566" s="1">
        <v>46236</v>
      </c>
      <c r="N1566" t="s">
        <v>28</v>
      </c>
      <c r="O1566">
        <v>2</v>
      </c>
      <c r="P1566">
        <v>8</v>
      </c>
      <c r="Q1566">
        <v>3</v>
      </c>
      <c r="R1566">
        <v>2026</v>
      </c>
    </row>
    <row r="1567" spans="1:18">
      <c r="A1567">
        <v>447.44</v>
      </c>
      <c r="B1567">
        <v>4</v>
      </c>
      <c r="C1567">
        <v>1566</v>
      </c>
      <c r="D1567" s="2">
        <v>0.51675344907407406</v>
      </c>
      <c r="E1567" t="s">
        <v>2251</v>
      </c>
      <c r="F1567" t="s">
        <v>2252</v>
      </c>
      <c r="G1567" t="s">
        <v>2253</v>
      </c>
      <c r="H1567" t="s">
        <v>1882</v>
      </c>
      <c r="I1567" t="s">
        <v>795</v>
      </c>
      <c r="J1567" t="s">
        <v>432</v>
      </c>
      <c r="K1567" t="s">
        <v>46</v>
      </c>
      <c r="L1567">
        <v>111.86</v>
      </c>
      <c r="M1567" s="1">
        <v>45618</v>
      </c>
      <c r="N1567" t="s">
        <v>79</v>
      </c>
      <c r="O1567">
        <v>22</v>
      </c>
      <c r="P1567">
        <v>11</v>
      </c>
      <c r="Q1567">
        <v>4</v>
      </c>
      <c r="R1567">
        <v>2024</v>
      </c>
    </row>
    <row r="1568" spans="1:18">
      <c r="A1568">
        <v>5.16</v>
      </c>
      <c r="B1568">
        <v>4</v>
      </c>
      <c r="C1568">
        <v>1567</v>
      </c>
      <c r="D1568" s="2">
        <v>5.1884699074074073E-2</v>
      </c>
      <c r="E1568" t="s">
        <v>3078</v>
      </c>
      <c r="F1568" t="s">
        <v>3079</v>
      </c>
      <c r="G1568" t="s">
        <v>798</v>
      </c>
      <c r="H1568" t="s">
        <v>196</v>
      </c>
      <c r="I1568" t="s">
        <v>830</v>
      </c>
      <c r="J1568" t="s">
        <v>563</v>
      </c>
      <c r="K1568" t="s">
        <v>46</v>
      </c>
      <c r="L1568">
        <v>1.29</v>
      </c>
      <c r="M1568" s="1">
        <v>46148</v>
      </c>
      <c r="N1568" t="s">
        <v>34</v>
      </c>
      <c r="O1568">
        <v>6</v>
      </c>
      <c r="P1568">
        <v>5</v>
      </c>
      <c r="Q1568">
        <v>2</v>
      </c>
      <c r="R1568">
        <v>2026</v>
      </c>
    </row>
    <row r="1569" spans="1:18">
      <c r="A1569">
        <v>506.28</v>
      </c>
      <c r="B1569">
        <v>4</v>
      </c>
      <c r="C1569">
        <v>1568</v>
      </c>
      <c r="D1569" s="2">
        <v>0.35538836805555557</v>
      </c>
      <c r="E1569" t="s">
        <v>1969</v>
      </c>
      <c r="F1569" t="s">
        <v>1970</v>
      </c>
      <c r="G1569" t="s">
        <v>1143</v>
      </c>
      <c r="H1569" t="s">
        <v>1841</v>
      </c>
      <c r="I1569" t="s">
        <v>753</v>
      </c>
      <c r="J1569" t="s">
        <v>367</v>
      </c>
      <c r="K1569" t="s">
        <v>31</v>
      </c>
      <c r="L1569">
        <v>126.57</v>
      </c>
      <c r="M1569" s="1">
        <v>46204</v>
      </c>
      <c r="N1569" t="s">
        <v>34</v>
      </c>
      <c r="O1569">
        <v>1</v>
      </c>
      <c r="P1569">
        <v>7</v>
      </c>
      <c r="Q1569">
        <v>3</v>
      </c>
      <c r="R1569">
        <v>2026</v>
      </c>
    </row>
    <row r="1570" spans="1:18">
      <c r="A1570">
        <v>519.88</v>
      </c>
      <c r="B1570">
        <v>4</v>
      </c>
      <c r="C1570">
        <v>1569</v>
      </c>
      <c r="D1570" s="2">
        <v>0.64466435185185189</v>
      </c>
      <c r="E1570" t="s">
        <v>2814</v>
      </c>
      <c r="F1570" t="s">
        <v>2361</v>
      </c>
      <c r="G1570" t="s">
        <v>1321</v>
      </c>
      <c r="H1570" t="s">
        <v>858</v>
      </c>
      <c r="I1570" t="s">
        <v>753</v>
      </c>
      <c r="J1570" t="s">
        <v>263</v>
      </c>
      <c r="K1570" t="s">
        <v>60</v>
      </c>
      <c r="L1570">
        <v>129.97</v>
      </c>
      <c r="M1570" s="1">
        <v>45704</v>
      </c>
      <c r="N1570" t="s">
        <v>28</v>
      </c>
      <c r="O1570">
        <v>16</v>
      </c>
      <c r="P1570">
        <v>2</v>
      </c>
      <c r="Q1570">
        <v>1</v>
      </c>
      <c r="R1570">
        <v>2025</v>
      </c>
    </row>
    <row r="1571" spans="1:18">
      <c r="A1571">
        <v>245.78</v>
      </c>
      <c r="B1571">
        <v>2</v>
      </c>
      <c r="C1571">
        <v>1570</v>
      </c>
      <c r="D1571" s="2">
        <v>0.2208108912037037</v>
      </c>
      <c r="E1571" t="s">
        <v>3387</v>
      </c>
      <c r="F1571" t="s">
        <v>3388</v>
      </c>
      <c r="G1571" t="s">
        <v>1597</v>
      </c>
      <c r="H1571" t="s">
        <v>151</v>
      </c>
      <c r="I1571" t="s">
        <v>1003</v>
      </c>
      <c r="J1571" t="s">
        <v>665</v>
      </c>
      <c r="K1571" t="s">
        <v>17</v>
      </c>
      <c r="L1571">
        <v>122.89</v>
      </c>
      <c r="M1571" s="1">
        <v>46113</v>
      </c>
      <c r="N1571" t="s">
        <v>34</v>
      </c>
      <c r="O1571">
        <v>1</v>
      </c>
      <c r="P1571">
        <v>4</v>
      </c>
      <c r="Q1571">
        <v>2</v>
      </c>
      <c r="R1571">
        <v>2026</v>
      </c>
    </row>
    <row r="1572" spans="1:18">
      <c r="A1572">
        <v>200.71</v>
      </c>
      <c r="B1572">
        <v>1</v>
      </c>
      <c r="C1572">
        <v>1571</v>
      </c>
      <c r="D1572" s="2">
        <v>0.39911888888888891</v>
      </c>
      <c r="E1572" t="s">
        <v>1614</v>
      </c>
      <c r="F1572" t="s">
        <v>1615</v>
      </c>
      <c r="G1572" t="s">
        <v>1616</v>
      </c>
      <c r="H1572" t="s">
        <v>29</v>
      </c>
      <c r="I1572" t="s">
        <v>763</v>
      </c>
      <c r="J1572" t="s">
        <v>298</v>
      </c>
      <c r="K1572" t="s">
        <v>31</v>
      </c>
      <c r="L1572">
        <v>200.71</v>
      </c>
      <c r="M1572" s="1">
        <v>45825</v>
      </c>
      <c r="N1572" t="s">
        <v>48</v>
      </c>
      <c r="O1572">
        <v>17</v>
      </c>
      <c r="P1572">
        <v>6</v>
      </c>
      <c r="Q1572">
        <v>2</v>
      </c>
      <c r="R1572">
        <v>2025</v>
      </c>
    </row>
    <row r="1573" spans="1:18">
      <c r="A1573">
        <v>932.32</v>
      </c>
      <c r="B1573">
        <v>4</v>
      </c>
      <c r="C1573">
        <v>1572</v>
      </c>
      <c r="D1573" s="2">
        <v>0.41479106481481481</v>
      </c>
      <c r="E1573" t="s">
        <v>1900</v>
      </c>
      <c r="F1573" t="s">
        <v>1901</v>
      </c>
      <c r="G1573" t="s">
        <v>1477</v>
      </c>
      <c r="H1573" t="s">
        <v>961</v>
      </c>
      <c r="I1573" t="s">
        <v>753</v>
      </c>
      <c r="J1573" t="s">
        <v>213</v>
      </c>
      <c r="K1573" t="s">
        <v>69</v>
      </c>
      <c r="L1573">
        <v>233.08</v>
      </c>
      <c r="M1573" s="1">
        <v>45704</v>
      </c>
      <c r="N1573" t="s">
        <v>28</v>
      </c>
      <c r="O1573">
        <v>16</v>
      </c>
      <c r="P1573">
        <v>2</v>
      </c>
      <c r="Q1573">
        <v>1</v>
      </c>
      <c r="R1573">
        <v>2025</v>
      </c>
    </row>
    <row r="1574" spans="1:18">
      <c r="A1574">
        <v>183.58</v>
      </c>
      <c r="B1574">
        <v>1</v>
      </c>
      <c r="C1574">
        <v>1573</v>
      </c>
      <c r="D1574" s="2">
        <v>0.8047236342592593</v>
      </c>
      <c r="E1574" t="s">
        <v>1580</v>
      </c>
      <c r="F1574" t="s">
        <v>1581</v>
      </c>
      <c r="G1574" t="s">
        <v>1582</v>
      </c>
      <c r="H1574" t="s">
        <v>862</v>
      </c>
      <c r="I1574" t="s">
        <v>908</v>
      </c>
      <c r="J1574" t="s">
        <v>641</v>
      </c>
      <c r="K1574" t="s">
        <v>46</v>
      </c>
      <c r="L1574">
        <v>183.58</v>
      </c>
      <c r="M1574" s="1">
        <v>45978</v>
      </c>
      <c r="N1574" t="s">
        <v>93</v>
      </c>
      <c r="O1574">
        <v>17</v>
      </c>
      <c r="P1574">
        <v>11</v>
      </c>
      <c r="Q1574">
        <v>4</v>
      </c>
      <c r="R1574">
        <v>2025</v>
      </c>
    </row>
    <row r="1575" spans="1:18">
      <c r="A1575">
        <v>1128.6499999999999</v>
      </c>
      <c r="B1575">
        <v>5</v>
      </c>
      <c r="C1575">
        <v>1574</v>
      </c>
      <c r="D1575" s="2">
        <v>0.11282380787037037</v>
      </c>
      <c r="E1575" t="s">
        <v>3127</v>
      </c>
      <c r="F1575" t="s">
        <v>3128</v>
      </c>
      <c r="G1575" t="s">
        <v>1159</v>
      </c>
      <c r="H1575" t="s">
        <v>1092</v>
      </c>
      <c r="I1575" t="s">
        <v>763</v>
      </c>
      <c r="J1575" t="s">
        <v>444</v>
      </c>
      <c r="K1575" t="s">
        <v>37</v>
      </c>
      <c r="L1575">
        <v>225.73</v>
      </c>
      <c r="M1575" s="1">
        <v>46038</v>
      </c>
      <c r="N1575" t="s">
        <v>79</v>
      </c>
      <c r="O1575">
        <v>16</v>
      </c>
      <c r="P1575">
        <v>1</v>
      </c>
      <c r="Q1575">
        <v>1</v>
      </c>
      <c r="R1575">
        <v>2026</v>
      </c>
    </row>
    <row r="1576" spans="1:18">
      <c r="A1576">
        <v>347.12</v>
      </c>
      <c r="B1576">
        <v>2</v>
      </c>
      <c r="C1576">
        <v>1575</v>
      </c>
      <c r="D1576" s="2">
        <v>0.50356777777777773</v>
      </c>
      <c r="E1576" t="s">
        <v>1153</v>
      </c>
      <c r="F1576" t="s">
        <v>1154</v>
      </c>
      <c r="G1576" t="s">
        <v>1155</v>
      </c>
      <c r="H1576" t="s">
        <v>1156</v>
      </c>
      <c r="I1576" t="s">
        <v>821</v>
      </c>
      <c r="J1576" t="s">
        <v>706</v>
      </c>
      <c r="K1576" t="s">
        <v>39</v>
      </c>
      <c r="L1576">
        <v>173.56</v>
      </c>
      <c r="M1576" s="1">
        <v>45650</v>
      </c>
      <c r="N1576" t="s">
        <v>48</v>
      </c>
      <c r="O1576">
        <v>24</v>
      </c>
      <c r="P1576">
        <v>12</v>
      </c>
      <c r="Q1576">
        <v>4</v>
      </c>
      <c r="R1576">
        <v>2024</v>
      </c>
    </row>
    <row r="1577" spans="1:18">
      <c r="A1577">
        <v>24.83</v>
      </c>
      <c r="B1577">
        <v>1</v>
      </c>
      <c r="C1577">
        <v>1576</v>
      </c>
      <c r="D1577" s="2">
        <v>0.55555283564814817</v>
      </c>
      <c r="E1577" t="s">
        <v>840</v>
      </c>
      <c r="F1577" t="s">
        <v>841</v>
      </c>
      <c r="G1577" t="s">
        <v>842</v>
      </c>
      <c r="H1577" t="s">
        <v>843</v>
      </c>
      <c r="I1577" t="s">
        <v>753</v>
      </c>
      <c r="J1577" t="s">
        <v>338</v>
      </c>
      <c r="K1577" t="s">
        <v>82</v>
      </c>
      <c r="L1577">
        <v>24.83</v>
      </c>
      <c r="M1577" s="1">
        <v>46064</v>
      </c>
      <c r="N1577" t="s">
        <v>34</v>
      </c>
      <c r="O1577">
        <v>11</v>
      </c>
      <c r="P1577">
        <v>2</v>
      </c>
      <c r="Q1577">
        <v>1</v>
      </c>
      <c r="R1577">
        <v>2026</v>
      </c>
    </row>
    <row r="1578" spans="1:18">
      <c r="A1578">
        <v>206.84</v>
      </c>
      <c r="B1578">
        <v>4</v>
      </c>
      <c r="C1578">
        <v>1577</v>
      </c>
      <c r="D1578" s="2">
        <v>0.65150821759259259</v>
      </c>
      <c r="E1578" t="s">
        <v>2766</v>
      </c>
      <c r="F1578" t="s">
        <v>2767</v>
      </c>
      <c r="G1578" t="s">
        <v>1709</v>
      </c>
      <c r="H1578" t="s">
        <v>608</v>
      </c>
      <c r="I1578" t="s">
        <v>966</v>
      </c>
      <c r="J1578" t="s">
        <v>26</v>
      </c>
      <c r="K1578" t="s">
        <v>27</v>
      </c>
      <c r="L1578">
        <v>51.71</v>
      </c>
      <c r="M1578" s="1">
        <v>45941</v>
      </c>
      <c r="N1578" t="s">
        <v>14</v>
      </c>
      <c r="O1578">
        <v>11</v>
      </c>
      <c r="P1578">
        <v>10</v>
      </c>
      <c r="Q1578">
        <v>4</v>
      </c>
      <c r="R1578">
        <v>2025</v>
      </c>
    </row>
    <row r="1579" spans="1:18">
      <c r="A1579">
        <v>655.84</v>
      </c>
      <c r="B1579">
        <v>4</v>
      </c>
      <c r="C1579">
        <v>1578</v>
      </c>
      <c r="D1579" s="2">
        <v>0.51705959490740738</v>
      </c>
      <c r="E1579" t="s">
        <v>1775</v>
      </c>
      <c r="F1579" t="s">
        <v>1776</v>
      </c>
      <c r="G1579" t="s">
        <v>1777</v>
      </c>
      <c r="H1579" t="s">
        <v>1525</v>
      </c>
      <c r="I1579" t="s">
        <v>763</v>
      </c>
      <c r="J1579" t="s">
        <v>731</v>
      </c>
      <c r="K1579" t="s">
        <v>21</v>
      </c>
      <c r="L1579">
        <v>163.96</v>
      </c>
      <c r="M1579" s="1">
        <v>45792</v>
      </c>
      <c r="N1579" t="s">
        <v>105</v>
      </c>
      <c r="O1579">
        <v>15</v>
      </c>
      <c r="P1579">
        <v>5</v>
      </c>
      <c r="Q1579">
        <v>2</v>
      </c>
      <c r="R1579">
        <v>2025</v>
      </c>
    </row>
    <row r="1580" spans="1:18">
      <c r="A1580">
        <v>498.78</v>
      </c>
      <c r="B1580">
        <v>3</v>
      </c>
      <c r="C1580">
        <v>1579</v>
      </c>
      <c r="D1580" s="2">
        <v>0.95541666666666669</v>
      </c>
      <c r="E1580" t="s">
        <v>3475</v>
      </c>
      <c r="F1580" t="s">
        <v>3476</v>
      </c>
      <c r="G1580" t="s">
        <v>1633</v>
      </c>
      <c r="H1580" t="s">
        <v>136</v>
      </c>
      <c r="I1580" t="s">
        <v>776</v>
      </c>
      <c r="J1580" t="s">
        <v>72</v>
      </c>
      <c r="K1580" t="s">
        <v>37</v>
      </c>
      <c r="L1580">
        <v>166.26</v>
      </c>
      <c r="M1580" s="1">
        <v>46083</v>
      </c>
      <c r="N1580" t="s">
        <v>93</v>
      </c>
      <c r="O1580">
        <v>2</v>
      </c>
      <c r="P1580">
        <v>3</v>
      </c>
      <c r="Q1580">
        <v>1</v>
      </c>
      <c r="R1580">
        <v>2026</v>
      </c>
    </row>
    <row r="1581" spans="1:18">
      <c r="A1581">
        <v>195.78000000000003</v>
      </c>
      <c r="B1581">
        <v>3</v>
      </c>
      <c r="C1581">
        <v>1580</v>
      </c>
      <c r="D1581" s="2">
        <v>0.41206229166666669</v>
      </c>
      <c r="E1581" t="s">
        <v>900</v>
      </c>
      <c r="F1581" t="s">
        <v>901</v>
      </c>
      <c r="G1581" t="s">
        <v>902</v>
      </c>
      <c r="H1581" t="s">
        <v>903</v>
      </c>
      <c r="I1581" t="s">
        <v>786</v>
      </c>
      <c r="J1581" t="s">
        <v>78</v>
      </c>
      <c r="K1581" t="s">
        <v>51</v>
      </c>
      <c r="L1581">
        <v>65.260000000000005</v>
      </c>
      <c r="M1581" s="1">
        <v>45587</v>
      </c>
      <c r="N1581" t="s">
        <v>48</v>
      </c>
      <c r="O1581">
        <v>22</v>
      </c>
      <c r="P1581">
        <v>10</v>
      </c>
      <c r="Q1581">
        <v>4</v>
      </c>
      <c r="R1581">
        <v>2024</v>
      </c>
    </row>
    <row r="1582" spans="1:18">
      <c r="A1582">
        <v>50.05</v>
      </c>
      <c r="B1582">
        <v>5</v>
      </c>
      <c r="C1582">
        <v>1581</v>
      </c>
      <c r="D1582" s="2">
        <v>0.72487418981481477</v>
      </c>
      <c r="E1582" t="s">
        <v>2008</v>
      </c>
      <c r="F1582" t="s">
        <v>2009</v>
      </c>
      <c r="G1582" t="s">
        <v>2010</v>
      </c>
      <c r="H1582" t="s">
        <v>794</v>
      </c>
      <c r="I1582" t="s">
        <v>821</v>
      </c>
      <c r="J1582" t="s">
        <v>163</v>
      </c>
      <c r="K1582" t="s">
        <v>97</v>
      </c>
      <c r="L1582">
        <v>10.01</v>
      </c>
      <c r="M1582" s="1">
        <v>45802</v>
      </c>
      <c r="N1582" t="s">
        <v>28</v>
      </c>
      <c r="O1582">
        <v>25</v>
      </c>
      <c r="P1582">
        <v>5</v>
      </c>
      <c r="Q1582">
        <v>2</v>
      </c>
      <c r="R1582">
        <v>2025</v>
      </c>
    </row>
    <row r="1583" spans="1:18">
      <c r="A1583">
        <v>743.68</v>
      </c>
      <c r="B1583">
        <v>4</v>
      </c>
      <c r="C1583">
        <v>1582</v>
      </c>
      <c r="D1583" s="2">
        <v>0.32626891203703706</v>
      </c>
      <c r="E1583" t="s">
        <v>2025</v>
      </c>
      <c r="F1583" t="s">
        <v>2026</v>
      </c>
      <c r="G1583" t="s">
        <v>842</v>
      </c>
      <c r="H1583" t="s">
        <v>49</v>
      </c>
      <c r="I1583" t="s">
        <v>807</v>
      </c>
      <c r="J1583" t="s">
        <v>683</v>
      </c>
      <c r="K1583" t="s">
        <v>55</v>
      </c>
      <c r="L1583">
        <v>185.92</v>
      </c>
      <c r="M1583" s="1">
        <v>45828</v>
      </c>
      <c r="N1583" t="s">
        <v>79</v>
      </c>
      <c r="O1583">
        <v>20</v>
      </c>
      <c r="P1583">
        <v>6</v>
      </c>
      <c r="Q1583">
        <v>2</v>
      </c>
      <c r="R1583">
        <v>2025</v>
      </c>
    </row>
    <row r="1584" spans="1:18">
      <c r="A1584">
        <v>191.69</v>
      </c>
      <c r="B1584">
        <v>1</v>
      </c>
      <c r="C1584">
        <v>1583</v>
      </c>
      <c r="D1584" s="2">
        <v>6.5651458333333329E-2</v>
      </c>
      <c r="E1584" t="s">
        <v>3265</v>
      </c>
      <c r="F1584" t="s">
        <v>3266</v>
      </c>
      <c r="G1584" t="s">
        <v>1324</v>
      </c>
      <c r="H1584" t="s">
        <v>980</v>
      </c>
      <c r="I1584" t="s">
        <v>981</v>
      </c>
      <c r="J1584" t="s">
        <v>186</v>
      </c>
      <c r="K1584" t="s">
        <v>37</v>
      </c>
      <c r="L1584">
        <v>191.69</v>
      </c>
      <c r="M1584" s="1">
        <v>45835</v>
      </c>
      <c r="N1584" t="s">
        <v>79</v>
      </c>
      <c r="O1584">
        <v>27</v>
      </c>
      <c r="P1584">
        <v>6</v>
      </c>
      <c r="Q1584">
        <v>2</v>
      </c>
      <c r="R1584">
        <v>2025</v>
      </c>
    </row>
    <row r="1585" spans="1:18">
      <c r="A1585">
        <v>111.51</v>
      </c>
      <c r="B1585">
        <v>1</v>
      </c>
      <c r="C1585">
        <v>1584</v>
      </c>
      <c r="D1585" s="2">
        <v>0.49794885416666668</v>
      </c>
      <c r="E1585" t="s">
        <v>1636</v>
      </c>
      <c r="F1585" t="s">
        <v>1637</v>
      </c>
      <c r="G1585" t="s">
        <v>1260</v>
      </c>
      <c r="H1585" t="s">
        <v>1189</v>
      </c>
      <c r="I1585" t="s">
        <v>892</v>
      </c>
      <c r="J1585" t="s">
        <v>416</v>
      </c>
      <c r="K1585" t="s">
        <v>57</v>
      </c>
      <c r="L1585">
        <v>111.51</v>
      </c>
      <c r="M1585" s="1">
        <v>46217</v>
      </c>
      <c r="N1585" t="s">
        <v>48</v>
      </c>
      <c r="O1585">
        <v>14</v>
      </c>
      <c r="P1585">
        <v>7</v>
      </c>
      <c r="Q1585">
        <v>3</v>
      </c>
      <c r="R1585">
        <v>2026</v>
      </c>
    </row>
    <row r="1586" spans="1:18">
      <c r="A1586">
        <v>518.66999999999996</v>
      </c>
      <c r="B1586">
        <v>3</v>
      </c>
      <c r="C1586">
        <v>1585</v>
      </c>
      <c r="D1586" s="2">
        <v>0.60553791666666668</v>
      </c>
      <c r="E1586" t="s">
        <v>2561</v>
      </c>
      <c r="F1586" t="s">
        <v>2562</v>
      </c>
      <c r="G1586" t="s">
        <v>2563</v>
      </c>
      <c r="H1586" t="s">
        <v>691</v>
      </c>
      <c r="I1586" t="s">
        <v>776</v>
      </c>
      <c r="J1586" t="s">
        <v>2166</v>
      </c>
      <c r="K1586" t="s">
        <v>21</v>
      </c>
      <c r="L1586">
        <v>172.89</v>
      </c>
      <c r="M1586" s="1">
        <v>45738</v>
      </c>
      <c r="N1586" t="s">
        <v>14</v>
      </c>
      <c r="O1586">
        <v>22</v>
      </c>
      <c r="P1586">
        <v>3</v>
      </c>
      <c r="Q1586">
        <v>1</v>
      </c>
      <c r="R1586">
        <v>2025</v>
      </c>
    </row>
    <row r="1587" spans="1:18">
      <c r="A1587">
        <v>464.64</v>
      </c>
      <c r="B1587">
        <v>3</v>
      </c>
      <c r="C1587">
        <v>1586</v>
      </c>
      <c r="D1587" s="2">
        <v>0.67740401620370372</v>
      </c>
      <c r="E1587" t="s">
        <v>2606</v>
      </c>
      <c r="F1587" t="s">
        <v>2607</v>
      </c>
      <c r="G1587" t="s">
        <v>2078</v>
      </c>
      <c r="H1587" t="s">
        <v>1032</v>
      </c>
      <c r="I1587" t="s">
        <v>839</v>
      </c>
      <c r="J1587" t="s">
        <v>704</v>
      </c>
      <c r="K1587" t="s">
        <v>51</v>
      </c>
      <c r="L1587">
        <v>154.88</v>
      </c>
      <c r="M1587" s="1">
        <v>45773</v>
      </c>
      <c r="N1587" t="s">
        <v>14</v>
      </c>
      <c r="O1587">
        <v>26</v>
      </c>
      <c r="P1587">
        <v>4</v>
      </c>
      <c r="Q1587">
        <v>2</v>
      </c>
      <c r="R1587">
        <v>2025</v>
      </c>
    </row>
    <row r="1588" spans="1:18">
      <c r="A1588">
        <v>620.20000000000005</v>
      </c>
      <c r="B1588">
        <v>5</v>
      </c>
      <c r="C1588">
        <v>1587</v>
      </c>
      <c r="D1588" s="2">
        <v>0.47156315972222224</v>
      </c>
      <c r="E1588" t="s">
        <v>1822</v>
      </c>
      <c r="F1588" t="s">
        <v>1823</v>
      </c>
      <c r="G1588" t="s">
        <v>1824</v>
      </c>
      <c r="H1588" t="s">
        <v>1540</v>
      </c>
      <c r="I1588" t="s">
        <v>768</v>
      </c>
      <c r="J1588" t="s">
        <v>543</v>
      </c>
      <c r="K1588" t="s">
        <v>37</v>
      </c>
      <c r="L1588">
        <v>124.04</v>
      </c>
      <c r="M1588" s="1">
        <v>46168</v>
      </c>
      <c r="N1588" t="s">
        <v>48</v>
      </c>
      <c r="O1588">
        <v>26</v>
      </c>
      <c r="P1588">
        <v>5</v>
      </c>
      <c r="Q1588">
        <v>2</v>
      </c>
      <c r="R1588">
        <v>2026</v>
      </c>
    </row>
    <row r="1589" spans="1:18">
      <c r="A1589">
        <v>1234.0999999999999</v>
      </c>
      <c r="B1589">
        <v>5</v>
      </c>
      <c r="C1589">
        <v>1588</v>
      </c>
      <c r="D1589" s="2">
        <v>0.40002335648148146</v>
      </c>
      <c r="E1589" t="s">
        <v>1281</v>
      </c>
      <c r="F1589" t="s">
        <v>1282</v>
      </c>
      <c r="G1589" t="s">
        <v>1283</v>
      </c>
      <c r="H1589" t="s">
        <v>691</v>
      </c>
      <c r="I1589" t="s">
        <v>776</v>
      </c>
      <c r="J1589" t="s">
        <v>369</v>
      </c>
      <c r="K1589" t="s">
        <v>43</v>
      </c>
      <c r="L1589">
        <v>246.82</v>
      </c>
      <c r="M1589" s="1">
        <v>46052</v>
      </c>
      <c r="N1589" t="s">
        <v>79</v>
      </c>
      <c r="O1589">
        <v>30</v>
      </c>
      <c r="P1589">
        <v>1</v>
      </c>
      <c r="Q1589">
        <v>1</v>
      </c>
      <c r="R1589">
        <v>2026</v>
      </c>
    </row>
    <row r="1590" spans="1:18">
      <c r="A1590">
        <v>112.04</v>
      </c>
      <c r="B1590">
        <v>4</v>
      </c>
      <c r="C1590">
        <v>1589</v>
      </c>
      <c r="D1590" s="2">
        <v>0.4918957986111111</v>
      </c>
      <c r="E1590" t="s">
        <v>1180</v>
      </c>
      <c r="F1590" t="s">
        <v>1181</v>
      </c>
      <c r="G1590" t="s">
        <v>1182</v>
      </c>
      <c r="H1590" t="s">
        <v>953</v>
      </c>
      <c r="I1590" t="s">
        <v>954</v>
      </c>
      <c r="J1590" t="s">
        <v>463</v>
      </c>
      <c r="K1590" t="s">
        <v>43</v>
      </c>
      <c r="L1590">
        <v>28.01</v>
      </c>
      <c r="M1590" s="1">
        <v>45666</v>
      </c>
      <c r="N1590" t="s">
        <v>105</v>
      </c>
      <c r="O1590">
        <v>9</v>
      </c>
      <c r="P1590">
        <v>1</v>
      </c>
      <c r="Q1590">
        <v>1</v>
      </c>
      <c r="R1590">
        <v>2025</v>
      </c>
    </row>
    <row r="1591" spans="1:18">
      <c r="A1591">
        <v>444.84000000000003</v>
      </c>
      <c r="B1591">
        <v>3</v>
      </c>
      <c r="C1591">
        <v>1590</v>
      </c>
      <c r="D1591" s="2">
        <v>0.14802442129629628</v>
      </c>
      <c r="E1591" t="s">
        <v>2276</v>
      </c>
      <c r="F1591" t="s">
        <v>2277</v>
      </c>
      <c r="G1591" t="s">
        <v>2004</v>
      </c>
      <c r="H1591" t="s">
        <v>322</v>
      </c>
      <c r="I1591" t="s">
        <v>795</v>
      </c>
      <c r="J1591" t="s">
        <v>568</v>
      </c>
      <c r="K1591" t="s">
        <v>51</v>
      </c>
      <c r="L1591">
        <v>148.28</v>
      </c>
      <c r="M1591" s="1">
        <v>46119</v>
      </c>
      <c r="N1591" t="s">
        <v>48</v>
      </c>
      <c r="O1591">
        <v>7</v>
      </c>
      <c r="P1591">
        <v>4</v>
      </c>
      <c r="Q1591">
        <v>2</v>
      </c>
      <c r="R1591">
        <v>2026</v>
      </c>
    </row>
    <row r="1592" spans="1:18">
      <c r="A1592">
        <v>274.36</v>
      </c>
      <c r="B1592">
        <v>2</v>
      </c>
      <c r="C1592">
        <v>1591</v>
      </c>
      <c r="D1592" s="2">
        <v>0.6814385648148148</v>
      </c>
      <c r="E1592" t="s">
        <v>773</v>
      </c>
      <c r="F1592" t="s">
        <v>774</v>
      </c>
      <c r="G1592" t="s">
        <v>775</v>
      </c>
      <c r="H1592" t="s">
        <v>691</v>
      </c>
      <c r="I1592" t="s">
        <v>776</v>
      </c>
      <c r="J1592" t="s">
        <v>219</v>
      </c>
      <c r="K1592" t="s">
        <v>39</v>
      </c>
      <c r="L1592">
        <v>137.18</v>
      </c>
      <c r="M1592" s="1">
        <v>46054</v>
      </c>
      <c r="N1592" t="s">
        <v>28</v>
      </c>
      <c r="O1592">
        <v>1</v>
      </c>
      <c r="P1592">
        <v>2</v>
      </c>
      <c r="Q1592">
        <v>1</v>
      </c>
      <c r="R1592">
        <v>2026</v>
      </c>
    </row>
    <row r="1593" spans="1:18">
      <c r="A1593">
        <v>615.65</v>
      </c>
      <c r="B1593">
        <v>5</v>
      </c>
      <c r="C1593">
        <v>1592</v>
      </c>
      <c r="D1593" s="2">
        <v>0.36485618055555558</v>
      </c>
      <c r="E1593" t="s">
        <v>1068</v>
      </c>
      <c r="F1593" t="s">
        <v>1069</v>
      </c>
      <c r="G1593" t="s">
        <v>1070</v>
      </c>
      <c r="H1593" t="s">
        <v>1071</v>
      </c>
      <c r="I1593" t="s">
        <v>817</v>
      </c>
      <c r="J1593" t="s">
        <v>66</v>
      </c>
      <c r="K1593" t="s">
        <v>46</v>
      </c>
      <c r="L1593">
        <v>123.13</v>
      </c>
      <c r="M1593" s="1">
        <v>46122</v>
      </c>
      <c r="N1593" t="s">
        <v>79</v>
      </c>
      <c r="O1593">
        <v>10</v>
      </c>
      <c r="P1593">
        <v>4</v>
      </c>
      <c r="Q1593">
        <v>2</v>
      </c>
      <c r="R1593">
        <v>2026</v>
      </c>
    </row>
    <row r="1594" spans="1:18">
      <c r="A1594">
        <v>1125.25</v>
      </c>
      <c r="B1594">
        <v>5</v>
      </c>
      <c r="C1594">
        <v>1593</v>
      </c>
      <c r="D1594" s="2">
        <v>0.58624508101851847</v>
      </c>
      <c r="E1594" t="s">
        <v>2708</v>
      </c>
      <c r="F1594" t="s">
        <v>2709</v>
      </c>
      <c r="G1594" t="s">
        <v>2710</v>
      </c>
      <c r="H1594" t="s">
        <v>1039</v>
      </c>
      <c r="I1594" t="s">
        <v>758</v>
      </c>
      <c r="J1594" t="s">
        <v>320</v>
      </c>
      <c r="K1594" t="s">
        <v>21</v>
      </c>
      <c r="L1594">
        <v>225.05</v>
      </c>
      <c r="M1594" s="1">
        <v>45726</v>
      </c>
      <c r="N1594" t="s">
        <v>93</v>
      </c>
      <c r="O1594">
        <v>10</v>
      </c>
      <c r="P1594">
        <v>3</v>
      </c>
      <c r="Q1594">
        <v>1</v>
      </c>
      <c r="R1594">
        <v>2025</v>
      </c>
    </row>
    <row r="1595" spans="1:18">
      <c r="A1595">
        <v>95.62</v>
      </c>
      <c r="B1595">
        <v>1</v>
      </c>
      <c r="C1595">
        <v>1594</v>
      </c>
      <c r="D1595" s="2">
        <v>1.5306018518518518E-3</v>
      </c>
      <c r="E1595" t="s">
        <v>1068</v>
      </c>
      <c r="F1595" t="s">
        <v>1069</v>
      </c>
      <c r="G1595" t="s">
        <v>1070</v>
      </c>
      <c r="H1595" t="s">
        <v>1071</v>
      </c>
      <c r="I1595" t="s">
        <v>817</v>
      </c>
      <c r="J1595" t="s">
        <v>153</v>
      </c>
      <c r="K1595" t="s">
        <v>37</v>
      </c>
      <c r="L1595">
        <v>95.62</v>
      </c>
      <c r="M1595" s="1">
        <v>45822</v>
      </c>
      <c r="N1595" t="s">
        <v>14</v>
      </c>
      <c r="O1595">
        <v>14</v>
      </c>
      <c r="P1595">
        <v>6</v>
      </c>
      <c r="Q1595">
        <v>2</v>
      </c>
      <c r="R1595">
        <v>2025</v>
      </c>
    </row>
    <row r="1596" spans="1:18">
      <c r="A1596">
        <v>58.77</v>
      </c>
      <c r="B1596">
        <v>1</v>
      </c>
      <c r="C1596">
        <v>1595</v>
      </c>
      <c r="D1596" s="2">
        <v>0.62431251157407408</v>
      </c>
      <c r="E1596" t="s">
        <v>1832</v>
      </c>
      <c r="F1596" t="s">
        <v>1833</v>
      </c>
      <c r="G1596" t="s">
        <v>1358</v>
      </c>
      <c r="H1596" t="s">
        <v>825</v>
      </c>
      <c r="I1596" t="s">
        <v>781</v>
      </c>
      <c r="J1596" t="s">
        <v>262</v>
      </c>
      <c r="K1596" t="s">
        <v>21</v>
      </c>
      <c r="L1596">
        <v>58.77</v>
      </c>
      <c r="M1596" s="1">
        <v>46130</v>
      </c>
      <c r="N1596" t="s">
        <v>14</v>
      </c>
      <c r="O1596">
        <v>18</v>
      </c>
      <c r="P1596">
        <v>4</v>
      </c>
      <c r="Q1596">
        <v>2</v>
      </c>
      <c r="R1596">
        <v>2026</v>
      </c>
    </row>
    <row r="1597" spans="1:18">
      <c r="A1597">
        <v>712.89</v>
      </c>
      <c r="B1597">
        <v>3</v>
      </c>
      <c r="C1597">
        <v>1596</v>
      </c>
      <c r="D1597" s="2">
        <v>0.20207005787037038</v>
      </c>
      <c r="E1597" t="s">
        <v>1203</v>
      </c>
      <c r="F1597" t="s">
        <v>1204</v>
      </c>
      <c r="G1597" t="s">
        <v>1205</v>
      </c>
      <c r="H1597" t="s">
        <v>1206</v>
      </c>
      <c r="I1597" t="s">
        <v>943</v>
      </c>
      <c r="J1597" t="s">
        <v>375</v>
      </c>
      <c r="K1597" t="s">
        <v>31</v>
      </c>
      <c r="L1597">
        <v>237.63</v>
      </c>
      <c r="M1597" s="1">
        <v>45652</v>
      </c>
      <c r="N1597" t="s">
        <v>105</v>
      </c>
      <c r="O1597">
        <v>26</v>
      </c>
      <c r="P1597">
        <v>12</v>
      </c>
      <c r="Q1597">
        <v>4</v>
      </c>
      <c r="R1597">
        <v>2024</v>
      </c>
    </row>
    <row r="1598" spans="1:18">
      <c r="A1598">
        <v>594.16</v>
      </c>
      <c r="B1598">
        <v>4</v>
      </c>
      <c r="C1598">
        <v>1597</v>
      </c>
      <c r="D1598" s="2">
        <v>0.60046244212962963</v>
      </c>
      <c r="E1598" t="s">
        <v>933</v>
      </c>
      <c r="F1598" t="s">
        <v>934</v>
      </c>
      <c r="G1598" t="s">
        <v>935</v>
      </c>
      <c r="H1598" t="s">
        <v>322</v>
      </c>
      <c r="I1598" t="s">
        <v>795</v>
      </c>
      <c r="J1598" t="s">
        <v>16</v>
      </c>
      <c r="K1598" t="s">
        <v>17</v>
      </c>
      <c r="L1598">
        <v>148.54</v>
      </c>
      <c r="M1598" s="1">
        <v>45907</v>
      </c>
      <c r="N1598" t="s">
        <v>28</v>
      </c>
      <c r="O1598">
        <v>7</v>
      </c>
      <c r="P1598">
        <v>9</v>
      </c>
      <c r="Q1598">
        <v>3</v>
      </c>
      <c r="R1598">
        <v>2025</v>
      </c>
    </row>
    <row r="1599" spans="1:18">
      <c r="A1599">
        <v>487.86</v>
      </c>
      <c r="B1599">
        <v>2</v>
      </c>
      <c r="C1599">
        <v>1598</v>
      </c>
      <c r="D1599" s="2">
        <v>0.91453548611111113</v>
      </c>
      <c r="E1599" t="s">
        <v>2139</v>
      </c>
      <c r="F1599" t="s">
        <v>2140</v>
      </c>
      <c r="G1599" t="s">
        <v>2141</v>
      </c>
      <c r="H1599" t="s">
        <v>464</v>
      </c>
      <c r="I1599" t="s">
        <v>896</v>
      </c>
      <c r="J1599" t="s">
        <v>564</v>
      </c>
      <c r="K1599" t="s">
        <v>17</v>
      </c>
      <c r="L1599">
        <v>243.93</v>
      </c>
      <c r="M1599" s="1">
        <v>45976</v>
      </c>
      <c r="N1599" t="s">
        <v>14</v>
      </c>
      <c r="O1599">
        <v>15</v>
      </c>
      <c r="P1599">
        <v>11</v>
      </c>
      <c r="Q1599">
        <v>4</v>
      </c>
      <c r="R1599">
        <v>2025</v>
      </c>
    </row>
    <row r="1600" spans="1:18">
      <c r="A1600">
        <v>1086.8000000000002</v>
      </c>
      <c r="B1600">
        <v>5</v>
      </c>
      <c r="C1600">
        <v>1599</v>
      </c>
      <c r="D1600" s="2">
        <v>0.92273575231481486</v>
      </c>
      <c r="E1600" t="s">
        <v>1115</v>
      </c>
      <c r="F1600" t="s">
        <v>1116</v>
      </c>
      <c r="G1600" t="s">
        <v>1117</v>
      </c>
      <c r="H1600" t="s">
        <v>1118</v>
      </c>
      <c r="I1600" t="s">
        <v>821</v>
      </c>
      <c r="J1600" t="s">
        <v>103</v>
      </c>
      <c r="K1600" t="s">
        <v>46</v>
      </c>
      <c r="L1600">
        <v>217.36</v>
      </c>
      <c r="M1600" s="1">
        <v>45847</v>
      </c>
      <c r="N1600" t="s">
        <v>34</v>
      </c>
      <c r="O1600">
        <v>9</v>
      </c>
      <c r="P1600">
        <v>7</v>
      </c>
      <c r="Q1600">
        <v>3</v>
      </c>
      <c r="R1600">
        <v>2025</v>
      </c>
    </row>
    <row r="1601" spans="1:18">
      <c r="A1601">
        <v>712.89</v>
      </c>
      <c r="B1601">
        <v>3</v>
      </c>
      <c r="C1601">
        <v>1600</v>
      </c>
      <c r="D1601" s="2">
        <v>0.12030839120370371</v>
      </c>
      <c r="E1601" t="s">
        <v>1163</v>
      </c>
      <c r="F1601" t="s">
        <v>1164</v>
      </c>
      <c r="G1601" t="s">
        <v>1165</v>
      </c>
      <c r="H1601" t="s">
        <v>464</v>
      </c>
      <c r="I1601" t="s">
        <v>896</v>
      </c>
      <c r="J1601" t="s">
        <v>202</v>
      </c>
      <c r="K1601" t="s">
        <v>17</v>
      </c>
      <c r="L1601">
        <v>237.63</v>
      </c>
      <c r="M1601" s="1">
        <v>45644</v>
      </c>
      <c r="N1601" t="s">
        <v>34</v>
      </c>
      <c r="O1601">
        <v>18</v>
      </c>
      <c r="P1601">
        <v>12</v>
      </c>
      <c r="Q1601">
        <v>4</v>
      </c>
      <c r="R1601">
        <v>2024</v>
      </c>
    </row>
    <row r="1602" spans="1:18">
      <c r="A1602">
        <v>484.86</v>
      </c>
      <c r="B1602">
        <v>3</v>
      </c>
      <c r="C1602">
        <v>1601</v>
      </c>
      <c r="D1602" s="2">
        <v>0.89120972222222217</v>
      </c>
      <c r="E1602" t="s">
        <v>1974</v>
      </c>
      <c r="F1602" t="s">
        <v>1975</v>
      </c>
      <c r="G1602" t="s">
        <v>1976</v>
      </c>
      <c r="H1602" t="s">
        <v>806</v>
      </c>
      <c r="I1602" t="s">
        <v>807</v>
      </c>
      <c r="J1602" t="s">
        <v>224</v>
      </c>
      <c r="K1602" t="s">
        <v>39</v>
      </c>
      <c r="L1602">
        <v>161.62</v>
      </c>
      <c r="M1602" s="1">
        <v>45639</v>
      </c>
      <c r="N1602" t="s">
        <v>79</v>
      </c>
      <c r="O1602">
        <v>13</v>
      </c>
      <c r="P1602">
        <v>12</v>
      </c>
      <c r="Q1602">
        <v>4</v>
      </c>
      <c r="R1602">
        <v>2024</v>
      </c>
    </row>
    <row r="1603" spans="1:18">
      <c r="A1603">
        <v>981.96</v>
      </c>
      <c r="B1603">
        <v>4</v>
      </c>
      <c r="C1603">
        <v>1602</v>
      </c>
      <c r="D1603" s="2">
        <v>0.40751940972222223</v>
      </c>
      <c r="E1603" t="s">
        <v>2198</v>
      </c>
      <c r="F1603" t="s">
        <v>2199</v>
      </c>
      <c r="G1603" t="s">
        <v>1505</v>
      </c>
      <c r="H1603" t="s">
        <v>1722</v>
      </c>
      <c r="I1603" t="s">
        <v>954</v>
      </c>
      <c r="J1603" t="s">
        <v>330</v>
      </c>
      <c r="K1603" t="s">
        <v>60</v>
      </c>
      <c r="L1603">
        <v>245.49</v>
      </c>
      <c r="M1603" s="1">
        <v>45581</v>
      </c>
      <c r="N1603" t="s">
        <v>34</v>
      </c>
      <c r="O1603">
        <v>16</v>
      </c>
      <c r="P1603">
        <v>10</v>
      </c>
      <c r="Q1603">
        <v>4</v>
      </c>
      <c r="R1603">
        <v>2024</v>
      </c>
    </row>
    <row r="1604" spans="1:18">
      <c r="A1604">
        <v>48.76</v>
      </c>
      <c r="B1604">
        <v>1</v>
      </c>
      <c r="C1604">
        <v>1603</v>
      </c>
      <c r="D1604" s="2">
        <v>6.0402314814814815E-3</v>
      </c>
      <c r="E1604" t="s">
        <v>2558</v>
      </c>
      <c r="F1604" t="s">
        <v>2559</v>
      </c>
      <c r="G1604" t="s">
        <v>2560</v>
      </c>
      <c r="H1604" t="s">
        <v>1302</v>
      </c>
      <c r="I1604" t="s">
        <v>786</v>
      </c>
      <c r="J1604" t="s">
        <v>567</v>
      </c>
      <c r="K1604" t="s">
        <v>100</v>
      </c>
      <c r="L1604">
        <v>48.76</v>
      </c>
      <c r="M1604" s="1">
        <v>45837</v>
      </c>
      <c r="N1604" t="s">
        <v>28</v>
      </c>
      <c r="O1604">
        <v>29</v>
      </c>
      <c r="P1604">
        <v>6</v>
      </c>
      <c r="Q1604">
        <v>2</v>
      </c>
      <c r="R1604">
        <v>2025</v>
      </c>
    </row>
    <row r="1605" spans="1:18">
      <c r="A1605">
        <v>259.45999999999998</v>
      </c>
      <c r="B1605">
        <v>2</v>
      </c>
      <c r="C1605">
        <v>1604</v>
      </c>
      <c r="D1605" s="2">
        <v>0.97349752314814819</v>
      </c>
      <c r="E1605" t="s">
        <v>3220</v>
      </c>
      <c r="F1605" t="s">
        <v>3221</v>
      </c>
      <c r="G1605" t="s">
        <v>2845</v>
      </c>
      <c r="H1605" t="s">
        <v>785</v>
      </c>
      <c r="I1605" t="s">
        <v>786</v>
      </c>
      <c r="J1605" t="s">
        <v>20</v>
      </c>
      <c r="K1605" t="s">
        <v>21</v>
      </c>
      <c r="L1605">
        <v>129.72999999999999</v>
      </c>
      <c r="M1605" s="1">
        <v>45869</v>
      </c>
      <c r="N1605" t="s">
        <v>105</v>
      </c>
      <c r="O1605">
        <v>31</v>
      </c>
      <c r="P1605">
        <v>7</v>
      </c>
      <c r="Q1605">
        <v>3</v>
      </c>
      <c r="R1605">
        <v>2025</v>
      </c>
    </row>
    <row r="1606" spans="1:18">
      <c r="A1606">
        <v>544.04999999999995</v>
      </c>
      <c r="B1606">
        <v>5</v>
      </c>
      <c r="C1606">
        <v>1605</v>
      </c>
      <c r="D1606" s="2">
        <v>0.1789434375</v>
      </c>
      <c r="E1606" t="s">
        <v>1717</v>
      </c>
      <c r="F1606" t="s">
        <v>1718</v>
      </c>
      <c r="G1606" t="s">
        <v>1582</v>
      </c>
      <c r="H1606" t="s">
        <v>965</v>
      </c>
      <c r="I1606" t="s">
        <v>966</v>
      </c>
      <c r="J1606" t="s">
        <v>453</v>
      </c>
      <c r="K1606" t="s">
        <v>55</v>
      </c>
      <c r="L1606">
        <v>108.81</v>
      </c>
      <c r="M1606" s="1">
        <v>46021</v>
      </c>
      <c r="N1606" t="s">
        <v>48</v>
      </c>
      <c r="O1606">
        <v>30</v>
      </c>
      <c r="P1606">
        <v>12</v>
      </c>
      <c r="Q1606">
        <v>4</v>
      </c>
      <c r="R1606">
        <v>2025</v>
      </c>
    </row>
    <row r="1607" spans="1:18">
      <c r="A1607">
        <v>691.59</v>
      </c>
      <c r="B1607">
        <v>3</v>
      </c>
      <c r="C1607">
        <v>1606</v>
      </c>
      <c r="D1607" s="2">
        <v>0.8866165046296296</v>
      </c>
      <c r="E1607" t="s">
        <v>1036</v>
      </c>
      <c r="F1607" t="s">
        <v>1037</v>
      </c>
      <c r="G1607" t="s">
        <v>1038</v>
      </c>
      <c r="H1607" t="s">
        <v>1039</v>
      </c>
      <c r="I1607" t="s">
        <v>758</v>
      </c>
      <c r="J1607" t="s">
        <v>389</v>
      </c>
      <c r="K1607" t="s">
        <v>82</v>
      </c>
      <c r="L1607">
        <v>230.53</v>
      </c>
      <c r="M1607" s="1">
        <v>46056</v>
      </c>
      <c r="N1607" t="s">
        <v>48</v>
      </c>
      <c r="O1607">
        <v>3</v>
      </c>
      <c r="P1607">
        <v>2</v>
      </c>
      <c r="Q1607">
        <v>1</v>
      </c>
      <c r="R1607">
        <v>2026</v>
      </c>
    </row>
    <row r="1608" spans="1:18">
      <c r="A1608">
        <v>632.08000000000004</v>
      </c>
      <c r="B1608">
        <v>4</v>
      </c>
      <c r="C1608">
        <v>1607</v>
      </c>
      <c r="D1608" s="2">
        <v>0.23258344907407408</v>
      </c>
      <c r="E1608" t="s">
        <v>1667</v>
      </c>
      <c r="F1608" t="s">
        <v>1668</v>
      </c>
      <c r="G1608" t="s">
        <v>1669</v>
      </c>
      <c r="H1608" t="s">
        <v>1670</v>
      </c>
      <c r="I1608" t="s">
        <v>1247</v>
      </c>
      <c r="J1608" t="s">
        <v>406</v>
      </c>
      <c r="K1608" t="s">
        <v>17</v>
      </c>
      <c r="L1608">
        <v>158.02000000000001</v>
      </c>
      <c r="M1608" s="1">
        <v>46240</v>
      </c>
      <c r="N1608" t="s">
        <v>105</v>
      </c>
      <c r="O1608">
        <v>6</v>
      </c>
      <c r="P1608">
        <v>8</v>
      </c>
      <c r="Q1608">
        <v>3</v>
      </c>
      <c r="R1608">
        <v>2026</v>
      </c>
    </row>
    <row r="1609" spans="1:18">
      <c r="A1609">
        <v>213.16</v>
      </c>
      <c r="B1609">
        <v>2</v>
      </c>
      <c r="C1609">
        <v>1608</v>
      </c>
      <c r="D1609" s="2">
        <v>0.88666828703703704</v>
      </c>
      <c r="E1609" t="s">
        <v>1343</v>
      </c>
      <c r="F1609" t="s">
        <v>1344</v>
      </c>
      <c r="G1609" t="s">
        <v>1345</v>
      </c>
      <c r="H1609" t="s">
        <v>903</v>
      </c>
      <c r="I1609" t="s">
        <v>786</v>
      </c>
      <c r="J1609" t="s">
        <v>670</v>
      </c>
      <c r="K1609" t="s">
        <v>57</v>
      </c>
      <c r="L1609">
        <v>106.58</v>
      </c>
      <c r="M1609" s="1">
        <v>45716</v>
      </c>
      <c r="N1609" t="s">
        <v>79</v>
      </c>
      <c r="O1609">
        <v>28</v>
      </c>
      <c r="P1609">
        <v>2</v>
      </c>
      <c r="Q1609">
        <v>1</v>
      </c>
      <c r="R1609">
        <v>2025</v>
      </c>
    </row>
    <row r="1610" spans="1:18">
      <c r="A1610">
        <v>519.81000000000006</v>
      </c>
      <c r="B1610">
        <v>3</v>
      </c>
      <c r="C1610">
        <v>1609</v>
      </c>
      <c r="D1610" s="2">
        <v>0.34221189814814817</v>
      </c>
      <c r="E1610" t="s">
        <v>3288</v>
      </c>
      <c r="F1610" t="s">
        <v>3289</v>
      </c>
      <c r="G1610" t="s">
        <v>1493</v>
      </c>
      <c r="H1610" t="s">
        <v>1318</v>
      </c>
      <c r="I1610" t="s">
        <v>807</v>
      </c>
      <c r="J1610" t="s">
        <v>185</v>
      </c>
      <c r="K1610" t="s">
        <v>57</v>
      </c>
      <c r="L1610">
        <v>173.27</v>
      </c>
      <c r="M1610" s="1">
        <v>45844</v>
      </c>
      <c r="N1610" t="s">
        <v>28</v>
      </c>
      <c r="O1610">
        <v>6</v>
      </c>
      <c r="P1610">
        <v>7</v>
      </c>
      <c r="Q1610">
        <v>3</v>
      </c>
      <c r="R1610">
        <v>2025</v>
      </c>
    </row>
    <row r="1611" spans="1:18">
      <c r="A1611">
        <v>102.09</v>
      </c>
      <c r="B1611">
        <v>3</v>
      </c>
      <c r="C1611">
        <v>1610</v>
      </c>
      <c r="D1611" s="2">
        <v>0.76534559027777782</v>
      </c>
      <c r="E1611" t="s">
        <v>2861</v>
      </c>
      <c r="F1611" t="s">
        <v>2862</v>
      </c>
      <c r="G1611" t="s">
        <v>1642</v>
      </c>
      <c r="H1611" t="s">
        <v>2468</v>
      </c>
      <c r="I1611" t="s">
        <v>763</v>
      </c>
      <c r="J1611" t="s">
        <v>678</v>
      </c>
      <c r="K1611" t="s">
        <v>100</v>
      </c>
      <c r="L1611">
        <v>34.03</v>
      </c>
      <c r="M1611" s="1">
        <v>46046</v>
      </c>
      <c r="N1611" t="s">
        <v>14</v>
      </c>
      <c r="O1611">
        <v>24</v>
      </c>
      <c r="P1611">
        <v>1</v>
      </c>
      <c r="Q1611">
        <v>1</v>
      </c>
      <c r="R1611">
        <v>2026</v>
      </c>
    </row>
    <row r="1612" spans="1:18">
      <c r="A1612">
        <v>135.36000000000001</v>
      </c>
      <c r="B1612">
        <v>4</v>
      </c>
      <c r="C1612">
        <v>1611</v>
      </c>
      <c r="D1612" s="2">
        <v>0.3885313310185185</v>
      </c>
      <c r="E1612" t="s">
        <v>2238</v>
      </c>
      <c r="F1612" t="s">
        <v>1357</v>
      </c>
      <c r="G1612" t="s">
        <v>1515</v>
      </c>
      <c r="H1612" t="s">
        <v>1626</v>
      </c>
      <c r="I1612" t="s">
        <v>812</v>
      </c>
      <c r="J1612" t="s">
        <v>692</v>
      </c>
      <c r="K1612" t="s">
        <v>69</v>
      </c>
      <c r="L1612">
        <v>33.840000000000003</v>
      </c>
      <c r="M1612" s="1">
        <v>45774</v>
      </c>
      <c r="N1612" t="s">
        <v>28</v>
      </c>
      <c r="O1612">
        <v>27</v>
      </c>
      <c r="P1612">
        <v>4</v>
      </c>
      <c r="Q1612">
        <v>2</v>
      </c>
      <c r="R1612">
        <v>2025</v>
      </c>
    </row>
    <row r="1613" spans="1:18">
      <c r="A1613">
        <v>484.86</v>
      </c>
      <c r="B1613">
        <v>3</v>
      </c>
      <c r="C1613">
        <v>1612</v>
      </c>
      <c r="D1613" s="2">
        <v>0.4498568634259259</v>
      </c>
      <c r="E1613" t="s">
        <v>1932</v>
      </c>
      <c r="F1613" t="s">
        <v>1933</v>
      </c>
      <c r="G1613" t="s">
        <v>1380</v>
      </c>
      <c r="H1613" t="s">
        <v>1054</v>
      </c>
      <c r="I1613" t="s">
        <v>892</v>
      </c>
      <c r="J1613" t="s">
        <v>224</v>
      </c>
      <c r="K1613" t="s">
        <v>39</v>
      </c>
      <c r="L1613">
        <v>161.62</v>
      </c>
      <c r="M1613" s="1">
        <v>45860</v>
      </c>
      <c r="N1613" t="s">
        <v>48</v>
      </c>
      <c r="O1613">
        <v>22</v>
      </c>
      <c r="P1613">
        <v>7</v>
      </c>
      <c r="Q1613">
        <v>3</v>
      </c>
      <c r="R1613">
        <v>2025</v>
      </c>
    </row>
    <row r="1614" spans="1:18">
      <c r="A1614">
        <v>70.41</v>
      </c>
      <c r="B1614">
        <v>3</v>
      </c>
      <c r="C1614">
        <v>1613</v>
      </c>
      <c r="D1614" s="2">
        <v>0.48830083333333335</v>
      </c>
      <c r="E1614" t="s">
        <v>1723</v>
      </c>
      <c r="F1614" t="s">
        <v>1724</v>
      </c>
      <c r="G1614" t="s">
        <v>1725</v>
      </c>
      <c r="H1614" t="s">
        <v>915</v>
      </c>
      <c r="I1614" t="s">
        <v>908</v>
      </c>
      <c r="J1614" t="s">
        <v>492</v>
      </c>
      <c r="K1614" t="s">
        <v>21</v>
      </c>
      <c r="L1614">
        <v>23.47</v>
      </c>
      <c r="M1614" s="1">
        <v>46170</v>
      </c>
      <c r="N1614" t="s">
        <v>105</v>
      </c>
      <c r="O1614">
        <v>28</v>
      </c>
      <c r="P1614">
        <v>5</v>
      </c>
      <c r="Q1614">
        <v>2</v>
      </c>
      <c r="R1614">
        <v>2026</v>
      </c>
    </row>
    <row r="1615" spans="1:18">
      <c r="A1615">
        <v>499.15</v>
      </c>
      <c r="B1615">
        <v>5</v>
      </c>
      <c r="C1615">
        <v>1614</v>
      </c>
      <c r="D1615" s="2">
        <v>0.35464133101851852</v>
      </c>
      <c r="E1615" t="s">
        <v>939</v>
      </c>
      <c r="F1615" t="s">
        <v>940</v>
      </c>
      <c r="G1615" t="s">
        <v>941</v>
      </c>
      <c r="H1615" t="s">
        <v>942</v>
      </c>
      <c r="I1615" t="s">
        <v>943</v>
      </c>
      <c r="J1615" t="s">
        <v>467</v>
      </c>
      <c r="K1615" t="s">
        <v>19</v>
      </c>
      <c r="L1615">
        <v>99.83</v>
      </c>
      <c r="M1615" s="1">
        <v>45898</v>
      </c>
      <c r="N1615" t="s">
        <v>79</v>
      </c>
      <c r="O1615">
        <v>29</v>
      </c>
      <c r="P1615">
        <v>8</v>
      </c>
      <c r="Q1615">
        <v>3</v>
      </c>
      <c r="R1615">
        <v>2025</v>
      </c>
    </row>
    <row r="1616" spans="1:18">
      <c r="A1616">
        <v>24.76</v>
      </c>
      <c r="B1616">
        <v>4</v>
      </c>
      <c r="C1616">
        <v>1615</v>
      </c>
      <c r="D1616" s="2">
        <v>9.0876284722222228E-2</v>
      </c>
      <c r="E1616" t="s">
        <v>3197</v>
      </c>
      <c r="F1616" t="s">
        <v>3198</v>
      </c>
      <c r="G1616" t="s">
        <v>2726</v>
      </c>
      <c r="H1616" t="s">
        <v>1067</v>
      </c>
      <c r="I1616" t="s">
        <v>854</v>
      </c>
      <c r="J1616" t="s">
        <v>662</v>
      </c>
      <c r="K1616" t="s">
        <v>21</v>
      </c>
      <c r="L1616">
        <v>6.19</v>
      </c>
      <c r="M1616" s="1">
        <v>46202</v>
      </c>
      <c r="N1616" t="s">
        <v>93</v>
      </c>
      <c r="O1616">
        <v>29</v>
      </c>
      <c r="P1616">
        <v>6</v>
      </c>
      <c r="Q1616">
        <v>2</v>
      </c>
      <c r="R1616">
        <v>2026</v>
      </c>
    </row>
    <row r="1617" spans="1:18">
      <c r="A1617">
        <v>802.95</v>
      </c>
      <c r="B1617">
        <v>5</v>
      </c>
      <c r="C1617">
        <v>1616</v>
      </c>
      <c r="D1617" s="2">
        <v>0.68341968750000004</v>
      </c>
      <c r="E1617" t="s">
        <v>2731</v>
      </c>
      <c r="F1617" t="s">
        <v>2732</v>
      </c>
      <c r="G1617" t="s">
        <v>1688</v>
      </c>
      <c r="H1617" t="s">
        <v>1032</v>
      </c>
      <c r="I1617" t="s">
        <v>839</v>
      </c>
      <c r="J1617" t="s">
        <v>267</v>
      </c>
      <c r="K1617" t="s">
        <v>25</v>
      </c>
      <c r="L1617">
        <v>160.59</v>
      </c>
      <c r="M1617" s="1">
        <v>45701</v>
      </c>
      <c r="N1617" t="s">
        <v>105</v>
      </c>
      <c r="O1617">
        <v>13</v>
      </c>
      <c r="P1617">
        <v>2</v>
      </c>
      <c r="Q1617">
        <v>1</v>
      </c>
      <c r="R1617">
        <v>2025</v>
      </c>
    </row>
    <row r="1618" spans="1:18">
      <c r="A1618">
        <v>5.48</v>
      </c>
      <c r="B1618">
        <v>4</v>
      </c>
      <c r="C1618">
        <v>1617</v>
      </c>
      <c r="D1618" s="2">
        <v>0.75080505787037033</v>
      </c>
      <c r="E1618" t="s">
        <v>2087</v>
      </c>
      <c r="F1618" t="s">
        <v>2088</v>
      </c>
      <c r="G1618" t="s">
        <v>820</v>
      </c>
      <c r="H1618" t="s">
        <v>995</v>
      </c>
      <c r="I1618" t="s">
        <v>781</v>
      </c>
      <c r="J1618" t="s">
        <v>85</v>
      </c>
      <c r="K1618" t="s">
        <v>37</v>
      </c>
      <c r="L1618">
        <v>1.37</v>
      </c>
      <c r="M1618" s="1">
        <v>45926</v>
      </c>
      <c r="N1618" t="s">
        <v>79</v>
      </c>
      <c r="O1618">
        <v>26</v>
      </c>
      <c r="P1618">
        <v>9</v>
      </c>
      <c r="Q1618">
        <v>3</v>
      </c>
      <c r="R1618">
        <v>2025</v>
      </c>
    </row>
    <row r="1619" spans="1:18">
      <c r="A1619">
        <v>148.54</v>
      </c>
      <c r="B1619">
        <v>1</v>
      </c>
      <c r="C1619">
        <v>1618</v>
      </c>
      <c r="D1619" s="2">
        <v>0.43433523148148145</v>
      </c>
      <c r="E1619" t="s">
        <v>3063</v>
      </c>
      <c r="F1619" t="s">
        <v>3064</v>
      </c>
      <c r="G1619" t="s">
        <v>1390</v>
      </c>
      <c r="H1619" t="s">
        <v>772</v>
      </c>
      <c r="I1619" t="s">
        <v>758</v>
      </c>
      <c r="J1619" t="s">
        <v>16</v>
      </c>
      <c r="K1619" t="s">
        <v>17</v>
      </c>
      <c r="L1619">
        <v>148.54</v>
      </c>
      <c r="M1619" s="1">
        <v>45787</v>
      </c>
      <c r="N1619" t="s">
        <v>14</v>
      </c>
      <c r="O1619">
        <v>10</v>
      </c>
      <c r="P1619">
        <v>5</v>
      </c>
      <c r="Q1619">
        <v>2</v>
      </c>
      <c r="R1619">
        <v>2025</v>
      </c>
    </row>
    <row r="1620" spans="1:18">
      <c r="A1620">
        <v>207.88</v>
      </c>
      <c r="B1620">
        <v>2</v>
      </c>
      <c r="C1620">
        <v>1619</v>
      </c>
      <c r="D1620" s="2">
        <v>0.4856564351851852</v>
      </c>
      <c r="E1620" t="s">
        <v>2159</v>
      </c>
      <c r="F1620" t="s">
        <v>2160</v>
      </c>
      <c r="G1620" t="s">
        <v>1559</v>
      </c>
      <c r="H1620" t="s">
        <v>919</v>
      </c>
      <c r="I1620" t="s">
        <v>786</v>
      </c>
      <c r="J1620" t="s">
        <v>210</v>
      </c>
      <c r="K1620" t="s">
        <v>55</v>
      </c>
      <c r="L1620">
        <v>103.94</v>
      </c>
      <c r="M1620" s="1">
        <v>45733</v>
      </c>
      <c r="N1620" t="s">
        <v>93</v>
      </c>
      <c r="O1620">
        <v>17</v>
      </c>
      <c r="P1620">
        <v>3</v>
      </c>
      <c r="Q1620">
        <v>1</v>
      </c>
      <c r="R1620">
        <v>2025</v>
      </c>
    </row>
    <row r="1621" spans="1:18">
      <c r="A1621">
        <v>406.86</v>
      </c>
      <c r="B1621">
        <v>2</v>
      </c>
      <c r="C1621">
        <v>1620</v>
      </c>
      <c r="D1621" s="2">
        <v>0.82788837962962958</v>
      </c>
      <c r="E1621" t="s">
        <v>2586</v>
      </c>
      <c r="F1621" t="s">
        <v>2587</v>
      </c>
      <c r="G1621" t="s">
        <v>2588</v>
      </c>
      <c r="H1621" t="s">
        <v>961</v>
      </c>
      <c r="I1621" t="s">
        <v>807</v>
      </c>
      <c r="J1621" t="s">
        <v>128</v>
      </c>
      <c r="K1621" t="s">
        <v>55</v>
      </c>
      <c r="L1621">
        <v>203.43</v>
      </c>
      <c r="M1621" s="1">
        <v>46120</v>
      </c>
      <c r="N1621" t="s">
        <v>34</v>
      </c>
      <c r="O1621">
        <v>8</v>
      </c>
      <c r="P1621">
        <v>4</v>
      </c>
      <c r="Q1621">
        <v>2</v>
      </c>
      <c r="R1621">
        <v>2026</v>
      </c>
    </row>
    <row r="1622" spans="1:18">
      <c r="A1622">
        <v>24.83</v>
      </c>
      <c r="B1622">
        <v>1</v>
      </c>
      <c r="C1622">
        <v>1621</v>
      </c>
      <c r="D1622" s="2">
        <v>0.76163292824074069</v>
      </c>
      <c r="E1622" t="s">
        <v>2776</v>
      </c>
      <c r="F1622" t="s">
        <v>2777</v>
      </c>
      <c r="G1622" t="s">
        <v>1409</v>
      </c>
      <c r="H1622" t="s">
        <v>858</v>
      </c>
      <c r="I1622" t="s">
        <v>753</v>
      </c>
      <c r="J1622" t="s">
        <v>338</v>
      </c>
      <c r="K1622" t="s">
        <v>82</v>
      </c>
      <c r="L1622">
        <v>24.83</v>
      </c>
      <c r="M1622" s="1">
        <v>45894</v>
      </c>
      <c r="N1622" t="s">
        <v>93</v>
      </c>
      <c r="O1622">
        <v>25</v>
      </c>
      <c r="P1622">
        <v>8</v>
      </c>
      <c r="Q1622">
        <v>3</v>
      </c>
      <c r="R1622">
        <v>2025</v>
      </c>
    </row>
    <row r="1623" spans="1:18">
      <c r="A1623">
        <v>122.89</v>
      </c>
      <c r="B1623">
        <v>1</v>
      </c>
      <c r="C1623">
        <v>1622</v>
      </c>
      <c r="D1623" s="2">
        <v>0.78961702546296297</v>
      </c>
      <c r="E1623" t="s">
        <v>1147</v>
      </c>
      <c r="F1623" t="s">
        <v>1148</v>
      </c>
      <c r="G1623" t="s">
        <v>1149</v>
      </c>
      <c r="H1623" t="s">
        <v>1071</v>
      </c>
      <c r="I1623" t="s">
        <v>817</v>
      </c>
      <c r="J1623" t="s">
        <v>665</v>
      </c>
      <c r="K1623" t="s">
        <v>17</v>
      </c>
      <c r="L1623">
        <v>122.89</v>
      </c>
      <c r="M1623" s="1">
        <v>45656</v>
      </c>
      <c r="N1623" t="s">
        <v>93</v>
      </c>
      <c r="O1623">
        <v>30</v>
      </c>
      <c r="P1623">
        <v>12</v>
      </c>
      <c r="Q1623">
        <v>4</v>
      </c>
      <c r="R1623">
        <v>2024</v>
      </c>
    </row>
    <row r="1624" spans="1:18">
      <c r="A1624">
        <v>786.05000000000007</v>
      </c>
      <c r="B1624">
        <v>5</v>
      </c>
      <c r="C1624">
        <v>1623</v>
      </c>
      <c r="D1624" s="2">
        <v>0.79293895833333339</v>
      </c>
      <c r="E1624" t="s">
        <v>1243</v>
      </c>
      <c r="F1624" t="s">
        <v>1244</v>
      </c>
      <c r="G1624" t="s">
        <v>1245</v>
      </c>
      <c r="H1624" t="s">
        <v>1246</v>
      </c>
      <c r="I1624" t="s">
        <v>1247</v>
      </c>
      <c r="J1624" t="s">
        <v>576</v>
      </c>
      <c r="K1624" t="s">
        <v>27</v>
      </c>
      <c r="L1624">
        <v>157.21</v>
      </c>
      <c r="M1624" s="1">
        <v>45686</v>
      </c>
      <c r="N1624" t="s">
        <v>34</v>
      </c>
      <c r="O1624">
        <v>29</v>
      </c>
      <c r="P1624">
        <v>1</v>
      </c>
      <c r="Q1624">
        <v>1</v>
      </c>
      <c r="R1624">
        <v>2025</v>
      </c>
    </row>
    <row r="1625" spans="1:18">
      <c r="A1625">
        <v>171.88</v>
      </c>
      <c r="B1625">
        <v>1</v>
      </c>
      <c r="C1625">
        <v>1624</v>
      </c>
      <c r="D1625" s="2">
        <v>0.91539806712962968</v>
      </c>
      <c r="E1625" t="s">
        <v>2398</v>
      </c>
      <c r="F1625" t="s">
        <v>2399</v>
      </c>
      <c r="G1625" t="s">
        <v>1452</v>
      </c>
      <c r="H1625" t="s">
        <v>816</v>
      </c>
      <c r="I1625" t="s">
        <v>817</v>
      </c>
      <c r="J1625" t="s">
        <v>525</v>
      </c>
      <c r="K1625" t="s">
        <v>17</v>
      </c>
      <c r="L1625">
        <v>171.88</v>
      </c>
      <c r="M1625" s="1">
        <v>45631</v>
      </c>
      <c r="N1625" t="s">
        <v>105</v>
      </c>
      <c r="O1625">
        <v>5</v>
      </c>
      <c r="P1625">
        <v>12</v>
      </c>
      <c r="Q1625">
        <v>4</v>
      </c>
      <c r="R1625">
        <v>2024</v>
      </c>
    </row>
    <row r="1626" spans="1:18">
      <c r="A1626">
        <v>391.32</v>
      </c>
      <c r="B1626">
        <v>4</v>
      </c>
      <c r="C1626">
        <v>1625</v>
      </c>
      <c r="D1626" s="2">
        <v>8.9908310185185192E-2</v>
      </c>
      <c r="E1626" t="s">
        <v>873</v>
      </c>
      <c r="F1626" t="s">
        <v>874</v>
      </c>
      <c r="G1626" t="s">
        <v>875</v>
      </c>
      <c r="H1626" t="s">
        <v>387</v>
      </c>
      <c r="I1626" t="s">
        <v>821</v>
      </c>
      <c r="J1626" t="s">
        <v>135</v>
      </c>
      <c r="K1626" t="s">
        <v>122</v>
      </c>
      <c r="L1626">
        <v>97.83</v>
      </c>
      <c r="M1626" s="1">
        <v>45621</v>
      </c>
      <c r="N1626" t="s">
        <v>93</v>
      </c>
      <c r="O1626">
        <v>25</v>
      </c>
      <c r="P1626">
        <v>11</v>
      </c>
      <c r="Q1626">
        <v>4</v>
      </c>
      <c r="R1626">
        <v>2024</v>
      </c>
    </row>
    <row r="1627" spans="1:18">
      <c r="A1627">
        <v>443.37</v>
      </c>
      <c r="B1627">
        <v>3</v>
      </c>
      <c r="C1627">
        <v>1626</v>
      </c>
      <c r="D1627" s="2">
        <v>0.5471310069444445</v>
      </c>
      <c r="E1627" t="s">
        <v>1914</v>
      </c>
      <c r="F1627" t="s">
        <v>1915</v>
      </c>
      <c r="G1627" t="s">
        <v>976</v>
      </c>
      <c r="H1627" t="s">
        <v>1199</v>
      </c>
      <c r="I1627" t="s">
        <v>839</v>
      </c>
      <c r="J1627" t="s">
        <v>176</v>
      </c>
      <c r="K1627" t="s">
        <v>21</v>
      </c>
      <c r="L1627">
        <v>147.79</v>
      </c>
      <c r="M1627" s="1">
        <v>45946</v>
      </c>
      <c r="N1627" t="s">
        <v>105</v>
      </c>
      <c r="O1627">
        <v>16</v>
      </c>
      <c r="P1627">
        <v>10</v>
      </c>
      <c r="Q1627">
        <v>4</v>
      </c>
      <c r="R1627">
        <v>2025</v>
      </c>
    </row>
    <row r="1628" spans="1:18">
      <c r="A1628">
        <v>33.56</v>
      </c>
      <c r="B1628">
        <v>1</v>
      </c>
      <c r="C1628">
        <v>1627</v>
      </c>
      <c r="D1628" s="2">
        <v>0.88812791666666668</v>
      </c>
      <c r="E1628" t="s">
        <v>3379</v>
      </c>
      <c r="F1628" t="s">
        <v>3380</v>
      </c>
      <c r="G1628" t="s">
        <v>1143</v>
      </c>
      <c r="H1628" t="s">
        <v>953</v>
      </c>
      <c r="I1628" t="s">
        <v>954</v>
      </c>
      <c r="J1628" t="s">
        <v>609</v>
      </c>
      <c r="K1628" t="s">
        <v>27</v>
      </c>
      <c r="L1628">
        <v>33.56</v>
      </c>
      <c r="M1628" s="1">
        <v>46032</v>
      </c>
      <c r="N1628" t="s">
        <v>14</v>
      </c>
      <c r="O1628">
        <v>10</v>
      </c>
      <c r="P1628">
        <v>1</v>
      </c>
      <c r="Q1628">
        <v>1</v>
      </c>
      <c r="R1628">
        <v>2026</v>
      </c>
    </row>
    <row r="1629" spans="1:18">
      <c r="A1629">
        <v>314.68</v>
      </c>
      <c r="B1629">
        <v>2</v>
      </c>
      <c r="C1629">
        <v>1628</v>
      </c>
      <c r="D1629" s="2">
        <v>0.46671300925925924</v>
      </c>
      <c r="E1629" t="s">
        <v>1483</v>
      </c>
      <c r="F1629" t="s">
        <v>1484</v>
      </c>
      <c r="G1629" t="s">
        <v>1485</v>
      </c>
      <c r="H1629" t="s">
        <v>802</v>
      </c>
      <c r="I1629" t="s">
        <v>748</v>
      </c>
      <c r="J1629" t="s">
        <v>147</v>
      </c>
      <c r="K1629" t="s">
        <v>27</v>
      </c>
      <c r="L1629">
        <v>157.34</v>
      </c>
      <c r="M1629" s="1">
        <v>46033</v>
      </c>
      <c r="N1629" t="s">
        <v>28</v>
      </c>
      <c r="O1629">
        <v>11</v>
      </c>
      <c r="P1629">
        <v>1</v>
      </c>
      <c r="Q1629">
        <v>1</v>
      </c>
      <c r="R1629">
        <v>2026</v>
      </c>
    </row>
    <row r="1630" spans="1:18">
      <c r="A1630">
        <v>328.54</v>
      </c>
      <c r="B1630">
        <v>2</v>
      </c>
      <c r="C1630">
        <v>1629</v>
      </c>
      <c r="D1630" s="2">
        <v>0.70556709490740743</v>
      </c>
      <c r="E1630" t="s">
        <v>2393</v>
      </c>
      <c r="F1630" t="s">
        <v>2394</v>
      </c>
      <c r="G1630" t="s">
        <v>1348</v>
      </c>
      <c r="H1630" t="s">
        <v>113</v>
      </c>
      <c r="I1630" t="s">
        <v>1247</v>
      </c>
      <c r="J1630" t="s">
        <v>127</v>
      </c>
      <c r="K1630" t="s">
        <v>21</v>
      </c>
      <c r="L1630">
        <v>164.27</v>
      </c>
      <c r="M1630" s="1">
        <v>45695</v>
      </c>
      <c r="N1630" t="s">
        <v>79</v>
      </c>
      <c r="O1630">
        <v>7</v>
      </c>
      <c r="P1630">
        <v>2</v>
      </c>
      <c r="Q1630">
        <v>1</v>
      </c>
      <c r="R1630">
        <v>2025</v>
      </c>
    </row>
    <row r="1631" spans="1:18">
      <c r="A1631">
        <v>515.43000000000006</v>
      </c>
      <c r="B1631">
        <v>3</v>
      </c>
      <c r="C1631">
        <v>1630</v>
      </c>
      <c r="D1631" s="2">
        <v>0.12446451388888889</v>
      </c>
      <c r="E1631" t="s">
        <v>1281</v>
      </c>
      <c r="F1631" t="s">
        <v>1282</v>
      </c>
      <c r="G1631" t="s">
        <v>1283</v>
      </c>
      <c r="H1631" t="s">
        <v>691</v>
      </c>
      <c r="I1631" t="s">
        <v>776</v>
      </c>
      <c r="J1631" t="s">
        <v>129</v>
      </c>
      <c r="K1631" t="s">
        <v>25</v>
      </c>
      <c r="L1631">
        <v>171.81</v>
      </c>
      <c r="M1631" s="1">
        <v>45643</v>
      </c>
      <c r="N1631" t="s">
        <v>48</v>
      </c>
      <c r="O1631">
        <v>17</v>
      </c>
      <c r="P1631">
        <v>12</v>
      </c>
      <c r="Q1631">
        <v>4</v>
      </c>
      <c r="R1631">
        <v>2024</v>
      </c>
    </row>
    <row r="1632" spans="1:18">
      <c r="A1632">
        <v>440.94</v>
      </c>
      <c r="B1632">
        <v>2</v>
      </c>
      <c r="C1632">
        <v>1631</v>
      </c>
      <c r="D1632" s="2">
        <v>4.8573194444444447E-2</v>
      </c>
      <c r="E1632" t="s">
        <v>2205</v>
      </c>
      <c r="F1632" t="s">
        <v>2206</v>
      </c>
      <c r="G1632" t="s">
        <v>1114</v>
      </c>
      <c r="H1632" t="s">
        <v>635</v>
      </c>
      <c r="I1632" t="s">
        <v>768</v>
      </c>
      <c r="J1632" t="s">
        <v>496</v>
      </c>
      <c r="K1632" t="s">
        <v>17</v>
      </c>
      <c r="L1632">
        <v>220.47</v>
      </c>
      <c r="M1632" s="1">
        <v>45653</v>
      </c>
      <c r="N1632" t="s">
        <v>79</v>
      </c>
      <c r="O1632">
        <v>27</v>
      </c>
      <c r="P1632">
        <v>12</v>
      </c>
      <c r="Q1632">
        <v>4</v>
      </c>
      <c r="R1632">
        <v>2024</v>
      </c>
    </row>
    <row r="1633" spans="1:18">
      <c r="A1633">
        <v>18.02</v>
      </c>
      <c r="B1633">
        <v>2</v>
      </c>
      <c r="C1633">
        <v>1632</v>
      </c>
      <c r="D1633" s="2">
        <v>0.56572476851851849</v>
      </c>
      <c r="E1633" t="s">
        <v>3150</v>
      </c>
      <c r="F1633" t="s">
        <v>3151</v>
      </c>
      <c r="G1633" t="s">
        <v>1231</v>
      </c>
      <c r="H1633" t="s">
        <v>562</v>
      </c>
      <c r="I1633" t="s">
        <v>753</v>
      </c>
      <c r="J1633" t="s">
        <v>455</v>
      </c>
      <c r="K1633" t="s">
        <v>69</v>
      </c>
      <c r="L1633">
        <v>9.01</v>
      </c>
      <c r="M1633" s="1">
        <v>46212</v>
      </c>
      <c r="N1633" t="s">
        <v>105</v>
      </c>
      <c r="O1633">
        <v>9</v>
      </c>
      <c r="P1633">
        <v>7</v>
      </c>
      <c r="Q1633">
        <v>3</v>
      </c>
      <c r="R1633">
        <v>2026</v>
      </c>
    </row>
    <row r="1634" spans="1:18">
      <c r="A1634">
        <v>67.23</v>
      </c>
      <c r="B1634">
        <v>3</v>
      </c>
      <c r="C1634">
        <v>1633</v>
      </c>
      <c r="D1634" s="2">
        <v>0.5448194097222222</v>
      </c>
      <c r="E1634" t="s">
        <v>2171</v>
      </c>
      <c r="F1634" t="s">
        <v>2172</v>
      </c>
      <c r="G1634" t="s">
        <v>2173</v>
      </c>
      <c r="H1634" t="s">
        <v>762</v>
      </c>
      <c r="I1634" t="s">
        <v>763</v>
      </c>
      <c r="J1634" t="s">
        <v>484</v>
      </c>
      <c r="K1634" t="s">
        <v>25</v>
      </c>
      <c r="L1634">
        <v>22.41</v>
      </c>
      <c r="M1634" s="1">
        <v>45681</v>
      </c>
      <c r="N1634" t="s">
        <v>79</v>
      </c>
      <c r="O1634">
        <v>24</v>
      </c>
      <c r="P1634">
        <v>1</v>
      </c>
      <c r="Q1634">
        <v>1</v>
      </c>
      <c r="R1634">
        <v>2025</v>
      </c>
    </row>
    <row r="1635" spans="1:18">
      <c r="A1635">
        <v>426.45000000000005</v>
      </c>
      <c r="B1635">
        <v>3</v>
      </c>
      <c r="C1635">
        <v>1634</v>
      </c>
      <c r="D1635" s="2">
        <v>0.24769628472222222</v>
      </c>
      <c r="E1635" t="s">
        <v>2938</v>
      </c>
      <c r="F1635" t="s">
        <v>2939</v>
      </c>
      <c r="G1635" t="s">
        <v>2940</v>
      </c>
      <c r="H1635" t="s">
        <v>915</v>
      </c>
      <c r="I1635" t="s">
        <v>768</v>
      </c>
      <c r="J1635" t="s">
        <v>216</v>
      </c>
      <c r="K1635" t="s">
        <v>100</v>
      </c>
      <c r="L1635">
        <v>142.15</v>
      </c>
      <c r="M1635" s="1">
        <v>45621</v>
      </c>
      <c r="N1635" t="s">
        <v>93</v>
      </c>
      <c r="O1635">
        <v>25</v>
      </c>
      <c r="P1635">
        <v>11</v>
      </c>
      <c r="Q1635">
        <v>4</v>
      </c>
      <c r="R1635">
        <v>2024</v>
      </c>
    </row>
    <row r="1636" spans="1:18">
      <c r="A1636">
        <v>124.64</v>
      </c>
      <c r="B1636">
        <v>1</v>
      </c>
      <c r="C1636">
        <v>1635</v>
      </c>
      <c r="D1636" s="2">
        <v>0.64368923611111106</v>
      </c>
      <c r="E1636" t="s">
        <v>2508</v>
      </c>
      <c r="F1636" t="s">
        <v>2509</v>
      </c>
      <c r="G1636" t="s">
        <v>2510</v>
      </c>
      <c r="H1636" t="s">
        <v>1670</v>
      </c>
      <c r="I1636" t="s">
        <v>1247</v>
      </c>
      <c r="J1636" t="s">
        <v>356</v>
      </c>
      <c r="K1636" t="s">
        <v>69</v>
      </c>
      <c r="L1636">
        <v>124.64</v>
      </c>
      <c r="M1636" s="1">
        <v>46102</v>
      </c>
      <c r="N1636" t="s">
        <v>14</v>
      </c>
      <c r="O1636">
        <v>21</v>
      </c>
      <c r="P1636">
        <v>3</v>
      </c>
      <c r="Q1636">
        <v>1</v>
      </c>
      <c r="R1636">
        <v>2026</v>
      </c>
    </row>
    <row r="1637" spans="1:18">
      <c r="A1637">
        <v>489.41999999999996</v>
      </c>
      <c r="B1637">
        <v>3</v>
      </c>
      <c r="C1637">
        <v>1636</v>
      </c>
      <c r="D1637" s="2">
        <v>0.80240478009259264</v>
      </c>
      <c r="E1637" t="s">
        <v>3023</v>
      </c>
      <c r="F1637" t="s">
        <v>3024</v>
      </c>
      <c r="G1637" t="s">
        <v>2365</v>
      </c>
      <c r="H1637" t="s">
        <v>106</v>
      </c>
      <c r="I1637" t="s">
        <v>790</v>
      </c>
      <c r="J1637" t="s">
        <v>183</v>
      </c>
      <c r="K1637" t="s">
        <v>19</v>
      </c>
      <c r="L1637">
        <v>163.13999999999999</v>
      </c>
      <c r="M1637" s="1">
        <v>45887</v>
      </c>
      <c r="N1637" t="s">
        <v>93</v>
      </c>
      <c r="O1637">
        <v>18</v>
      </c>
      <c r="P1637">
        <v>8</v>
      </c>
      <c r="Q1637">
        <v>3</v>
      </c>
      <c r="R1637">
        <v>2025</v>
      </c>
    </row>
    <row r="1638" spans="1:18">
      <c r="A1638">
        <v>643.6</v>
      </c>
      <c r="B1638">
        <v>5</v>
      </c>
      <c r="C1638">
        <v>1637</v>
      </c>
      <c r="D1638" s="2">
        <v>0.53202886574074071</v>
      </c>
      <c r="E1638" t="s">
        <v>3187</v>
      </c>
      <c r="F1638" t="s">
        <v>3188</v>
      </c>
      <c r="G1638" t="s">
        <v>1501</v>
      </c>
      <c r="H1638" t="s">
        <v>1189</v>
      </c>
      <c r="I1638" t="s">
        <v>892</v>
      </c>
      <c r="J1638" t="s">
        <v>693</v>
      </c>
      <c r="K1638" t="s">
        <v>46</v>
      </c>
      <c r="L1638">
        <v>128.72</v>
      </c>
      <c r="M1638" s="1">
        <v>46165</v>
      </c>
      <c r="N1638" t="s">
        <v>14</v>
      </c>
      <c r="O1638">
        <v>23</v>
      </c>
      <c r="P1638">
        <v>5</v>
      </c>
      <c r="Q1638">
        <v>2</v>
      </c>
      <c r="R1638">
        <v>2026</v>
      </c>
    </row>
    <row r="1639" spans="1:18">
      <c r="A1639">
        <v>29.14</v>
      </c>
      <c r="B1639">
        <v>2</v>
      </c>
      <c r="C1639">
        <v>1638</v>
      </c>
      <c r="D1639" s="2">
        <v>0.86764307870370372</v>
      </c>
      <c r="E1639" t="s">
        <v>1186</v>
      </c>
      <c r="F1639" t="s">
        <v>1187</v>
      </c>
      <c r="G1639" t="s">
        <v>1188</v>
      </c>
      <c r="H1639" t="s">
        <v>1189</v>
      </c>
      <c r="I1639" t="s">
        <v>892</v>
      </c>
      <c r="J1639" t="s">
        <v>166</v>
      </c>
      <c r="K1639" t="s">
        <v>23</v>
      </c>
      <c r="L1639">
        <v>14.57</v>
      </c>
      <c r="M1639" s="1">
        <v>46269</v>
      </c>
      <c r="N1639" t="s">
        <v>79</v>
      </c>
      <c r="O1639">
        <v>4</v>
      </c>
      <c r="P1639">
        <v>9</v>
      </c>
      <c r="Q1639">
        <v>3</v>
      </c>
      <c r="R1639">
        <v>2026</v>
      </c>
    </row>
    <row r="1640" spans="1:18">
      <c r="A1640">
        <v>1074.75</v>
      </c>
      <c r="B1640">
        <v>5</v>
      </c>
      <c r="C1640">
        <v>1639</v>
      </c>
      <c r="D1640" s="2">
        <v>8.3001307870370369E-2</v>
      </c>
      <c r="E1640" t="s">
        <v>2406</v>
      </c>
      <c r="F1640" t="s">
        <v>2407</v>
      </c>
      <c r="G1640" t="s">
        <v>994</v>
      </c>
      <c r="H1640" t="s">
        <v>478</v>
      </c>
      <c r="I1640" t="s">
        <v>781</v>
      </c>
      <c r="J1640" t="s">
        <v>195</v>
      </c>
      <c r="K1640" t="s">
        <v>31</v>
      </c>
      <c r="L1640">
        <v>214.95</v>
      </c>
      <c r="M1640" s="1">
        <v>46012</v>
      </c>
      <c r="N1640" t="s">
        <v>28</v>
      </c>
      <c r="O1640">
        <v>21</v>
      </c>
      <c r="P1640">
        <v>12</v>
      </c>
      <c r="Q1640">
        <v>4</v>
      </c>
      <c r="R1640">
        <v>2025</v>
      </c>
    </row>
    <row r="1641" spans="1:18">
      <c r="A1641">
        <v>319.74</v>
      </c>
      <c r="B1641">
        <v>3</v>
      </c>
      <c r="C1641">
        <v>1640</v>
      </c>
      <c r="D1641" s="2">
        <v>0.16215039351851851</v>
      </c>
      <c r="E1641" t="s">
        <v>2650</v>
      </c>
      <c r="F1641" t="s">
        <v>2651</v>
      </c>
      <c r="G1641" t="s">
        <v>857</v>
      </c>
      <c r="H1641" t="s">
        <v>838</v>
      </c>
      <c r="I1641" t="s">
        <v>839</v>
      </c>
      <c r="J1641" t="s">
        <v>670</v>
      </c>
      <c r="K1641" t="s">
        <v>57</v>
      </c>
      <c r="L1641">
        <v>106.58</v>
      </c>
      <c r="M1641" s="1">
        <v>46256</v>
      </c>
      <c r="N1641" t="s">
        <v>14</v>
      </c>
      <c r="O1641">
        <v>22</v>
      </c>
      <c r="P1641">
        <v>8</v>
      </c>
      <c r="Q1641">
        <v>3</v>
      </c>
      <c r="R1641">
        <v>2026</v>
      </c>
    </row>
    <row r="1642" spans="1:18">
      <c r="A1642">
        <v>209.12</v>
      </c>
      <c r="B1642">
        <v>4</v>
      </c>
      <c r="C1642">
        <v>1641</v>
      </c>
      <c r="D1642" s="2">
        <v>0.22203149305555556</v>
      </c>
      <c r="E1642" t="s">
        <v>982</v>
      </c>
      <c r="F1642" t="s">
        <v>983</v>
      </c>
      <c r="G1642" t="s">
        <v>984</v>
      </c>
      <c r="H1642" t="s">
        <v>985</v>
      </c>
      <c r="I1642" t="s">
        <v>817</v>
      </c>
      <c r="J1642" t="s">
        <v>412</v>
      </c>
      <c r="K1642" t="s">
        <v>27</v>
      </c>
      <c r="L1642">
        <v>52.28</v>
      </c>
      <c r="M1642" s="1">
        <v>45745</v>
      </c>
      <c r="N1642" t="s">
        <v>14</v>
      </c>
      <c r="O1642">
        <v>29</v>
      </c>
      <c r="P1642">
        <v>3</v>
      </c>
      <c r="Q1642">
        <v>1</v>
      </c>
      <c r="R1642">
        <v>2025</v>
      </c>
    </row>
    <row r="1643" spans="1:18">
      <c r="A1643">
        <v>60.12</v>
      </c>
      <c r="B1643">
        <v>4</v>
      </c>
      <c r="C1643">
        <v>1642</v>
      </c>
      <c r="D1643" s="2">
        <v>0.45139440972222222</v>
      </c>
      <c r="E1643" t="s">
        <v>3339</v>
      </c>
      <c r="F1643" t="s">
        <v>3340</v>
      </c>
      <c r="G1643" t="s">
        <v>3341</v>
      </c>
      <c r="H1643" t="s">
        <v>328</v>
      </c>
      <c r="I1643" t="s">
        <v>1003</v>
      </c>
      <c r="J1643" t="s">
        <v>523</v>
      </c>
      <c r="K1643" t="s">
        <v>23</v>
      </c>
      <c r="L1643">
        <v>15.03</v>
      </c>
      <c r="M1643" s="1">
        <v>45600</v>
      </c>
      <c r="N1643" t="s">
        <v>93</v>
      </c>
      <c r="O1643">
        <v>4</v>
      </c>
      <c r="P1643">
        <v>11</v>
      </c>
      <c r="Q1643">
        <v>4</v>
      </c>
      <c r="R1643">
        <v>2024</v>
      </c>
    </row>
    <row r="1644" spans="1:18">
      <c r="A1644">
        <v>148.28</v>
      </c>
      <c r="B1644">
        <v>1</v>
      </c>
      <c r="C1644">
        <v>1643</v>
      </c>
      <c r="D1644" s="2">
        <v>0.10104803240740741</v>
      </c>
      <c r="E1644" t="s">
        <v>2572</v>
      </c>
      <c r="F1644" t="s">
        <v>2573</v>
      </c>
      <c r="G1644" t="s">
        <v>1688</v>
      </c>
      <c r="H1644" t="s">
        <v>2574</v>
      </c>
      <c r="I1644" t="s">
        <v>839</v>
      </c>
      <c r="J1644" t="s">
        <v>568</v>
      </c>
      <c r="K1644" t="s">
        <v>51</v>
      </c>
      <c r="L1644">
        <v>148.28</v>
      </c>
      <c r="M1644" s="1">
        <v>45840</v>
      </c>
      <c r="N1644" t="s">
        <v>34</v>
      </c>
      <c r="O1644">
        <v>2</v>
      </c>
      <c r="P1644">
        <v>7</v>
      </c>
      <c r="Q1644">
        <v>3</v>
      </c>
      <c r="R1644">
        <v>2025</v>
      </c>
    </row>
    <row r="1645" spans="1:18">
      <c r="A1645">
        <v>178.68</v>
      </c>
      <c r="B1645">
        <v>3</v>
      </c>
      <c r="C1645">
        <v>1644</v>
      </c>
      <c r="D1645" s="2">
        <v>0.71146969907407409</v>
      </c>
      <c r="E1645" t="s">
        <v>2556</v>
      </c>
      <c r="F1645" t="s">
        <v>2557</v>
      </c>
      <c r="G1645" t="s">
        <v>976</v>
      </c>
      <c r="H1645" t="s">
        <v>136</v>
      </c>
      <c r="I1645" t="s">
        <v>776</v>
      </c>
      <c r="J1645" t="s">
        <v>573</v>
      </c>
      <c r="K1645" t="s">
        <v>55</v>
      </c>
      <c r="L1645">
        <v>59.56</v>
      </c>
      <c r="M1645" s="1">
        <v>45644</v>
      </c>
      <c r="N1645" t="s">
        <v>34</v>
      </c>
      <c r="O1645">
        <v>18</v>
      </c>
      <c r="P1645">
        <v>12</v>
      </c>
      <c r="Q1645">
        <v>4</v>
      </c>
      <c r="R1645">
        <v>2024</v>
      </c>
    </row>
    <row r="1646" spans="1:18">
      <c r="A1646">
        <v>403.06</v>
      </c>
      <c r="B1646">
        <v>2</v>
      </c>
      <c r="C1646">
        <v>1645</v>
      </c>
      <c r="D1646" s="2">
        <v>0.5320038773148148</v>
      </c>
      <c r="E1646" t="s">
        <v>2357</v>
      </c>
      <c r="F1646" t="s">
        <v>2358</v>
      </c>
      <c r="G1646" t="s">
        <v>2359</v>
      </c>
      <c r="H1646" t="s">
        <v>869</v>
      </c>
      <c r="I1646" t="s">
        <v>807</v>
      </c>
      <c r="J1646" t="s">
        <v>476</v>
      </c>
      <c r="K1646" t="s">
        <v>31</v>
      </c>
      <c r="L1646">
        <v>201.53</v>
      </c>
      <c r="M1646" s="1">
        <v>45559</v>
      </c>
      <c r="N1646" t="s">
        <v>48</v>
      </c>
      <c r="O1646">
        <v>24</v>
      </c>
      <c r="P1646">
        <v>9</v>
      </c>
      <c r="Q1646">
        <v>3</v>
      </c>
      <c r="R1646">
        <v>2024</v>
      </c>
    </row>
    <row r="1647" spans="1:18">
      <c r="A1647">
        <v>7.42</v>
      </c>
      <c r="B1647">
        <v>1</v>
      </c>
      <c r="C1647">
        <v>1646</v>
      </c>
      <c r="D1647" s="2">
        <v>0.20603189814814815</v>
      </c>
      <c r="E1647" t="s">
        <v>884</v>
      </c>
      <c r="F1647" t="s">
        <v>885</v>
      </c>
      <c r="G1647" t="s">
        <v>837</v>
      </c>
      <c r="H1647" t="s">
        <v>762</v>
      </c>
      <c r="I1647" t="s">
        <v>763</v>
      </c>
      <c r="J1647" t="s">
        <v>194</v>
      </c>
      <c r="K1647" t="s">
        <v>39</v>
      </c>
      <c r="L1647">
        <v>7.42</v>
      </c>
      <c r="M1647" s="1">
        <v>46103</v>
      </c>
      <c r="N1647" t="s">
        <v>28</v>
      </c>
      <c r="O1647">
        <v>22</v>
      </c>
      <c r="P1647">
        <v>3</v>
      </c>
      <c r="Q1647">
        <v>1</v>
      </c>
      <c r="R1647">
        <v>2026</v>
      </c>
    </row>
    <row r="1648" spans="1:18">
      <c r="A1648">
        <v>79.62</v>
      </c>
      <c r="B1648">
        <v>2</v>
      </c>
      <c r="C1648">
        <v>1647</v>
      </c>
      <c r="D1648" s="2">
        <v>0.39279368055555558</v>
      </c>
      <c r="E1648" t="s">
        <v>939</v>
      </c>
      <c r="F1648" t="s">
        <v>940</v>
      </c>
      <c r="G1648" t="s">
        <v>941</v>
      </c>
      <c r="H1648" t="s">
        <v>942</v>
      </c>
      <c r="I1648" t="s">
        <v>943</v>
      </c>
      <c r="J1648" t="s">
        <v>154</v>
      </c>
      <c r="K1648" t="s">
        <v>37</v>
      </c>
      <c r="L1648">
        <v>39.81</v>
      </c>
      <c r="M1648" s="1">
        <v>46032</v>
      </c>
      <c r="N1648" t="s">
        <v>14</v>
      </c>
      <c r="O1648">
        <v>10</v>
      </c>
      <c r="P1648">
        <v>1</v>
      </c>
      <c r="Q1648">
        <v>1</v>
      </c>
      <c r="R1648">
        <v>2026</v>
      </c>
    </row>
    <row r="1649" spans="1:18">
      <c r="A1649">
        <v>1126.9499999999998</v>
      </c>
      <c r="B1649">
        <v>5</v>
      </c>
      <c r="C1649">
        <v>1648</v>
      </c>
      <c r="D1649" s="2">
        <v>0.54401509259259262</v>
      </c>
      <c r="E1649" t="s">
        <v>796</v>
      </c>
      <c r="F1649" t="s">
        <v>797</v>
      </c>
      <c r="G1649" t="s">
        <v>798</v>
      </c>
      <c r="H1649" t="s">
        <v>780</v>
      </c>
      <c r="I1649" t="s">
        <v>781</v>
      </c>
      <c r="J1649" t="s">
        <v>152</v>
      </c>
      <c r="K1649" t="s">
        <v>19</v>
      </c>
      <c r="L1649">
        <v>225.39</v>
      </c>
      <c r="M1649" s="1">
        <v>45560</v>
      </c>
      <c r="N1649" t="s">
        <v>34</v>
      </c>
      <c r="O1649">
        <v>25</v>
      </c>
      <c r="P1649">
        <v>9</v>
      </c>
      <c r="Q1649">
        <v>3</v>
      </c>
      <c r="R1649">
        <v>2024</v>
      </c>
    </row>
    <row r="1650" spans="1:18">
      <c r="A1650">
        <v>286.48</v>
      </c>
      <c r="B1650">
        <v>4</v>
      </c>
      <c r="C1650">
        <v>1649</v>
      </c>
      <c r="D1650" s="2">
        <v>0.82164954861111106</v>
      </c>
      <c r="E1650" t="s">
        <v>986</v>
      </c>
      <c r="F1650" t="s">
        <v>987</v>
      </c>
      <c r="G1650" t="s">
        <v>988</v>
      </c>
      <c r="H1650" t="s">
        <v>708</v>
      </c>
      <c r="I1650" t="s">
        <v>834</v>
      </c>
      <c r="J1650" t="s">
        <v>680</v>
      </c>
      <c r="K1650" t="s">
        <v>69</v>
      </c>
      <c r="L1650">
        <v>71.62</v>
      </c>
      <c r="M1650" s="1">
        <v>45736</v>
      </c>
      <c r="N1650" t="s">
        <v>105</v>
      </c>
      <c r="O1650">
        <v>20</v>
      </c>
      <c r="P1650">
        <v>3</v>
      </c>
      <c r="Q1650">
        <v>1</v>
      </c>
      <c r="R1650">
        <v>2025</v>
      </c>
    </row>
    <row r="1651" spans="1:18">
      <c r="A1651">
        <v>574.48</v>
      </c>
      <c r="B1651">
        <v>4</v>
      </c>
      <c r="C1651">
        <v>1650</v>
      </c>
      <c r="D1651" s="2">
        <v>0.74747376157407408</v>
      </c>
      <c r="E1651" t="s">
        <v>944</v>
      </c>
      <c r="F1651" t="s">
        <v>945</v>
      </c>
      <c r="G1651" t="s">
        <v>946</v>
      </c>
      <c r="H1651" t="s">
        <v>199</v>
      </c>
      <c r="I1651" t="s">
        <v>781</v>
      </c>
      <c r="J1651" t="s">
        <v>326</v>
      </c>
      <c r="K1651" t="s">
        <v>97</v>
      </c>
      <c r="L1651">
        <v>143.62</v>
      </c>
      <c r="M1651" s="1">
        <v>45951</v>
      </c>
      <c r="N1651" t="s">
        <v>48</v>
      </c>
      <c r="O1651">
        <v>21</v>
      </c>
      <c r="P1651">
        <v>10</v>
      </c>
      <c r="Q1651">
        <v>4</v>
      </c>
      <c r="R1651">
        <v>2025</v>
      </c>
    </row>
    <row r="1652" spans="1:18">
      <c r="A1652">
        <v>168.64999999999998</v>
      </c>
      <c r="B1652">
        <v>5</v>
      </c>
      <c r="C1652">
        <v>1651</v>
      </c>
      <c r="D1652" s="2">
        <v>0.25217556712962963</v>
      </c>
      <c r="E1652" t="s">
        <v>1388</v>
      </c>
      <c r="F1652" t="s">
        <v>1389</v>
      </c>
      <c r="G1652" t="s">
        <v>1390</v>
      </c>
      <c r="H1652" t="s">
        <v>322</v>
      </c>
      <c r="I1652" t="s">
        <v>795</v>
      </c>
      <c r="J1652" t="s">
        <v>527</v>
      </c>
      <c r="K1652" t="s">
        <v>27</v>
      </c>
      <c r="L1652">
        <v>33.729999999999997</v>
      </c>
      <c r="M1652" s="1">
        <v>45883</v>
      </c>
      <c r="N1652" t="s">
        <v>105</v>
      </c>
      <c r="O1652">
        <v>14</v>
      </c>
      <c r="P1652">
        <v>8</v>
      </c>
      <c r="Q1652">
        <v>3</v>
      </c>
      <c r="R1652">
        <v>2025</v>
      </c>
    </row>
    <row r="1653" spans="1:18">
      <c r="A1653">
        <v>532.9</v>
      </c>
      <c r="B1653">
        <v>5</v>
      </c>
      <c r="C1653">
        <v>1652</v>
      </c>
      <c r="D1653" s="2">
        <v>0.93654814814814813</v>
      </c>
      <c r="E1653" t="s">
        <v>1671</v>
      </c>
      <c r="F1653" t="s">
        <v>1672</v>
      </c>
      <c r="G1653" t="s">
        <v>1013</v>
      </c>
      <c r="H1653" t="s">
        <v>1673</v>
      </c>
      <c r="I1653" t="s">
        <v>821</v>
      </c>
      <c r="J1653" t="s">
        <v>670</v>
      </c>
      <c r="K1653" t="s">
        <v>57</v>
      </c>
      <c r="L1653">
        <v>106.58</v>
      </c>
      <c r="M1653" s="1">
        <v>45813</v>
      </c>
      <c r="N1653" t="s">
        <v>105</v>
      </c>
      <c r="O1653">
        <v>5</v>
      </c>
      <c r="P1653">
        <v>6</v>
      </c>
      <c r="Q1653">
        <v>2</v>
      </c>
      <c r="R1653">
        <v>2025</v>
      </c>
    </row>
    <row r="1654" spans="1:18">
      <c r="A1654">
        <v>49.66</v>
      </c>
      <c r="B1654">
        <v>2</v>
      </c>
      <c r="C1654">
        <v>1653</v>
      </c>
      <c r="D1654" s="2">
        <v>7.821305555555555E-2</v>
      </c>
      <c r="E1654" t="s">
        <v>1068</v>
      </c>
      <c r="F1654" t="s">
        <v>1069</v>
      </c>
      <c r="G1654" t="s">
        <v>1070</v>
      </c>
      <c r="H1654" t="s">
        <v>1071</v>
      </c>
      <c r="I1654" t="s">
        <v>817</v>
      </c>
      <c r="J1654" t="s">
        <v>338</v>
      </c>
      <c r="K1654" t="s">
        <v>82</v>
      </c>
      <c r="L1654">
        <v>24.83</v>
      </c>
      <c r="M1654" s="1">
        <v>46183</v>
      </c>
      <c r="N1654" t="s">
        <v>34</v>
      </c>
      <c r="O1654">
        <v>10</v>
      </c>
      <c r="P1654">
        <v>6</v>
      </c>
      <c r="Q1654">
        <v>2</v>
      </c>
      <c r="R1654">
        <v>2026</v>
      </c>
    </row>
    <row r="1655" spans="1:18">
      <c r="A1655">
        <v>720.48</v>
      </c>
      <c r="B1655">
        <v>4</v>
      </c>
      <c r="C1655">
        <v>1654</v>
      </c>
      <c r="D1655" s="2">
        <v>0.11584324074074075</v>
      </c>
      <c r="E1655" t="s">
        <v>3036</v>
      </c>
      <c r="F1655" t="s">
        <v>3037</v>
      </c>
      <c r="G1655" t="s">
        <v>1110</v>
      </c>
      <c r="H1655" t="s">
        <v>1061</v>
      </c>
      <c r="I1655" t="s">
        <v>834</v>
      </c>
      <c r="J1655" t="s">
        <v>618</v>
      </c>
      <c r="K1655" t="s">
        <v>100</v>
      </c>
      <c r="L1655">
        <v>180.12</v>
      </c>
      <c r="M1655" s="1">
        <v>46046</v>
      </c>
      <c r="N1655" t="s">
        <v>14</v>
      </c>
      <c r="O1655">
        <v>24</v>
      </c>
      <c r="P1655">
        <v>1</v>
      </c>
      <c r="Q1655">
        <v>1</v>
      </c>
      <c r="R1655">
        <v>2026</v>
      </c>
    </row>
    <row r="1656" spans="1:18">
      <c r="A1656">
        <v>47.32</v>
      </c>
      <c r="B1656">
        <v>4</v>
      </c>
      <c r="C1656">
        <v>1655</v>
      </c>
      <c r="D1656" s="2">
        <v>0.2603241550925926</v>
      </c>
      <c r="E1656" t="s">
        <v>2766</v>
      </c>
      <c r="F1656" t="s">
        <v>2767</v>
      </c>
      <c r="G1656" t="s">
        <v>1709</v>
      </c>
      <c r="H1656" t="s">
        <v>608</v>
      </c>
      <c r="I1656" t="s">
        <v>966</v>
      </c>
      <c r="J1656" t="s">
        <v>220</v>
      </c>
      <c r="K1656" t="s">
        <v>97</v>
      </c>
      <c r="L1656">
        <v>11.83</v>
      </c>
      <c r="M1656" s="1">
        <v>45958</v>
      </c>
      <c r="N1656" t="s">
        <v>48</v>
      </c>
      <c r="O1656">
        <v>28</v>
      </c>
      <c r="P1656">
        <v>10</v>
      </c>
      <c r="Q1656">
        <v>4</v>
      </c>
      <c r="R1656">
        <v>2025</v>
      </c>
    </row>
    <row r="1657" spans="1:18">
      <c r="A1657">
        <v>844.6</v>
      </c>
      <c r="B1657">
        <v>4</v>
      </c>
      <c r="C1657">
        <v>1656</v>
      </c>
      <c r="D1657" s="2">
        <v>0.67117998842592597</v>
      </c>
      <c r="E1657" t="s">
        <v>2516</v>
      </c>
      <c r="F1657" t="s">
        <v>2517</v>
      </c>
      <c r="G1657" t="s">
        <v>1793</v>
      </c>
      <c r="H1657" t="s">
        <v>106</v>
      </c>
      <c r="I1657" t="s">
        <v>896</v>
      </c>
      <c r="J1657" t="s">
        <v>221</v>
      </c>
      <c r="K1657" t="s">
        <v>60</v>
      </c>
      <c r="L1657">
        <v>211.15</v>
      </c>
      <c r="M1657" s="1">
        <v>45990</v>
      </c>
      <c r="N1657" t="s">
        <v>14</v>
      </c>
      <c r="O1657">
        <v>29</v>
      </c>
      <c r="P1657">
        <v>11</v>
      </c>
      <c r="Q1657">
        <v>4</v>
      </c>
      <c r="R1657">
        <v>2025</v>
      </c>
    </row>
    <row r="1658" spans="1:18">
      <c r="A1658">
        <v>163.13999999999999</v>
      </c>
      <c r="B1658">
        <v>1</v>
      </c>
      <c r="C1658">
        <v>1657</v>
      </c>
      <c r="D1658" s="2">
        <v>0.95758313657407412</v>
      </c>
      <c r="E1658" t="s">
        <v>1546</v>
      </c>
      <c r="F1658" t="s">
        <v>1547</v>
      </c>
      <c r="G1658" t="s">
        <v>952</v>
      </c>
      <c r="H1658" t="s">
        <v>380</v>
      </c>
      <c r="I1658" t="s">
        <v>776</v>
      </c>
      <c r="J1658" t="s">
        <v>183</v>
      </c>
      <c r="K1658" t="s">
        <v>19</v>
      </c>
      <c r="L1658">
        <v>163.13999999999999</v>
      </c>
      <c r="M1658" s="1">
        <v>46257</v>
      </c>
      <c r="N1658" t="s">
        <v>28</v>
      </c>
      <c r="O1658">
        <v>23</v>
      </c>
      <c r="P1658">
        <v>8</v>
      </c>
      <c r="Q1658">
        <v>3</v>
      </c>
      <c r="R1658">
        <v>2026</v>
      </c>
    </row>
    <row r="1659" spans="1:18">
      <c r="A1659">
        <v>145.63</v>
      </c>
      <c r="B1659">
        <v>1</v>
      </c>
      <c r="C1659">
        <v>1658</v>
      </c>
      <c r="D1659" s="2">
        <v>0.65700377314814817</v>
      </c>
      <c r="E1659" t="s">
        <v>1588</v>
      </c>
      <c r="F1659" t="s">
        <v>1589</v>
      </c>
      <c r="G1659" t="s">
        <v>1590</v>
      </c>
      <c r="H1659" t="s">
        <v>1591</v>
      </c>
      <c r="I1659" t="s">
        <v>966</v>
      </c>
      <c r="J1659" t="s">
        <v>191</v>
      </c>
      <c r="K1659" t="s">
        <v>60</v>
      </c>
      <c r="L1659">
        <v>145.63</v>
      </c>
      <c r="M1659" s="1">
        <v>45654</v>
      </c>
      <c r="N1659" t="s">
        <v>14</v>
      </c>
      <c r="O1659">
        <v>28</v>
      </c>
      <c r="P1659">
        <v>12</v>
      </c>
      <c r="Q1659">
        <v>4</v>
      </c>
      <c r="R1659">
        <v>2024</v>
      </c>
    </row>
    <row r="1660" spans="1:18">
      <c r="A1660">
        <v>176.53</v>
      </c>
      <c r="B1660">
        <v>1</v>
      </c>
      <c r="C1660">
        <v>1659</v>
      </c>
      <c r="D1660" s="2">
        <v>0.59731542824074069</v>
      </c>
      <c r="E1660" t="s">
        <v>2901</v>
      </c>
      <c r="F1660" t="s">
        <v>2738</v>
      </c>
      <c r="G1660" t="s">
        <v>946</v>
      </c>
      <c r="H1660" t="s">
        <v>644</v>
      </c>
      <c r="I1660" t="s">
        <v>748</v>
      </c>
      <c r="J1660" t="s">
        <v>631</v>
      </c>
      <c r="K1660" t="s">
        <v>39</v>
      </c>
      <c r="L1660">
        <v>176.53</v>
      </c>
      <c r="M1660" s="1">
        <v>46021</v>
      </c>
      <c r="N1660" t="s">
        <v>48</v>
      </c>
      <c r="O1660">
        <v>30</v>
      </c>
      <c r="P1660">
        <v>12</v>
      </c>
      <c r="Q1660">
        <v>4</v>
      </c>
      <c r="R1660">
        <v>2025</v>
      </c>
    </row>
    <row r="1661" spans="1:18">
      <c r="A1661">
        <v>12.38</v>
      </c>
      <c r="B1661">
        <v>2</v>
      </c>
      <c r="C1661">
        <v>1660</v>
      </c>
      <c r="D1661" s="2">
        <v>0.48837640046296299</v>
      </c>
      <c r="E1661" t="s">
        <v>3063</v>
      </c>
      <c r="F1661" t="s">
        <v>3064</v>
      </c>
      <c r="G1661" t="s">
        <v>1390</v>
      </c>
      <c r="H1661" t="s">
        <v>772</v>
      </c>
      <c r="I1661" t="s">
        <v>758</v>
      </c>
      <c r="J1661" t="s">
        <v>662</v>
      </c>
      <c r="K1661" t="s">
        <v>21</v>
      </c>
      <c r="L1661">
        <v>6.19</v>
      </c>
      <c r="M1661" s="1">
        <v>46121</v>
      </c>
      <c r="N1661" t="s">
        <v>105</v>
      </c>
      <c r="O1661">
        <v>9</v>
      </c>
      <c r="P1661">
        <v>4</v>
      </c>
      <c r="Q1661">
        <v>2</v>
      </c>
      <c r="R1661">
        <v>2026</v>
      </c>
    </row>
    <row r="1662" spans="1:18">
      <c r="A1662">
        <v>309.48</v>
      </c>
      <c r="B1662">
        <v>2</v>
      </c>
      <c r="C1662">
        <v>1661</v>
      </c>
      <c r="D1662" s="2">
        <v>5.7011377314814815E-2</v>
      </c>
      <c r="E1662" t="s">
        <v>1494</v>
      </c>
      <c r="F1662" t="s">
        <v>1495</v>
      </c>
      <c r="G1662" t="s">
        <v>1110</v>
      </c>
      <c r="H1662" t="s">
        <v>1415</v>
      </c>
      <c r="I1662" t="s">
        <v>812</v>
      </c>
      <c r="J1662" t="s">
        <v>547</v>
      </c>
      <c r="K1662" t="s">
        <v>97</v>
      </c>
      <c r="L1662">
        <v>154.74</v>
      </c>
      <c r="M1662" s="1">
        <v>45725</v>
      </c>
      <c r="N1662" t="s">
        <v>28</v>
      </c>
      <c r="O1662">
        <v>9</v>
      </c>
      <c r="P1662">
        <v>3</v>
      </c>
      <c r="Q1662">
        <v>1</v>
      </c>
      <c r="R1662">
        <v>2025</v>
      </c>
    </row>
    <row r="1663" spans="1:18">
      <c r="A1663">
        <v>125.4</v>
      </c>
      <c r="B1663">
        <v>4</v>
      </c>
      <c r="C1663">
        <v>1662</v>
      </c>
      <c r="D1663" s="2">
        <v>0.50953438657407413</v>
      </c>
      <c r="E1663" t="s">
        <v>2161</v>
      </c>
      <c r="F1663" t="s">
        <v>2162</v>
      </c>
      <c r="G1663" t="s">
        <v>824</v>
      </c>
      <c r="H1663" t="s">
        <v>1882</v>
      </c>
      <c r="I1663" t="s">
        <v>795</v>
      </c>
      <c r="J1663" t="s">
        <v>557</v>
      </c>
      <c r="K1663" t="s">
        <v>46</v>
      </c>
      <c r="L1663">
        <v>31.35</v>
      </c>
      <c r="M1663" s="1">
        <v>46019</v>
      </c>
      <c r="N1663" t="s">
        <v>28</v>
      </c>
      <c r="O1663">
        <v>28</v>
      </c>
      <c r="P1663">
        <v>12</v>
      </c>
      <c r="Q1663">
        <v>4</v>
      </c>
      <c r="R1663">
        <v>2025</v>
      </c>
    </row>
    <row r="1664" spans="1:18">
      <c r="A1664">
        <v>332.82</v>
      </c>
      <c r="B1664">
        <v>2</v>
      </c>
      <c r="C1664">
        <v>1663</v>
      </c>
      <c r="D1664" s="2">
        <v>0.76340903935185189</v>
      </c>
      <c r="E1664" t="s">
        <v>2211</v>
      </c>
      <c r="F1664" t="s">
        <v>2212</v>
      </c>
      <c r="G1664" t="s">
        <v>1298</v>
      </c>
      <c r="H1664" t="s">
        <v>862</v>
      </c>
      <c r="I1664" t="s">
        <v>807</v>
      </c>
      <c r="J1664" t="s">
        <v>285</v>
      </c>
      <c r="K1664" t="s">
        <v>17</v>
      </c>
      <c r="L1664">
        <v>166.41</v>
      </c>
      <c r="M1664" s="1">
        <v>46263</v>
      </c>
      <c r="N1664" t="s">
        <v>14</v>
      </c>
      <c r="O1664">
        <v>29</v>
      </c>
      <c r="P1664">
        <v>8</v>
      </c>
      <c r="Q1664">
        <v>3</v>
      </c>
      <c r="R1664">
        <v>2026</v>
      </c>
    </row>
    <row r="1665" spans="1:18">
      <c r="A1665">
        <v>399.09000000000003</v>
      </c>
      <c r="B1665">
        <v>3</v>
      </c>
      <c r="C1665">
        <v>1664</v>
      </c>
      <c r="D1665" s="2">
        <v>8.8737650462962961E-2</v>
      </c>
      <c r="E1665" t="s">
        <v>1730</v>
      </c>
      <c r="F1665" t="s">
        <v>1731</v>
      </c>
      <c r="G1665" t="s">
        <v>1143</v>
      </c>
      <c r="H1665" t="s">
        <v>1327</v>
      </c>
      <c r="I1665" t="s">
        <v>795</v>
      </c>
      <c r="J1665" t="s">
        <v>112</v>
      </c>
      <c r="K1665" t="s">
        <v>21</v>
      </c>
      <c r="L1665">
        <v>133.03</v>
      </c>
      <c r="M1665" s="1">
        <v>46223</v>
      </c>
      <c r="N1665" t="s">
        <v>93</v>
      </c>
      <c r="O1665">
        <v>20</v>
      </c>
      <c r="P1665">
        <v>7</v>
      </c>
      <c r="Q1665">
        <v>3</v>
      </c>
      <c r="R1665">
        <v>2026</v>
      </c>
    </row>
    <row r="1666" spans="1:18">
      <c r="A1666">
        <v>1044.55</v>
      </c>
      <c r="B1666">
        <v>5</v>
      </c>
      <c r="C1666">
        <v>1665</v>
      </c>
      <c r="D1666" s="2">
        <v>0.7141852314814815</v>
      </c>
      <c r="E1666" t="s">
        <v>3367</v>
      </c>
      <c r="F1666" t="s">
        <v>3368</v>
      </c>
      <c r="G1666" t="s">
        <v>1271</v>
      </c>
      <c r="H1666" t="s">
        <v>862</v>
      </c>
      <c r="I1666" t="s">
        <v>981</v>
      </c>
      <c r="J1666" t="s">
        <v>723</v>
      </c>
      <c r="K1666" t="s">
        <v>46</v>
      </c>
      <c r="L1666">
        <v>208.91</v>
      </c>
      <c r="M1666" s="1">
        <v>45975</v>
      </c>
      <c r="N1666" t="s">
        <v>79</v>
      </c>
      <c r="O1666">
        <v>14</v>
      </c>
      <c r="P1666">
        <v>11</v>
      </c>
      <c r="Q1666">
        <v>4</v>
      </c>
      <c r="R1666">
        <v>2025</v>
      </c>
    </row>
    <row r="1667" spans="1:18">
      <c r="A1667">
        <v>159.84</v>
      </c>
      <c r="B1667">
        <v>2</v>
      </c>
      <c r="C1667">
        <v>1666</v>
      </c>
      <c r="D1667" s="2">
        <v>0.57569314814814809</v>
      </c>
      <c r="E1667" t="s">
        <v>962</v>
      </c>
      <c r="F1667" t="s">
        <v>963</v>
      </c>
      <c r="G1667" t="s">
        <v>964</v>
      </c>
      <c r="H1667" t="s">
        <v>965</v>
      </c>
      <c r="I1667" t="s">
        <v>966</v>
      </c>
      <c r="J1667" t="s">
        <v>209</v>
      </c>
      <c r="K1667" t="s">
        <v>25</v>
      </c>
      <c r="L1667">
        <v>79.92</v>
      </c>
      <c r="M1667" s="1">
        <v>45743</v>
      </c>
      <c r="N1667" t="s">
        <v>105</v>
      </c>
      <c r="O1667">
        <v>27</v>
      </c>
      <c r="P1667">
        <v>3</v>
      </c>
      <c r="Q1667">
        <v>1</v>
      </c>
      <c r="R1667">
        <v>2025</v>
      </c>
    </row>
    <row r="1668" spans="1:18">
      <c r="A1668">
        <v>94.32</v>
      </c>
      <c r="B1668">
        <v>4</v>
      </c>
      <c r="C1668">
        <v>1667</v>
      </c>
      <c r="D1668" s="2">
        <v>0.93341225694444441</v>
      </c>
      <c r="E1668" t="s">
        <v>809</v>
      </c>
      <c r="F1668" t="s">
        <v>810</v>
      </c>
      <c r="G1668" t="s">
        <v>811</v>
      </c>
      <c r="H1668" t="s">
        <v>280</v>
      </c>
      <c r="I1668" t="s">
        <v>812</v>
      </c>
      <c r="J1668" t="s">
        <v>466</v>
      </c>
      <c r="K1668" t="s">
        <v>46</v>
      </c>
      <c r="L1668">
        <v>23.58</v>
      </c>
      <c r="M1668" s="1">
        <v>45739</v>
      </c>
      <c r="N1668" t="s">
        <v>28</v>
      </c>
      <c r="O1668">
        <v>23</v>
      </c>
      <c r="P1668">
        <v>3</v>
      </c>
      <c r="Q1668">
        <v>1</v>
      </c>
      <c r="R1668">
        <v>2025</v>
      </c>
    </row>
    <row r="1669" spans="1:18">
      <c r="A1669">
        <v>247.15</v>
      </c>
      <c r="B1669">
        <v>5</v>
      </c>
      <c r="C1669">
        <v>1668</v>
      </c>
      <c r="D1669" s="2">
        <v>0.32115652777777776</v>
      </c>
      <c r="E1669" t="s">
        <v>1612</v>
      </c>
      <c r="F1669" t="s">
        <v>1613</v>
      </c>
      <c r="G1669" t="s">
        <v>1508</v>
      </c>
      <c r="H1669" t="s">
        <v>919</v>
      </c>
      <c r="I1669" t="s">
        <v>786</v>
      </c>
      <c r="J1669" t="s">
        <v>347</v>
      </c>
      <c r="K1669" t="s">
        <v>69</v>
      </c>
      <c r="L1669">
        <v>49.43</v>
      </c>
      <c r="M1669" s="1">
        <v>46046</v>
      </c>
      <c r="N1669" t="s">
        <v>14</v>
      </c>
      <c r="O1669">
        <v>24</v>
      </c>
      <c r="P1669">
        <v>1</v>
      </c>
      <c r="Q1669">
        <v>1</v>
      </c>
      <c r="R1669">
        <v>2026</v>
      </c>
    </row>
    <row r="1670" spans="1:18">
      <c r="A1670">
        <v>324.92</v>
      </c>
      <c r="B1670">
        <v>2</v>
      </c>
      <c r="C1670">
        <v>1669</v>
      </c>
      <c r="D1670" s="2">
        <v>0.1340141898148148</v>
      </c>
      <c r="E1670" t="s">
        <v>1466</v>
      </c>
      <c r="F1670" t="s">
        <v>1467</v>
      </c>
      <c r="G1670" t="s">
        <v>1468</v>
      </c>
      <c r="H1670" t="s">
        <v>1469</v>
      </c>
      <c r="I1670" t="s">
        <v>908</v>
      </c>
      <c r="J1670" t="s">
        <v>218</v>
      </c>
      <c r="K1670" t="s">
        <v>97</v>
      </c>
      <c r="L1670">
        <v>162.46</v>
      </c>
      <c r="M1670" s="1">
        <v>45612</v>
      </c>
      <c r="N1670" t="s">
        <v>14</v>
      </c>
      <c r="O1670">
        <v>16</v>
      </c>
      <c r="P1670">
        <v>11</v>
      </c>
      <c r="Q1670">
        <v>4</v>
      </c>
      <c r="R1670">
        <v>2024</v>
      </c>
    </row>
    <row r="1671" spans="1:18">
      <c r="A1671">
        <v>52.21</v>
      </c>
      <c r="B1671">
        <v>1</v>
      </c>
      <c r="C1671">
        <v>1670</v>
      </c>
      <c r="D1671" s="2">
        <v>0.75373809027777783</v>
      </c>
      <c r="E1671" t="s">
        <v>2690</v>
      </c>
      <c r="F1671" t="s">
        <v>2691</v>
      </c>
      <c r="G1671" t="s">
        <v>2692</v>
      </c>
      <c r="H1671" t="s">
        <v>2489</v>
      </c>
      <c r="I1671" t="s">
        <v>1247</v>
      </c>
      <c r="J1671" t="s">
        <v>137</v>
      </c>
      <c r="K1671" t="s">
        <v>82</v>
      </c>
      <c r="L1671">
        <v>52.21</v>
      </c>
      <c r="M1671" s="1">
        <v>46133</v>
      </c>
      <c r="N1671" t="s">
        <v>48</v>
      </c>
      <c r="O1671">
        <v>21</v>
      </c>
      <c r="P1671">
        <v>4</v>
      </c>
      <c r="Q1671">
        <v>2</v>
      </c>
      <c r="R1671">
        <v>2026</v>
      </c>
    </row>
    <row r="1672" spans="1:18">
      <c r="A1672">
        <v>414.14</v>
      </c>
      <c r="B1672">
        <v>2</v>
      </c>
      <c r="C1672">
        <v>1671</v>
      </c>
      <c r="D1672" s="2">
        <v>0.98477287037037042</v>
      </c>
      <c r="E1672" t="s">
        <v>3053</v>
      </c>
      <c r="F1672" t="s">
        <v>1355</v>
      </c>
      <c r="G1672" t="s">
        <v>3057</v>
      </c>
      <c r="H1672" t="s">
        <v>49</v>
      </c>
      <c r="I1672" t="s">
        <v>892</v>
      </c>
      <c r="J1672" t="s">
        <v>201</v>
      </c>
      <c r="K1672" t="s">
        <v>37</v>
      </c>
      <c r="L1672">
        <v>207.07</v>
      </c>
      <c r="M1672" s="1">
        <v>46050</v>
      </c>
      <c r="N1672" t="s">
        <v>34</v>
      </c>
      <c r="O1672">
        <v>28</v>
      </c>
      <c r="P1672">
        <v>1</v>
      </c>
      <c r="Q1672">
        <v>1</v>
      </c>
      <c r="R1672">
        <v>2026</v>
      </c>
    </row>
    <row r="1673" spans="1:18">
      <c r="A1673">
        <v>64.53</v>
      </c>
      <c r="B1673">
        <v>3</v>
      </c>
      <c r="C1673">
        <v>1672</v>
      </c>
      <c r="D1673" s="2">
        <v>0.29972349537037035</v>
      </c>
      <c r="E1673" t="s">
        <v>1936</v>
      </c>
      <c r="F1673" t="s">
        <v>1937</v>
      </c>
      <c r="G1673" t="s">
        <v>1938</v>
      </c>
      <c r="H1673" t="s">
        <v>1039</v>
      </c>
      <c r="I1673" t="s">
        <v>758</v>
      </c>
      <c r="J1673" t="s">
        <v>1939</v>
      </c>
      <c r="K1673" t="s">
        <v>57</v>
      </c>
      <c r="L1673">
        <v>21.51</v>
      </c>
      <c r="M1673" s="1">
        <v>45751</v>
      </c>
      <c r="N1673" t="s">
        <v>79</v>
      </c>
      <c r="O1673">
        <v>4</v>
      </c>
      <c r="P1673">
        <v>4</v>
      </c>
      <c r="Q1673">
        <v>2</v>
      </c>
      <c r="R1673">
        <v>2025</v>
      </c>
    </row>
    <row r="1674" spans="1:18">
      <c r="A1674">
        <v>571.36</v>
      </c>
      <c r="B1674">
        <v>4</v>
      </c>
      <c r="C1674">
        <v>1673</v>
      </c>
      <c r="D1674" s="2">
        <v>0.86674979166666666</v>
      </c>
      <c r="E1674" t="s">
        <v>2625</v>
      </c>
      <c r="F1674" t="s">
        <v>2626</v>
      </c>
      <c r="G1674" t="s">
        <v>1383</v>
      </c>
      <c r="H1674" t="s">
        <v>106</v>
      </c>
      <c r="I1674" t="s">
        <v>748</v>
      </c>
      <c r="J1674" t="s">
        <v>465</v>
      </c>
      <c r="K1674" t="s">
        <v>31</v>
      </c>
      <c r="L1674">
        <v>142.84</v>
      </c>
      <c r="M1674" s="1">
        <v>46115</v>
      </c>
      <c r="N1674" t="s">
        <v>79</v>
      </c>
      <c r="O1674">
        <v>3</v>
      </c>
      <c r="P1674">
        <v>4</v>
      </c>
      <c r="Q1674">
        <v>2</v>
      </c>
      <c r="R1674">
        <v>2026</v>
      </c>
    </row>
    <row r="1675" spans="1:18">
      <c r="A1675">
        <v>1245.5999999999999</v>
      </c>
      <c r="B1675">
        <v>5</v>
      </c>
      <c r="C1675">
        <v>1674</v>
      </c>
      <c r="D1675" s="2">
        <v>6.5133159722222222E-2</v>
      </c>
      <c r="E1675" t="s">
        <v>1769</v>
      </c>
      <c r="F1675" t="s">
        <v>1770</v>
      </c>
      <c r="G1675" t="s">
        <v>1771</v>
      </c>
      <c r="H1675" t="s">
        <v>915</v>
      </c>
      <c r="I1675" t="s">
        <v>768</v>
      </c>
      <c r="J1675" t="s">
        <v>65</v>
      </c>
      <c r="K1675" t="s">
        <v>60</v>
      </c>
      <c r="L1675">
        <v>249.12</v>
      </c>
      <c r="M1675" s="1">
        <v>46139</v>
      </c>
      <c r="N1675" t="s">
        <v>93</v>
      </c>
      <c r="O1675">
        <v>27</v>
      </c>
      <c r="P1675">
        <v>4</v>
      </c>
      <c r="Q1675">
        <v>2</v>
      </c>
      <c r="R1675">
        <v>2026</v>
      </c>
    </row>
    <row r="1676" spans="1:18">
      <c r="A1676">
        <v>707.55</v>
      </c>
      <c r="B1676">
        <v>5</v>
      </c>
      <c r="C1676">
        <v>1675</v>
      </c>
      <c r="D1676" s="2">
        <v>0.43692623842592593</v>
      </c>
      <c r="E1676" t="s">
        <v>1381</v>
      </c>
      <c r="F1676" t="s">
        <v>1382</v>
      </c>
      <c r="G1676" t="s">
        <v>1383</v>
      </c>
      <c r="H1676" t="s">
        <v>1384</v>
      </c>
      <c r="I1676" t="s">
        <v>908</v>
      </c>
      <c r="J1676" t="s">
        <v>437</v>
      </c>
      <c r="K1676" t="s">
        <v>122</v>
      </c>
      <c r="L1676">
        <v>141.51</v>
      </c>
      <c r="M1676" s="1">
        <v>45835</v>
      </c>
      <c r="N1676" t="s">
        <v>79</v>
      </c>
      <c r="O1676">
        <v>27</v>
      </c>
      <c r="P1676">
        <v>6</v>
      </c>
      <c r="Q1676">
        <v>2</v>
      </c>
      <c r="R1676">
        <v>2025</v>
      </c>
    </row>
    <row r="1677" spans="1:18">
      <c r="A1677">
        <v>291.66000000000003</v>
      </c>
      <c r="B1677">
        <v>2</v>
      </c>
      <c r="C1677">
        <v>1676</v>
      </c>
      <c r="D1677" s="2">
        <v>0.9947597222222222</v>
      </c>
      <c r="E1677" t="s">
        <v>2827</v>
      </c>
      <c r="F1677" t="s">
        <v>2828</v>
      </c>
      <c r="G1677" t="s">
        <v>991</v>
      </c>
      <c r="H1677" t="s">
        <v>1213</v>
      </c>
      <c r="I1677" t="s">
        <v>839</v>
      </c>
      <c r="J1677" t="s">
        <v>171</v>
      </c>
      <c r="K1677" t="s">
        <v>46</v>
      </c>
      <c r="L1677">
        <v>145.83000000000001</v>
      </c>
      <c r="M1677" s="1">
        <v>45634</v>
      </c>
      <c r="N1677" t="s">
        <v>28</v>
      </c>
      <c r="O1677">
        <v>8</v>
      </c>
      <c r="P1677">
        <v>12</v>
      </c>
      <c r="Q1677">
        <v>4</v>
      </c>
      <c r="R1677">
        <v>2024</v>
      </c>
    </row>
    <row r="1678" spans="1:18">
      <c r="A1678">
        <v>34.03</v>
      </c>
      <c r="B1678">
        <v>1</v>
      </c>
      <c r="C1678">
        <v>1677</v>
      </c>
      <c r="D1678" s="2">
        <v>0.55294797453703703</v>
      </c>
      <c r="E1678" t="s">
        <v>2805</v>
      </c>
      <c r="F1678" t="s">
        <v>2806</v>
      </c>
      <c r="G1678" t="s">
        <v>2141</v>
      </c>
      <c r="H1678" t="s">
        <v>995</v>
      </c>
      <c r="I1678" t="s">
        <v>781</v>
      </c>
      <c r="J1678" t="s">
        <v>678</v>
      </c>
      <c r="K1678" t="s">
        <v>100</v>
      </c>
      <c r="L1678">
        <v>34.03</v>
      </c>
      <c r="M1678" s="1">
        <v>45897</v>
      </c>
      <c r="N1678" t="s">
        <v>105</v>
      </c>
      <c r="O1678">
        <v>28</v>
      </c>
      <c r="P1678">
        <v>8</v>
      </c>
      <c r="Q1678">
        <v>3</v>
      </c>
      <c r="R1678">
        <v>2025</v>
      </c>
    </row>
    <row r="1679" spans="1:18">
      <c r="A1679">
        <v>366.24</v>
      </c>
      <c r="B1679">
        <v>3</v>
      </c>
      <c r="C1679">
        <v>1678</v>
      </c>
      <c r="D1679" s="2">
        <v>0.2380281712962963</v>
      </c>
      <c r="E1679" t="s">
        <v>3375</v>
      </c>
      <c r="F1679" t="s">
        <v>3376</v>
      </c>
      <c r="G1679" t="s">
        <v>1625</v>
      </c>
      <c r="H1679" t="s">
        <v>1434</v>
      </c>
      <c r="I1679" t="s">
        <v>786</v>
      </c>
      <c r="J1679" t="s">
        <v>646</v>
      </c>
      <c r="K1679" t="s">
        <v>21</v>
      </c>
      <c r="L1679">
        <v>122.08</v>
      </c>
      <c r="M1679" s="1">
        <v>46081</v>
      </c>
      <c r="N1679" t="s">
        <v>14</v>
      </c>
      <c r="O1679">
        <v>28</v>
      </c>
      <c r="P1679">
        <v>2</v>
      </c>
      <c r="Q1679">
        <v>1</v>
      </c>
      <c r="R1679">
        <v>2026</v>
      </c>
    </row>
    <row r="1680" spans="1:18">
      <c r="A1680">
        <v>652.55999999999995</v>
      </c>
      <c r="B1680">
        <v>4</v>
      </c>
      <c r="C1680">
        <v>1679</v>
      </c>
      <c r="D1680" s="2">
        <v>0.91590039351851849</v>
      </c>
      <c r="E1680" t="s">
        <v>3027</v>
      </c>
      <c r="F1680" t="s">
        <v>3028</v>
      </c>
      <c r="G1680" t="s">
        <v>2098</v>
      </c>
      <c r="H1680" t="s">
        <v>843</v>
      </c>
      <c r="I1680" t="s">
        <v>753</v>
      </c>
      <c r="J1680" t="s">
        <v>183</v>
      </c>
      <c r="K1680" t="s">
        <v>19</v>
      </c>
      <c r="L1680">
        <v>163.13999999999999</v>
      </c>
      <c r="M1680" s="1">
        <v>45791</v>
      </c>
      <c r="N1680" t="s">
        <v>34</v>
      </c>
      <c r="O1680">
        <v>14</v>
      </c>
      <c r="P1680">
        <v>5</v>
      </c>
      <c r="Q1680">
        <v>2</v>
      </c>
      <c r="R1680">
        <v>2025</v>
      </c>
    </row>
    <row r="1681" spans="1:18">
      <c r="A1681">
        <v>680.91</v>
      </c>
      <c r="B1681">
        <v>3</v>
      </c>
      <c r="C1681">
        <v>1680</v>
      </c>
      <c r="D1681" s="2">
        <v>0.75436609953703704</v>
      </c>
      <c r="E1681" t="s">
        <v>1372</v>
      </c>
      <c r="F1681" t="s">
        <v>1373</v>
      </c>
      <c r="G1681" t="s">
        <v>1374</v>
      </c>
      <c r="H1681" t="s">
        <v>49</v>
      </c>
      <c r="I1681" t="s">
        <v>807</v>
      </c>
      <c r="J1681" t="s">
        <v>283</v>
      </c>
      <c r="K1681" t="s">
        <v>100</v>
      </c>
      <c r="L1681">
        <v>226.97</v>
      </c>
      <c r="M1681" s="1">
        <v>45694</v>
      </c>
      <c r="N1681" t="s">
        <v>105</v>
      </c>
      <c r="O1681">
        <v>6</v>
      </c>
      <c r="P1681">
        <v>2</v>
      </c>
      <c r="Q1681">
        <v>1</v>
      </c>
      <c r="R1681">
        <v>2025</v>
      </c>
    </row>
    <row r="1682" spans="1:18">
      <c r="A1682">
        <v>326.64999999999998</v>
      </c>
      <c r="B1682">
        <v>5</v>
      </c>
      <c r="C1682">
        <v>1681</v>
      </c>
      <c r="D1682" s="2">
        <v>0.39870815972222223</v>
      </c>
      <c r="E1682" t="s">
        <v>1936</v>
      </c>
      <c r="F1682" t="s">
        <v>1937</v>
      </c>
      <c r="G1682" t="s">
        <v>1938</v>
      </c>
      <c r="H1682" t="s">
        <v>1039</v>
      </c>
      <c r="I1682" t="s">
        <v>758</v>
      </c>
      <c r="J1682" t="s">
        <v>189</v>
      </c>
      <c r="K1682" t="s">
        <v>43</v>
      </c>
      <c r="L1682">
        <v>65.33</v>
      </c>
      <c r="M1682" s="1">
        <v>45937</v>
      </c>
      <c r="N1682" t="s">
        <v>48</v>
      </c>
      <c r="O1682">
        <v>7</v>
      </c>
      <c r="P1682">
        <v>10</v>
      </c>
      <c r="Q1682">
        <v>4</v>
      </c>
      <c r="R1682">
        <v>2025</v>
      </c>
    </row>
    <row r="1683" spans="1:18">
      <c r="A1683">
        <v>291.66000000000003</v>
      </c>
      <c r="B1683">
        <v>2</v>
      </c>
      <c r="C1683">
        <v>1682</v>
      </c>
      <c r="D1683" s="2">
        <v>0.40950280092592595</v>
      </c>
      <c r="E1683" t="s">
        <v>1877</v>
      </c>
      <c r="F1683" t="s">
        <v>1878</v>
      </c>
      <c r="G1683" t="s">
        <v>1380</v>
      </c>
      <c r="H1683" t="s">
        <v>932</v>
      </c>
      <c r="I1683" t="s">
        <v>776</v>
      </c>
      <c r="J1683" t="s">
        <v>171</v>
      </c>
      <c r="K1683" t="s">
        <v>46</v>
      </c>
      <c r="L1683">
        <v>145.83000000000001</v>
      </c>
      <c r="M1683" s="1">
        <v>45910</v>
      </c>
      <c r="N1683" t="s">
        <v>34</v>
      </c>
      <c r="O1683">
        <v>10</v>
      </c>
      <c r="P1683">
        <v>9</v>
      </c>
      <c r="Q1683">
        <v>3</v>
      </c>
      <c r="R1683">
        <v>2025</v>
      </c>
    </row>
    <row r="1684" spans="1:18">
      <c r="A1684">
        <v>386.44</v>
      </c>
      <c r="B1684">
        <v>2</v>
      </c>
      <c r="C1684">
        <v>1683</v>
      </c>
      <c r="D1684" s="2">
        <v>0.94031702546296292</v>
      </c>
      <c r="E1684" t="s">
        <v>2063</v>
      </c>
      <c r="F1684" t="s">
        <v>2064</v>
      </c>
      <c r="G1684" t="s">
        <v>2065</v>
      </c>
      <c r="H1684" t="s">
        <v>1156</v>
      </c>
      <c r="I1684" t="s">
        <v>821</v>
      </c>
      <c r="J1684" t="s">
        <v>430</v>
      </c>
      <c r="K1684" t="s">
        <v>27</v>
      </c>
      <c r="L1684">
        <v>193.22</v>
      </c>
      <c r="M1684" s="1">
        <v>46079</v>
      </c>
      <c r="N1684" t="s">
        <v>105</v>
      </c>
      <c r="O1684">
        <v>26</v>
      </c>
      <c r="P1684">
        <v>2</v>
      </c>
      <c r="Q1684">
        <v>1</v>
      </c>
      <c r="R1684">
        <v>2026</v>
      </c>
    </row>
    <row r="1685" spans="1:18">
      <c r="A1685">
        <v>62.94</v>
      </c>
      <c r="B1685">
        <v>3</v>
      </c>
      <c r="C1685">
        <v>1684</v>
      </c>
      <c r="D1685" s="2">
        <v>6.387056712962963E-2</v>
      </c>
      <c r="E1685" t="s">
        <v>1419</v>
      </c>
      <c r="F1685" t="s">
        <v>1420</v>
      </c>
      <c r="G1685" t="s">
        <v>891</v>
      </c>
      <c r="H1685" t="s">
        <v>1421</v>
      </c>
      <c r="I1685" t="s">
        <v>776</v>
      </c>
      <c r="J1685" t="s">
        <v>456</v>
      </c>
      <c r="K1685" t="s">
        <v>19</v>
      </c>
      <c r="L1685">
        <v>20.98</v>
      </c>
      <c r="M1685" s="1">
        <v>45564</v>
      </c>
      <c r="N1685" t="s">
        <v>28</v>
      </c>
      <c r="O1685">
        <v>29</v>
      </c>
      <c r="P1685">
        <v>9</v>
      </c>
      <c r="Q1685">
        <v>3</v>
      </c>
      <c r="R1685">
        <v>2024</v>
      </c>
    </row>
    <row r="1686" spans="1:18">
      <c r="A1686">
        <v>717.28</v>
      </c>
      <c r="B1686">
        <v>4</v>
      </c>
      <c r="C1686">
        <v>1685</v>
      </c>
      <c r="D1686" s="2">
        <v>0.74140431712962962</v>
      </c>
      <c r="E1686" t="s">
        <v>1557</v>
      </c>
      <c r="F1686" t="s">
        <v>1558</v>
      </c>
      <c r="G1686" t="s">
        <v>1559</v>
      </c>
      <c r="H1686" t="s">
        <v>635</v>
      </c>
      <c r="I1686" t="s">
        <v>768</v>
      </c>
      <c r="J1686" t="s">
        <v>174</v>
      </c>
      <c r="K1686" t="s">
        <v>122</v>
      </c>
      <c r="L1686">
        <v>179.32</v>
      </c>
      <c r="M1686" s="1">
        <v>45987</v>
      </c>
      <c r="N1686" t="s">
        <v>34</v>
      </c>
      <c r="O1686">
        <v>26</v>
      </c>
      <c r="P1686">
        <v>11</v>
      </c>
      <c r="Q1686">
        <v>4</v>
      </c>
      <c r="R1686">
        <v>2025</v>
      </c>
    </row>
    <row r="1687" spans="1:18">
      <c r="A1687">
        <v>5.73</v>
      </c>
      <c r="B1687">
        <v>1</v>
      </c>
      <c r="C1687">
        <v>1686</v>
      </c>
      <c r="D1687" s="2">
        <v>0.30007935185185186</v>
      </c>
      <c r="E1687" t="s">
        <v>1680</v>
      </c>
      <c r="F1687" t="s">
        <v>1681</v>
      </c>
      <c r="G1687" t="s">
        <v>895</v>
      </c>
      <c r="H1687" t="s">
        <v>1682</v>
      </c>
      <c r="I1687" t="s">
        <v>892</v>
      </c>
      <c r="J1687" t="s">
        <v>407</v>
      </c>
      <c r="K1687" t="s">
        <v>21</v>
      </c>
      <c r="L1687">
        <v>5.73</v>
      </c>
      <c r="M1687" s="1">
        <v>45553</v>
      </c>
      <c r="N1687" t="s">
        <v>34</v>
      </c>
      <c r="O1687">
        <v>18</v>
      </c>
      <c r="P1687">
        <v>9</v>
      </c>
      <c r="Q1687">
        <v>3</v>
      </c>
      <c r="R1687">
        <v>2024</v>
      </c>
    </row>
    <row r="1688" spans="1:18">
      <c r="A1688">
        <v>614.45000000000005</v>
      </c>
      <c r="B1688">
        <v>5</v>
      </c>
      <c r="C1688">
        <v>1687</v>
      </c>
      <c r="D1688" s="2">
        <v>0.51870354166666666</v>
      </c>
      <c r="E1688" t="s">
        <v>1096</v>
      </c>
      <c r="F1688" t="s">
        <v>1097</v>
      </c>
      <c r="G1688" t="s">
        <v>1098</v>
      </c>
      <c r="H1688" t="s">
        <v>980</v>
      </c>
      <c r="I1688" t="s">
        <v>981</v>
      </c>
      <c r="J1688" t="s">
        <v>665</v>
      </c>
      <c r="K1688" t="s">
        <v>17</v>
      </c>
      <c r="L1688">
        <v>122.89</v>
      </c>
      <c r="M1688" s="1">
        <v>45664</v>
      </c>
      <c r="N1688" t="s">
        <v>48</v>
      </c>
      <c r="O1688">
        <v>7</v>
      </c>
      <c r="P1688">
        <v>1</v>
      </c>
      <c r="Q1688">
        <v>1</v>
      </c>
      <c r="R1688">
        <v>2025</v>
      </c>
    </row>
    <row r="1689" spans="1:18">
      <c r="A1689">
        <v>129.88999999999999</v>
      </c>
      <c r="B1689">
        <v>1</v>
      </c>
      <c r="C1689">
        <v>1688</v>
      </c>
      <c r="D1689" s="2">
        <v>0.94671460648148154</v>
      </c>
      <c r="E1689" t="s">
        <v>2824</v>
      </c>
      <c r="F1689" t="s">
        <v>2825</v>
      </c>
      <c r="G1689" t="s">
        <v>2826</v>
      </c>
      <c r="H1689" t="s">
        <v>1327</v>
      </c>
      <c r="I1689" t="s">
        <v>795</v>
      </c>
      <c r="J1689" t="s">
        <v>271</v>
      </c>
      <c r="K1689" t="s">
        <v>25</v>
      </c>
      <c r="L1689">
        <v>129.88999999999999</v>
      </c>
      <c r="M1689" s="1">
        <v>45761</v>
      </c>
      <c r="N1689" t="s">
        <v>93</v>
      </c>
      <c r="O1689">
        <v>14</v>
      </c>
      <c r="P1689">
        <v>4</v>
      </c>
      <c r="Q1689">
        <v>2</v>
      </c>
      <c r="R1689">
        <v>2025</v>
      </c>
    </row>
    <row r="1690" spans="1:18">
      <c r="A1690">
        <v>309.76</v>
      </c>
      <c r="B1690">
        <v>2</v>
      </c>
      <c r="C1690">
        <v>1689</v>
      </c>
      <c r="D1690" s="2">
        <v>0.83586951388888886</v>
      </c>
      <c r="E1690" t="s">
        <v>866</v>
      </c>
      <c r="F1690" t="s">
        <v>867</v>
      </c>
      <c r="G1690" t="s">
        <v>868</v>
      </c>
      <c r="H1690" t="s">
        <v>869</v>
      </c>
      <c r="I1690" t="s">
        <v>812</v>
      </c>
      <c r="J1690" t="s">
        <v>704</v>
      </c>
      <c r="K1690" t="s">
        <v>51</v>
      </c>
      <c r="L1690">
        <v>154.88</v>
      </c>
      <c r="M1690" s="1">
        <v>45845</v>
      </c>
      <c r="N1690" t="s">
        <v>93</v>
      </c>
      <c r="O1690">
        <v>7</v>
      </c>
      <c r="P1690">
        <v>7</v>
      </c>
      <c r="Q1690">
        <v>3</v>
      </c>
      <c r="R1690">
        <v>2025</v>
      </c>
    </row>
    <row r="1691" spans="1:18">
      <c r="A1691">
        <v>67.12</v>
      </c>
      <c r="B1691">
        <v>2</v>
      </c>
      <c r="C1691">
        <v>1690</v>
      </c>
      <c r="D1691" s="2">
        <v>0.23886142361111112</v>
      </c>
      <c r="E1691" t="s">
        <v>2125</v>
      </c>
      <c r="F1691" t="s">
        <v>2126</v>
      </c>
      <c r="G1691" t="s">
        <v>1562</v>
      </c>
      <c r="H1691" t="s">
        <v>1607</v>
      </c>
      <c r="I1691" t="s">
        <v>839</v>
      </c>
      <c r="J1691" t="s">
        <v>609</v>
      </c>
      <c r="K1691" t="s">
        <v>27</v>
      </c>
      <c r="L1691">
        <v>33.56</v>
      </c>
      <c r="M1691" s="1">
        <v>45691</v>
      </c>
      <c r="N1691" t="s">
        <v>93</v>
      </c>
      <c r="O1691">
        <v>3</v>
      </c>
      <c r="P1691">
        <v>2</v>
      </c>
      <c r="Q1691">
        <v>1</v>
      </c>
      <c r="R1691">
        <v>2025</v>
      </c>
    </row>
    <row r="1692" spans="1:18">
      <c r="A1692">
        <v>126.21000000000001</v>
      </c>
      <c r="B1692">
        <v>3</v>
      </c>
      <c r="C1692">
        <v>1691</v>
      </c>
      <c r="D1692" s="2">
        <v>0.44035877314814814</v>
      </c>
      <c r="E1692" t="s">
        <v>944</v>
      </c>
      <c r="F1692" t="s">
        <v>945</v>
      </c>
      <c r="G1692" t="s">
        <v>946</v>
      </c>
      <c r="H1692" t="s">
        <v>199</v>
      </c>
      <c r="I1692" t="s">
        <v>781</v>
      </c>
      <c r="J1692" t="s">
        <v>629</v>
      </c>
      <c r="K1692" t="s">
        <v>43</v>
      </c>
      <c r="L1692">
        <v>42.07</v>
      </c>
      <c r="M1692" s="1">
        <v>46225</v>
      </c>
      <c r="N1692" t="s">
        <v>34</v>
      </c>
      <c r="O1692">
        <v>22</v>
      </c>
      <c r="P1692">
        <v>7</v>
      </c>
      <c r="Q1692">
        <v>3</v>
      </c>
      <c r="R1692">
        <v>2026</v>
      </c>
    </row>
    <row r="1693" spans="1:18">
      <c r="A1693">
        <v>575.12</v>
      </c>
      <c r="B1693">
        <v>4</v>
      </c>
      <c r="C1693">
        <v>1692</v>
      </c>
      <c r="D1693" s="2">
        <v>0.77454380787037036</v>
      </c>
      <c r="E1693" t="s">
        <v>1519</v>
      </c>
      <c r="F1693" t="s">
        <v>1520</v>
      </c>
      <c r="G1693" t="s">
        <v>1521</v>
      </c>
      <c r="H1693" t="s">
        <v>1172</v>
      </c>
      <c r="I1693" t="s">
        <v>830</v>
      </c>
      <c r="J1693" t="s">
        <v>346</v>
      </c>
      <c r="K1693" t="s">
        <v>23</v>
      </c>
      <c r="L1693">
        <v>143.78</v>
      </c>
      <c r="M1693" s="1">
        <v>45763</v>
      </c>
      <c r="N1693" t="s">
        <v>34</v>
      </c>
      <c r="O1693">
        <v>16</v>
      </c>
      <c r="P1693">
        <v>4</v>
      </c>
      <c r="Q1693">
        <v>2</v>
      </c>
      <c r="R1693">
        <v>2025</v>
      </c>
    </row>
    <row r="1694" spans="1:18">
      <c r="A1694">
        <v>56.54</v>
      </c>
      <c r="B1694">
        <v>2</v>
      </c>
      <c r="C1694">
        <v>1693</v>
      </c>
      <c r="D1694" s="2">
        <v>0.59495339120370372</v>
      </c>
      <c r="E1694" t="s">
        <v>2652</v>
      </c>
      <c r="F1694" t="s">
        <v>2486</v>
      </c>
      <c r="G1694" t="s">
        <v>1271</v>
      </c>
      <c r="H1694" t="s">
        <v>328</v>
      </c>
      <c r="I1694" t="s">
        <v>1003</v>
      </c>
      <c r="J1694" t="s">
        <v>184</v>
      </c>
      <c r="K1694" t="s">
        <v>31</v>
      </c>
      <c r="L1694">
        <v>28.27</v>
      </c>
      <c r="M1694" s="1">
        <v>46271</v>
      </c>
      <c r="N1694" t="s">
        <v>28</v>
      </c>
      <c r="O1694">
        <v>6</v>
      </c>
      <c r="P1694">
        <v>9</v>
      </c>
      <c r="Q1694">
        <v>3</v>
      </c>
      <c r="R1694">
        <v>2026</v>
      </c>
    </row>
    <row r="1695" spans="1:18">
      <c r="A1695">
        <v>503.72</v>
      </c>
      <c r="B1695">
        <v>4</v>
      </c>
      <c r="C1695">
        <v>1694</v>
      </c>
      <c r="D1695" s="2">
        <v>0.99642940972222227</v>
      </c>
      <c r="E1695" t="s">
        <v>3133</v>
      </c>
      <c r="F1695" t="s">
        <v>3134</v>
      </c>
      <c r="G1695" t="s">
        <v>1556</v>
      </c>
      <c r="H1695" t="s">
        <v>2982</v>
      </c>
      <c r="I1695" t="s">
        <v>839</v>
      </c>
      <c r="J1695" t="s">
        <v>533</v>
      </c>
      <c r="K1695" t="s">
        <v>122</v>
      </c>
      <c r="L1695">
        <v>125.93</v>
      </c>
      <c r="M1695" s="1">
        <v>45558</v>
      </c>
      <c r="N1695" t="s">
        <v>93</v>
      </c>
      <c r="O1695">
        <v>23</v>
      </c>
      <c r="P1695">
        <v>9</v>
      </c>
      <c r="Q1695">
        <v>3</v>
      </c>
      <c r="R1695">
        <v>2024</v>
      </c>
    </row>
    <row r="1696" spans="1:18">
      <c r="A1696">
        <v>734.49</v>
      </c>
      <c r="B1696">
        <v>3</v>
      </c>
      <c r="C1696">
        <v>1695</v>
      </c>
      <c r="D1696" s="2">
        <v>0.87500006944444442</v>
      </c>
      <c r="E1696" t="s">
        <v>1653</v>
      </c>
      <c r="F1696" t="s">
        <v>1654</v>
      </c>
      <c r="G1696" t="s">
        <v>976</v>
      </c>
      <c r="H1696" t="s">
        <v>1306</v>
      </c>
      <c r="I1696" t="s">
        <v>966</v>
      </c>
      <c r="J1696" t="s">
        <v>589</v>
      </c>
      <c r="K1696" t="s">
        <v>46</v>
      </c>
      <c r="L1696">
        <v>244.83</v>
      </c>
      <c r="M1696" s="1">
        <v>45835</v>
      </c>
      <c r="N1696" t="s">
        <v>79</v>
      </c>
      <c r="O1696">
        <v>27</v>
      </c>
      <c r="P1696">
        <v>6</v>
      </c>
      <c r="Q1696">
        <v>2</v>
      </c>
      <c r="R1696">
        <v>2025</v>
      </c>
    </row>
    <row r="1697" spans="1:18">
      <c r="A1697">
        <v>575.12</v>
      </c>
      <c r="B1697">
        <v>4</v>
      </c>
      <c r="C1697">
        <v>1696</v>
      </c>
      <c r="D1697" s="2">
        <v>0.49503814814814817</v>
      </c>
      <c r="E1697" t="s">
        <v>3333</v>
      </c>
      <c r="F1697" t="s">
        <v>3334</v>
      </c>
      <c r="G1697" t="s">
        <v>1220</v>
      </c>
      <c r="H1697" t="s">
        <v>1465</v>
      </c>
      <c r="I1697" t="s">
        <v>817</v>
      </c>
      <c r="J1697" t="s">
        <v>346</v>
      </c>
      <c r="K1697" t="s">
        <v>23</v>
      </c>
      <c r="L1697">
        <v>143.78</v>
      </c>
      <c r="M1697" s="1">
        <v>45987</v>
      </c>
      <c r="N1697" t="s">
        <v>34</v>
      </c>
      <c r="O1697">
        <v>26</v>
      </c>
      <c r="P1697">
        <v>11</v>
      </c>
      <c r="Q1697">
        <v>4</v>
      </c>
      <c r="R1697">
        <v>2025</v>
      </c>
    </row>
    <row r="1698" spans="1:18">
      <c r="A1698">
        <v>224.2</v>
      </c>
      <c r="B1698">
        <v>4</v>
      </c>
      <c r="C1698">
        <v>1697</v>
      </c>
      <c r="D1698" s="2">
        <v>0.53052480324074069</v>
      </c>
      <c r="E1698" t="s">
        <v>876</v>
      </c>
      <c r="F1698" t="s">
        <v>877</v>
      </c>
      <c r="G1698" t="s">
        <v>878</v>
      </c>
      <c r="H1698" t="s">
        <v>879</v>
      </c>
      <c r="I1698" t="s">
        <v>748</v>
      </c>
      <c r="J1698" t="s">
        <v>32</v>
      </c>
      <c r="K1698" t="s">
        <v>19</v>
      </c>
      <c r="L1698">
        <v>56.05</v>
      </c>
      <c r="M1698" s="1">
        <v>45982</v>
      </c>
      <c r="N1698" t="s">
        <v>79</v>
      </c>
      <c r="O1698">
        <v>21</v>
      </c>
      <c r="P1698">
        <v>11</v>
      </c>
      <c r="Q1698">
        <v>4</v>
      </c>
      <c r="R1698">
        <v>2025</v>
      </c>
    </row>
    <row r="1699" spans="1:18">
      <c r="A1699">
        <v>282.09000000000003</v>
      </c>
      <c r="B1699">
        <v>3</v>
      </c>
      <c r="C1699">
        <v>1698</v>
      </c>
      <c r="D1699" s="2">
        <v>0.29883677083333332</v>
      </c>
      <c r="E1699" t="s">
        <v>1229</v>
      </c>
      <c r="F1699" t="s">
        <v>1230</v>
      </c>
      <c r="G1699" t="s">
        <v>1231</v>
      </c>
      <c r="H1699" t="s">
        <v>1232</v>
      </c>
      <c r="I1699" t="s">
        <v>817</v>
      </c>
      <c r="J1699" t="s">
        <v>364</v>
      </c>
      <c r="K1699" t="s">
        <v>21</v>
      </c>
      <c r="L1699">
        <v>94.03</v>
      </c>
      <c r="M1699" s="1">
        <v>45552</v>
      </c>
      <c r="N1699" t="s">
        <v>48</v>
      </c>
      <c r="O1699">
        <v>17</v>
      </c>
      <c r="P1699">
        <v>9</v>
      </c>
      <c r="Q1699">
        <v>3</v>
      </c>
      <c r="R1699">
        <v>2024</v>
      </c>
    </row>
    <row r="1700" spans="1:18">
      <c r="A1700">
        <v>706.80000000000007</v>
      </c>
      <c r="B1700">
        <v>5</v>
      </c>
      <c r="C1700">
        <v>1699</v>
      </c>
      <c r="D1700" s="2">
        <v>0.55710781249999997</v>
      </c>
      <c r="E1700" t="s">
        <v>2564</v>
      </c>
      <c r="F1700" t="s">
        <v>2565</v>
      </c>
      <c r="G1700" t="s">
        <v>2566</v>
      </c>
      <c r="H1700" t="s">
        <v>280</v>
      </c>
      <c r="I1700" t="s">
        <v>812</v>
      </c>
      <c r="J1700" t="s">
        <v>181</v>
      </c>
      <c r="K1700" t="s">
        <v>82</v>
      </c>
      <c r="L1700">
        <v>141.36000000000001</v>
      </c>
      <c r="M1700" s="1">
        <v>46047</v>
      </c>
      <c r="N1700" t="s">
        <v>28</v>
      </c>
      <c r="O1700">
        <v>25</v>
      </c>
      <c r="P1700">
        <v>1</v>
      </c>
      <c r="Q1700">
        <v>1</v>
      </c>
      <c r="R1700">
        <v>2026</v>
      </c>
    </row>
    <row r="1701" spans="1:18">
      <c r="A1701">
        <v>233.42</v>
      </c>
      <c r="B1701">
        <v>1</v>
      </c>
      <c r="C1701">
        <v>1700</v>
      </c>
      <c r="D1701" s="2">
        <v>0.66901983796296294</v>
      </c>
      <c r="E1701" t="s">
        <v>1363</v>
      </c>
      <c r="F1701" t="s">
        <v>1364</v>
      </c>
      <c r="G1701" t="s">
        <v>1365</v>
      </c>
      <c r="H1701" t="s">
        <v>965</v>
      </c>
      <c r="I1701" t="s">
        <v>966</v>
      </c>
      <c r="J1701" t="s">
        <v>632</v>
      </c>
      <c r="K1701" t="s">
        <v>57</v>
      </c>
      <c r="L1701">
        <v>233.42</v>
      </c>
      <c r="M1701" s="1">
        <v>46046</v>
      </c>
      <c r="N1701" t="s">
        <v>14</v>
      </c>
      <c r="O1701">
        <v>24</v>
      </c>
      <c r="P1701">
        <v>1</v>
      </c>
      <c r="Q1701">
        <v>1</v>
      </c>
      <c r="R1701">
        <v>2026</v>
      </c>
    </row>
    <row r="1702" spans="1:18">
      <c r="A1702">
        <v>202.98</v>
      </c>
      <c r="B1702">
        <v>3</v>
      </c>
      <c r="C1702">
        <v>1701</v>
      </c>
      <c r="D1702" s="2">
        <v>0.54074961805555555</v>
      </c>
      <c r="E1702" t="s">
        <v>2041</v>
      </c>
      <c r="F1702" t="s">
        <v>2042</v>
      </c>
      <c r="G1702" t="s">
        <v>2043</v>
      </c>
      <c r="H1702" t="s">
        <v>2044</v>
      </c>
      <c r="I1702" t="s">
        <v>748</v>
      </c>
      <c r="J1702" t="s">
        <v>2624</v>
      </c>
      <c r="K1702" t="s">
        <v>82</v>
      </c>
      <c r="L1702">
        <v>67.66</v>
      </c>
      <c r="M1702" s="1">
        <v>45696</v>
      </c>
      <c r="N1702" t="s">
        <v>14</v>
      </c>
      <c r="O1702">
        <v>8</v>
      </c>
      <c r="P1702">
        <v>2</v>
      </c>
      <c r="Q1702">
        <v>1</v>
      </c>
      <c r="R1702">
        <v>2025</v>
      </c>
    </row>
    <row r="1703" spans="1:18">
      <c r="A1703">
        <v>100.10999999999999</v>
      </c>
      <c r="B1703">
        <v>3</v>
      </c>
      <c r="C1703">
        <v>1702</v>
      </c>
      <c r="D1703" s="2">
        <v>0.93750434027777774</v>
      </c>
      <c r="E1703" t="s">
        <v>2202</v>
      </c>
      <c r="F1703" t="s">
        <v>2203</v>
      </c>
      <c r="G1703" t="s">
        <v>2204</v>
      </c>
      <c r="H1703" t="s">
        <v>1026</v>
      </c>
      <c r="I1703" t="s">
        <v>896</v>
      </c>
      <c r="J1703" t="s">
        <v>388</v>
      </c>
      <c r="K1703" t="s">
        <v>46</v>
      </c>
      <c r="L1703">
        <v>33.369999999999997</v>
      </c>
      <c r="M1703" s="1">
        <v>46057</v>
      </c>
      <c r="N1703" t="s">
        <v>34</v>
      </c>
      <c r="O1703">
        <v>4</v>
      </c>
      <c r="P1703">
        <v>2</v>
      </c>
      <c r="Q1703">
        <v>1</v>
      </c>
      <c r="R1703">
        <v>2026</v>
      </c>
    </row>
    <row r="1704" spans="1:18">
      <c r="A1704">
        <v>164.85</v>
      </c>
      <c r="B1704">
        <v>1</v>
      </c>
      <c r="C1704">
        <v>1703</v>
      </c>
      <c r="D1704" s="2">
        <v>0.3886674537037037</v>
      </c>
      <c r="E1704" t="s">
        <v>2569</v>
      </c>
      <c r="F1704" t="s">
        <v>2570</v>
      </c>
      <c r="G1704" t="s">
        <v>2571</v>
      </c>
      <c r="H1704" t="s">
        <v>1026</v>
      </c>
      <c r="I1704" t="s">
        <v>896</v>
      </c>
      <c r="J1704" t="s">
        <v>114</v>
      </c>
      <c r="K1704" t="s">
        <v>23</v>
      </c>
      <c r="L1704">
        <v>164.85</v>
      </c>
      <c r="M1704" s="1">
        <v>46027</v>
      </c>
      <c r="N1704" t="s">
        <v>93</v>
      </c>
      <c r="O1704">
        <v>5</v>
      </c>
      <c r="P1704">
        <v>1</v>
      </c>
      <c r="Q1704">
        <v>1</v>
      </c>
      <c r="R1704">
        <v>2026</v>
      </c>
    </row>
    <row r="1705" spans="1:18">
      <c r="A1705">
        <v>216.06</v>
      </c>
      <c r="B1705">
        <v>3</v>
      </c>
      <c r="C1705">
        <v>1704</v>
      </c>
      <c r="D1705" s="2">
        <v>0.92900771990740738</v>
      </c>
      <c r="E1705" t="s">
        <v>2228</v>
      </c>
      <c r="F1705" t="s">
        <v>2229</v>
      </c>
      <c r="G1705" t="s">
        <v>1192</v>
      </c>
      <c r="H1705" t="s">
        <v>64</v>
      </c>
      <c r="I1705" t="s">
        <v>892</v>
      </c>
      <c r="J1705" t="s">
        <v>108</v>
      </c>
      <c r="K1705" t="s">
        <v>51</v>
      </c>
      <c r="L1705">
        <v>72.02</v>
      </c>
      <c r="M1705" s="1">
        <v>45778</v>
      </c>
      <c r="N1705" t="s">
        <v>105</v>
      </c>
      <c r="O1705">
        <v>1</v>
      </c>
      <c r="P1705">
        <v>5</v>
      </c>
      <c r="Q1705">
        <v>2</v>
      </c>
      <c r="R1705">
        <v>2025</v>
      </c>
    </row>
    <row r="1706" spans="1:18">
      <c r="A1706">
        <v>742.56000000000006</v>
      </c>
      <c r="B1706">
        <v>3</v>
      </c>
      <c r="C1706">
        <v>1705</v>
      </c>
      <c r="D1706" s="2">
        <v>0.65241059027777781</v>
      </c>
      <c r="E1706" t="s">
        <v>1381</v>
      </c>
      <c r="F1706" t="s">
        <v>1382</v>
      </c>
      <c r="G1706" t="s">
        <v>1383</v>
      </c>
      <c r="H1706" t="s">
        <v>1384</v>
      </c>
      <c r="I1706" t="s">
        <v>908</v>
      </c>
      <c r="J1706" t="s">
        <v>372</v>
      </c>
      <c r="K1706" t="s">
        <v>23</v>
      </c>
      <c r="L1706">
        <v>247.52</v>
      </c>
      <c r="M1706" s="1">
        <v>45944</v>
      </c>
      <c r="N1706" t="s">
        <v>48</v>
      </c>
      <c r="O1706">
        <v>14</v>
      </c>
      <c r="P1706">
        <v>10</v>
      </c>
      <c r="Q1706">
        <v>4</v>
      </c>
      <c r="R1706">
        <v>2025</v>
      </c>
    </row>
    <row r="1707" spans="1:18">
      <c r="A1707">
        <v>154.11000000000001</v>
      </c>
      <c r="B1707">
        <v>1</v>
      </c>
      <c r="C1707">
        <v>1706</v>
      </c>
      <c r="D1707" s="2">
        <v>0.82567574074074079</v>
      </c>
      <c r="E1707" t="s">
        <v>1093</v>
      </c>
      <c r="F1707" t="s">
        <v>1094</v>
      </c>
      <c r="G1707" t="s">
        <v>1095</v>
      </c>
      <c r="H1707" t="s">
        <v>862</v>
      </c>
      <c r="I1707" t="s">
        <v>758</v>
      </c>
      <c r="J1707" t="s">
        <v>161</v>
      </c>
      <c r="K1707" t="s">
        <v>37</v>
      </c>
      <c r="L1707">
        <v>154.11000000000001</v>
      </c>
      <c r="M1707" s="1">
        <v>45627</v>
      </c>
      <c r="N1707" t="s">
        <v>28</v>
      </c>
      <c r="O1707">
        <v>1</v>
      </c>
      <c r="P1707">
        <v>12</v>
      </c>
      <c r="Q1707">
        <v>4</v>
      </c>
      <c r="R1707">
        <v>2024</v>
      </c>
    </row>
    <row r="1708" spans="1:18">
      <c r="A1708">
        <v>61.08</v>
      </c>
      <c r="B1708">
        <v>1</v>
      </c>
      <c r="C1708">
        <v>1707</v>
      </c>
      <c r="D1708" s="2">
        <v>0.63990129629629633</v>
      </c>
      <c r="E1708" t="s">
        <v>2134</v>
      </c>
      <c r="F1708" t="s">
        <v>2135</v>
      </c>
      <c r="G1708" t="s">
        <v>1559</v>
      </c>
      <c r="H1708" t="s">
        <v>619</v>
      </c>
      <c r="I1708" t="s">
        <v>758</v>
      </c>
      <c r="J1708" t="s">
        <v>385</v>
      </c>
      <c r="K1708" t="s">
        <v>39</v>
      </c>
      <c r="L1708">
        <v>61.08</v>
      </c>
      <c r="M1708" s="1">
        <v>45640</v>
      </c>
      <c r="N1708" t="s">
        <v>14</v>
      </c>
      <c r="O1708">
        <v>14</v>
      </c>
      <c r="P1708">
        <v>12</v>
      </c>
      <c r="Q1708">
        <v>4</v>
      </c>
      <c r="R1708">
        <v>2024</v>
      </c>
    </row>
    <row r="1709" spans="1:18">
      <c r="A1709">
        <v>1221.2</v>
      </c>
      <c r="B1709">
        <v>5</v>
      </c>
      <c r="C1709">
        <v>1708</v>
      </c>
      <c r="D1709" s="2">
        <v>0.10368644675925925</v>
      </c>
      <c r="E1709" t="s">
        <v>2846</v>
      </c>
      <c r="F1709" t="s">
        <v>2847</v>
      </c>
      <c r="G1709" t="s">
        <v>2848</v>
      </c>
      <c r="H1709" t="s">
        <v>985</v>
      </c>
      <c r="I1709" t="s">
        <v>817</v>
      </c>
      <c r="J1709" t="s">
        <v>61</v>
      </c>
      <c r="K1709" t="s">
        <v>55</v>
      </c>
      <c r="L1709">
        <v>244.24</v>
      </c>
      <c r="M1709" s="1">
        <v>46182</v>
      </c>
      <c r="N1709" t="s">
        <v>48</v>
      </c>
      <c r="O1709">
        <v>9</v>
      </c>
      <c r="P1709">
        <v>6</v>
      </c>
      <c r="Q1709">
        <v>2</v>
      </c>
      <c r="R1709">
        <v>2026</v>
      </c>
    </row>
    <row r="1710" spans="1:18">
      <c r="A1710">
        <v>91.74</v>
      </c>
      <c r="B1710">
        <v>3</v>
      </c>
      <c r="C1710">
        <v>1709</v>
      </c>
      <c r="D1710" s="2">
        <v>0.52437459490740745</v>
      </c>
      <c r="E1710" t="s">
        <v>2841</v>
      </c>
      <c r="F1710" t="s">
        <v>1063</v>
      </c>
      <c r="G1710" t="s">
        <v>2842</v>
      </c>
      <c r="H1710" t="s">
        <v>2574</v>
      </c>
      <c r="I1710" t="s">
        <v>839</v>
      </c>
      <c r="J1710" t="s">
        <v>574</v>
      </c>
      <c r="K1710" t="s">
        <v>19</v>
      </c>
      <c r="L1710">
        <v>30.58</v>
      </c>
      <c r="M1710" s="1">
        <v>45805</v>
      </c>
      <c r="N1710" t="s">
        <v>34</v>
      </c>
      <c r="O1710">
        <v>28</v>
      </c>
      <c r="P1710">
        <v>5</v>
      </c>
      <c r="Q1710">
        <v>2</v>
      </c>
      <c r="R1710">
        <v>2025</v>
      </c>
    </row>
    <row r="1711" spans="1:18">
      <c r="A1711">
        <v>322.04000000000002</v>
      </c>
      <c r="B1711">
        <v>2</v>
      </c>
      <c r="C1711">
        <v>1710</v>
      </c>
      <c r="D1711" s="2">
        <v>0.53625850694444444</v>
      </c>
      <c r="E1711" t="s">
        <v>2159</v>
      </c>
      <c r="F1711" t="s">
        <v>2160</v>
      </c>
      <c r="G1711" t="s">
        <v>1559</v>
      </c>
      <c r="H1711" t="s">
        <v>919</v>
      </c>
      <c r="I1711" t="s">
        <v>786</v>
      </c>
      <c r="J1711" t="s">
        <v>544</v>
      </c>
      <c r="K1711" t="s">
        <v>46</v>
      </c>
      <c r="L1711">
        <v>161.02000000000001</v>
      </c>
      <c r="M1711" s="1">
        <v>46036</v>
      </c>
      <c r="N1711" t="s">
        <v>34</v>
      </c>
      <c r="O1711">
        <v>14</v>
      </c>
      <c r="P1711">
        <v>1</v>
      </c>
      <c r="Q1711">
        <v>1</v>
      </c>
      <c r="R1711">
        <v>2026</v>
      </c>
    </row>
    <row r="1712" spans="1:18">
      <c r="A1712">
        <v>632.84999999999991</v>
      </c>
      <c r="B1712">
        <v>5</v>
      </c>
      <c r="C1712">
        <v>1711</v>
      </c>
      <c r="D1712" s="2">
        <v>0.24736648148148149</v>
      </c>
      <c r="E1712" t="s">
        <v>2450</v>
      </c>
      <c r="F1712" t="s">
        <v>2451</v>
      </c>
      <c r="G1712" t="s">
        <v>1162</v>
      </c>
      <c r="H1712" t="s">
        <v>1032</v>
      </c>
      <c r="I1712" t="s">
        <v>839</v>
      </c>
      <c r="J1712" t="s">
        <v>367</v>
      </c>
      <c r="K1712" t="s">
        <v>31</v>
      </c>
      <c r="L1712">
        <v>126.57</v>
      </c>
      <c r="M1712" s="1">
        <v>45813</v>
      </c>
      <c r="N1712" t="s">
        <v>105</v>
      </c>
      <c r="O1712">
        <v>5</v>
      </c>
      <c r="P1712">
        <v>6</v>
      </c>
      <c r="Q1712">
        <v>2</v>
      </c>
      <c r="R1712">
        <v>2025</v>
      </c>
    </row>
    <row r="1713" spans="1:18">
      <c r="A1713">
        <v>727.52</v>
      </c>
      <c r="B1713">
        <v>4</v>
      </c>
      <c r="C1713">
        <v>1712</v>
      </c>
      <c r="D1713" s="2">
        <v>0.26093071759259262</v>
      </c>
      <c r="E1713" t="s">
        <v>1650</v>
      </c>
      <c r="F1713" t="s">
        <v>1651</v>
      </c>
      <c r="G1713" t="s">
        <v>1652</v>
      </c>
      <c r="H1713" t="s">
        <v>1239</v>
      </c>
      <c r="I1713" t="s">
        <v>795</v>
      </c>
      <c r="J1713" t="s">
        <v>549</v>
      </c>
      <c r="K1713" t="s">
        <v>82</v>
      </c>
      <c r="L1713">
        <v>181.88</v>
      </c>
      <c r="M1713" s="1">
        <v>45976</v>
      </c>
      <c r="N1713" t="s">
        <v>14</v>
      </c>
      <c r="O1713">
        <v>15</v>
      </c>
      <c r="P1713">
        <v>11</v>
      </c>
      <c r="Q1713">
        <v>4</v>
      </c>
      <c r="R1713">
        <v>2025</v>
      </c>
    </row>
    <row r="1714" spans="1:18">
      <c r="A1714">
        <v>134.9</v>
      </c>
      <c r="B1714">
        <v>5</v>
      </c>
      <c r="C1714">
        <v>1713</v>
      </c>
      <c r="D1714" s="2">
        <v>0.87866901620370375</v>
      </c>
      <c r="E1714" t="s">
        <v>2632</v>
      </c>
      <c r="F1714" t="s">
        <v>2633</v>
      </c>
      <c r="G1714" t="s">
        <v>1965</v>
      </c>
      <c r="H1714" t="s">
        <v>869</v>
      </c>
      <c r="I1714" t="s">
        <v>1247</v>
      </c>
      <c r="J1714" t="s">
        <v>458</v>
      </c>
      <c r="K1714" t="s">
        <v>37</v>
      </c>
      <c r="L1714">
        <v>26.98</v>
      </c>
      <c r="M1714" s="1">
        <v>45593</v>
      </c>
      <c r="N1714" t="s">
        <v>93</v>
      </c>
      <c r="O1714">
        <v>28</v>
      </c>
      <c r="P1714">
        <v>10</v>
      </c>
      <c r="Q1714">
        <v>4</v>
      </c>
      <c r="R1714">
        <v>2024</v>
      </c>
    </row>
    <row r="1715" spans="1:18">
      <c r="A1715">
        <v>192.87</v>
      </c>
      <c r="B1715">
        <v>3</v>
      </c>
      <c r="C1715">
        <v>1714</v>
      </c>
      <c r="D1715" s="2">
        <v>0.18272896990740742</v>
      </c>
      <c r="E1715" t="s">
        <v>2855</v>
      </c>
      <c r="F1715" t="s">
        <v>2856</v>
      </c>
      <c r="G1715" t="s">
        <v>2857</v>
      </c>
      <c r="H1715" t="s">
        <v>666</v>
      </c>
      <c r="I1715" t="s">
        <v>954</v>
      </c>
      <c r="J1715" t="s">
        <v>461</v>
      </c>
      <c r="K1715" t="s">
        <v>60</v>
      </c>
      <c r="L1715">
        <v>64.290000000000006</v>
      </c>
      <c r="M1715" s="1">
        <v>45912</v>
      </c>
      <c r="N1715" t="s">
        <v>79</v>
      </c>
      <c r="O1715">
        <v>12</v>
      </c>
      <c r="P1715">
        <v>9</v>
      </c>
      <c r="Q1715">
        <v>3</v>
      </c>
      <c r="R1715">
        <v>2025</v>
      </c>
    </row>
    <row r="1716" spans="1:18">
      <c r="A1716">
        <v>877.04</v>
      </c>
      <c r="B1716">
        <v>4</v>
      </c>
      <c r="C1716">
        <v>1715</v>
      </c>
      <c r="D1716" s="2">
        <v>0.13775186342592594</v>
      </c>
      <c r="E1716" t="s">
        <v>1122</v>
      </c>
      <c r="F1716" t="s">
        <v>1123</v>
      </c>
      <c r="G1716" t="s">
        <v>1124</v>
      </c>
      <c r="H1716" t="s">
        <v>15</v>
      </c>
      <c r="I1716" t="s">
        <v>834</v>
      </c>
      <c r="J1716" t="s">
        <v>162</v>
      </c>
      <c r="K1716" t="s">
        <v>51</v>
      </c>
      <c r="L1716">
        <v>219.26</v>
      </c>
      <c r="M1716" s="1">
        <v>45842</v>
      </c>
      <c r="N1716" t="s">
        <v>79</v>
      </c>
      <c r="O1716">
        <v>4</v>
      </c>
      <c r="P1716">
        <v>7</v>
      </c>
      <c r="Q1716">
        <v>3</v>
      </c>
      <c r="R1716">
        <v>2025</v>
      </c>
    </row>
    <row r="1717" spans="1:18">
      <c r="A1717">
        <v>247.04999999999998</v>
      </c>
      <c r="B1717">
        <v>5</v>
      </c>
      <c r="C1717">
        <v>1716</v>
      </c>
      <c r="D1717" s="2">
        <v>0.64745480324074078</v>
      </c>
      <c r="E1717" t="s">
        <v>3294</v>
      </c>
      <c r="F1717" t="s">
        <v>3295</v>
      </c>
      <c r="G1717" t="s">
        <v>2250</v>
      </c>
      <c r="H1717" t="s">
        <v>862</v>
      </c>
      <c r="I1717" t="s">
        <v>908</v>
      </c>
      <c r="J1717" t="s">
        <v>144</v>
      </c>
      <c r="K1717" t="s">
        <v>97</v>
      </c>
      <c r="L1717">
        <v>49.41</v>
      </c>
      <c r="M1717" s="1">
        <v>46097</v>
      </c>
      <c r="N1717" t="s">
        <v>93</v>
      </c>
      <c r="O1717">
        <v>16</v>
      </c>
      <c r="P1717">
        <v>3</v>
      </c>
      <c r="Q1717">
        <v>1</v>
      </c>
      <c r="R1717">
        <v>2026</v>
      </c>
    </row>
    <row r="1718" spans="1:18">
      <c r="A1718">
        <v>22.77</v>
      </c>
      <c r="B1718">
        <v>1</v>
      </c>
      <c r="C1718">
        <v>1717</v>
      </c>
      <c r="D1718" s="2">
        <v>0.99627137731481485</v>
      </c>
      <c r="E1718" t="s">
        <v>1122</v>
      </c>
      <c r="F1718" t="s">
        <v>1123</v>
      </c>
      <c r="G1718" t="s">
        <v>1124</v>
      </c>
      <c r="H1718" t="s">
        <v>15</v>
      </c>
      <c r="I1718" t="s">
        <v>834</v>
      </c>
      <c r="J1718" t="s">
        <v>1250</v>
      </c>
      <c r="K1718" t="s">
        <v>23</v>
      </c>
      <c r="L1718">
        <v>22.77</v>
      </c>
      <c r="M1718" s="1">
        <v>46090</v>
      </c>
      <c r="N1718" t="s">
        <v>93</v>
      </c>
      <c r="O1718">
        <v>9</v>
      </c>
      <c r="P1718">
        <v>3</v>
      </c>
      <c r="Q1718">
        <v>1</v>
      </c>
      <c r="R1718">
        <v>2026</v>
      </c>
    </row>
    <row r="1719" spans="1:18">
      <c r="A1719">
        <v>92.15</v>
      </c>
      <c r="B1719">
        <v>5</v>
      </c>
      <c r="C1719">
        <v>1718</v>
      </c>
      <c r="D1719" s="2">
        <v>0.47296620370370368</v>
      </c>
      <c r="E1719" t="s">
        <v>2921</v>
      </c>
      <c r="F1719" t="s">
        <v>2922</v>
      </c>
      <c r="G1719" t="s">
        <v>1149</v>
      </c>
      <c r="H1719" t="s">
        <v>380</v>
      </c>
      <c r="I1719" t="s">
        <v>776</v>
      </c>
      <c r="J1719" t="s">
        <v>1816</v>
      </c>
      <c r="K1719" t="s">
        <v>37</v>
      </c>
      <c r="L1719">
        <v>18.43</v>
      </c>
      <c r="M1719" s="1">
        <v>45892</v>
      </c>
      <c r="N1719" t="s">
        <v>14</v>
      </c>
      <c r="O1719">
        <v>23</v>
      </c>
      <c r="P1719">
        <v>8</v>
      </c>
      <c r="Q1719">
        <v>3</v>
      </c>
      <c r="R1719">
        <v>2025</v>
      </c>
    </row>
    <row r="1720" spans="1:18">
      <c r="A1720">
        <v>84.03</v>
      </c>
      <c r="B1720">
        <v>3</v>
      </c>
      <c r="C1720">
        <v>1719</v>
      </c>
      <c r="D1720" s="2">
        <v>0.47444436342592594</v>
      </c>
      <c r="E1720" t="s">
        <v>3481</v>
      </c>
      <c r="F1720" t="s">
        <v>3482</v>
      </c>
      <c r="G1720" t="s">
        <v>2103</v>
      </c>
      <c r="H1720" t="s">
        <v>1591</v>
      </c>
      <c r="I1720" t="s">
        <v>966</v>
      </c>
      <c r="J1720" t="s">
        <v>463</v>
      </c>
      <c r="K1720" t="s">
        <v>43</v>
      </c>
      <c r="L1720">
        <v>28.01</v>
      </c>
      <c r="M1720" s="1">
        <v>45900</v>
      </c>
      <c r="N1720" t="s">
        <v>28</v>
      </c>
      <c r="O1720">
        <v>31</v>
      </c>
      <c r="P1720">
        <v>8</v>
      </c>
      <c r="Q1720">
        <v>3</v>
      </c>
      <c r="R1720">
        <v>2025</v>
      </c>
    </row>
    <row r="1721" spans="1:18">
      <c r="A1721">
        <v>241.48</v>
      </c>
      <c r="B1721">
        <v>4</v>
      </c>
      <c r="C1721">
        <v>1720</v>
      </c>
      <c r="D1721" s="2">
        <v>0.75225329861111112</v>
      </c>
      <c r="E1721" t="s">
        <v>782</v>
      </c>
      <c r="F1721" t="s">
        <v>783</v>
      </c>
      <c r="G1721" t="s">
        <v>784</v>
      </c>
      <c r="H1721" t="s">
        <v>785</v>
      </c>
      <c r="I1721" t="s">
        <v>786</v>
      </c>
      <c r="J1721" t="s">
        <v>681</v>
      </c>
      <c r="K1721" t="s">
        <v>43</v>
      </c>
      <c r="L1721">
        <v>60.37</v>
      </c>
      <c r="M1721" s="1">
        <v>45673</v>
      </c>
      <c r="N1721" t="s">
        <v>105</v>
      </c>
      <c r="O1721">
        <v>16</v>
      </c>
      <c r="P1721">
        <v>1</v>
      </c>
      <c r="Q1721">
        <v>1</v>
      </c>
      <c r="R1721">
        <v>2025</v>
      </c>
    </row>
    <row r="1722" spans="1:18">
      <c r="A1722">
        <v>181.88</v>
      </c>
      <c r="B1722">
        <v>1</v>
      </c>
      <c r="C1722">
        <v>1721</v>
      </c>
      <c r="D1722" s="2">
        <v>5.5900578703703706E-2</v>
      </c>
      <c r="E1722" t="s">
        <v>3246</v>
      </c>
      <c r="F1722" t="s">
        <v>3247</v>
      </c>
      <c r="G1722" t="s">
        <v>1192</v>
      </c>
      <c r="H1722" t="s">
        <v>29</v>
      </c>
      <c r="I1722" t="s">
        <v>821</v>
      </c>
      <c r="J1722" t="s">
        <v>549</v>
      </c>
      <c r="K1722" t="s">
        <v>82</v>
      </c>
      <c r="L1722">
        <v>181.88</v>
      </c>
      <c r="M1722" s="1">
        <v>46055</v>
      </c>
      <c r="N1722" t="s">
        <v>93</v>
      </c>
      <c r="O1722">
        <v>2</v>
      </c>
      <c r="P1722">
        <v>2</v>
      </c>
      <c r="Q1722">
        <v>1</v>
      </c>
      <c r="R1722">
        <v>2026</v>
      </c>
    </row>
    <row r="1723" spans="1:18">
      <c r="A1723">
        <v>175.24</v>
      </c>
      <c r="B1723">
        <v>4</v>
      </c>
      <c r="C1723">
        <v>1722</v>
      </c>
      <c r="D1723" s="2">
        <v>0.27421458333333332</v>
      </c>
      <c r="E1723" t="s">
        <v>2456</v>
      </c>
      <c r="F1723" t="s">
        <v>2457</v>
      </c>
      <c r="G1723" t="s">
        <v>882</v>
      </c>
      <c r="H1723" t="s">
        <v>1280</v>
      </c>
      <c r="I1723" t="s">
        <v>908</v>
      </c>
      <c r="J1723" t="s">
        <v>354</v>
      </c>
      <c r="K1723" t="s">
        <v>31</v>
      </c>
      <c r="L1723">
        <v>43.81</v>
      </c>
      <c r="M1723" s="1">
        <v>46238</v>
      </c>
      <c r="N1723" t="s">
        <v>48</v>
      </c>
      <c r="O1723">
        <v>4</v>
      </c>
      <c r="P1723">
        <v>8</v>
      </c>
      <c r="Q1723">
        <v>3</v>
      </c>
      <c r="R1723">
        <v>2026</v>
      </c>
    </row>
    <row r="1724" spans="1:18">
      <c r="A1724">
        <v>5.08</v>
      </c>
      <c r="B1724">
        <v>2</v>
      </c>
      <c r="C1724">
        <v>1723</v>
      </c>
      <c r="D1724" s="2">
        <v>0.37365635416666665</v>
      </c>
      <c r="E1724" t="s">
        <v>2171</v>
      </c>
      <c r="F1724" t="s">
        <v>2172</v>
      </c>
      <c r="G1724" t="s">
        <v>2173</v>
      </c>
      <c r="H1724" t="s">
        <v>762</v>
      </c>
      <c r="I1724" t="s">
        <v>763</v>
      </c>
      <c r="J1724" t="s">
        <v>409</v>
      </c>
      <c r="K1724" t="s">
        <v>39</v>
      </c>
      <c r="L1724">
        <v>2.54</v>
      </c>
      <c r="M1724" s="1">
        <v>45914</v>
      </c>
      <c r="N1724" t="s">
        <v>28</v>
      </c>
      <c r="O1724">
        <v>14</v>
      </c>
      <c r="P1724">
        <v>9</v>
      </c>
      <c r="Q1724">
        <v>3</v>
      </c>
      <c r="R1724">
        <v>2025</v>
      </c>
    </row>
    <row r="1725" spans="1:18">
      <c r="A1725">
        <v>115.27</v>
      </c>
      <c r="B1725">
        <v>1</v>
      </c>
      <c r="C1725">
        <v>1724</v>
      </c>
      <c r="D1725" s="2">
        <v>0.65604625000000005</v>
      </c>
      <c r="E1725" t="s">
        <v>2595</v>
      </c>
      <c r="F1725" t="s">
        <v>2596</v>
      </c>
      <c r="G1725" t="s">
        <v>1556</v>
      </c>
      <c r="H1725" t="s">
        <v>1199</v>
      </c>
      <c r="I1725" t="s">
        <v>839</v>
      </c>
      <c r="J1725" t="s">
        <v>198</v>
      </c>
      <c r="K1725" t="s">
        <v>43</v>
      </c>
      <c r="L1725">
        <v>115.27</v>
      </c>
      <c r="M1725" s="1">
        <v>45850</v>
      </c>
      <c r="N1725" t="s">
        <v>14</v>
      </c>
      <c r="O1725">
        <v>12</v>
      </c>
      <c r="P1725">
        <v>7</v>
      </c>
      <c r="Q1725">
        <v>3</v>
      </c>
      <c r="R1725">
        <v>2025</v>
      </c>
    </row>
    <row r="1726" spans="1:18">
      <c r="A1726">
        <v>184.98</v>
      </c>
      <c r="B1726">
        <v>2</v>
      </c>
      <c r="C1726">
        <v>1725</v>
      </c>
      <c r="D1726" s="2">
        <v>0.56376555555555552</v>
      </c>
      <c r="E1726" t="s">
        <v>1546</v>
      </c>
      <c r="F1726" t="s">
        <v>1547</v>
      </c>
      <c r="G1726" t="s">
        <v>952</v>
      </c>
      <c r="H1726" t="s">
        <v>380</v>
      </c>
      <c r="I1726" t="s">
        <v>776</v>
      </c>
      <c r="J1726" t="s">
        <v>36</v>
      </c>
      <c r="K1726" t="s">
        <v>37</v>
      </c>
      <c r="L1726">
        <v>92.49</v>
      </c>
      <c r="M1726" s="1">
        <v>46276</v>
      </c>
      <c r="N1726" t="s">
        <v>79</v>
      </c>
      <c r="O1726">
        <v>11</v>
      </c>
      <c r="P1726">
        <v>9</v>
      </c>
      <c r="Q1726">
        <v>3</v>
      </c>
      <c r="R1726">
        <v>2026</v>
      </c>
    </row>
    <row r="1727" spans="1:18">
      <c r="A1727">
        <v>62.7</v>
      </c>
      <c r="B1727">
        <v>2</v>
      </c>
      <c r="C1727">
        <v>1726</v>
      </c>
      <c r="D1727" s="2">
        <v>0.44591111111111109</v>
      </c>
      <c r="E1727" t="s">
        <v>880</v>
      </c>
      <c r="F1727" t="s">
        <v>881</v>
      </c>
      <c r="G1727" t="s">
        <v>882</v>
      </c>
      <c r="H1727" t="s">
        <v>883</v>
      </c>
      <c r="I1727" t="s">
        <v>807</v>
      </c>
      <c r="J1727" t="s">
        <v>557</v>
      </c>
      <c r="K1727" t="s">
        <v>46</v>
      </c>
      <c r="L1727">
        <v>31.35</v>
      </c>
      <c r="M1727" s="1">
        <v>45932</v>
      </c>
      <c r="N1727" t="s">
        <v>105</v>
      </c>
      <c r="O1727">
        <v>2</v>
      </c>
      <c r="P1727">
        <v>10</v>
      </c>
      <c r="Q1727">
        <v>4</v>
      </c>
      <c r="R1727">
        <v>2025</v>
      </c>
    </row>
    <row r="1728" spans="1:18">
      <c r="A1728">
        <v>950.52</v>
      </c>
      <c r="B1728">
        <v>4</v>
      </c>
      <c r="C1728">
        <v>1727</v>
      </c>
      <c r="D1728" s="2">
        <v>0.12232451388888889</v>
      </c>
      <c r="E1728" t="s">
        <v>1046</v>
      </c>
      <c r="F1728" t="s">
        <v>1047</v>
      </c>
      <c r="G1728" t="s">
        <v>746</v>
      </c>
      <c r="H1728" t="s">
        <v>29</v>
      </c>
      <c r="I1728" t="s">
        <v>821</v>
      </c>
      <c r="J1728" t="s">
        <v>375</v>
      </c>
      <c r="K1728" t="s">
        <v>31</v>
      </c>
      <c r="L1728">
        <v>237.63</v>
      </c>
      <c r="M1728" s="1">
        <v>45857</v>
      </c>
      <c r="N1728" t="s">
        <v>14</v>
      </c>
      <c r="O1728">
        <v>19</v>
      </c>
      <c r="P1728">
        <v>7</v>
      </c>
      <c r="Q1728">
        <v>3</v>
      </c>
      <c r="R1728">
        <v>2025</v>
      </c>
    </row>
    <row r="1729" spans="1:18">
      <c r="A1729">
        <v>492.52</v>
      </c>
      <c r="B1729">
        <v>4</v>
      </c>
      <c r="C1729">
        <v>1728</v>
      </c>
      <c r="D1729" s="2">
        <v>0.33074315972222224</v>
      </c>
      <c r="E1729" t="s">
        <v>1478</v>
      </c>
      <c r="F1729" t="s">
        <v>1479</v>
      </c>
      <c r="G1729" t="s">
        <v>1263</v>
      </c>
      <c r="H1729" t="s">
        <v>1395</v>
      </c>
      <c r="I1729" t="s">
        <v>776</v>
      </c>
      <c r="J1729" t="s">
        <v>66</v>
      </c>
      <c r="K1729" t="s">
        <v>46</v>
      </c>
      <c r="L1729">
        <v>123.13</v>
      </c>
      <c r="M1729" s="1">
        <v>46064</v>
      </c>
      <c r="N1729" t="s">
        <v>34</v>
      </c>
      <c r="O1729">
        <v>11</v>
      </c>
      <c r="P1729">
        <v>2</v>
      </c>
      <c r="Q1729">
        <v>1</v>
      </c>
      <c r="R1729">
        <v>2026</v>
      </c>
    </row>
    <row r="1730" spans="1:18">
      <c r="A1730">
        <v>351.1</v>
      </c>
      <c r="B1730">
        <v>5</v>
      </c>
      <c r="C1730">
        <v>1729</v>
      </c>
      <c r="D1730" s="2">
        <v>0.25131869212962965</v>
      </c>
      <c r="E1730" t="s">
        <v>3119</v>
      </c>
      <c r="F1730" t="s">
        <v>3120</v>
      </c>
      <c r="G1730" t="s">
        <v>1001</v>
      </c>
      <c r="H1730" t="s">
        <v>862</v>
      </c>
      <c r="I1730" t="s">
        <v>807</v>
      </c>
      <c r="J1730" t="s">
        <v>515</v>
      </c>
      <c r="K1730" t="s">
        <v>60</v>
      </c>
      <c r="L1730">
        <v>70.22</v>
      </c>
      <c r="M1730" s="1">
        <v>45808</v>
      </c>
      <c r="N1730" t="s">
        <v>14</v>
      </c>
      <c r="O1730">
        <v>31</v>
      </c>
      <c r="P1730">
        <v>5</v>
      </c>
      <c r="Q1730">
        <v>2</v>
      </c>
      <c r="R1730">
        <v>2025</v>
      </c>
    </row>
    <row r="1731" spans="1:18">
      <c r="A1731">
        <v>241.98</v>
      </c>
      <c r="B1731">
        <v>1</v>
      </c>
      <c r="C1731">
        <v>1730</v>
      </c>
      <c r="D1731" s="2">
        <v>3.5352303240740741E-2</v>
      </c>
      <c r="E1731" t="s">
        <v>2567</v>
      </c>
      <c r="F1731" t="s">
        <v>2568</v>
      </c>
      <c r="G1731" t="s">
        <v>1512</v>
      </c>
      <c r="H1731" t="s">
        <v>106</v>
      </c>
      <c r="I1731" t="s">
        <v>748</v>
      </c>
      <c r="J1731" t="s">
        <v>203</v>
      </c>
      <c r="K1731" t="s">
        <v>100</v>
      </c>
      <c r="L1731">
        <v>241.98</v>
      </c>
      <c r="M1731" s="1">
        <v>45595</v>
      </c>
      <c r="N1731" t="s">
        <v>34</v>
      </c>
      <c r="O1731">
        <v>30</v>
      </c>
      <c r="P1731">
        <v>10</v>
      </c>
      <c r="Q1731">
        <v>4</v>
      </c>
      <c r="R1731">
        <v>2024</v>
      </c>
    </row>
    <row r="1732" spans="1:18">
      <c r="A1732">
        <v>325.74</v>
      </c>
      <c r="B1732">
        <v>2</v>
      </c>
      <c r="C1732">
        <v>1731</v>
      </c>
      <c r="D1732" s="2">
        <v>0.22650207175925927</v>
      </c>
      <c r="E1732" t="s">
        <v>2370</v>
      </c>
      <c r="F1732" t="s">
        <v>2371</v>
      </c>
      <c r="G1732" t="s">
        <v>1633</v>
      </c>
      <c r="H1732" t="s">
        <v>757</v>
      </c>
      <c r="I1732" t="s">
        <v>758</v>
      </c>
      <c r="J1732" t="s">
        <v>236</v>
      </c>
      <c r="K1732" t="s">
        <v>60</v>
      </c>
      <c r="L1732">
        <v>162.87</v>
      </c>
      <c r="M1732" s="1">
        <v>45627</v>
      </c>
      <c r="N1732" t="s">
        <v>28</v>
      </c>
      <c r="O1732">
        <v>1</v>
      </c>
      <c r="P1732">
        <v>12</v>
      </c>
      <c r="Q1732">
        <v>4</v>
      </c>
      <c r="R1732">
        <v>2024</v>
      </c>
    </row>
    <row r="1733" spans="1:18">
      <c r="A1733">
        <v>15.870000000000001</v>
      </c>
      <c r="B1733">
        <v>3</v>
      </c>
      <c r="C1733">
        <v>1732</v>
      </c>
      <c r="D1733" s="2">
        <v>0.5076882407407407</v>
      </c>
      <c r="E1733" t="s">
        <v>2278</v>
      </c>
      <c r="F1733" t="s">
        <v>2279</v>
      </c>
      <c r="G1733" t="s">
        <v>2280</v>
      </c>
      <c r="H1733" t="s">
        <v>1239</v>
      </c>
      <c r="I1733" t="s">
        <v>795</v>
      </c>
      <c r="J1733" t="s">
        <v>394</v>
      </c>
      <c r="K1733" t="s">
        <v>122</v>
      </c>
      <c r="L1733">
        <v>5.29</v>
      </c>
      <c r="M1733" s="1">
        <v>45783</v>
      </c>
      <c r="N1733" t="s">
        <v>48</v>
      </c>
      <c r="O1733">
        <v>6</v>
      </c>
      <c r="P1733">
        <v>5</v>
      </c>
      <c r="Q1733">
        <v>2</v>
      </c>
      <c r="R1733">
        <v>2025</v>
      </c>
    </row>
    <row r="1734" spans="1:18">
      <c r="A1734">
        <v>141.76</v>
      </c>
      <c r="B1734">
        <v>4</v>
      </c>
      <c r="C1734">
        <v>1733</v>
      </c>
      <c r="D1734" s="2">
        <v>0.74599047453703704</v>
      </c>
      <c r="E1734" t="s">
        <v>2746</v>
      </c>
      <c r="F1734" t="s">
        <v>2747</v>
      </c>
      <c r="G1734" t="s">
        <v>1793</v>
      </c>
      <c r="H1734" t="s">
        <v>780</v>
      </c>
      <c r="I1734" t="s">
        <v>781</v>
      </c>
      <c r="J1734" t="s">
        <v>173</v>
      </c>
      <c r="K1734" t="s">
        <v>55</v>
      </c>
      <c r="L1734">
        <v>35.44</v>
      </c>
      <c r="M1734" s="1">
        <v>45678</v>
      </c>
      <c r="N1734" t="s">
        <v>48</v>
      </c>
      <c r="O1734">
        <v>21</v>
      </c>
      <c r="P1734">
        <v>1</v>
      </c>
      <c r="Q1734">
        <v>1</v>
      </c>
      <c r="R1734">
        <v>2025</v>
      </c>
    </row>
    <row r="1735" spans="1:18">
      <c r="A1735">
        <v>953.8</v>
      </c>
      <c r="B1735">
        <v>5</v>
      </c>
      <c r="C1735">
        <v>1734</v>
      </c>
      <c r="D1735" s="2">
        <v>0.19193577546296298</v>
      </c>
      <c r="E1735" t="s">
        <v>1480</v>
      </c>
      <c r="F1735" t="s">
        <v>1481</v>
      </c>
      <c r="G1735" t="s">
        <v>1482</v>
      </c>
      <c r="H1735" t="s">
        <v>15</v>
      </c>
      <c r="I1735" t="s">
        <v>834</v>
      </c>
      <c r="J1735" t="s">
        <v>1430</v>
      </c>
      <c r="K1735" t="s">
        <v>60</v>
      </c>
      <c r="L1735">
        <v>190.76</v>
      </c>
      <c r="M1735" s="1">
        <v>45859</v>
      </c>
      <c r="N1735" t="s">
        <v>93</v>
      </c>
      <c r="O1735">
        <v>21</v>
      </c>
      <c r="P1735">
        <v>7</v>
      </c>
      <c r="Q1735">
        <v>3</v>
      </c>
      <c r="R1735">
        <v>2025</v>
      </c>
    </row>
    <row r="1736" spans="1:18">
      <c r="A1736">
        <v>386.15999999999997</v>
      </c>
      <c r="B1736">
        <v>3</v>
      </c>
      <c r="C1736">
        <v>1735</v>
      </c>
      <c r="D1736" s="2">
        <v>0.96079468749999997</v>
      </c>
      <c r="E1736" t="s">
        <v>2049</v>
      </c>
      <c r="F1736" t="s">
        <v>2050</v>
      </c>
      <c r="G1736" t="s">
        <v>2013</v>
      </c>
      <c r="H1736" t="s">
        <v>1600</v>
      </c>
      <c r="I1736" t="s">
        <v>768</v>
      </c>
      <c r="J1736" t="s">
        <v>693</v>
      </c>
      <c r="K1736" t="s">
        <v>46</v>
      </c>
      <c r="L1736">
        <v>128.72</v>
      </c>
      <c r="M1736" s="1">
        <v>46276</v>
      </c>
      <c r="N1736" t="s">
        <v>79</v>
      </c>
      <c r="O1736">
        <v>11</v>
      </c>
      <c r="P1736">
        <v>9</v>
      </c>
      <c r="Q1736">
        <v>3</v>
      </c>
      <c r="R1736">
        <v>2026</v>
      </c>
    </row>
    <row r="1737" spans="1:18">
      <c r="A1737">
        <v>173.32</v>
      </c>
      <c r="B1737">
        <v>1</v>
      </c>
      <c r="C1737">
        <v>1736</v>
      </c>
      <c r="D1737" s="2">
        <v>0.99716601851851849</v>
      </c>
      <c r="E1737" t="s">
        <v>2909</v>
      </c>
      <c r="F1737" t="s">
        <v>2910</v>
      </c>
      <c r="G1737" t="s">
        <v>2911</v>
      </c>
      <c r="H1737" t="s">
        <v>1156</v>
      </c>
      <c r="I1737" t="s">
        <v>821</v>
      </c>
      <c r="J1737" t="s">
        <v>303</v>
      </c>
      <c r="K1737" t="s">
        <v>19</v>
      </c>
      <c r="L1737">
        <v>173.32</v>
      </c>
      <c r="M1737" s="1">
        <v>45676</v>
      </c>
      <c r="N1737" t="s">
        <v>28</v>
      </c>
      <c r="O1737">
        <v>19</v>
      </c>
      <c r="P1737">
        <v>1</v>
      </c>
      <c r="Q1737">
        <v>1</v>
      </c>
      <c r="R1737">
        <v>2025</v>
      </c>
    </row>
    <row r="1738" spans="1:18">
      <c r="A1738">
        <v>423.8</v>
      </c>
      <c r="B1738">
        <v>5</v>
      </c>
      <c r="C1738">
        <v>1737</v>
      </c>
      <c r="D1738" s="2">
        <v>0.14074719907407407</v>
      </c>
      <c r="E1738" t="s">
        <v>974</v>
      </c>
      <c r="F1738" t="s">
        <v>975</v>
      </c>
      <c r="G1738" t="s">
        <v>976</v>
      </c>
      <c r="H1738" t="s">
        <v>106</v>
      </c>
      <c r="I1738" t="s">
        <v>748</v>
      </c>
      <c r="J1738" t="s">
        <v>363</v>
      </c>
      <c r="K1738" t="s">
        <v>100</v>
      </c>
      <c r="L1738">
        <v>84.76</v>
      </c>
      <c r="M1738" s="1">
        <v>45721</v>
      </c>
      <c r="N1738" t="s">
        <v>34</v>
      </c>
      <c r="O1738">
        <v>5</v>
      </c>
      <c r="P1738">
        <v>3</v>
      </c>
      <c r="Q1738">
        <v>1</v>
      </c>
      <c r="R1738">
        <v>2025</v>
      </c>
    </row>
    <row r="1739" spans="1:18">
      <c r="A1739">
        <v>106.56</v>
      </c>
      <c r="B1739">
        <v>2</v>
      </c>
      <c r="C1739">
        <v>1738</v>
      </c>
      <c r="D1739" s="2">
        <v>0.3451236689814815</v>
      </c>
      <c r="E1739" t="s">
        <v>2855</v>
      </c>
      <c r="F1739" t="s">
        <v>2856</v>
      </c>
      <c r="G1739" t="s">
        <v>2857</v>
      </c>
      <c r="H1739" t="s">
        <v>666</v>
      </c>
      <c r="I1739" t="s">
        <v>954</v>
      </c>
      <c r="J1739" t="s">
        <v>459</v>
      </c>
      <c r="K1739" t="s">
        <v>43</v>
      </c>
      <c r="L1739">
        <v>53.28</v>
      </c>
      <c r="M1739" s="1">
        <v>46072</v>
      </c>
      <c r="N1739" t="s">
        <v>105</v>
      </c>
      <c r="O1739">
        <v>19</v>
      </c>
      <c r="P1739">
        <v>2</v>
      </c>
      <c r="Q1739">
        <v>1</v>
      </c>
      <c r="R1739">
        <v>2026</v>
      </c>
    </row>
    <row r="1740" spans="1:18">
      <c r="A1740">
        <v>140.91999999999999</v>
      </c>
      <c r="B1740">
        <v>4</v>
      </c>
      <c r="C1740">
        <v>1739</v>
      </c>
      <c r="D1740" s="2">
        <v>5.0599467592592595E-2</v>
      </c>
      <c r="E1740" t="s">
        <v>1914</v>
      </c>
      <c r="F1740" t="s">
        <v>1915</v>
      </c>
      <c r="G1740" t="s">
        <v>976</v>
      </c>
      <c r="H1740" t="s">
        <v>1199</v>
      </c>
      <c r="I1740" t="s">
        <v>839</v>
      </c>
      <c r="J1740" t="s">
        <v>261</v>
      </c>
      <c r="K1740" t="s">
        <v>31</v>
      </c>
      <c r="L1740">
        <v>35.229999999999997</v>
      </c>
      <c r="M1740" s="1">
        <v>46097</v>
      </c>
      <c r="N1740" t="s">
        <v>93</v>
      </c>
      <c r="O1740">
        <v>16</v>
      </c>
      <c r="P1740">
        <v>3</v>
      </c>
      <c r="Q1740">
        <v>1</v>
      </c>
      <c r="R1740">
        <v>2026</v>
      </c>
    </row>
    <row r="1741" spans="1:18">
      <c r="A1741">
        <v>200.12</v>
      </c>
      <c r="B1741">
        <v>1</v>
      </c>
      <c r="C1741">
        <v>1740</v>
      </c>
      <c r="D1741" s="2">
        <v>0.81581457175925931</v>
      </c>
      <c r="E1741" t="s">
        <v>2087</v>
      </c>
      <c r="F1741" t="s">
        <v>2088</v>
      </c>
      <c r="G1741" t="s">
        <v>820</v>
      </c>
      <c r="H1741" t="s">
        <v>995</v>
      </c>
      <c r="I1741" t="s">
        <v>781</v>
      </c>
      <c r="J1741" t="s">
        <v>239</v>
      </c>
      <c r="K1741" t="s">
        <v>23</v>
      </c>
      <c r="L1741">
        <v>200.12</v>
      </c>
      <c r="M1741" s="1">
        <v>45914</v>
      </c>
      <c r="N1741" t="s">
        <v>28</v>
      </c>
      <c r="O1741">
        <v>14</v>
      </c>
      <c r="P1741">
        <v>9</v>
      </c>
      <c r="Q1741">
        <v>3</v>
      </c>
      <c r="R1741">
        <v>2025</v>
      </c>
    </row>
    <row r="1742" spans="1:18">
      <c r="A1742">
        <v>259.94</v>
      </c>
      <c r="B1742">
        <v>2</v>
      </c>
      <c r="C1742">
        <v>1741</v>
      </c>
      <c r="D1742" s="2">
        <v>0.95819620370370373</v>
      </c>
      <c r="E1742" t="s">
        <v>1526</v>
      </c>
      <c r="F1742" t="s">
        <v>1527</v>
      </c>
      <c r="G1742" t="s">
        <v>1031</v>
      </c>
      <c r="H1742" t="s">
        <v>1092</v>
      </c>
      <c r="I1742" t="s">
        <v>763</v>
      </c>
      <c r="J1742" t="s">
        <v>263</v>
      </c>
      <c r="K1742" t="s">
        <v>60</v>
      </c>
      <c r="L1742">
        <v>129.97</v>
      </c>
      <c r="M1742" s="1">
        <v>45558</v>
      </c>
      <c r="N1742" t="s">
        <v>93</v>
      </c>
      <c r="O1742">
        <v>23</v>
      </c>
      <c r="P1742">
        <v>9</v>
      </c>
      <c r="Q1742">
        <v>3</v>
      </c>
      <c r="R1742">
        <v>2024</v>
      </c>
    </row>
    <row r="1743" spans="1:18">
      <c r="A1743">
        <v>420.04</v>
      </c>
      <c r="B1743">
        <v>4</v>
      </c>
      <c r="C1743">
        <v>1742</v>
      </c>
      <c r="D1743" s="2">
        <v>4.2062037037037037E-2</v>
      </c>
      <c r="E1743" t="s">
        <v>958</v>
      </c>
      <c r="F1743" t="s">
        <v>2368</v>
      </c>
      <c r="G1743" t="s">
        <v>2369</v>
      </c>
      <c r="H1743" t="s">
        <v>691</v>
      </c>
      <c r="I1743" t="s">
        <v>776</v>
      </c>
      <c r="J1743" t="s">
        <v>448</v>
      </c>
      <c r="K1743" t="s">
        <v>55</v>
      </c>
      <c r="L1743">
        <v>105.01</v>
      </c>
      <c r="M1743" s="1">
        <v>46209</v>
      </c>
      <c r="N1743" t="s">
        <v>93</v>
      </c>
      <c r="O1743">
        <v>6</v>
      </c>
      <c r="P1743">
        <v>7</v>
      </c>
      <c r="Q1743">
        <v>3</v>
      </c>
      <c r="R1743">
        <v>2026</v>
      </c>
    </row>
    <row r="1744" spans="1:18">
      <c r="A1744">
        <v>129.72999999999999</v>
      </c>
      <c r="B1744">
        <v>1</v>
      </c>
      <c r="C1744">
        <v>1743</v>
      </c>
      <c r="D1744" s="2">
        <v>0.55842827546296292</v>
      </c>
      <c r="E1744" t="s">
        <v>1836</v>
      </c>
      <c r="F1744" t="s">
        <v>1837</v>
      </c>
      <c r="G1744" t="s">
        <v>1838</v>
      </c>
      <c r="H1744" t="s">
        <v>64</v>
      </c>
      <c r="I1744" t="s">
        <v>892</v>
      </c>
      <c r="J1744" t="s">
        <v>20</v>
      </c>
      <c r="K1744" t="s">
        <v>21</v>
      </c>
      <c r="L1744">
        <v>129.72999999999999</v>
      </c>
      <c r="M1744" s="1">
        <v>46103</v>
      </c>
      <c r="N1744" t="s">
        <v>28</v>
      </c>
      <c r="O1744">
        <v>22</v>
      </c>
      <c r="P1744">
        <v>3</v>
      </c>
      <c r="Q1744">
        <v>1</v>
      </c>
      <c r="R1744">
        <v>2026</v>
      </c>
    </row>
    <row r="1745" spans="1:18">
      <c r="A1745">
        <v>12.56</v>
      </c>
      <c r="B1745">
        <v>2</v>
      </c>
      <c r="C1745">
        <v>1744</v>
      </c>
      <c r="D1745" s="2">
        <v>0.72144252314814816</v>
      </c>
      <c r="E1745" t="s">
        <v>1391</v>
      </c>
      <c r="F1745" t="s">
        <v>1392</v>
      </c>
      <c r="G1745" t="s">
        <v>1231</v>
      </c>
      <c r="H1745" t="s">
        <v>757</v>
      </c>
      <c r="I1745" t="s">
        <v>758</v>
      </c>
      <c r="J1745" t="s">
        <v>274</v>
      </c>
      <c r="K1745" t="s">
        <v>19</v>
      </c>
      <c r="L1745">
        <v>6.28</v>
      </c>
      <c r="M1745" s="1">
        <v>46266</v>
      </c>
      <c r="N1745" t="s">
        <v>48</v>
      </c>
      <c r="O1745">
        <v>1</v>
      </c>
      <c r="P1745">
        <v>9</v>
      </c>
      <c r="Q1745">
        <v>3</v>
      </c>
      <c r="R1745">
        <v>2026</v>
      </c>
    </row>
    <row r="1746" spans="1:18">
      <c r="A1746">
        <v>92.96</v>
      </c>
      <c r="B1746">
        <v>4</v>
      </c>
      <c r="C1746">
        <v>1745</v>
      </c>
      <c r="D1746" s="2">
        <v>0.12089649305555555</v>
      </c>
      <c r="E1746" t="s">
        <v>3098</v>
      </c>
      <c r="F1746" t="s">
        <v>3099</v>
      </c>
      <c r="G1746" t="s">
        <v>1585</v>
      </c>
      <c r="H1746" t="s">
        <v>2247</v>
      </c>
      <c r="I1746" t="s">
        <v>781</v>
      </c>
      <c r="J1746" t="s">
        <v>738</v>
      </c>
      <c r="K1746" t="s">
        <v>27</v>
      </c>
      <c r="L1746">
        <v>23.24</v>
      </c>
      <c r="M1746" s="1">
        <v>46015</v>
      </c>
      <c r="N1746" t="s">
        <v>34</v>
      </c>
      <c r="O1746">
        <v>24</v>
      </c>
      <c r="P1746">
        <v>12</v>
      </c>
      <c r="Q1746">
        <v>4</v>
      </c>
      <c r="R1746">
        <v>2025</v>
      </c>
    </row>
    <row r="1747" spans="1:18">
      <c r="A1747">
        <v>444.04</v>
      </c>
      <c r="B1747">
        <v>2</v>
      </c>
      <c r="C1747">
        <v>1746</v>
      </c>
      <c r="D1747" s="2">
        <v>8.5315520833333339E-2</v>
      </c>
      <c r="E1747" t="s">
        <v>1530</v>
      </c>
      <c r="F1747" t="s">
        <v>1902</v>
      </c>
      <c r="G1747" t="s">
        <v>1903</v>
      </c>
      <c r="H1747" t="s">
        <v>49</v>
      </c>
      <c r="I1747" t="s">
        <v>892</v>
      </c>
      <c r="J1747" t="s">
        <v>501</v>
      </c>
      <c r="K1747" t="s">
        <v>25</v>
      </c>
      <c r="L1747">
        <v>222.02</v>
      </c>
      <c r="M1747" s="1">
        <v>46212</v>
      </c>
      <c r="N1747" t="s">
        <v>105</v>
      </c>
      <c r="O1747">
        <v>9</v>
      </c>
      <c r="P1747">
        <v>7</v>
      </c>
      <c r="Q1747">
        <v>3</v>
      </c>
      <c r="R1747">
        <v>2026</v>
      </c>
    </row>
    <row r="1748" spans="1:18">
      <c r="A1748">
        <v>103.9</v>
      </c>
      <c r="B1748">
        <v>2</v>
      </c>
      <c r="C1748">
        <v>1747</v>
      </c>
      <c r="D1748" s="2">
        <v>0.4685885763888889</v>
      </c>
      <c r="E1748" t="s">
        <v>2918</v>
      </c>
      <c r="F1748" t="s">
        <v>2919</v>
      </c>
      <c r="G1748" t="s">
        <v>2920</v>
      </c>
      <c r="H1748" t="s">
        <v>1649</v>
      </c>
      <c r="I1748" t="s">
        <v>790</v>
      </c>
      <c r="J1748" t="s">
        <v>315</v>
      </c>
      <c r="K1748" t="s">
        <v>27</v>
      </c>
      <c r="L1748">
        <v>51.95</v>
      </c>
      <c r="M1748" s="1">
        <v>46051</v>
      </c>
      <c r="N1748" t="s">
        <v>105</v>
      </c>
      <c r="O1748">
        <v>29</v>
      </c>
      <c r="P1748">
        <v>1</v>
      </c>
      <c r="Q1748">
        <v>1</v>
      </c>
      <c r="R1748">
        <v>2026</v>
      </c>
    </row>
    <row r="1749" spans="1:18">
      <c r="A1749">
        <v>525.67999999999995</v>
      </c>
      <c r="B1749">
        <v>4</v>
      </c>
      <c r="C1749">
        <v>1748</v>
      </c>
      <c r="D1749" s="2">
        <v>0.69532892361111109</v>
      </c>
      <c r="E1749" t="s">
        <v>900</v>
      </c>
      <c r="F1749" t="s">
        <v>901</v>
      </c>
      <c r="G1749" t="s">
        <v>902</v>
      </c>
      <c r="H1749" t="s">
        <v>903</v>
      </c>
      <c r="I1749" t="s">
        <v>786</v>
      </c>
      <c r="J1749" t="s">
        <v>679</v>
      </c>
      <c r="K1749" t="s">
        <v>25</v>
      </c>
      <c r="L1749">
        <v>131.41999999999999</v>
      </c>
      <c r="M1749" s="1">
        <v>45975</v>
      </c>
      <c r="N1749" t="s">
        <v>79</v>
      </c>
      <c r="O1749">
        <v>14</v>
      </c>
      <c r="P1749">
        <v>11</v>
      </c>
      <c r="Q1749">
        <v>4</v>
      </c>
      <c r="R1749">
        <v>2025</v>
      </c>
    </row>
    <row r="1750" spans="1:18">
      <c r="A1750">
        <v>591.85</v>
      </c>
      <c r="B1750">
        <v>5</v>
      </c>
      <c r="C1750">
        <v>1749</v>
      </c>
      <c r="D1750" s="2">
        <v>0.1194497337962963</v>
      </c>
      <c r="E1750" t="s">
        <v>3236</v>
      </c>
      <c r="F1750" t="s">
        <v>3237</v>
      </c>
      <c r="G1750" t="s">
        <v>973</v>
      </c>
      <c r="H1750" t="s">
        <v>2332</v>
      </c>
      <c r="I1750" t="s">
        <v>1003</v>
      </c>
      <c r="J1750" t="s">
        <v>710</v>
      </c>
      <c r="K1750" t="s">
        <v>69</v>
      </c>
      <c r="L1750">
        <v>118.37</v>
      </c>
      <c r="M1750" s="1">
        <v>46108</v>
      </c>
      <c r="N1750" t="s">
        <v>79</v>
      </c>
      <c r="O1750">
        <v>27</v>
      </c>
      <c r="P1750">
        <v>3</v>
      </c>
      <c r="Q1750">
        <v>1</v>
      </c>
      <c r="R1750">
        <v>2026</v>
      </c>
    </row>
    <row r="1751" spans="1:18">
      <c r="A1751">
        <v>209.02</v>
      </c>
      <c r="B1751">
        <v>1</v>
      </c>
      <c r="C1751">
        <v>1750</v>
      </c>
      <c r="D1751" s="2">
        <v>0.63201556712962959</v>
      </c>
      <c r="E1751" t="s">
        <v>2552</v>
      </c>
      <c r="F1751" t="s">
        <v>2553</v>
      </c>
      <c r="G1751" t="s">
        <v>1524</v>
      </c>
      <c r="H1751" t="s">
        <v>196</v>
      </c>
      <c r="I1751" t="s">
        <v>1247</v>
      </c>
      <c r="J1751" t="s">
        <v>62</v>
      </c>
      <c r="K1751" t="s">
        <v>17</v>
      </c>
      <c r="L1751">
        <v>209.02</v>
      </c>
      <c r="M1751" s="1">
        <v>45608</v>
      </c>
      <c r="N1751" t="s">
        <v>48</v>
      </c>
      <c r="O1751">
        <v>12</v>
      </c>
      <c r="P1751">
        <v>11</v>
      </c>
      <c r="Q1751">
        <v>4</v>
      </c>
      <c r="R1751">
        <v>2024</v>
      </c>
    </row>
    <row r="1752" spans="1:18">
      <c r="A1752">
        <v>444.52</v>
      </c>
      <c r="B1752">
        <v>4</v>
      </c>
      <c r="C1752">
        <v>1751</v>
      </c>
      <c r="D1752" s="2">
        <v>0.72741694444444449</v>
      </c>
      <c r="E1752" t="s">
        <v>1883</v>
      </c>
      <c r="F1752" t="s">
        <v>1884</v>
      </c>
      <c r="G1752" t="s">
        <v>1885</v>
      </c>
      <c r="H1752" t="s">
        <v>1886</v>
      </c>
      <c r="I1752" t="s">
        <v>753</v>
      </c>
      <c r="J1752" t="s">
        <v>269</v>
      </c>
      <c r="K1752" t="s">
        <v>60</v>
      </c>
      <c r="L1752">
        <v>111.13</v>
      </c>
      <c r="M1752" s="1">
        <v>46123</v>
      </c>
      <c r="N1752" t="s">
        <v>14</v>
      </c>
      <c r="O1752">
        <v>11</v>
      </c>
      <c r="P1752">
        <v>4</v>
      </c>
      <c r="Q1752">
        <v>2</v>
      </c>
      <c r="R1752">
        <v>2026</v>
      </c>
    </row>
    <row r="1753" spans="1:18">
      <c r="A1753">
        <v>251.4</v>
      </c>
      <c r="B1753">
        <v>5</v>
      </c>
      <c r="C1753">
        <v>1752</v>
      </c>
      <c r="D1753" s="2">
        <v>0.67298831018518523</v>
      </c>
      <c r="E1753" t="s">
        <v>1900</v>
      </c>
      <c r="F1753" t="s">
        <v>1901</v>
      </c>
      <c r="G1753" t="s">
        <v>1477</v>
      </c>
      <c r="H1753" t="s">
        <v>961</v>
      </c>
      <c r="I1753" t="s">
        <v>753</v>
      </c>
      <c r="J1753" t="s">
        <v>519</v>
      </c>
      <c r="K1753" t="s">
        <v>51</v>
      </c>
      <c r="L1753">
        <v>50.28</v>
      </c>
      <c r="M1753" s="1">
        <v>45578</v>
      </c>
      <c r="N1753" t="s">
        <v>28</v>
      </c>
      <c r="O1753">
        <v>13</v>
      </c>
      <c r="P1753">
        <v>10</v>
      </c>
      <c r="Q1753">
        <v>4</v>
      </c>
      <c r="R1753">
        <v>2024</v>
      </c>
    </row>
    <row r="1754" spans="1:18">
      <c r="A1754">
        <v>3.66</v>
      </c>
      <c r="B1754">
        <v>3</v>
      </c>
      <c r="C1754">
        <v>1753</v>
      </c>
      <c r="D1754" s="2">
        <v>7.8955567129629631E-2</v>
      </c>
      <c r="E1754" t="s">
        <v>1578</v>
      </c>
      <c r="F1754" t="s">
        <v>1579</v>
      </c>
      <c r="G1754" t="s">
        <v>891</v>
      </c>
      <c r="H1754" t="s">
        <v>106</v>
      </c>
      <c r="I1754" t="s">
        <v>748</v>
      </c>
      <c r="J1754" t="s">
        <v>242</v>
      </c>
      <c r="K1754" t="s">
        <v>19</v>
      </c>
      <c r="L1754">
        <v>1.22</v>
      </c>
      <c r="M1754" s="1">
        <v>46238</v>
      </c>
      <c r="N1754" t="s">
        <v>48</v>
      </c>
      <c r="O1754">
        <v>4</v>
      </c>
      <c r="P1754">
        <v>8</v>
      </c>
      <c r="Q1754">
        <v>3</v>
      </c>
      <c r="R1754">
        <v>2026</v>
      </c>
    </row>
    <row r="1755" spans="1:18">
      <c r="A1755">
        <v>866.35</v>
      </c>
      <c r="B1755">
        <v>5</v>
      </c>
      <c r="C1755">
        <v>1754</v>
      </c>
      <c r="D1755" s="2">
        <v>0.99502951388888894</v>
      </c>
      <c r="E1755" t="s">
        <v>1315</v>
      </c>
      <c r="F1755" t="s">
        <v>1316</v>
      </c>
      <c r="G1755" t="s">
        <v>1317</v>
      </c>
      <c r="H1755" t="s">
        <v>1318</v>
      </c>
      <c r="I1755" t="s">
        <v>807</v>
      </c>
      <c r="J1755" t="s">
        <v>185</v>
      </c>
      <c r="K1755" t="s">
        <v>57</v>
      </c>
      <c r="L1755">
        <v>173.27</v>
      </c>
      <c r="M1755" s="1">
        <v>45905</v>
      </c>
      <c r="N1755" t="s">
        <v>79</v>
      </c>
      <c r="O1755">
        <v>5</v>
      </c>
      <c r="P1755">
        <v>9</v>
      </c>
      <c r="Q1755">
        <v>3</v>
      </c>
      <c r="R1755">
        <v>2025</v>
      </c>
    </row>
    <row r="1756" spans="1:18">
      <c r="A1756">
        <v>679.08</v>
      </c>
      <c r="B1756">
        <v>4</v>
      </c>
      <c r="C1756">
        <v>1755</v>
      </c>
      <c r="D1756" s="2">
        <v>0.58014097222222227</v>
      </c>
      <c r="E1756" t="s">
        <v>1331</v>
      </c>
      <c r="F1756" t="s">
        <v>1332</v>
      </c>
      <c r="G1756" t="s">
        <v>1133</v>
      </c>
      <c r="H1756" t="s">
        <v>825</v>
      </c>
      <c r="I1756" t="s">
        <v>781</v>
      </c>
      <c r="J1756" t="s">
        <v>300</v>
      </c>
      <c r="K1756" t="s">
        <v>55</v>
      </c>
      <c r="L1756">
        <v>169.77</v>
      </c>
      <c r="M1756" s="1">
        <v>45850</v>
      </c>
      <c r="N1756" t="s">
        <v>14</v>
      </c>
      <c r="O1756">
        <v>12</v>
      </c>
      <c r="P1756">
        <v>7</v>
      </c>
      <c r="Q1756">
        <v>3</v>
      </c>
      <c r="R1756">
        <v>2025</v>
      </c>
    </row>
    <row r="1757" spans="1:18">
      <c r="A1757">
        <v>126.57</v>
      </c>
      <c r="B1757">
        <v>1</v>
      </c>
      <c r="C1757">
        <v>1756</v>
      </c>
      <c r="D1757" s="2">
        <v>0.28880276620370371</v>
      </c>
      <c r="E1757" t="s">
        <v>1522</v>
      </c>
      <c r="F1757" t="s">
        <v>1523</v>
      </c>
      <c r="G1757" t="s">
        <v>1524</v>
      </c>
      <c r="H1757" t="s">
        <v>1525</v>
      </c>
      <c r="I1757" t="s">
        <v>763</v>
      </c>
      <c r="J1757" t="s">
        <v>367</v>
      </c>
      <c r="K1757" t="s">
        <v>31</v>
      </c>
      <c r="L1757">
        <v>126.57</v>
      </c>
      <c r="M1757" s="1">
        <v>46187</v>
      </c>
      <c r="N1757" t="s">
        <v>28</v>
      </c>
      <c r="O1757">
        <v>14</v>
      </c>
      <c r="P1757">
        <v>6</v>
      </c>
      <c r="Q1757">
        <v>2</v>
      </c>
      <c r="R1757">
        <v>2026</v>
      </c>
    </row>
    <row r="1758" spans="1:18">
      <c r="A1758">
        <v>64.14</v>
      </c>
      <c r="B1758">
        <v>3</v>
      </c>
      <c r="C1758">
        <v>1757</v>
      </c>
      <c r="D1758" s="2">
        <v>0.77134434027777776</v>
      </c>
      <c r="E1758" t="s">
        <v>3040</v>
      </c>
      <c r="F1758" t="s">
        <v>3041</v>
      </c>
      <c r="G1758" t="s">
        <v>1962</v>
      </c>
      <c r="H1758" t="s">
        <v>160</v>
      </c>
      <c r="I1758" t="s">
        <v>790</v>
      </c>
      <c r="J1758" t="s">
        <v>600</v>
      </c>
      <c r="K1758" t="s">
        <v>69</v>
      </c>
      <c r="L1758">
        <v>21.38</v>
      </c>
      <c r="M1758" s="1">
        <v>45846</v>
      </c>
      <c r="N1758" t="s">
        <v>48</v>
      </c>
      <c r="O1758">
        <v>8</v>
      </c>
      <c r="P1758">
        <v>7</v>
      </c>
      <c r="Q1758">
        <v>3</v>
      </c>
      <c r="R1758">
        <v>2025</v>
      </c>
    </row>
    <row r="1759" spans="1:18">
      <c r="A1759">
        <v>230.82</v>
      </c>
      <c r="B1759">
        <v>3</v>
      </c>
      <c r="C1759">
        <v>1758</v>
      </c>
      <c r="D1759" s="2">
        <v>0.30690739583333332</v>
      </c>
      <c r="E1759" t="s">
        <v>1683</v>
      </c>
      <c r="F1759" t="s">
        <v>1684</v>
      </c>
      <c r="G1759" t="s">
        <v>1685</v>
      </c>
      <c r="H1759" t="s">
        <v>1067</v>
      </c>
      <c r="I1759" t="s">
        <v>854</v>
      </c>
      <c r="J1759" t="s">
        <v>119</v>
      </c>
      <c r="K1759" t="s">
        <v>60</v>
      </c>
      <c r="L1759">
        <v>76.94</v>
      </c>
      <c r="M1759" s="1">
        <v>45598</v>
      </c>
      <c r="N1759" t="s">
        <v>14</v>
      </c>
      <c r="O1759">
        <v>2</v>
      </c>
      <c r="P1759">
        <v>11</v>
      </c>
      <c r="Q1759">
        <v>4</v>
      </c>
      <c r="R1759">
        <v>2024</v>
      </c>
    </row>
    <row r="1760" spans="1:18">
      <c r="A1760">
        <v>720.34999999999991</v>
      </c>
      <c r="B1760">
        <v>5</v>
      </c>
      <c r="C1760">
        <v>1759</v>
      </c>
      <c r="D1760" s="2">
        <v>0.66625585648148145</v>
      </c>
      <c r="E1760" t="s">
        <v>1930</v>
      </c>
      <c r="F1760" t="s">
        <v>1931</v>
      </c>
      <c r="G1760" t="s">
        <v>938</v>
      </c>
      <c r="H1760" t="s">
        <v>903</v>
      </c>
      <c r="I1760" t="s">
        <v>786</v>
      </c>
      <c r="J1760" t="s">
        <v>230</v>
      </c>
      <c r="K1760" t="s">
        <v>46</v>
      </c>
      <c r="L1760">
        <v>144.07</v>
      </c>
      <c r="M1760" s="1">
        <v>45734</v>
      </c>
      <c r="N1760" t="s">
        <v>48</v>
      </c>
      <c r="O1760">
        <v>18</v>
      </c>
      <c r="P1760">
        <v>3</v>
      </c>
      <c r="Q1760">
        <v>1</v>
      </c>
      <c r="R1760">
        <v>2025</v>
      </c>
    </row>
    <row r="1761" spans="1:18">
      <c r="A1761">
        <v>38.04</v>
      </c>
      <c r="B1761">
        <v>4</v>
      </c>
      <c r="C1761">
        <v>1760</v>
      </c>
      <c r="D1761" s="2">
        <v>0.4428962384259259</v>
      </c>
      <c r="E1761" t="s">
        <v>2851</v>
      </c>
      <c r="F1761" t="s">
        <v>2852</v>
      </c>
      <c r="G1761" t="s">
        <v>1418</v>
      </c>
      <c r="H1761" t="s">
        <v>106</v>
      </c>
      <c r="I1761" t="s">
        <v>896</v>
      </c>
      <c r="J1761" t="s">
        <v>727</v>
      </c>
      <c r="K1761" t="s">
        <v>97</v>
      </c>
      <c r="L1761">
        <v>9.51</v>
      </c>
      <c r="M1761" s="1">
        <v>46160</v>
      </c>
      <c r="N1761" t="s">
        <v>93</v>
      </c>
      <c r="O1761">
        <v>18</v>
      </c>
      <c r="P1761">
        <v>5</v>
      </c>
      <c r="Q1761">
        <v>2</v>
      </c>
      <c r="R1761">
        <v>2026</v>
      </c>
    </row>
    <row r="1762" spans="1:18">
      <c r="A1762">
        <v>165.57</v>
      </c>
      <c r="B1762">
        <v>1</v>
      </c>
      <c r="C1762">
        <v>1761</v>
      </c>
      <c r="D1762" s="2">
        <v>0.98290563657407404</v>
      </c>
      <c r="E1762" t="s">
        <v>958</v>
      </c>
      <c r="F1762" t="s">
        <v>2368</v>
      </c>
      <c r="G1762" t="s">
        <v>2369</v>
      </c>
      <c r="H1762" t="s">
        <v>691</v>
      </c>
      <c r="I1762" t="s">
        <v>776</v>
      </c>
      <c r="J1762" t="s">
        <v>355</v>
      </c>
      <c r="K1762" t="s">
        <v>39</v>
      </c>
      <c r="L1762">
        <v>165.57</v>
      </c>
      <c r="M1762" s="1">
        <v>46128</v>
      </c>
      <c r="N1762" t="s">
        <v>105</v>
      </c>
      <c r="O1762">
        <v>16</v>
      </c>
      <c r="P1762">
        <v>4</v>
      </c>
      <c r="Q1762">
        <v>2</v>
      </c>
      <c r="R1762">
        <v>2026</v>
      </c>
    </row>
    <row r="1763" spans="1:18">
      <c r="A1763">
        <v>120.05000000000001</v>
      </c>
      <c r="B1763">
        <v>5</v>
      </c>
      <c r="C1763">
        <v>1762</v>
      </c>
      <c r="D1763" s="2">
        <v>0.16783037037037038</v>
      </c>
      <c r="E1763" t="s">
        <v>904</v>
      </c>
      <c r="F1763" t="s">
        <v>905</v>
      </c>
      <c r="G1763" t="s">
        <v>906</v>
      </c>
      <c r="H1763" t="s">
        <v>907</v>
      </c>
      <c r="I1763" t="s">
        <v>908</v>
      </c>
      <c r="J1763" t="s">
        <v>188</v>
      </c>
      <c r="K1763" t="s">
        <v>57</v>
      </c>
      <c r="L1763">
        <v>24.01</v>
      </c>
      <c r="M1763" s="1">
        <v>45851</v>
      </c>
      <c r="N1763" t="s">
        <v>28</v>
      </c>
      <c r="O1763">
        <v>13</v>
      </c>
      <c r="P1763">
        <v>7</v>
      </c>
      <c r="Q1763">
        <v>3</v>
      </c>
      <c r="R1763">
        <v>2025</v>
      </c>
    </row>
    <row r="1764" spans="1:18">
      <c r="A1764">
        <v>352.76</v>
      </c>
      <c r="B1764">
        <v>2</v>
      </c>
      <c r="C1764">
        <v>1763</v>
      </c>
      <c r="D1764" s="2">
        <v>0.76723798611111116</v>
      </c>
      <c r="E1764" t="s">
        <v>2325</v>
      </c>
      <c r="F1764" t="s">
        <v>2326</v>
      </c>
      <c r="G1764" t="s">
        <v>2117</v>
      </c>
      <c r="H1764" t="s">
        <v>548</v>
      </c>
      <c r="I1764" t="s">
        <v>790</v>
      </c>
      <c r="J1764" t="s">
        <v>384</v>
      </c>
      <c r="K1764" t="s">
        <v>37</v>
      </c>
      <c r="L1764">
        <v>176.38</v>
      </c>
      <c r="M1764" s="1">
        <v>46185</v>
      </c>
      <c r="N1764" t="s">
        <v>79</v>
      </c>
      <c r="O1764">
        <v>12</v>
      </c>
      <c r="P1764">
        <v>6</v>
      </c>
      <c r="Q1764">
        <v>2</v>
      </c>
      <c r="R1764">
        <v>2026</v>
      </c>
    </row>
    <row r="1765" spans="1:18">
      <c r="A1765">
        <v>696.42</v>
      </c>
      <c r="B1765">
        <v>3</v>
      </c>
      <c r="C1765">
        <v>1764</v>
      </c>
      <c r="D1765" s="2">
        <v>0.28051939814814814</v>
      </c>
      <c r="E1765" t="s">
        <v>2827</v>
      </c>
      <c r="F1765" t="s">
        <v>2828</v>
      </c>
      <c r="G1765" t="s">
        <v>991</v>
      </c>
      <c r="H1765" t="s">
        <v>1213</v>
      </c>
      <c r="I1765" t="s">
        <v>839</v>
      </c>
      <c r="J1765" t="s">
        <v>439</v>
      </c>
      <c r="K1765" t="s">
        <v>21</v>
      </c>
      <c r="L1765">
        <v>232.14</v>
      </c>
      <c r="M1765" s="1">
        <v>45979</v>
      </c>
      <c r="N1765" t="s">
        <v>48</v>
      </c>
      <c r="O1765">
        <v>18</v>
      </c>
      <c r="P1765">
        <v>11</v>
      </c>
      <c r="Q1765">
        <v>4</v>
      </c>
      <c r="R1765">
        <v>2025</v>
      </c>
    </row>
    <row r="1766" spans="1:18">
      <c r="A1766">
        <v>643.08000000000004</v>
      </c>
      <c r="B1766">
        <v>4</v>
      </c>
      <c r="C1766">
        <v>1765</v>
      </c>
      <c r="D1766" s="2">
        <v>0.70126130787037033</v>
      </c>
      <c r="E1766" t="s">
        <v>3067</v>
      </c>
      <c r="F1766" t="s">
        <v>3068</v>
      </c>
      <c r="G1766" t="s">
        <v>3069</v>
      </c>
      <c r="H1766" t="s">
        <v>1600</v>
      </c>
      <c r="I1766" t="s">
        <v>768</v>
      </c>
      <c r="J1766" t="s">
        <v>44</v>
      </c>
      <c r="K1766" t="s">
        <v>31</v>
      </c>
      <c r="L1766">
        <v>160.77000000000001</v>
      </c>
      <c r="M1766" s="1">
        <v>45668</v>
      </c>
      <c r="N1766" t="s">
        <v>14</v>
      </c>
      <c r="O1766">
        <v>11</v>
      </c>
      <c r="P1766">
        <v>1</v>
      </c>
      <c r="Q1766">
        <v>1</v>
      </c>
      <c r="R1766">
        <v>2025</v>
      </c>
    </row>
    <row r="1767" spans="1:18">
      <c r="A1767">
        <v>74.239999999999995</v>
      </c>
      <c r="B1767">
        <v>4</v>
      </c>
      <c r="C1767">
        <v>1766</v>
      </c>
      <c r="D1767" s="2">
        <v>6.1079305555555553E-2</v>
      </c>
      <c r="E1767" t="s">
        <v>1196</v>
      </c>
      <c r="F1767" t="s">
        <v>1197</v>
      </c>
      <c r="G1767" t="s">
        <v>1198</v>
      </c>
      <c r="H1767" t="s">
        <v>1199</v>
      </c>
      <c r="I1767" t="s">
        <v>839</v>
      </c>
      <c r="J1767" t="s">
        <v>672</v>
      </c>
      <c r="K1767" t="s">
        <v>55</v>
      </c>
      <c r="L1767">
        <v>18.559999999999999</v>
      </c>
      <c r="M1767" s="1">
        <v>46270</v>
      </c>
      <c r="N1767" t="s">
        <v>14</v>
      </c>
      <c r="O1767">
        <v>5</v>
      </c>
      <c r="P1767">
        <v>9</v>
      </c>
      <c r="Q1767">
        <v>3</v>
      </c>
      <c r="R1767">
        <v>2026</v>
      </c>
    </row>
    <row r="1768" spans="1:18">
      <c r="A1768">
        <v>184.98</v>
      </c>
      <c r="B1768">
        <v>2</v>
      </c>
      <c r="C1768">
        <v>1767</v>
      </c>
      <c r="D1768" s="2">
        <v>0.23695373842592593</v>
      </c>
      <c r="E1768" t="s">
        <v>1762</v>
      </c>
      <c r="F1768" t="s">
        <v>1763</v>
      </c>
      <c r="G1768" t="s">
        <v>1706</v>
      </c>
      <c r="H1768" t="s">
        <v>953</v>
      </c>
      <c r="I1768" t="s">
        <v>954</v>
      </c>
      <c r="J1768" t="s">
        <v>36</v>
      </c>
      <c r="K1768" t="s">
        <v>37</v>
      </c>
      <c r="L1768">
        <v>92.49</v>
      </c>
      <c r="M1768" s="1">
        <v>45946</v>
      </c>
      <c r="N1768" t="s">
        <v>105</v>
      </c>
      <c r="O1768">
        <v>16</v>
      </c>
      <c r="P1768">
        <v>10</v>
      </c>
      <c r="Q1768">
        <v>4</v>
      </c>
      <c r="R1768">
        <v>2025</v>
      </c>
    </row>
    <row r="1769" spans="1:18">
      <c r="A1769">
        <v>917.90000000000009</v>
      </c>
      <c r="B1769">
        <v>5</v>
      </c>
      <c r="C1769">
        <v>1768</v>
      </c>
      <c r="D1769" s="2">
        <v>0.58018013888888886</v>
      </c>
      <c r="E1769" t="s">
        <v>2595</v>
      </c>
      <c r="F1769" t="s">
        <v>2596</v>
      </c>
      <c r="G1769" t="s">
        <v>1556</v>
      </c>
      <c r="H1769" t="s">
        <v>1199</v>
      </c>
      <c r="I1769" t="s">
        <v>839</v>
      </c>
      <c r="J1769" t="s">
        <v>641</v>
      </c>
      <c r="K1769" t="s">
        <v>46</v>
      </c>
      <c r="L1769">
        <v>183.58</v>
      </c>
      <c r="M1769" s="1">
        <v>45944</v>
      </c>
      <c r="N1769" t="s">
        <v>48</v>
      </c>
      <c r="O1769">
        <v>14</v>
      </c>
      <c r="P1769">
        <v>10</v>
      </c>
      <c r="Q1769">
        <v>4</v>
      </c>
      <c r="R1769">
        <v>2025</v>
      </c>
    </row>
    <row r="1770" spans="1:18">
      <c r="A1770">
        <v>967.09999999999991</v>
      </c>
      <c r="B1770">
        <v>5</v>
      </c>
      <c r="C1770">
        <v>1769</v>
      </c>
      <c r="D1770" s="2">
        <v>0.49683059027777776</v>
      </c>
      <c r="E1770" t="s">
        <v>2492</v>
      </c>
      <c r="F1770" t="s">
        <v>2493</v>
      </c>
      <c r="G1770" t="s">
        <v>960</v>
      </c>
      <c r="H1770" t="s">
        <v>869</v>
      </c>
      <c r="I1770" t="s">
        <v>1247</v>
      </c>
      <c r="J1770" t="s">
        <v>294</v>
      </c>
      <c r="K1770" t="s">
        <v>51</v>
      </c>
      <c r="L1770">
        <v>193.42</v>
      </c>
      <c r="M1770" s="1">
        <v>45899</v>
      </c>
      <c r="N1770" t="s">
        <v>14</v>
      </c>
      <c r="O1770">
        <v>30</v>
      </c>
      <c r="P1770">
        <v>8</v>
      </c>
      <c r="Q1770">
        <v>3</v>
      </c>
      <c r="R1770">
        <v>2025</v>
      </c>
    </row>
    <row r="1771" spans="1:18">
      <c r="A1771">
        <v>235.8</v>
      </c>
      <c r="B1771">
        <v>4</v>
      </c>
      <c r="C1771">
        <v>1770</v>
      </c>
      <c r="D1771" s="2">
        <v>0.44220806712962962</v>
      </c>
      <c r="E1771" t="s">
        <v>2750</v>
      </c>
      <c r="F1771" t="s">
        <v>2751</v>
      </c>
      <c r="G1771" t="s">
        <v>1619</v>
      </c>
      <c r="H1771" t="s">
        <v>1984</v>
      </c>
      <c r="I1771" t="s">
        <v>768</v>
      </c>
      <c r="J1771" t="s">
        <v>75</v>
      </c>
      <c r="K1771" t="s">
        <v>27</v>
      </c>
      <c r="L1771">
        <v>58.95</v>
      </c>
      <c r="M1771" s="1">
        <v>45721</v>
      </c>
      <c r="N1771" t="s">
        <v>34</v>
      </c>
      <c r="O1771">
        <v>5</v>
      </c>
      <c r="P1771">
        <v>3</v>
      </c>
      <c r="Q1771">
        <v>1</v>
      </c>
      <c r="R1771">
        <v>2025</v>
      </c>
    </row>
    <row r="1772" spans="1:18">
      <c r="A1772">
        <v>251.4</v>
      </c>
      <c r="B1772">
        <v>5</v>
      </c>
      <c r="C1772">
        <v>1771</v>
      </c>
      <c r="D1772" s="2">
        <v>0.44154596064814816</v>
      </c>
      <c r="E1772" t="s">
        <v>1488</v>
      </c>
      <c r="F1772" t="s">
        <v>1489</v>
      </c>
      <c r="G1772" t="s">
        <v>1490</v>
      </c>
      <c r="H1772" t="s">
        <v>280</v>
      </c>
      <c r="I1772" t="s">
        <v>812</v>
      </c>
      <c r="J1772" t="s">
        <v>519</v>
      </c>
      <c r="K1772" t="s">
        <v>51</v>
      </c>
      <c r="L1772">
        <v>50.28</v>
      </c>
      <c r="M1772" s="1">
        <v>45850</v>
      </c>
      <c r="N1772" t="s">
        <v>14</v>
      </c>
      <c r="O1772">
        <v>12</v>
      </c>
      <c r="P1772">
        <v>7</v>
      </c>
      <c r="Q1772">
        <v>3</v>
      </c>
      <c r="R1772">
        <v>2025</v>
      </c>
    </row>
    <row r="1773" spans="1:18">
      <c r="A1773">
        <v>187.76</v>
      </c>
      <c r="B1773">
        <v>4</v>
      </c>
      <c r="C1773">
        <v>1772</v>
      </c>
      <c r="D1773" s="2">
        <v>0.5259790509259259</v>
      </c>
      <c r="E1773" t="s">
        <v>912</v>
      </c>
      <c r="F1773" t="s">
        <v>913</v>
      </c>
      <c r="G1773" t="s">
        <v>914</v>
      </c>
      <c r="H1773" t="s">
        <v>915</v>
      </c>
      <c r="I1773" t="s">
        <v>768</v>
      </c>
      <c r="J1773" t="s">
        <v>365</v>
      </c>
      <c r="K1773" t="s">
        <v>51</v>
      </c>
      <c r="L1773">
        <v>46.94</v>
      </c>
      <c r="M1773" s="1">
        <v>45573</v>
      </c>
      <c r="N1773" t="s">
        <v>48</v>
      </c>
      <c r="O1773">
        <v>8</v>
      </c>
      <c r="P1773">
        <v>10</v>
      </c>
      <c r="Q1773">
        <v>4</v>
      </c>
      <c r="R1773">
        <v>2024</v>
      </c>
    </row>
    <row r="1774" spans="1:18">
      <c r="A1774">
        <v>824.25</v>
      </c>
      <c r="B1774">
        <v>5</v>
      </c>
      <c r="C1774">
        <v>1773</v>
      </c>
      <c r="D1774" s="2">
        <v>0.44861056712962966</v>
      </c>
      <c r="E1774" t="s">
        <v>1372</v>
      </c>
      <c r="F1774" t="s">
        <v>1373</v>
      </c>
      <c r="G1774" t="s">
        <v>1374</v>
      </c>
      <c r="H1774" t="s">
        <v>49</v>
      </c>
      <c r="I1774" t="s">
        <v>807</v>
      </c>
      <c r="J1774" t="s">
        <v>114</v>
      </c>
      <c r="K1774" t="s">
        <v>23</v>
      </c>
      <c r="L1774">
        <v>164.85</v>
      </c>
      <c r="M1774" s="1">
        <v>45804</v>
      </c>
      <c r="N1774" t="s">
        <v>48</v>
      </c>
      <c r="O1774">
        <v>27</v>
      </c>
      <c r="P1774">
        <v>5</v>
      </c>
      <c r="Q1774">
        <v>2</v>
      </c>
      <c r="R1774">
        <v>2025</v>
      </c>
    </row>
    <row r="1775" spans="1:18">
      <c r="A1775">
        <v>6.42</v>
      </c>
      <c r="B1775">
        <v>1</v>
      </c>
      <c r="C1775">
        <v>1774</v>
      </c>
      <c r="D1775" s="2">
        <v>0.36234814814814814</v>
      </c>
      <c r="E1775" t="s">
        <v>3173</v>
      </c>
      <c r="F1775" t="s">
        <v>3174</v>
      </c>
      <c r="G1775" t="s">
        <v>1906</v>
      </c>
      <c r="H1775" t="s">
        <v>113</v>
      </c>
      <c r="I1775" t="s">
        <v>854</v>
      </c>
      <c r="J1775" t="s">
        <v>316</v>
      </c>
      <c r="K1775" t="s">
        <v>97</v>
      </c>
      <c r="L1775">
        <v>6.42</v>
      </c>
      <c r="M1775" s="1">
        <v>45586</v>
      </c>
      <c r="N1775" t="s">
        <v>93</v>
      </c>
      <c r="O1775">
        <v>21</v>
      </c>
      <c r="P1775">
        <v>10</v>
      </c>
      <c r="Q1775">
        <v>4</v>
      </c>
      <c r="R1775">
        <v>2024</v>
      </c>
    </row>
    <row r="1776" spans="1:18">
      <c r="A1776">
        <v>121.64</v>
      </c>
      <c r="B1776">
        <v>4</v>
      </c>
      <c r="C1776">
        <v>1775</v>
      </c>
      <c r="D1776" s="2">
        <v>0.42852228009259258</v>
      </c>
      <c r="E1776" t="s">
        <v>2182</v>
      </c>
      <c r="F1776" t="s">
        <v>2183</v>
      </c>
      <c r="G1776" t="s">
        <v>2184</v>
      </c>
      <c r="H1776" t="s">
        <v>838</v>
      </c>
      <c r="I1776" t="s">
        <v>839</v>
      </c>
      <c r="J1776" t="s">
        <v>718</v>
      </c>
      <c r="K1776" t="s">
        <v>21</v>
      </c>
      <c r="L1776">
        <v>30.41</v>
      </c>
      <c r="M1776" s="1">
        <v>45981</v>
      </c>
      <c r="N1776" t="s">
        <v>105</v>
      </c>
      <c r="O1776">
        <v>20</v>
      </c>
      <c r="P1776">
        <v>11</v>
      </c>
      <c r="Q1776">
        <v>4</v>
      </c>
      <c r="R1776">
        <v>2025</v>
      </c>
    </row>
    <row r="1777" spans="1:18">
      <c r="A1777">
        <v>124.64</v>
      </c>
      <c r="B1777">
        <v>1</v>
      </c>
      <c r="C1777">
        <v>1776</v>
      </c>
      <c r="D1777" s="2">
        <v>0.6007148726851852</v>
      </c>
      <c r="E1777" t="s">
        <v>809</v>
      </c>
      <c r="F1777" t="s">
        <v>810</v>
      </c>
      <c r="G1777" t="s">
        <v>811</v>
      </c>
      <c r="H1777" t="s">
        <v>280</v>
      </c>
      <c r="I1777" t="s">
        <v>812</v>
      </c>
      <c r="J1777" t="s">
        <v>356</v>
      </c>
      <c r="K1777" t="s">
        <v>69</v>
      </c>
      <c r="L1777">
        <v>124.64</v>
      </c>
      <c r="M1777" s="1">
        <v>45900</v>
      </c>
      <c r="N1777" t="s">
        <v>28</v>
      </c>
      <c r="O1777">
        <v>31</v>
      </c>
      <c r="P1777">
        <v>8</v>
      </c>
      <c r="Q1777">
        <v>3</v>
      </c>
      <c r="R1777">
        <v>2025</v>
      </c>
    </row>
    <row r="1778" spans="1:18">
      <c r="A1778">
        <v>763.04</v>
      </c>
      <c r="B1778">
        <v>4</v>
      </c>
      <c r="C1778">
        <v>1777</v>
      </c>
      <c r="D1778" s="2">
        <v>0.83376046296296291</v>
      </c>
      <c r="E1778" t="s">
        <v>3027</v>
      </c>
      <c r="F1778" t="s">
        <v>3028</v>
      </c>
      <c r="G1778" t="s">
        <v>2098</v>
      </c>
      <c r="H1778" t="s">
        <v>843</v>
      </c>
      <c r="I1778" t="s">
        <v>753</v>
      </c>
      <c r="J1778" t="s">
        <v>1430</v>
      </c>
      <c r="K1778" t="s">
        <v>60</v>
      </c>
      <c r="L1778">
        <v>190.76</v>
      </c>
      <c r="M1778" s="1">
        <v>45603</v>
      </c>
      <c r="N1778" t="s">
        <v>105</v>
      </c>
      <c r="O1778">
        <v>7</v>
      </c>
      <c r="P1778">
        <v>11</v>
      </c>
      <c r="Q1778">
        <v>4</v>
      </c>
      <c r="R1778">
        <v>2024</v>
      </c>
    </row>
    <row r="1779" spans="1:18">
      <c r="A1779">
        <v>31.24</v>
      </c>
      <c r="B1779">
        <v>4</v>
      </c>
      <c r="C1779">
        <v>1778</v>
      </c>
      <c r="D1779" s="2">
        <v>0.11035711805555555</v>
      </c>
      <c r="E1779" t="s">
        <v>2653</v>
      </c>
      <c r="F1779" t="s">
        <v>2654</v>
      </c>
      <c r="G1779" t="s">
        <v>2315</v>
      </c>
      <c r="H1779" t="s">
        <v>780</v>
      </c>
      <c r="I1779" t="s">
        <v>781</v>
      </c>
      <c r="J1779" t="s">
        <v>532</v>
      </c>
      <c r="K1779" t="s">
        <v>55</v>
      </c>
      <c r="L1779">
        <v>7.81</v>
      </c>
      <c r="M1779" s="1">
        <v>46100</v>
      </c>
      <c r="N1779" t="s">
        <v>105</v>
      </c>
      <c r="O1779">
        <v>19</v>
      </c>
      <c r="P1779">
        <v>3</v>
      </c>
      <c r="Q1779">
        <v>1</v>
      </c>
      <c r="R1779">
        <v>2026</v>
      </c>
    </row>
    <row r="1780" spans="1:18">
      <c r="A1780">
        <v>42.36</v>
      </c>
      <c r="B1780">
        <v>2</v>
      </c>
      <c r="C1780">
        <v>1779</v>
      </c>
      <c r="D1780" s="2">
        <v>0.52930851851851857</v>
      </c>
      <c r="E1780" t="s">
        <v>1912</v>
      </c>
      <c r="F1780" t="s">
        <v>1913</v>
      </c>
      <c r="G1780" t="s">
        <v>1565</v>
      </c>
      <c r="H1780" t="s">
        <v>806</v>
      </c>
      <c r="I1780" t="s">
        <v>807</v>
      </c>
      <c r="J1780" t="s">
        <v>530</v>
      </c>
      <c r="K1780" t="s">
        <v>37</v>
      </c>
      <c r="L1780">
        <v>21.18</v>
      </c>
      <c r="M1780" s="1">
        <v>45662</v>
      </c>
      <c r="N1780" t="s">
        <v>28</v>
      </c>
      <c r="O1780">
        <v>5</v>
      </c>
      <c r="P1780">
        <v>1</v>
      </c>
      <c r="Q1780">
        <v>1</v>
      </c>
      <c r="R1780">
        <v>2025</v>
      </c>
    </row>
    <row r="1781" spans="1:18">
      <c r="A1781">
        <v>310.98</v>
      </c>
      <c r="B1781">
        <v>3</v>
      </c>
      <c r="C1781">
        <v>1780</v>
      </c>
      <c r="D1781" s="2">
        <v>0.79186035879629635</v>
      </c>
      <c r="E1781" t="s">
        <v>2261</v>
      </c>
      <c r="F1781" t="s">
        <v>2262</v>
      </c>
      <c r="G1781" t="s">
        <v>1660</v>
      </c>
      <c r="H1781" t="s">
        <v>1206</v>
      </c>
      <c r="I1781" t="s">
        <v>943</v>
      </c>
      <c r="J1781" t="s">
        <v>193</v>
      </c>
      <c r="K1781" t="s">
        <v>55</v>
      </c>
      <c r="L1781">
        <v>103.66</v>
      </c>
      <c r="M1781" s="1">
        <v>45619</v>
      </c>
      <c r="N1781" t="s">
        <v>14</v>
      </c>
      <c r="O1781">
        <v>23</v>
      </c>
      <c r="P1781">
        <v>11</v>
      </c>
      <c r="Q1781">
        <v>4</v>
      </c>
      <c r="R1781">
        <v>2024</v>
      </c>
    </row>
    <row r="1782" spans="1:18">
      <c r="A1782">
        <v>230.53</v>
      </c>
      <c r="B1782">
        <v>1</v>
      </c>
      <c r="C1782">
        <v>1781</v>
      </c>
      <c r="D1782" s="2">
        <v>0.22734868055555554</v>
      </c>
      <c r="E1782" t="s">
        <v>1466</v>
      </c>
      <c r="F1782" t="s">
        <v>1467</v>
      </c>
      <c r="G1782" t="s">
        <v>1468</v>
      </c>
      <c r="H1782" t="s">
        <v>1469</v>
      </c>
      <c r="I1782" t="s">
        <v>908</v>
      </c>
      <c r="J1782" t="s">
        <v>389</v>
      </c>
      <c r="K1782" t="s">
        <v>82</v>
      </c>
      <c r="L1782">
        <v>230.53</v>
      </c>
      <c r="M1782" s="1">
        <v>45769</v>
      </c>
      <c r="N1782" t="s">
        <v>48</v>
      </c>
      <c r="O1782">
        <v>22</v>
      </c>
      <c r="P1782">
        <v>4</v>
      </c>
      <c r="Q1782">
        <v>2</v>
      </c>
      <c r="R1782">
        <v>2025</v>
      </c>
    </row>
    <row r="1783" spans="1:18">
      <c r="A1783">
        <v>934.08</v>
      </c>
      <c r="B1783">
        <v>4</v>
      </c>
      <c r="C1783">
        <v>1782</v>
      </c>
      <c r="D1783" s="2">
        <v>0.57831876157407403</v>
      </c>
      <c r="E1783" t="s">
        <v>2242</v>
      </c>
      <c r="F1783" t="s">
        <v>2243</v>
      </c>
      <c r="G1783" t="s">
        <v>1124</v>
      </c>
      <c r="H1783" t="s">
        <v>1626</v>
      </c>
      <c r="I1783" t="s">
        <v>812</v>
      </c>
      <c r="J1783" t="s">
        <v>676</v>
      </c>
      <c r="K1783" t="s">
        <v>69</v>
      </c>
      <c r="L1783">
        <v>233.52</v>
      </c>
      <c r="M1783" s="1">
        <v>45984</v>
      </c>
      <c r="N1783" t="s">
        <v>28</v>
      </c>
      <c r="O1783">
        <v>23</v>
      </c>
      <c r="P1783">
        <v>11</v>
      </c>
      <c r="Q1783">
        <v>4</v>
      </c>
      <c r="R1783">
        <v>2025</v>
      </c>
    </row>
    <row r="1784" spans="1:18">
      <c r="A1784">
        <v>990.08</v>
      </c>
      <c r="B1784">
        <v>4</v>
      </c>
      <c r="C1784">
        <v>1783</v>
      </c>
      <c r="D1784" s="2">
        <v>0.18433598379629629</v>
      </c>
      <c r="E1784" t="s">
        <v>904</v>
      </c>
      <c r="F1784" t="s">
        <v>905</v>
      </c>
      <c r="G1784" t="s">
        <v>906</v>
      </c>
      <c r="H1784" t="s">
        <v>907</v>
      </c>
      <c r="I1784" t="s">
        <v>908</v>
      </c>
      <c r="J1784" t="s">
        <v>372</v>
      </c>
      <c r="K1784" t="s">
        <v>23</v>
      </c>
      <c r="L1784">
        <v>247.52</v>
      </c>
      <c r="M1784" s="1">
        <v>45782</v>
      </c>
      <c r="N1784" t="s">
        <v>93</v>
      </c>
      <c r="O1784">
        <v>5</v>
      </c>
      <c r="P1784">
        <v>5</v>
      </c>
      <c r="Q1784">
        <v>2</v>
      </c>
      <c r="R1784">
        <v>2025</v>
      </c>
    </row>
    <row r="1785" spans="1:18">
      <c r="A1785">
        <v>174.64</v>
      </c>
      <c r="B1785">
        <v>4</v>
      </c>
      <c r="C1785">
        <v>1784</v>
      </c>
      <c r="D1785" s="2">
        <v>0.90746693287037039</v>
      </c>
      <c r="E1785" t="s">
        <v>1210</v>
      </c>
      <c r="F1785" t="s">
        <v>1211</v>
      </c>
      <c r="G1785" t="s">
        <v>1212</v>
      </c>
      <c r="H1785" t="s">
        <v>1213</v>
      </c>
      <c r="I1785" t="s">
        <v>839</v>
      </c>
      <c r="J1785" t="s">
        <v>675</v>
      </c>
      <c r="K1785" t="s">
        <v>97</v>
      </c>
      <c r="L1785">
        <v>43.66</v>
      </c>
      <c r="M1785" s="1">
        <v>46177</v>
      </c>
      <c r="N1785" t="s">
        <v>105</v>
      </c>
      <c r="O1785">
        <v>4</v>
      </c>
      <c r="P1785">
        <v>6</v>
      </c>
      <c r="Q1785">
        <v>2</v>
      </c>
      <c r="R1785">
        <v>2026</v>
      </c>
    </row>
    <row r="1786" spans="1:18">
      <c r="A1786">
        <v>72.72</v>
      </c>
      <c r="B1786">
        <v>4</v>
      </c>
      <c r="C1786">
        <v>1785</v>
      </c>
      <c r="D1786" s="2">
        <v>0.38874788194444443</v>
      </c>
      <c r="E1786" t="s">
        <v>1405</v>
      </c>
      <c r="F1786" t="s">
        <v>1406</v>
      </c>
      <c r="G1786" t="s">
        <v>846</v>
      </c>
      <c r="H1786" t="s">
        <v>1371</v>
      </c>
      <c r="I1786" t="s">
        <v>786</v>
      </c>
      <c r="J1786" t="s">
        <v>284</v>
      </c>
      <c r="K1786" t="s">
        <v>97</v>
      </c>
      <c r="L1786">
        <v>18.18</v>
      </c>
      <c r="M1786" s="1">
        <v>46074</v>
      </c>
      <c r="N1786" t="s">
        <v>14</v>
      </c>
      <c r="O1786">
        <v>21</v>
      </c>
      <c r="P1786">
        <v>2</v>
      </c>
      <c r="Q1786">
        <v>1</v>
      </c>
      <c r="R1786">
        <v>2026</v>
      </c>
    </row>
    <row r="1787" spans="1:18">
      <c r="A1787">
        <v>643.6</v>
      </c>
      <c r="B1787">
        <v>5</v>
      </c>
      <c r="C1787">
        <v>1786</v>
      </c>
      <c r="D1787" s="2">
        <v>0.71851056712962968</v>
      </c>
      <c r="E1787" t="s">
        <v>2194</v>
      </c>
      <c r="F1787" t="s">
        <v>2195</v>
      </c>
      <c r="G1787" t="s">
        <v>914</v>
      </c>
      <c r="H1787" t="s">
        <v>414</v>
      </c>
      <c r="I1787" t="s">
        <v>795</v>
      </c>
      <c r="J1787" t="s">
        <v>693</v>
      </c>
      <c r="K1787" t="s">
        <v>46</v>
      </c>
      <c r="L1787">
        <v>128.72</v>
      </c>
      <c r="M1787" s="1">
        <v>46206</v>
      </c>
      <c r="N1787" t="s">
        <v>79</v>
      </c>
      <c r="O1787">
        <v>3</v>
      </c>
      <c r="P1787">
        <v>7</v>
      </c>
      <c r="Q1787">
        <v>3</v>
      </c>
      <c r="R1787">
        <v>2026</v>
      </c>
    </row>
    <row r="1788" spans="1:18">
      <c r="A1788">
        <v>356.92</v>
      </c>
      <c r="B1788">
        <v>4</v>
      </c>
      <c r="C1788">
        <v>1787</v>
      </c>
      <c r="D1788" s="2">
        <v>0.59960752314814814</v>
      </c>
      <c r="E1788" t="s">
        <v>1990</v>
      </c>
      <c r="F1788" t="s">
        <v>1991</v>
      </c>
      <c r="G1788" t="s">
        <v>779</v>
      </c>
      <c r="H1788" t="s">
        <v>562</v>
      </c>
      <c r="I1788" t="s">
        <v>753</v>
      </c>
      <c r="J1788" t="s">
        <v>401</v>
      </c>
      <c r="K1788" t="s">
        <v>31</v>
      </c>
      <c r="L1788">
        <v>89.23</v>
      </c>
      <c r="M1788" s="1">
        <v>46239</v>
      </c>
      <c r="N1788" t="s">
        <v>34</v>
      </c>
      <c r="O1788">
        <v>5</v>
      </c>
      <c r="P1788">
        <v>8</v>
      </c>
      <c r="Q1788">
        <v>3</v>
      </c>
      <c r="R1788">
        <v>2026</v>
      </c>
    </row>
    <row r="1789" spans="1:18">
      <c r="A1789">
        <v>524.9</v>
      </c>
      <c r="B1789">
        <v>5</v>
      </c>
      <c r="C1789">
        <v>1788</v>
      </c>
      <c r="D1789" s="2">
        <v>0.6358722916666667</v>
      </c>
      <c r="E1789" t="s">
        <v>1229</v>
      </c>
      <c r="F1789" t="s">
        <v>1230</v>
      </c>
      <c r="G1789" t="s">
        <v>1231</v>
      </c>
      <c r="H1789" t="s">
        <v>1232</v>
      </c>
      <c r="I1789" t="s">
        <v>817</v>
      </c>
      <c r="J1789" t="s">
        <v>690</v>
      </c>
      <c r="K1789" t="s">
        <v>46</v>
      </c>
      <c r="L1789">
        <v>104.98</v>
      </c>
      <c r="M1789" s="1">
        <v>45758</v>
      </c>
      <c r="N1789" t="s">
        <v>79</v>
      </c>
      <c r="O1789">
        <v>11</v>
      </c>
      <c r="P1789">
        <v>4</v>
      </c>
      <c r="Q1789">
        <v>2</v>
      </c>
      <c r="R1789">
        <v>2025</v>
      </c>
    </row>
    <row r="1790" spans="1:18">
      <c r="A1790">
        <v>5.73</v>
      </c>
      <c r="B1790">
        <v>1</v>
      </c>
      <c r="C1790">
        <v>1789</v>
      </c>
      <c r="D1790" s="2">
        <v>0.59775119212962968</v>
      </c>
      <c r="E1790" t="s">
        <v>1746</v>
      </c>
      <c r="F1790" t="s">
        <v>1747</v>
      </c>
      <c r="G1790" t="s">
        <v>1050</v>
      </c>
      <c r="H1790" t="s">
        <v>1469</v>
      </c>
      <c r="I1790" t="s">
        <v>908</v>
      </c>
      <c r="J1790" t="s">
        <v>407</v>
      </c>
      <c r="K1790" t="s">
        <v>21</v>
      </c>
      <c r="L1790">
        <v>5.73</v>
      </c>
      <c r="M1790" s="1">
        <v>46236</v>
      </c>
      <c r="N1790" t="s">
        <v>28</v>
      </c>
      <c r="O1790">
        <v>2</v>
      </c>
      <c r="P1790">
        <v>8</v>
      </c>
      <c r="Q1790">
        <v>3</v>
      </c>
      <c r="R1790">
        <v>2026</v>
      </c>
    </row>
    <row r="1791" spans="1:18">
      <c r="A1791">
        <v>488.48</v>
      </c>
      <c r="B1791">
        <v>2</v>
      </c>
      <c r="C1791">
        <v>1790</v>
      </c>
      <c r="D1791" s="2">
        <v>0.9434695486111111</v>
      </c>
      <c r="E1791" t="s">
        <v>2400</v>
      </c>
      <c r="F1791" t="s">
        <v>2401</v>
      </c>
      <c r="G1791" t="s">
        <v>1536</v>
      </c>
      <c r="H1791" t="s">
        <v>1128</v>
      </c>
      <c r="I1791" t="s">
        <v>954</v>
      </c>
      <c r="J1791" t="s">
        <v>61</v>
      </c>
      <c r="K1791" t="s">
        <v>55</v>
      </c>
      <c r="L1791">
        <v>244.24</v>
      </c>
      <c r="M1791" s="1">
        <v>46102</v>
      </c>
      <c r="N1791" t="s">
        <v>14</v>
      </c>
      <c r="O1791">
        <v>21</v>
      </c>
      <c r="P1791">
        <v>3</v>
      </c>
      <c r="Q1791">
        <v>1</v>
      </c>
      <c r="R1791">
        <v>2026</v>
      </c>
    </row>
    <row r="1792" spans="1:18">
      <c r="A1792">
        <v>463.68</v>
      </c>
      <c r="B1792">
        <v>2</v>
      </c>
      <c r="C1792">
        <v>1791</v>
      </c>
      <c r="D1792" s="2">
        <v>0.35393468750000001</v>
      </c>
      <c r="E1792" t="s">
        <v>2584</v>
      </c>
      <c r="F1792" t="s">
        <v>2585</v>
      </c>
      <c r="G1792" t="s">
        <v>1444</v>
      </c>
      <c r="H1792" t="s">
        <v>1292</v>
      </c>
      <c r="I1792" t="s">
        <v>1247</v>
      </c>
      <c r="J1792" t="s">
        <v>626</v>
      </c>
      <c r="K1792" t="s">
        <v>17</v>
      </c>
      <c r="L1792">
        <v>231.84</v>
      </c>
      <c r="M1792" s="1">
        <v>46171</v>
      </c>
      <c r="N1792" t="s">
        <v>79</v>
      </c>
      <c r="O1792">
        <v>29</v>
      </c>
      <c r="P1792">
        <v>5</v>
      </c>
      <c r="Q1792">
        <v>2</v>
      </c>
      <c r="R1792">
        <v>2026</v>
      </c>
    </row>
    <row r="1793" spans="1:18">
      <c r="A1793">
        <v>162.85</v>
      </c>
      <c r="B1793">
        <v>5</v>
      </c>
      <c r="C1793">
        <v>1792</v>
      </c>
      <c r="D1793" s="2">
        <v>0.50845672453703705</v>
      </c>
      <c r="E1793" t="s">
        <v>3453</v>
      </c>
      <c r="F1793" t="s">
        <v>3454</v>
      </c>
      <c r="G1793" t="s">
        <v>1152</v>
      </c>
      <c r="H1793" t="s">
        <v>106</v>
      </c>
      <c r="I1793" t="s">
        <v>748</v>
      </c>
      <c r="J1793" t="s">
        <v>258</v>
      </c>
      <c r="K1793" t="s">
        <v>57</v>
      </c>
      <c r="L1793">
        <v>32.57</v>
      </c>
      <c r="M1793" s="1">
        <v>45734</v>
      </c>
      <c r="N1793" t="s">
        <v>48</v>
      </c>
      <c r="O1793">
        <v>18</v>
      </c>
      <c r="P1793">
        <v>3</v>
      </c>
      <c r="Q1793">
        <v>1</v>
      </c>
      <c r="R1793">
        <v>2025</v>
      </c>
    </row>
    <row r="1794" spans="1:18">
      <c r="A1794">
        <v>625.64</v>
      </c>
      <c r="B1794">
        <v>4</v>
      </c>
      <c r="C1794">
        <v>1793</v>
      </c>
      <c r="D1794" s="2">
        <v>0.76362129629629627</v>
      </c>
      <c r="E1794" t="s">
        <v>2430</v>
      </c>
      <c r="F1794" t="s">
        <v>2431</v>
      </c>
      <c r="G1794" t="s">
        <v>1893</v>
      </c>
      <c r="H1794" t="s">
        <v>762</v>
      </c>
      <c r="I1794" t="s">
        <v>763</v>
      </c>
      <c r="J1794" t="s">
        <v>238</v>
      </c>
      <c r="K1794" t="s">
        <v>97</v>
      </c>
      <c r="L1794">
        <v>156.41</v>
      </c>
      <c r="M1794" s="1">
        <v>45712</v>
      </c>
      <c r="N1794" t="s">
        <v>93</v>
      </c>
      <c r="O1794">
        <v>24</v>
      </c>
      <c r="P1794">
        <v>2</v>
      </c>
      <c r="Q1794">
        <v>1</v>
      </c>
      <c r="R1794">
        <v>2025</v>
      </c>
    </row>
    <row r="1795" spans="1:18">
      <c r="A1795">
        <v>651.80000000000007</v>
      </c>
      <c r="B1795">
        <v>5</v>
      </c>
      <c r="C1795">
        <v>1794</v>
      </c>
      <c r="D1795" s="2">
        <v>0.95888898148148149</v>
      </c>
      <c r="E1795" t="s">
        <v>2785</v>
      </c>
      <c r="F1795" t="s">
        <v>2786</v>
      </c>
      <c r="G1795" t="s">
        <v>2787</v>
      </c>
      <c r="H1795" t="s">
        <v>838</v>
      </c>
      <c r="I1795" t="s">
        <v>839</v>
      </c>
      <c r="J1795" t="s">
        <v>118</v>
      </c>
      <c r="K1795" t="s">
        <v>31</v>
      </c>
      <c r="L1795">
        <v>130.36000000000001</v>
      </c>
      <c r="M1795" s="1">
        <v>46200</v>
      </c>
      <c r="N1795" t="s">
        <v>14</v>
      </c>
      <c r="O1795">
        <v>27</v>
      </c>
      <c r="P1795">
        <v>6</v>
      </c>
      <c r="Q1795">
        <v>2</v>
      </c>
      <c r="R1795">
        <v>2026</v>
      </c>
    </row>
    <row r="1796" spans="1:18">
      <c r="A1796">
        <v>772.88</v>
      </c>
      <c r="B1796">
        <v>4</v>
      </c>
      <c r="C1796">
        <v>1795</v>
      </c>
      <c r="D1796" s="2">
        <v>0.23815232638888889</v>
      </c>
      <c r="E1796" t="s">
        <v>2349</v>
      </c>
      <c r="F1796" t="s">
        <v>1571</v>
      </c>
      <c r="G1796" t="s">
        <v>1045</v>
      </c>
      <c r="H1796" t="s">
        <v>919</v>
      </c>
      <c r="I1796" t="s">
        <v>786</v>
      </c>
      <c r="J1796" t="s">
        <v>430</v>
      </c>
      <c r="K1796" t="s">
        <v>27</v>
      </c>
      <c r="L1796">
        <v>193.22</v>
      </c>
      <c r="M1796" s="1">
        <v>45911</v>
      </c>
      <c r="N1796" t="s">
        <v>105</v>
      </c>
      <c r="O1796">
        <v>11</v>
      </c>
      <c r="P1796">
        <v>9</v>
      </c>
      <c r="Q1796">
        <v>3</v>
      </c>
      <c r="R1796">
        <v>2025</v>
      </c>
    </row>
    <row r="1797" spans="1:18">
      <c r="A1797">
        <v>363.42</v>
      </c>
      <c r="B1797">
        <v>3</v>
      </c>
      <c r="C1797">
        <v>1796</v>
      </c>
      <c r="D1797" s="2">
        <v>0.80462743055555552</v>
      </c>
      <c r="E1797" t="s">
        <v>3304</v>
      </c>
      <c r="F1797" t="s">
        <v>3305</v>
      </c>
      <c r="G1797" t="s">
        <v>798</v>
      </c>
      <c r="H1797" t="s">
        <v>29</v>
      </c>
      <c r="I1797" t="s">
        <v>763</v>
      </c>
      <c r="J1797" t="s">
        <v>640</v>
      </c>
      <c r="K1797" t="s">
        <v>82</v>
      </c>
      <c r="L1797">
        <v>121.14</v>
      </c>
      <c r="M1797" s="1">
        <v>45958</v>
      </c>
      <c r="N1797" t="s">
        <v>48</v>
      </c>
      <c r="O1797">
        <v>28</v>
      </c>
      <c r="P1797">
        <v>10</v>
      </c>
      <c r="Q1797">
        <v>4</v>
      </c>
      <c r="R1797">
        <v>2025</v>
      </c>
    </row>
    <row r="1798" spans="1:18">
      <c r="A1798">
        <v>91.42</v>
      </c>
      <c r="B1798">
        <v>1</v>
      </c>
      <c r="C1798">
        <v>1797</v>
      </c>
      <c r="D1798" s="2">
        <v>0.25219128472222224</v>
      </c>
      <c r="E1798" t="s">
        <v>876</v>
      </c>
      <c r="F1798" t="s">
        <v>877</v>
      </c>
      <c r="G1798" t="s">
        <v>878</v>
      </c>
      <c r="H1798" t="s">
        <v>879</v>
      </c>
      <c r="I1798" t="s">
        <v>748</v>
      </c>
      <c r="J1798" t="s">
        <v>479</v>
      </c>
      <c r="K1798" t="s">
        <v>17</v>
      </c>
      <c r="L1798">
        <v>91.42</v>
      </c>
      <c r="M1798" s="1">
        <v>45726</v>
      </c>
      <c r="N1798" t="s">
        <v>93</v>
      </c>
      <c r="O1798">
        <v>10</v>
      </c>
      <c r="P1798">
        <v>3</v>
      </c>
      <c r="Q1798">
        <v>1</v>
      </c>
      <c r="R1798">
        <v>2025</v>
      </c>
    </row>
    <row r="1799" spans="1:18">
      <c r="A1799">
        <v>10.58</v>
      </c>
      <c r="B1799">
        <v>2</v>
      </c>
      <c r="C1799">
        <v>1798</v>
      </c>
      <c r="D1799" s="2">
        <v>0.66642252314814809</v>
      </c>
      <c r="E1799" t="s">
        <v>3272</v>
      </c>
      <c r="F1799" t="s">
        <v>3273</v>
      </c>
      <c r="G1799" t="s">
        <v>2416</v>
      </c>
      <c r="H1799" t="s">
        <v>1740</v>
      </c>
      <c r="I1799" t="s">
        <v>954</v>
      </c>
      <c r="J1799" t="s">
        <v>394</v>
      </c>
      <c r="K1799" t="s">
        <v>122</v>
      </c>
      <c r="L1799">
        <v>5.29</v>
      </c>
      <c r="M1799" s="1">
        <v>45662</v>
      </c>
      <c r="N1799" t="s">
        <v>28</v>
      </c>
      <c r="O1799">
        <v>5</v>
      </c>
      <c r="P1799">
        <v>1</v>
      </c>
      <c r="Q1799">
        <v>1</v>
      </c>
      <c r="R1799">
        <v>2025</v>
      </c>
    </row>
    <row r="1800" spans="1:18">
      <c r="A1800">
        <v>15.03</v>
      </c>
      <c r="B1800">
        <v>1</v>
      </c>
      <c r="C1800">
        <v>1799</v>
      </c>
      <c r="D1800" s="2">
        <v>0.8573308101851852</v>
      </c>
      <c r="E1800" t="s">
        <v>1516</v>
      </c>
      <c r="F1800" t="s">
        <v>1517</v>
      </c>
      <c r="G1800" t="s">
        <v>1518</v>
      </c>
      <c r="H1800" t="s">
        <v>752</v>
      </c>
      <c r="I1800" t="s">
        <v>753</v>
      </c>
      <c r="J1800" t="s">
        <v>523</v>
      </c>
      <c r="K1800" t="s">
        <v>23</v>
      </c>
      <c r="L1800">
        <v>15.03</v>
      </c>
      <c r="M1800" s="1">
        <v>46089</v>
      </c>
      <c r="N1800" t="s">
        <v>28</v>
      </c>
      <c r="O1800">
        <v>8</v>
      </c>
      <c r="P1800">
        <v>3</v>
      </c>
      <c r="Q1800">
        <v>1</v>
      </c>
      <c r="R1800">
        <v>2026</v>
      </c>
    </row>
    <row r="1801" spans="1:18">
      <c r="A1801">
        <v>23.66</v>
      </c>
      <c r="B1801">
        <v>2</v>
      </c>
      <c r="C1801">
        <v>1800</v>
      </c>
      <c r="D1801" s="2">
        <v>0.86783379629629631</v>
      </c>
      <c r="E1801" t="s">
        <v>2620</v>
      </c>
      <c r="F1801" t="s">
        <v>2621</v>
      </c>
      <c r="G1801" t="s">
        <v>1182</v>
      </c>
      <c r="H1801" t="s">
        <v>2574</v>
      </c>
      <c r="I1801" t="s">
        <v>839</v>
      </c>
      <c r="J1801" t="s">
        <v>220</v>
      </c>
      <c r="K1801" t="s">
        <v>97</v>
      </c>
      <c r="L1801">
        <v>11.83</v>
      </c>
      <c r="M1801" s="1">
        <v>46100</v>
      </c>
      <c r="N1801" t="s">
        <v>105</v>
      </c>
      <c r="O1801">
        <v>19</v>
      </c>
      <c r="P1801">
        <v>3</v>
      </c>
      <c r="Q1801">
        <v>1</v>
      </c>
      <c r="R1801">
        <v>2026</v>
      </c>
    </row>
    <row r="1802" spans="1:18">
      <c r="A1802">
        <v>28.46</v>
      </c>
      <c r="B1802">
        <v>1</v>
      </c>
      <c r="C1802">
        <v>1801</v>
      </c>
      <c r="D1802" s="2">
        <v>0.22580165509259259</v>
      </c>
      <c r="E1802" t="s">
        <v>2613</v>
      </c>
      <c r="F1802" t="s">
        <v>2614</v>
      </c>
      <c r="G1802" t="s">
        <v>2615</v>
      </c>
      <c r="H1802" t="s">
        <v>1574</v>
      </c>
      <c r="I1802" t="s">
        <v>1003</v>
      </c>
      <c r="J1802" t="s">
        <v>250</v>
      </c>
      <c r="K1802" t="s">
        <v>19</v>
      </c>
      <c r="L1802">
        <v>28.46</v>
      </c>
      <c r="M1802" s="1">
        <v>46243</v>
      </c>
      <c r="N1802" t="s">
        <v>28</v>
      </c>
      <c r="O1802">
        <v>9</v>
      </c>
      <c r="P1802">
        <v>8</v>
      </c>
      <c r="Q1802">
        <v>3</v>
      </c>
      <c r="R1802">
        <v>2026</v>
      </c>
    </row>
    <row r="1803" spans="1:18">
      <c r="A1803">
        <v>84.63</v>
      </c>
      <c r="B1803">
        <v>1</v>
      </c>
      <c r="C1803">
        <v>1802</v>
      </c>
      <c r="D1803" s="2">
        <v>0.50637788194444444</v>
      </c>
      <c r="E1803" t="s">
        <v>2453</v>
      </c>
      <c r="F1803" t="s">
        <v>832</v>
      </c>
      <c r="G1803" t="s">
        <v>756</v>
      </c>
      <c r="H1803" t="s">
        <v>1280</v>
      </c>
      <c r="I1803" t="s">
        <v>908</v>
      </c>
      <c r="J1803" t="s">
        <v>495</v>
      </c>
      <c r="K1803" t="s">
        <v>39</v>
      </c>
      <c r="L1803">
        <v>84.63</v>
      </c>
      <c r="M1803" s="1">
        <v>45807</v>
      </c>
      <c r="N1803" t="s">
        <v>79</v>
      </c>
      <c r="O1803">
        <v>30</v>
      </c>
      <c r="P1803">
        <v>5</v>
      </c>
      <c r="Q1803">
        <v>2</v>
      </c>
      <c r="R1803">
        <v>2025</v>
      </c>
    </row>
    <row r="1804" spans="1:18">
      <c r="A1804">
        <v>179.55</v>
      </c>
      <c r="B1804">
        <v>1</v>
      </c>
      <c r="C1804">
        <v>1803</v>
      </c>
      <c r="D1804" s="2">
        <v>0.29697550925925925</v>
      </c>
      <c r="E1804" t="s">
        <v>1115</v>
      </c>
      <c r="F1804" t="s">
        <v>1116</v>
      </c>
      <c r="G1804" t="s">
        <v>1117</v>
      </c>
      <c r="H1804" t="s">
        <v>1118</v>
      </c>
      <c r="I1804" t="s">
        <v>821</v>
      </c>
      <c r="J1804" t="s">
        <v>614</v>
      </c>
      <c r="K1804" t="s">
        <v>21</v>
      </c>
      <c r="L1804">
        <v>179.55</v>
      </c>
      <c r="M1804" s="1">
        <v>45910</v>
      </c>
      <c r="N1804" t="s">
        <v>34</v>
      </c>
      <c r="O1804">
        <v>10</v>
      </c>
      <c r="P1804">
        <v>9</v>
      </c>
      <c r="Q1804">
        <v>3</v>
      </c>
      <c r="R1804">
        <v>2025</v>
      </c>
    </row>
    <row r="1805" spans="1:18">
      <c r="A1805">
        <v>706.80000000000007</v>
      </c>
      <c r="B1805">
        <v>5</v>
      </c>
      <c r="C1805">
        <v>1804</v>
      </c>
      <c r="D1805" s="2">
        <v>0.42895179398148148</v>
      </c>
      <c r="E1805" t="s">
        <v>1794</v>
      </c>
      <c r="F1805" t="s">
        <v>1795</v>
      </c>
      <c r="G1805" t="s">
        <v>1016</v>
      </c>
      <c r="H1805" t="s">
        <v>762</v>
      </c>
      <c r="I1805" t="s">
        <v>763</v>
      </c>
      <c r="J1805" t="s">
        <v>181</v>
      </c>
      <c r="K1805" t="s">
        <v>82</v>
      </c>
      <c r="L1805">
        <v>141.36000000000001</v>
      </c>
      <c r="M1805" s="1">
        <v>45655</v>
      </c>
      <c r="N1805" t="s">
        <v>28</v>
      </c>
      <c r="O1805">
        <v>29</v>
      </c>
      <c r="P1805">
        <v>12</v>
      </c>
      <c r="Q1805">
        <v>4</v>
      </c>
      <c r="R1805">
        <v>2024</v>
      </c>
    </row>
    <row r="1806" spans="1:18">
      <c r="A1806">
        <v>78.75</v>
      </c>
      <c r="B1806">
        <v>3</v>
      </c>
      <c r="C1806">
        <v>1805</v>
      </c>
      <c r="D1806" s="2">
        <v>0.10232782407407408</v>
      </c>
      <c r="E1806" t="s">
        <v>2511</v>
      </c>
      <c r="F1806" t="s">
        <v>2512</v>
      </c>
      <c r="G1806" t="s">
        <v>2513</v>
      </c>
      <c r="H1806" t="s">
        <v>995</v>
      </c>
      <c r="I1806" t="s">
        <v>781</v>
      </c>
      <c r="J1806" t="s">
        <v>493</v>
      </c>
      <c r="K1806" t="s">
        <v>46</v>
      </c>
      <c r="L1806">
        <v>26.25</v>
      </c>
      <c r="M1806" s="1">
        <v>45550</v>
      </c>
      <c r="N1806" t="s">
        <v>28</v>
      </c>
      <c r="O1806">
        <v>15</v>
      </c>
      <c r="P1806">
        <v>9</v>
      </c>
      <c r="Q1806">
        <v>3</v>
      </c>
      <c r="R1806">
        <v>2024</v>
      </c>
    </row>
    <row r="1807" spans="1:18">
      <c r="A1807">
        <v>1044.55</v>
      </c>
      <c r="B1807">
        <v>5</v>
      </c>
      <c r="C1807">
        <v>1806</v>
      </c>
      <c r="D1807" s="2">
        <v>0.14211745370370371</v>
      </c>
      <c r="E1807" t="s">
        <v>3123</v>
      </c>
      <c r="F1807" t="s">
        <v>3124</v>
      </c>
      <c r="G1807" t="s">
        <v>3114</v>
      </c>
      <c r="H1807" t="s">
        <v>1007</v>
      </c>
      <c r="I1807" t="s">
        <v>966</v>
      </c>
      <c r="J1807" t="s">
        <v>723</v>
      </c>
      <c r="K1807" t="s">
        <v>46</v>
      </c>
      <c r="L1807">
        <v>208.91</v>
      </c>
      <c r="M1807" s="1">
        <v>45565</v>
      </c>
      <c r="N1807" t="s">
        <v>93</v>
      </c>
      <c r="O1807">
        <v>30</v>
      </c>
      <c r="P1807">
        <v>9</v>
      </c>
      <c r="Q1807">
        <v>3</v>
      </c>
      <c r="R1807">
        <v>2024</v>
      </c>
    </row>
    <row r="1808" spans="1:18">
      <c r="A1808">
        <v>293.85000000000002</v>
      </c>
      <c r="B1808">
        <v>5</v>
      </c>
      <c r="C1808">
        <v>1807</v>
      </c>
      <c r="D1808" s="2">
        <v>0.54442667824074076</v>
      </c>
      <c r="E1808" t="s">
        <v>1510</v>
      </c>
      <c r="F1808" t="s">
        <v>1511</v>
      </c>
      <c r="G1808" t="s">
        <v>1512</v>
      </c>
      <c r="H1808" t="s">
        <v>1395</v>
      </c>
      <c r="I1808" t="s">
        <v>776</v>
      </c>
      <c r="J1808" t="s">
        <v>262</v>
      </c>
      <c r="K1808" t="s">
        <v>21</v>
      </c>
      <c r="L1808">
        <v>58.77</v>
      </c>
      <c r="M1808" s="1">
        <v>46107</v>
      </c>
      <c r="N1808" t="s">
        <v>105</v>
      </c>
      <c r="O1808">
        <v>26</v>
      </c>
      <c r="P1808">
        <v>3</v>
      </c>
      <c r="Q1808">
        <v>1</v>
      </c>
      <c r="R1808">
        <v>2026</v>
      </c>
    </row>
    <row r="1809" spans="1:18">
      <c r="A1809">
        <v>22.58</v>
      </c>
      <c r="B1809">
        <v>2</v>
      </c>
      <c r="C1809">
        <v>1808</v>
      </c>
      <c r="D1809" s="2">
        <v>0.63720151620370369</v>
      </c>
      <c r="E1809" t="s">
        <v>1623</v>
      </c>
      <c r="F1809" t="s">
        <v>1624</v>
      </c>
      <c r="G1809" t="s">
        <v>1625</v>
      </c>
      <c r="H1809" t="s">
        <v>1626</v>
      </c>
      <c r="I1809" t="s">
        <v>812</v>
      </c>
      <c r="J1809" t="s">
        <v>596</v>
      </c>
      <c r="K1809" t="s">
        <v>39</v>
      </c>
      <c r="L1809">
        <v>11.29</v>
      </c>
      <c r="M1809" s="1">
        <v>45616</v>
      </c>
      <c r="N1809" t="s">
        <v>34</v>
      </c>
      <c r="O1809">
        <v>20</v>
      </c>
      <c r="P1809">
        <v>11</v>
      </c>
      <c r="Q1809">
        <v>4</v>
      </c>
      <c r="R1809">
        <v>2024</v>
      </c>
    </row>
    <row r="1810" spans="1:18">
      <c r="A1810">
        <v>216.06</v>
      </c>
      <c r="B1810">
        <v>3</v>
      </c>
      <c r="C1810">
        <v>1809</v>
      </c>
      <c r="D1810" s="2">
        <v>0.15932009259259258</v>
      </c>
      <c r="E1810" t="s">
        <v>2456</v>
      </c>
      <c r="F1810" t="s">
        <v>2457</v>
      </c>
      <c r="G1810" t="s">
        <v>882</v>
      </c>
      <c r="H1810" t="s">
        <v>1280</v>
      </c>
      <c r="I1810" t="s">
        <v>908</v>
      </c>
      <c r="J1810" t="s">
        <v>108</v>
      </c>
      <c r="K1810" t="s">
        <v>51</v>
      </c>
      <c r="L1810">
        <v>72.02</v>
      </c>
      <c r="M1810" s="1">
        <v>46188</v>
      </c>
      <c r="N1810" t="s">
        <v>93</v>
      </c>
      <c r="O1810">
        <v>15</v>
      </c>
      <c r="P1810">
        <v>6</v>
      </c>
      <c r="Q1810">
        <v>2</v>
      </c>
      <c r="R1810">
        <v>2026</v>
      </c>
    </row>
    <row r="1811" spans="1:18">
      <c r="A1811">
        <v>17.190000000000001</v>
      </c>
      <c r="B1811">
        <v>3</v>
      </c>
      <c r="C1811">
        <v>1810</v>
      </c>
      <c r="D1811" s="2">
        <v>0.27534944444444442</v>
      </c>
      <c r="E1811" t="s">
        <v>2944</v>
      </c>
      <c r="F1811" t="s">
        <v>2945</v>
      </c>
      <c r="G1811" t="s">
        <v>1038</v>
      </c>
      <c r="H1811" t="s">
        <v>1811</v>
      </c>
      <c r="I1811" t="s">
        <v>892</v>
      </c>
      <c r="J1811" t="s">
        <v>407</v>
      </c>
      <c r="K1811" t="s">
        <v>21</v>
      </c>
      <c r="L1811">
        <v>5.73</v>
      </c>
      <c r="M1811" s="1">
        <v>45644</v>
      </c>
      <c r="N1811" t="s">
        <v>34</v>
      </c>
      <c r="O1811">
        <v>18</v>
      </c>
      <c r="P1811">
        <v>12</v>
      </c>
      <c r="Q1811">
        <v>4</v>
      </c>
      <c r="R1811">
        <v>2024</v>
      </c>
    </row>
    <row r="1812" spans="1:18">
      <c r="A1812">
        <v>326.3</v>
      </c>
      <c r="B1812">
        <v>5</v>
      </c>
      <c r="C1812">
        <v>1811</v>
      </c>
      <c r="D1812" s="2">
        <v>0.62472789351851854</v>
      </c>
      <c r="E1812" t="s">
        <v>2053</v>
      </c>
      <c r="F1812" t="s">
        <v>2054</v>
      </c>
      <c r="G1812" t="s">
        <v>1140</v>
      </c>
      <c r="H1812" t="s">
        <v>1540</v>
      </c>
      <c r="I1812" t="s">
        <v>768</v>
      </c>
      <c r="J1812" t="s">
        <v>78</v>
      </c>
      <c r="K1812" t="s">
        <v>51</v>
      </c>
      <c r="L1812">
        <v>65.260000000000005</v>
      </c>
      <c r="M1812" s="1">
        <v>45548</v>
      </c>
      <c r="N1812" t="s">
        <v>79</v>
      </c>
      <c r="O1812">
        <v>13</v>
      </c>
      <c r="P1812">
        <v>9</v>
      </c>
      <c r="Q1812">
        <v>3</v>
      </c>
      <c r="R1812">
        <v>2024</v>
      </c>
    </row>
    <row r="1813" spans="1:18">
      <c r="A1813">
        <v>210.46</v>
      </c>
      <c r="B1813">
        <v>2</v>
      </c>
      <c r="C1813">
        <v>1812</v>
      </c>
      <c r="D1813" s="2">
        <v>0.66871200231481487</v>
      </c>
      <c r="E1813" t="s">
        <v>1431</v>
      </c>
      <c r="F1813" t="s">
        <v>1432</v>
      </c>
      <c r="G1813" t="s">
        <v>1433</v>
      </c>
      <c r="H1813" t="s">
        <v>1434</v>
      </c>
      <c r="I1813" t="s">
        <v>786</v>
      </c>
      <c r="J1813" t="s">
        <v>175</v>
      </c>
      <c r="K1813" t="s">
        <v>21</v>
      </c>
      <c r="L1813">
        <v>105.23</v>
      </c>
      <c r="M1813" s="1">
        <v>45936</v>
      </c>
      <c r="N1813" t="s">
        <v>93</v>
      </c>
      <c r="O1813">
        <v>6</v>
      </c>
      <c r="P1813">
        <v>10</v>
      </c>
      <c r="Q1813">
        <v>4</v>
      </c>
      <c r="R1813">
        <v>2025</v>
      </c>
    </row>
    <row r="1814" spans="1:18">
      <c r="A1814">
        <v>28.55</v>
      </c>
      <c r="B1814">
        <v>5</v>
      </c>
      <c r="C1814">
        <v>1813</v>
      </c>
      <c r="D1814" s="2">
        <v>0.59351907407407412</v>
      </c>
      <c r="E1814" t="s">
        <v>3152</v>
      </c>
      <c r="F1814" t="s">
        <v>3153</v>
      </c>
      <c r="G1814" t="s">
        <v>1121</v>
      </c>
      <c r="H1814" t="s">
        <v>869</v>
      </c>
      <c r="I1814" t="s">
        <v>812</v>
      </c>
      <c r="J1814" t="s">
        <v>669</v>
      </c>
      <c r="K1814" t="s">
        <v>97</v>
      </c>
      <c r="L1814">
        <v>5.71</v>
      </c>
      <c r="M1814" s="1">
        <v>45903</v>
      </c>
      <c r="N1814" t="s">
        <v>34</v>
      </c>
      <c r="O1814">
        <v>3</v>
      </c>
      <c r="P1814">
        <v>9</v>
      </c>
      <c r="Q1814">
        <v>3</v>
      </c>
      <c r="R1814">
        <v>2025</v>
      </c>
    </row>
    <row r="1815" spans="1:18">
      <c r="A1815">
        <v>223.82</v>
      </c>
      <c r="B1815">
        <v>1</v>
      </c>
      <c r="C1815">
        <v>1814</v>
      </c>
      <c r="D1815" s="2">
        <v>0.79954013888888886</v>
      </c>
      <c r="E1815" t="s">
        <v>1667</v>
      </c>
      <c r="F1815" t="s">
        <v>1668</v>
      </c>
      <c r="G1815" t="s">
        <v>1669</v>
      </c>
      <c r="H1815" t="s">
        <v>1670</v>
      </c>
      <c r="I1815" t="s">
        <v>1247</v>
      </c>
      <c r="J1815" t="s">
        <v>588</v>
      </c>
      <c r="K1815" t="s">
        <v>82</v>
      </c>
      <c r="L1815">
        <v>223.82</v>
      </c>
      <c r="M1815" s="1">
        <v>45852</v>
      </c>
      <c r="N1815" t="s">
        <v>93</v>
      </c>
      <c r="O1815">
        <v>14</v>
      </c>
      <c r="P1815">
        <v>7</v>
      </c>
      <c r="Q1815">
        <v>3</v>
      </c>
      <c r="R1815">
        <v>2025</v>
      </c>
    </row>
    <row r="1816" spans="1:18">
      <c r="A1816">
        <v>213.16</v>
      </c>
      <c r="B1816">
        <v>2</v>
      </c>
      <c r="C1816">
        <v>1815</v>
      </c>
      <c r="D1816" s="2">
        <v>0.85172600694444445</v>
      </c>
      <c r="E1816" t="s">
        <v>2783</v>
      </c>
      <c r="F1816" t="s">
        <v>2784</v>
      </c>
      <c r="G1816" t="s">
        <v>1050</v>
      </c>
      <c r="H1816" t="s">
        <v>1107</v>
      </c>
      <c r="I1816" t="s">
        <v>763</v>
      </c>
      <c r="J1816" t="s">
        <v>670</v>
      </c>
      <c r="K1816" t="s">
        <v>57</v>
      </c>
      <c r="L1816">
        <v>106.58</v>
      </c>
      <c r="M1816" s="1">
        <v>45755</v>
      </c>
      <c r="N1816" t="s">
        <v>48</v>
      </c>
      <c r="O1816">
        <v>8</v>
      </c>
      <c r="P1816">
        <v>4</v>
      </c>
      <c r="Q1816">
        <v>2</v>
      </c>
      <c r="R1816">
        <v>2025</v>
      </c>
    </row>
    <row r="1817" spans="1:18">
      <c r="A1817">
        <v>19.190000000000001</v>
      </c>
      <c r="B1817">
        <v>1</v>
      </c>
      <c r="C1817">
        <v>1816</v>
      </c>
      <c r="D1817" s="2">
        <v>0.19267633101851853</v>
      </c>
      <c r="E1817" t="s">
        <v>2202</v>
      </c>
      <c r="F1817" t="s">
        <v>2203</v>
      </c>
      <c r="G1817" t="s">
        <v>2204</v>
      </c>
      <c r="H1817" t="s">
        <v>1026</v>
      </c>
      <c r="I1817" t="s">
        <v>896</v>
      </c>
      <c r="J1817" t="s">
        <v>71</v>
      </c>
      <c r="K1817" t="s">
        <v>23</v>
      </c>
      <c r="L1817">
        <v>19.190000000000001</v>
      </c>
      <c r="M1817" s="1">
        <v>45568</v>
      </c>
      <c r="N1817" t="s">
        <v>105</v>
      </c>
      <c r="O1817">
        <v>3</v>
      </c>
      <c r="P1817">
        <v>10</v>
      </c>
      <c r="Q1817">
        <v>4</v>
      </c>
      <c r="R1817">
        <v>2024</v>
      </c>
    </row>
    <row r="1818" spans="1:18">
      <c r="A1818">
        <v>371.84</v>
      </c>
      <c r="B1818">
        <v>2</v>
      </c>
      <c r="C1818">
        <v>1817</v>
      </c>
      <c r="D1818" s="2">
        <v>0.33517277777777776</v>
      </c>
      <c r="E1818" t="s">
        <v>3253</v>
      </c>
      <c r="F1818" t="s">
        <v>3254</v>
      </c>
      <c r="G1818" t="s">
        <v>2108</v>
      </c>
      <c r="H1818" t="s">
        <v>932</v>
      </c>
      <c r="I1818" t="s">
        <v>776</v>
      </c>
      <c r="J1818" t="s">
        <v>683</v>
      </c>
      <c r="K1818" t="s">
        <v>55</v>
      </c>
      <c r="L1818">
        <v>185.92</v>
      </c>
      <c r="M1818" s="1">
        <v>46171</v>
      </c>
      <c r="N1818" t="s">
        <v>79</v>
      </c>
      <c r="O1818">
        <v>29</v>
      </c>
      <c r="P1818">
        <v>5</v>
      </c>
      <c r="Q1818">
        <v>2</v>
      </c>
      <c r="R1818">
        <v>2026</v>
      </c>
    </row>
    <row r="1819" spans="1:18">
      <c r="A1819">
        <v>630.56999999999994</v>
      </c>
      <c r="B1819">
        <v>3</v>
      </c>
      <c r="C1819">
        <v>1818</v>
      </c>
      <c r="D1819" s="2">
        <v>0.85249523148148143</v>
      </c>
      <c r="E1819" t="s">
        <v>1784</v>
      </c>
      <c r="F1819" t="s">
        <v>1785</v>
      </c>
      <c r="G1819" t="s">
        <v>1786</v>
      </c>
      <c r="H1819" t="s">
        <v>843</v>
      </c>
      <c r="I1819" t="s">
        <v>753</v>
      </c>
      <c r="J1819" t="s">
        <v>157</v>
      </c>
      <c r="K1819" t="s">
        <v>19</v>
      </c>
      <c r="L1819">
        <v>210.19</v>
      </c>
      <c r="M1819" s="1">
        <v>45597</v>
      </c>
      <c r="N1819" t="s">
        <v>79</v>
      </c>
      <c r="O1819">
        <v>1</v>
      </c>
      <c r="P1819">
        <v>11</v>
      </c>
      <c r="Q1819">
        <v>4</v>
      </c>
      <c r="R1819">
        <v>2024</v>
      </c>
    </row>
    <row r="1820" spans="1:18">
      <c r="A1820">
        <v>27.03</v>
      </c>
      <c r="B1820">
        <v>3</v>
      </c>
      <c r="C1820">
        <v>1819</v>
      </c>
      <c r="D1820" s="2">
        <v>0.10212925925925925</v>
      </c>
      <c r="E1820" t="s">
        <v>926</v>
      </c>
      <c r="F1820" t="s">
        <v>927</v>
      </c>
      <c r="G1820" t="s">
        <v>928</v>
      </c>
      <c r="H1820" t="s">
        <v>929</v>
      </c>
      <c r="I1820" t="s">
        <v>830</v>
      </c>
      <c r="J1820" t="s">
        <v>455</v>
      </c>
      <c r="K1820" t="s">
        <v>69</v>
      </c>
      <c r="L1820">
        <v>9.01</v>
      </c>
      <c r="M1820" s="1">
        <v>45620</v>
      </c>
      <c r="N1820" t="s">
        <v>28</v>
      </c>
      <c r="O1820">
        <v>24</v>
      </c>
      <c r="P1820">
        <v>11</v>
      </c>
      <c r="Q1820">
        <v>4</v>
      </c>
      <c r="R1820">
        <v>2024</v>
      </c>
    </row>
    <row r="1821" spans="1:18">
      <c r="A1821">
        <v>56.2</v>
      </c>
      <c r="B1821">
        <v>4</v>
      </c>
      <c r="C1821">
        <v>1820</v>
      </c>
      <c r="D1821" s="2">
        <v>0.21824965277777778</v>
      </c>
      <c r="E1821" t="s">
        <v>2270</v>
      </c>
      <c r="F1821" t="s">
        <v>2271</v>
      </c>
      <c r="G1821" t="s">
        <v>2272</v>
      </c>
      <c r="H1821" t="s">
        <v>1591</v>
      </c>
      <c r="I1821" t="s">
        <v>966</v>
      </c>
      <c r="J1821" t="s">
        <v>435</v>
      </c>
      <c r="K1821" t="s">
        <v>51</v>
      </c>
      <c r="L1821">
        <v>14.05</v>
      </c>
      <c r="M1821" s="1">
        <v>46166</v>
      </c>
      <c r="N1821" t="s">
        <v>28</v>
      </c>
      <c r="O1821">
        <v>24</v>
      </c>
      <c r="P1821">
        <v>5</v>
      </c>
      <c r="Q1821">
        <v>2</v>
      </c>
      <c r="R1821">
        <v>2026</v>
      </c>
    </row>
    <row r="1822" spans="1:18">
      <c r="A1822">
        <v>467.12</v>
      </c>
      <c r="B1822">
        <v>2</v>
      </c>
      <c r="C1822">
        <v>1821</v>
      </c>
      <c r="D1822" s="2">
        <v>0.27255912037037039</v>
      </c>
      <c r="E1822" t="s">
        <v>2202</v>
      </c>
      <c r="F1822" t="s">
        <v>2203</v>
      </c>
      <c r="G1822" t="s">
        <v>2204</v>
      </c>
      <c r="H1822" t="s">
        <v>1026</v>
      </c>
      <c r="I1822" t="s">
        <v>896</v>
      </c>
      <c r="J1822" t="s">
        <v>247</v>
      </c>
      <c r="K1822" t="s">
        <v>55</v>
      </c>
      <c r="L1822">
        <v>233.56</v>
      </c>
      <c r="M1822" s="1">
        <v>46230</v>
      </c>
      <c r="N1822" t="s">
        <v>93</v>
      </c>
      <c r="O1822">
        <v>27</v>
      </c>
      <c r="P1822">
        <v>7</v>
      </c>
      <c r="Q1822">
        <v>3</v>
      </c>
      <c r="R1822">
        <v>2026</v>
      </c>
    </row>
    <row r="1823" spans="1:18">
      <c r="A1823">
        <v>55.29</v>
      </c>
      <c r="B1823">
        <v>3</v>
      </c>
      <c r="C1823">
        <v>1822</v>
      </c>
      <c r="D1823" s="2">
        <v>0.34655211805555558</v>
      </c>
      <c r="E1823" t="s">
        <v>2549</v>
      </c>
      <c r="F1823" t="s">
        <v>2550</v>
      </c>
      <c r="G1823" t="s">
        <v>2551</v>
      </c>
      <c r="H1823" t="s">
        <v>1156</v>
      </c>
      <c r="I1823" t="s">
        <v>839</v>
      </c>
      <c r="J1823" t="s">
        <v>1816</v>
      </c>
      <c r="K1823" t="s">
        <v>37</v>
      </c>
      <c r="L1823">
        <v>18.43</v>
      </c>
      <c r="M1823" s="1">
        <v>45744</v>
      </c>
      <c r="N1823" t="s">
        <v>79</v>
      </c>
      <c r="O1823">
        <v>28</v>
      </c>
      <c r="P1823">
        <v>3</v>
      </c>
      <c r="Q1823">
        <v>1</v>
      </c>
      <c r="R1823">
        <v>2025</v>
      </c>
    </row>
    <row r="1824" spans="1:18">
      <c r="A1824">
        <v>302.26</v>
      </c>
      <c r="B1824">
        <v>2</v>
      </c>
      <c r="C1824">
        <v>1823</v>
      </c>
      <c r="D1824" s="2">
        <v>0.20964831018518518</v>
      </c>
      <c r="E1824" t="s">
        <v>791</v>
      </c>
      <c r="F1824" t="s">
        <v>792</v>
      </c>
      <c r="G1824" t="s">
        <v>793</v>
      </c>
      <c r="H1824" t="s">
        <v>794</v>
      </c>
      <c r="I1824" t="s">
        <v>795</v>
      </c>
      <c r="J1824" t="s">
        <v>655</v>
      </c>
      <c r="K1824" t="s">
        <v>82</v>
      </c>
      <c r="L1824">
        <v>151.13</v>
      </c>
      <c r="M1824" s="1">
        <v>46167</v>
      </c>
      <c r="N1824" t="s">
        <v>93</v>
      </c>
      <c r="O1824">
        <v>25</v>
      </c>
      <c r="P1824">
        <v>5</v>
      </c>
      <c r="Q1824">
        <v>2</v>
      </c>
      <c r="R1824">
        <v>2026</v>
      </c>
    </row>
    <row r="1825" spans="1:18">
      <c r="A1825">
        <v>101.34</v>
      </c>
      <c r="B1825">
        <v>3</v>
      </c>
      <c r="C1825">
        <v>1824</v>
      </c>
      <c r="D1825" s="2">
        <v>0.71503744212962961</v>
      </c>
      <c r="E1825" t="s">
        <v>1258</v>
      </c>
      <c r="F1825" t="s">
        <v>1259</v>
      </c>
      <c r="G1825" t="s">
        <v>1260</v>
      </c>
      <c r="H1825" t="s">
        <v>15</v>
      </c>
      <c r="I1825" t="s">
        <v>834</v>
      </c>
      <c r="J1825" t="s">
        <v>625</v>
      </c>
      <c r="K1825" t="s">
        <v>43</v>
      </c>
      <c r="L1825">
        <v>33.78</v>
      </c>
      <c r="M1825" s="1">
        <v>46035</v>
      </c>
      <c r="N1825" t="s">
        <v>48</v>
      </c>
      <c r="O1825">
        <v>13</v>
      </c>
      <c r="P1825">
        <v>1</v>
      </c>
      <c r="Q1825">
        <v>1</v>
      </c>
      <c r="R1825">
        <v>2026</v>
      </c>
    </row>
    <row r="1826" spans="1:18">
      <c r="A1826">
        <v>19.579999999999998</v>
      </c>
      <c r="B1826">
        <v>2</v>
      </c>
      <c r="C1826">
        <v>1825</v>
      </c>
      <c r="D1826" s="2">
        <v>0.24842961805555555</v>
      </c>
      <c r="E1826" t="s">
        <v>2807</v>
      </c>
      <c r="F1826" t="s">
        <v>2808</v>
      </c>
      <c r="G1826" t="s">
        <v>2809</v>
      </c>
      <c r="H1826" t="s">
        <v>1607</v>
      </c>
      <c r="I1826" t="s">
        <v>839</v>
      </c>
      <c r="J1826" t="s">
        <v>374</v>
      </c>
      <c r="K1826" t="s">
        <v>19</v>
      </c>
      <c r="L1826">
        <v>9.7899999999999991</v>
      </c>
      <c r="M1826" s="1">
        <v>45689</v>
      </c>
      <c r="N1826" t="s">
        <v>14</v>
      </c>
      <c r="O1826">
        <v>1</v>
      </c>
      <c r="P1826">
        <v>2</v>
      </c>
      <c r="Q1826">
        <v>1</v>
      </c>
      <c r="R1826">
        <v>2025</v>
      </c>
    </row>
    <row r="1827" spans="1:18">
      <c r="A1827">
        <v>105.24</v>
      </c>
      <c r="B1827">
        <v>2</v>
      </c>
      <c r="C1827">
        <v>1826</v>
      </c>
      <c r="D1827" s="2">
        <v>2.4984664351851853E-2</v>
      </c>
      <c r="E1827" t="s">
        <v>2641</v>
      </c>
      <c r="F1827" t="s">
        <v>2642</v>
      </c>
      <c r="G1827" t="s">
        <v>2643</v>
      </c>
      <c r="H1827" t="s">
        <v>785</v>
      </c>
      <c r="I1827" t="s">
        <v>786</v>
      </c>
      <c r="J1827" t="s">
        <v>270</v>
      </c>
      <c r="K1827" t="s">
        <v>55</v>
      </c>
      <c r="L1827">
        <v>52.62</v>
      </c>
      <c r="M1827" s="1">
        <v>46241</v>
      </c>
      <c r="N1827" t="s">
        <v>79</v>
      </c>
      <c r="O1827">
        <v>7</v>
      </c>
      <c r="P1827">
        <v>8</v>
      </c>
      <c r="Q1827">
        <v>3</v>
      </c>
      <c r="R1827">
        <v>2026</v>
      </c>
    </row>
    <row r="1828" spans="1:18">
      <c r="A1828">
        <v>339.54</v>
      </c>
      <c r="B1828">
        <v>2</v>
      </c>
      <c r="C1828">
        <v>1827</v>
      </c>
      <c r="D1828" s="2">
        <v>0.6622850578703704</v>
      </c>
      <c r="E1828" t="s">
        <v>1289</v>
      </c>
      <c r="F1828" t="s">
        <v>1290</v>
      </c>
      <c r="G1828" t="s">
        <v>1291</v>
      </c>
      <c r="H1828" t="s">
        <v>1292</v>
      </c>
      <c r="I1828" t="s">
        <v>1247</v>
      </c>
      <c r="J1828" t="s">
        <v>300</v>
      </c>
      <c r="K1828" t="s">
        <v>55</v>
      </c>
      <c r="L1828">
        <v>169.77</v>
      </c>
      <c r="M1828" s="1">
        <v>45990</v>
      </c>
      <c r="N1828" t="s">
        <v>14</v>
      </c>
      <c r="O1828">
        <v>29</v>
      </c>
      <c r="P1828">
        <v>11</v>
      </c>
      <c r="Q1828">
        <v>4</v>
      </c>
      <c r="R1828">
        <v>2025</v>
      </c>
    </row>
    <row r="1829" spans="1:18">
      <c r="A1829">
        <v>916.36</v>
      </c>
      <c r="B1829">
        <v>4</v>
      </c>
      <c r="C1829">
        <v>1828</v>
      </c>
      <c r="D1829" s="2">
        <v>0.15134813657407406</v>
      </c>
      <c r="E1829" t="s">
        <v>2602</v>
      </c>
      <c r="F1829" t="s">
        <v>2603</v>
      </c>
      <c r="G1829" t="s">
        <v>932</v>
      </c>
      <c r="H1829" t="s">
        <v>1199</v>
      </c>
      <c r="I1829" t="s">
        <v>839</v>
      </c>
      <c r="J1829" t="s">
        <v>622</v>
      </c>
      <c r="K1829" t="s">
        <v>37</v>
      </c>
      <c r="L1829">
        <v>229.09</v>
      </c>
      <c r="M1829" s="1">
        <v>45666</v>
      </c>
      <c r="N1829" t="s">
        <v>105</v>
      </c>
      <c r="O1829">
        <v>9</v>
      </c>
      <c r="P1829">
        <v>1</v>
      </c>
      <c r="Q1829">
        <v>1</v>
      </c>
      <c r="R1829">
        <v>2025</v>
      </c>
    </row>
    <row r="1830" spans="1:18">
      <c r="A1830">
        <v>410.54</v>
      </c>
      <c r="B1830">
        <v>2</v>
      </c>
      <c r="C1830">
        <v>1829</v>
      </c>
      <c r="D1830" s="2">
        <v>0.51719740740740738</v>
      </c>
      <c r="E1830" t="s">
        <v>1027</v>
      </c>
      <c r="F1830" t="s">
        <v>1028</v>
      </c>
      <c r="G1830" t="s">
        <v>805</v>
      </c>
      <c r="H1830" t="s">
        <v>825</v>
      </c>
      <c r="I1830" t="s">
        <v>781</v>
      </c>
      <c r="J1830" t="s">
        <v>404</v>
      </c>
      <c r="K1830" t="s">
        <v>37</v>
      </c>
      <c r="L1830">
        <v>205.27</v>
      </c>
      <c r="M1830" s="1">
        <v>46166</v>
      </c>
      <c r="N1830" t="s">
        <v>28</v>
      </c>
      <c r="O1830">
        <v>24</v>
      </c>
      <c r="P1830">
        <v>5</v>
      </c>
      <c r="Q1830">
        <v>2</v>
      </c>
      <c r="R1830">
        <v>2026</v>
      </c>
    </row>
    <row r="1831" spans="1:18">
      <c r="A1831">
        <v>69.89</v>
      </c>
      <c r="B1831">
        <v>1</v>
      </c>
      <c r="C1831">
        <v>1830</v>
      </c>
      <c r="D1831" s="2">
        <v>0.38954465277777778</v>
      </c>
      <c r="E1831" t="s">
        <v>2194</v>
      </c>
      <c r="F1831" t="s">
        <v>2195</v>
      </c>
      <c r="G1831" t="s">
        <v>914</v>
      </c>
      <c r="H1831" t="s">
        <v>414</v>
      </c>
      <c r="I1831" t="s">
        <v>795</v>
      </c>
      <c r="J1831" t="s">
        <v>366</v>
      </c>
      <c r="K1831" t="s">
        <v>19</v>
      </c>
      <c r="L1831">
        <v>69.89</v>
      </c>
      <c r="M1831" s="1">
        <v>45548</v>
      </c>
      <c r="N1831" t="s">
        <v>79</v>
      </c>
      <c r="O1831">
        <v>13</v>
      </c>
      <c r="P1831">
        <v>9</v>
      </c>
      <c r="Q1831">
        <v>3</v>
      </c>
      <c r="R1831">
        <v>2024</v>
      </c>
    </row>
    <row r="1832" spans="1:18">
      <c r="A1832">
        <v>408.5</v>
      </c>
      <c r="B1832">
        <v>2</v>
      </c>
      <c r="C1832">
        <v>1831</v>
      </c>
      <c r="D1832" s="2">
        <v>0.20493567129629631</v>
      </c>
      <c r="E1832" t="s">
        <v>2035</v>
      </c>
      <c r="F1832" t="s">
        <v>2036</v>
      </c>
      <c r="G1832" t="s">
        <v>1793</v>
      </c>
      <c r="H1832" t="s">
        <v>1920</v>
      </c>
      <c r="I1832" t="s">
        <v>807</v>
      </c>
      <c r="J1832" t="s">
        <v>341</v>
      </c>
      <c r="K1832" t="s">
        <v>21</v>
      </c>
      <c r="L1832">
        <v>204.25</v>
      </c>
      <c r="M1832" s="1">
        <v>45765</v>
      </c>
      <c r="N1832" t="s">
        <v>79</v>
      </c>
      <c r="O1832">
        <v>18</v>
      </c>
      <c r="P1832">
        <v>4</v>
      </c>
      <c r="Q1832">
        <v>2</v>
      </c>
      <c r="R1832">
        <v>2025</v>
      </c>
    </row>
    <row r="1833" spans="1:18">
      <c r="A1833">
        <v>109.76</v>
      </c>
      <c r="B1833">
        <v>4</v>
      </c>
      <c r="C1833">
        <v>1832</v>
      </c>
      <c r="D1833" s="2">
        <v>0.45637931712962965</v>
      </c>
      <c r="E1833" t="s">
        <v>2258</v>
      </c>
      <c r="F1833" t="s">
        <v>2259</v>
      </c>
      <c r="G1833" t="s">
        <v>2260</v>
      </c>
      <c r="H1833" t="s">
        <v>772</v>
      </c>
      <c r="I1833" t="s">
        <v>758</v>
      </c>
      <c r="J1833" t="s">
        <v>722</v>
      </c>
      <c r="K1833" t="s">
        <v>37</v>
      </c>
      <c r="L1833">
        <v>27.44</v>
      </c>
      <c r="M1833" s="1">
        <v>46148</v>
      </c>
      <c r="N1833" t="s">
        <v>34</v>
      </c>
      <c r="O1833">
        <v>6</v>
      </c>
      <c r="P1833">
        <v>5</v>
      </c>
      <c r="Q1833">
        <v>2</v>
      </c>
      <c r="R1833">
        <v>2026</v>
      </c>
    </row>
    <row r="1834" spans="1:18">
      <c r="A1834">
        <v>352.32</v>
      </c>
      <c r="B1834">
        <v>3</v>
      </c>
      <c r="C1834">
        <v>1833</v>
      </c>
      <c r="D1834" s="2">
        <v>0.48265864583333334</v>
      </c>
      <c r="E1834" t="s">
        <v>2031</v>
      </c>
      <c r="F1834" t="s">
        <v>2032</v>
      </c>
      <c r="G1834" t="s">
        <v>2033</v>
      </c>
      <c r="H1834" t="s">
        <v>929</v>
      </c>
      <c r="I1834" t="s">
        <v>830</v>
      </c>
      <c r="J1834" t="s">
        <v>419</v>
      </c>
      <c r="K1834" t="s">
        <v>39</v>
      </c>
      <c r="L1834">
        <v>117.44</v>
      </c>
      <c r="M1834" s="1">
        <v>46083</v>
      </c>
      <c r="N1834" t="s">
        <v>93</v>
      </c>
      <c r="O1834">
        <v>2</v>
      </c>
      <c r="P1834">
        <v>3</v>
      </c>
      <c r="Q1834">
        <v>1</v>
      </c>
      <c r="R1834">
        <v>2026</v>
      </c>
    </row>
    <row r="1835" spans="1:18">
      <c r="A1835">
        <v>175.24</v>
      </c>
      <c r="B1835">
        <v>4</v>
      </c>
      <c r="C1835">
        <v>1834</v>
      </c>
      <c r="D1835" s="2">
        <v>0.34106173611111112</v>
      </c>
      <c r="E1835" t="s">
        <v>3150</v>
      </c>
      <c r="F1835" t="s">
        <v>3151</v>
      </c>
      <c r="G1835" t="s">
        <v>1231</v>
      </c>
      <c r="H1835" t="s">
        <v>562</v>
      </c>
      <c r="I1835" t="s">
        <v>753</v>
      </c>
      <c r="J1835" t="s">
        <v>354</v>
      </c>
      <c r="K1835" t="s">
        <v>31</v>
      </c>
      <c r="L1835">
        <v>43.81</v>
      </c>
      <c r="M1835" s="1">
        <v>46193</v>
      </c>
      <c r="N1835" t="s">
        <v>14</v>
      </c>
      <c r="O1835">
        <v>20</v>
      </c>
      <c r="P1835">
        <v>6</v>
      </c>
      <c r="Q1835">
        <v>2</v>
      </c>
      <c r="R1835">
        <v>2026</v>
      </c>
    </row>
    <row r="1836" spans="1:18">
      <c r="A1836">
        <v>209.96</v>
      </c>
      <c r="B1836">
        <v>2</v>
      </c>
      <c r="C1836">
        <v>1835</v>
      </c>
      <c r="D1836" s="2">
        <v>0.18904056712962963</v>
      </c>
      <c r="E1836" t="s">
        <v>2381</v>
      </c>
      <c r="F1836" t="s">
        <v>2382</v>
      </c>
      <c r="G1836" t="s">
        <v>2383</v>
      </c>
      <c r="H1836" t="s">
        <v>1359</v>
      </c>
      <c r="I1836" t="s">
        <v>768</v>
      </c>
      <c r="J1836" t="s">
        <v>690</v>
      </c>
      <c r="K1836" t="s">
        <v>46</v>
      </c>
      <c r="L1836">
        <v>104.98</v>
      </c>
      <c r="M1836" s="1">
        <v>45758</v>
      </c>
      <c r="N1836" t="s">
        <v>79</v>
      </c>
      <c r="O1836">
        <v>11</v>
      </c>
      <c r="P1836">
        <v>4</v>
      </c>
      <c r="Q1836">
        <v>2</v>
      </c>
      <c r="R1836">
        <v>2025</v>
      </c>
    </row>
    <row r="1837" spans="1:18">
      <c r="A1837">
        <v>220.47</v>
      </c>
      <c r="B1837">
        <v>1</v>
      </c>
      <c r="C1837">
        <v>1836</v>
      </c>
      <c r="D1837" s="2">
        <v>0.63746177083333333</v>
      </c>
      <c r="E1837" t="s">
        <v>3044</v>
      </c>
      <c r="F1837" t="s">
        <v>3045</v>
      </c>
      <c r="G1837" t="s">
        <v>2831</v>
      </c>
      <c r="H1837" t="s">
        <v>980</v>
      </c>
      <c r="I1837" t="s">
        <v>981</v>
      </c>
      <c r="J1837" t="s">
        <v>496</v>
      </c>
      <c r="K1837" t="s">
        <v>17</v>
      </c>
      <c r="L1837">
        <v>220.47</v>
      </c>
      <c r="M1837" s="1">
        <v>45572</v>
      </c>
      <c r="N1837" t="s">
        <v>93</v>
      </c>
      <c r="O1837">
        <v>7</v>
      </c>
      <c r="P1837">
        <v>10</v>
      </c>
      <c r="Q1837">
        <v>4</v>
      </c>
      <c r="R1837">
        <v>2024</v>
      </c>
    </row>
    <row r="1838" spans="1:18">
      <c r="A1838">
        <v>205.72</v>
      </c>
      <c r="B1838">
        <v>2</v>
      </c>
      <c r="C1838">
        <v>1837</v>
      </c>
      <c r="D1838" s="2">
        <v>0.31960577546296298</v>
      </c>
      <c r="E1838" t="s">
        <v>3150</v>
      </c>
      <c r="F1838" t="s">
        <v>3151</v>
      </c>
      <c r="G1838" t="s">
        <v>1231</v>
      </c>
      <c r="H1838" t="s">
        <v>562</v>
      </c>
      <c r="I1838" t="s">
        <v>753</v>
      </c>
      <c r="J1838" t="s">
        <v>460</v>
      </c>
      <c r="K1838" t="s">
        <v>69</v>
      </c>
      <c r="L1838">
        <v>102.86</v>
      </c>
      <c r="M1838" s="1">
        <v>45697</v>
      </c>
      <c r="N1838" t="s">
        <v>28</v>
      </c>
      <c r="O1838">
        <v>9</v>
      </c>
      <c r="P1838">
        <v>2</v>
      </c>
      <c r="Q1838">
        <v>1</v>
      </c>
      <c r="R1838">
        <v>2025</v>
      </c>
    </row>
    <row r="1839" spans="1:18">
      <c r="A1839">
        <v>403.06</v>
      </c>
      <c r="B1839">
        <v>2</v>
      </c>
      <c r="C1839">
        <v>1838</v>
      </c>
      <c r="D1839" s="2">
        <v>0.18486982638888888</v>
      </c>
      <c r="E1839" t="s">
        <v>2101</v>
      </c>
      <c r="F1839" t="s">
        <v>2102</v>
      </c>
      <c r="G1839" t="s">
        <v>2103</v>
      </c>
      <c r="H1839" t="s">
        <v>1089</v>
      </c>
      <c r="I1839" t="s">
        <v>812</v>
      </c>
      <c r="J1839" t="s">
        <v>476</v>
      </c>
      <c r="K1839" t="s">
        <v>31</v>
      </c>
      <c r="L1839">
        <v>201.53</v>
      </c>
      <c r="M1839" s="1">
        <v>46249</v>
      </c>
      <c r="N1839" t="s">
        <v>14</v>
      </c>
      <c r="O1839">
        <v>15</v>
      </c>
      <c r="P1839">
        <v>8</v>
      </c>
      <c r="Q1839">
        <v>3</v>
      </c>
      <c r="R1839">
        <v>2026</v>
      </c>
    </row>
    <row r="1840" spans="1:18">
      <c r="A1840">
        <v>496.71</v>
      </c>
      <c r="B1840">
        <v>3</v>
      </c>
      <c r="C1840">
        <v>1839</v>
      </c>
      <c r="D1840" s="2">
        <v>0.82287564814814818</v>
      </c>
      <c r="E1840" t="s">
        <v>2758</v>
      </c>
      <c r="F1840" t="s">
        <v>2759</v>
      </c>
      <c r="G1840" t="s">
        <v>1903</v>
      </c>
      <c r="H1840" t="s">
        <v>387</v>
      </c>
      <c r="I1840" t="s">
        <v>821</v>
      </c>
      <c r="J1840" t="s">
        <v>355</v>
      </c>
      <c r="K1840" t="s">
        <v>39</v>
      </c>
      <c r="L1840">
        <v>165.57</v>
      </c>
      <c r="M1840" s="1">
        <v>46187</v>
      </c>
      <c r="N1840" t="s">
        <v>28</v>
      </c>
      <c r="O1840">
        <v>14</v>
      </c>
      <c r="P1840">
        <v>6</v>
      </c>
      <c r="Q1840">
        <v>2</v>
      </c>
      <c r="R1840">
        <v>2026</v>
      </c>
    </row>
    <row r="1841" spans="1:18">
      <c r="A1841">
        <v>324.92</v>
      </c>
      <c r="B1841">
        <v>2</v>
      </c>
      <c r="C1841">
        <v>1840</v>
      </c>
      <c r="D1841" s="2">
        <v>0.40076489583333336</v>
      </c>
      <c r="E1841" t="s">
        <v>2027</v>
      </c>
      <c r="F1841" t="s">
        <v>1355</v>
      </c>
      <c r="G1841" t="s">
        <v>1508</v>
      </c>
      <c r="H1841" t="s">
        <v>1002</v>
      </c>
      <c r="I1841" t="s">
        <v>1003</v>
      </c>
      <c r="J1841" t="s">
        <v>218</v>
      </c>
      <c r="K1841" t="s">
        <v>97</v>
      </c>
      <c r="L1841">
        <v>162.46</v>
      </c>
      <c r="M1841" s="1">
        <v>46188</v>
      </c>
      <c r="N1841" t="s">
        <v>93</v>
      </c>
      <c r="O1841">
        <v>15</v>
      </c>
      <c r="P1841">
        <v>6</v>
      </c>
      <c r="Q1841">
        <v>2</v>
      </c>
      <c r="R1841">
        <v>2026</v>
      </c>
    </row>
    <row r="1842" spans="1:18">
      <c r="A1842">
        <v>159.84</v>
      </c>
      <c r="B1842">
        <v>3</v>
      </c>
      <c r="C1842">
        <v>1841</v>
      </c>
      <c r="D1842" s="2">
        <v>0.63640212962962961</v>
      </c>
      <c r="E1842" t="s">
        <v>1233</v>
      </c>
      <c r="F1842" t="s">
        <v>1234</v>
      </c>
      <c r="G1842" t="s">
        <v>1235</v>
      </c>
      <c r="H1842" t="s">
        <v>1236</v>
      </c>
      <c r="I1842" t="s">
        <v>807</v>
      </c>
      <c r="J1842" t="s">
        <v>459</v>
      </c>
      <c r="K1842" t="s">
        <v>43</v>
      </c>
      <c r="L1842">
        <v>53.28</v>
      </c>
      <c r="M1842" s="1">
        <v>45756</v>
      </c>
      <c r="N1842" t="s">
        <v>34</v>
      </c>
      <c r="O1842">
        <v>9</v>
      </c>
      <c r="P1842">
        <v>4</v>
      </c>
      <c r="Q1842">
        <v>2</v>
      </c>
      <c r="R1842">
        <v>2025</v>
      </c>
    </row>
    <row r="1843" spans="1:18">
      <c r="A1843">
        <v>82.96</v>
      </c>
      <c r="B1843">
        <v>4</v>
      </c>
      <c r="C1843">
        <v>1842</v>
      </c>
      <c r="D1843" s="2">
        <v>0.2591334027777778</v>
      </c>
      <c r="E1843" t="s">
        <v>2756</v>
      </c>
      <c r="F1843" t="s">
        <v>2757</v>
      </c>
      <c r="G1843" t="s">
        <v>868</v>
      </c>
      <c r="H1843" t="s">
        <v>829</v>
      </c>
      <c r="I1843" t="s">
        <v>830</v>
      </c>
      <c r="J1843" t="s">
        <v>70</v>
      </c>
      <c r="K1843" t="s">
        <v>27</v>
      </c>
      <c r="L1843">
        <v>20.74</v>
      </c>
      <c r="M1843" s="1">
        <v>45860</v>
      </c>
      <c r="N1843" t="s">
        <v>48</v>
      </c>
      <c r="O1843">
        <v>22</v>
      </c>
      <c r="P1843">
        <v>7</v>
      </c>
      <c r="Q1843">
        <v>3</v>
      </c>
      <c r="R1843">
        <v>2025</v>
      </c>
    </row>
    <row r="1844" spans="1:18">
      <c r="A1844">
        <v>287</v>
      </c>
      <c r="B1844">
        <v>4</v>
      </c>
      <c r="C1844">
        <v>1843</v>
      </c>
      <c r="D1844" s="2">
        <v>0.7679393518518518</v>
      </c>
      <c r="E1844" t="s">
        <v>1399</v>
      </c>
      <c r="F1844" t="s">
        <v>1400</v>
      </c>
      <c r="G1844" t="s">
        <v>922</v>
      </c>
      <c r="H1844" t="s">
        <v>1401</v>
      </c>
      <c r="I1844" t="s">
        <v>943</v>
      </c>
      <c r="J1844" t="s">
        <v>133</v>
      </c>
      <c r="K1844" t="s">
        <v>97</v>
      </c>
      <c r="L1844">
        <v>71.75</v>
      </c>
      <c r="M1844" s="1">
        <v>46086</v>
      </c>
      <c r="N1844" t="s">
        <v>105</v>
      </c>
      <c r="O1844">
        <v>5</v>
      </c>
      <c r="P1844">
        <v>3</v>
      </c>
      <c r="Q1844">
        <v>1</v>
      </c>
      <c r="R1844">
        <v>2026</v>
      </c>
    </row>
    <row r="1845" spans="1:18">
      <c r="A1845">
        <v>636.9</v>
      </c>
      <c r="B1845">
        <v>5</v>
      </c>
      <c r="C1845">
        <v>1844</v>
      </c>
      <c r="D1845" s="2">
        <v>0.49663366898148148</v>
      </c>
      <c r="E1845" t="s">
        <v>1960</v>
      </c>
      <c r="F1845" t="s">
        <v>1961</v>
      </c>
      <c r="G1845" t="s">
        <v>1962</v>
      </c>
      <c r="H1845" t="s">
        <v>1089</v>
      </c>
      <c r="I1845" t="s">
        <v>812</v>
      </c>
      <c r="J1845" t="s">
        <v>1217</v>
      </c>
      <c r="K1845" t="s">
        <v>122</v>
      </c>
      <c r="L1845">
        <v>127.38</v>
      </c>
      <c r="M1845" s="1">
        <v>45902</v>
      </c>
      <c r="N1845" t="s">
        <v>48</v>
      </c>
      <c r="O1845">
        <v>2</v>
      </c>
      <c r="P1845">
        <v>9</v>
      </c>
      <c r="Q1845">
        <v>3</v>
      </c>
      <c r="R1845">
        <v>2025</v>
      </c>
    </row>
    <row r="1846" spans="1:18">
      <c r="A1846">
        <v>58.32</v>
      </c>
      <c r="B1846">
        <v>2</v>
      </c>
      <c r="C1846">
        <v>1845</v>
      </c>
      <c r="D1846" s="2">
        <v>7.825891203703703E-3</v>
      </c>
      <c r="E1846" t="s">
        <v>3320</v>
      </c>
      <c r="F1846" t="s">
        <v>3321</v>
      </c>
      <c r="G1846" t="s">
        <v>3322</v>
      </c>
      <c r="H1846" t="s">
        <v>199</v>
      </c>
      <c r="I1846" t="s">
        <v>781</v>
      </c>
      <c r="J1846" t="s">
        <v>511</v>
      </c>
      <c r="K1846" t="s">
        <v>27</v>
      </c>
      <c r="L1846">
        <v>29.16</v>
      </c>
      <c r="M1846" s="1">
        <v>45800</v>
      </c>
      <c r="N1846" t="s">
        <v>79</v>
      </c>
      <c r="O1846">
        <v>23</v>
      </c>
      <c r="P1846">
        <v>5</v>
      </c>
      <c r="Q1846">
        <v>2</v>
      </c>
      <c r="R1846">
        <v>2025</v>
      </c>
    </row>
    <row r="1847" spans="1:18">
      <c r="A1847">
        <v>122.16</v>
      </c>
      <c r="B1847">
        <v>2</v>
      </c>
      <c r="C1847">
        <v>1846</v>
      </c>
      <c r="D1847" s="2">
        <v>0.38840508101851851</v>
      </c>
      <c r="E1847" t="s">
        <v>3255</v>
      </c>
      <c r="F1847" t="s">
        <v>3256</v>
      </c>
      <c r="G1847" t="s">
        <v>3257</v>
      </c>
      <c r="H1847" t="s">
        <v>1318</v>
      </c>
      <c r="I1847" t="s">
        <v>807</v>
      </c>
      <c r="J1847" t="s">
        <v>385</v>
      </c>
      <c r="K1847" t="s">
        <v>39</v>
      </c>
      <c r="L1847">
        <v>61.08</v>
      </c>
      <c r="M1847" s="1">
        <v>46094</v>
      </c>
      <c r="N1847" t="s">
        <v>79</v>
      </c>
      <c r="O1847">
        <v>13</v>
      </c>
      <c r="P1847">
        <v>3</v>
      </c>
      <c r="Q1847">
        <v>1</v>
      </c>
      <c r="R1847">
        <v>2026</v>
      </c>
    </row>
    <row r="1848" spans="1:18">
      <c r="A1848">
        <v>112.1</v>
      </c>
      <c r="B1848">
        <v>2</v>
      </c>
      <c r="C1848">
        <v>1847</v>
      </c>
      <c r="D1848" s="2">
        <v>7.0034305555555551E-2</v>
      </c>
      <c r="E1848" t="s">
        <v>3133</v>
      </c>
      <c r="F1848" t="s">
        <v>3134</v>
      </c>
      <c r="G1848" t="s">
        <v>1556</v>
      </c>
      <c r="H1848" t="s">
        <v>2982</v>
      </c>
      <c r="I1848" t="s">
        <v>839</v>
      </c>
      <c r="J1848" t="s">
        <v>32</v>
      </c>
      <c r="K1848" t="s">
        <v>19</v>
      </c>
      <c r="L1848">
        <v>56.05</v>
      </c>
      <c r="M1848" s="1">
        <v>45999</v>
      </c>
      <c r="N1848" t="s">
        <v>93</v>
      </c>
      <c r="O1848">
        <v>8</v>
      </c>
      <c r="P1848">
        <v>12</v>
      </c>
      <c r="Q1848">
        <v>4</v>
      </c>
      <c r="R1848">
        <v>2025</v>
      </c>
    </row>
    <row r="1849" spans="1:18">
      <c r="A1849">
        <v>440.94</v>
      </c>
      <c r="B1849">
        <v>2</v>
      </c>
      <c r="C1849">
        <v>1848</v>
      </c>
      <c r="D1849" s="2">
        <v>0.89352170138888887</v>
      </c>
      <c r="E1849" t="s">
        <v>3329</v>
      </c>
      <c r="F1849" t="s">
        <v>3330</v>
      </c>
      <c r="G1849" t="s">
        <v>1038</v>
      </c>
      <c r="H1849" t="s">
        <v>513</v>
      </c>
      <c r="I1849" t="s">
        <v>786</v>
      </c>
      <c r="J1849" t="s">
        <v>496</v>
      </c>
      <c r="K1849" t="s">
        <v>17</v>
      </c>
      <c r="L1849">
        <v>220.47</v>
      </c>
      <c r="M1849" s="1">
        <v>46200</v>
      </c>
      <c r="N1849" t="s">
        <v>14</v>
      </c>
      <c r="O1849">
        <v>27</v>
      </c>
      <c r="P1849">
        <v>6</v>
      </c>
      <c r="Q1849">
        <v>2</v>
      </c>
      <c r="R1849">
        <v>2026</v>
      </c>
    </row>
    <row r="1850" spans="1:18">
      <c r="A1850">
        <v>490.02</v>
      </c>
      <c r="B1850">
        <v>2</v>
      </c>
      <c r="C1850">
        <v>1849</v>
      </c>
      <c r="D1850" s="2">
        <v>0.1141185300925926</v>
      </c>
      <c r="E1850" t="s">
        <v>1756</v>
      </c>
      <c r="F1850" t="s">
        <v>1757</v>
      </c>
      <c r="G1850" t="s">
        <v>1679</v>
      </c>
      <c r="H1850" t="s">
        <v>802</v>
      </c>
      <c r="I1850" t="s">
        <v>748</v>
      </c>
      <c r="J1850" t="s">
        <v>53</v>
      </c>
      <c r="K1850" t="s">
        <v>43</v>
      </c>
      <c r="L1850">
        <v>245.01</v>
      </c>
      <c r="M1850" s="1">
        <v>45983</v>
      </c>
      <c r="N1850" t="s">
        <v>14</v>
      </c>
      <c r="O1850">
        <v>22</v>
      </c>
      <c r="P1850">
        <v>11</v>
      </c>
      <c r="Q1850">
        <v>4</v>
      </c>
      <c r="R1850">
        <v>2025</v>
      </c>
    </row>
    <row r="1851" spans="1:18">
      <c r="A1851">
        <v>147.63</v>
      </c>
      <c r="B1851">
        <v>3</v>
      </c>
      <c r="C1851">
        <v>1850</v>
      </c>
      <c r="D1851" s="2">
        <v>0.90782026620370371</v>
      </c>
      <c r="E1851" t="s">
        <v>2189</v>
      </c>
      <c r="F1851" t="s">
        <v>2190</v>
      </c>
      <c r="G1851" t="s">
        <v>2191</v>
      </c>
      <c r="H1851" t="s">
        <v>1410</v>
      </c>
      <c r="I1851" t="s">
        <v>812</v>
      </c>
      <c r="J1851" t="s">
        <v>717</v>
      </c>
      <c r="K1851" t="s">
        <v>17</v>
      </c>
      <c r="L1851">
        <v>49.21</v>
      </c>
      <c r="M1851" s="1">
        <v>46009</v>
      </c>
      <c r="N1851" t="s">
        <v>105</v>
      </c>
      <c r="O1851">
        <v>18</v>
      </c>
      <c r="P1851">
        <v>12</v>
      </c>
      <c r="Q1851">
        <v>4</v>
      </c>
      <c r="R1851">
        <v>2025</v>
      </c>
    </row>
    <row r="1852" spans="1:18">
      <c r="A1852">
        <v>28.58</v>
      </c>
      <c r="B1852">
        <v>2</v>
      </c>
      <c r="C1852">
        <v>1851</v>
      </c>
      <c r="D1852" s="2">
        <v>0.24286350694444445</v>
      </c>
      <c r="E1852" t="s">
        <v>1448</v>
      </c>
      <c r="F1852" t="s">
        <v>1449</v>
      </c>
      <c r="G1852" t="s">
        <v>1050</v>
      </c>
      <c r="H1852" t="s">
        <v>806</v>
      </c>
      <c r="I1852" t="s">
        <v>807</v>
      </c>
      <c r="J1852" t="s">
        <v>685</v>
      </c>
      <c r="K1852" t="s">
        <v>69</v>
      </c>
      <c r="L1852">
        <v>14.29</v>
      </c>
      <c r="M1852" s="1">
        <v>45844</v>
      </c>
      <c r="N1852" t="s">
        <v>28</v>
      </c>
      <c r="O1852">
        <v>6</v>
      </c>
      <c r="P1852">
        <v>7</v>
      </c>
      <c r="Q1852">
        <v>3</v>
      </c>
      <c r="R1852">
        <v>2025</v>
      </c>
    </row>
    <row r="1853" spans="1:18">
      <c r="A1853">
        <v>1003.5500000000001</v>
      </c>
      <c r="B1853">
        <v>5</v>
      </c>
      <c r="C1853">
        <v>1852</v>
      </c>
      <c r="D1853" s="2">
        <v>0.63401836805555556</v>
      </c>
      <c r="E1853" t="s">
        <v>886</v>
      </c>
      <c r="F1853" t="s">
        <v>887</v>
      </c>
      <c r="G1853" t="s">
        <v>888</v>
      </c>
      <c r="H1853" t="s">
        <v>806</v>
      </c>
      <c r="I1853" t="s">
        <v>807</v>
      </c>
      <c r="J1853" t="s">
        <v>298</v>
      </c>
      <c r="K1853" t="s">
        <v>31</v>
      </c>
      <c r="L1853">
        <v>200.71</v>
      </c>
      <c r="M1853" s="1">
        <v>46044</v>
      </c>
      <c r="N1853" t="s">
        <v>105</v>
      </c>
      <c r="O1853">
        <v>22</v>
      </c>
      <c r="P1853">
        <v>1</v>
      </c>
      <c r="Q1853">
        <v>1</v>
      </c>
      <c r="R1853">
        <v>2026</v>
      </c>
    </row>
    <row r="1854" spans="1:18">
      <c r="A1854">
        <v>444.24</v>
      </c>
      <c r="B1854">
        <v>4</v>
      </c>
      <c r="C1854">
        <v>1853</v>
      </c>
      <c r="D1854" s="2">
        <v>0.45664924768518517</v>
      </c>
      <c r="E1854" t="s">
        <v>912</v>
      </c>
      <c r="F1854" t="s">
        <v>913</v>
      </c>
      <c r="G1854" t="s">
        <v>914</v>
      </c>
      <c r="H1854" t="s">
        <v>915</v>
      </c>
      <c r="I1854" t="s">
        <v>768</v>
      </c>
      <c r="J1854" t="s">
        <v>89</v>
      </c>
      <c r="K1854" t="s">
        <v>69</v>
      </c>
      <c r="L1854">
        <v>111.06</v>
      </c>
      <c r="M1854" s="1">
        <v>45640</v>
      </c>
      <c r="N1854" t="s">
        <v>14</v>
      </c>
      <c r="O1854">
        <v>14</v>
      </c>
      <c r="P1854">
        <v>12</v>
      </c>
      <c r="Q1854">
        <v>4</v>
      </c>
      <c r="R1854">
        <v>2024</v>
      </c>
    </row>
    <row r="1855" spans="1:18">
      <c r="A1855">
        <v>491.88</v>
      </c>
      <c r="B1855">
        <v>3</v>
      </c>
      <c r="C1855">
        <v>1854</v>
      </c>
      <c r="D1855" s="2">
        <v>0.47062525462962962</v>
      </c>
      <c r="E1855" t="s">
        <v>1696</v>
      </c>
      <c r="F1855" t="s">
        <v>1697</v>
      </c>
      <c r="G1855" t="s">
        <v>1698</v>
      </c>
      <c r="H1855" t="s">
        <v>1172</v>
      </c>
      <c r="I1855" t="s">
        <v>830</v>
      </c>
      <c r="J1855" t="s">
        <v>731</v>
      </c>
      <c r="K1855" t="s">
        <v>21</v>
      </c>
      <c r="L1855">
        <v>163.96</v>
      </c>
      <c r="M1855" s="1">
        <v>45559</v>
      </c>
      <c r="N1855" t="s">
        <v>48</v>
      </c>
      <c r="O1855">
        <v>24</v>
      </c>
      <c r="P1855">
        <v>9</v>
      </c>
      <c r="Q1855">
        <v>3</v>
      </c>
      <c r="R1855">
        <v>2024</v>
      </c>
    </row>
    <row r="1856" spans="1:18">
      <c r="A1856">
        <v>286.88</v>
      </c>
      <c r="B1856">
        <v>4</v>
      </c>
      <c r="C1856">
        <v>1855</v>
      </c>
      <c r="D1856" s="2">
        <v>0.83271765046296298</v>
      </c>
      <c r="E1856" t="s">
        <v>1046</v>
      </c>
      <c r="F1856" t="s">
        <v>1047</v>
      </c>
      <c r="G1856" t="s">
        <v>746</v>
      </c>
      <c r="H1856" t="s">
        <v>29</v>
      </c>
      <c r="I1856" t="s">
        <v>821</v>
      </c>
      <c r="J1856" t="s">
        <v>141</v>
      </c>
      <c r="K1856" t="s">
        <v>46</v>
      </c>
      <c r="L1856">
        <v>71.72</v>
      </c>
      <c r="M1856" s="1">
        <v>45753</v>
      </c>
      <c r="N1856" t="s">
        <v>28</v>
      </c>
      <c r="O1856">
        <v>6</v>
      </c>
      <c r="P1856">
        <v>4</v>
      </c>
      <c r="Q1856">
        <v>2</v>
      </c>
      <c r="R1856">
        <v>2025</v>
      </c>
    </row>
    <row r="1857" spans="1:18">
      <c r="A1857">
        <v>244.32</v>
      </c>
      <c r="B1857">
        <v>4</v>
      </c>
      <c r="C1857">
        <v>1856</v>
      </c>
      <c r="D1857" s="2">
        <v>0.39344908564814812</v>
      </c>
      <c r="E1857" t="s">
        <v>1866</v>
      </c>
      <c r="F1857" t="s">
        <v>1867</v>
      </c>
      <c r="G1857" t="s">
        <v>1868</v>
      </c>
      <c r="H1857" t="s">
        <v>1111</v>
      </c>
      <c r="I1857" t="s">
        <v>981</v>
      </c>
      <c r="J1857" t="s">
        <v>385</v>
      </c>
      <c r="K1857" t="s">
        <v>39</v>
      </c>
      <c r="L1857">
        <v>61.08</v>
      </c>
      <c r="M1857" s="1">
        <v>45580</v>
      </c>
      <c r="N1857" t="s">
        <v>48</v>
      </c>
      <c r="O1857">
        <v>15</v>
      </c>
      <c r="P1857">
        <v>10</v>
      </c>
      <c r="Q1857">
        <v>4</v>
      </c>
      <c r="R1857">
        <v>2024</v>
      </c>
    </row>
    <row r="1858" spans="1:18">
      <c r="A1858">
        <v>992.2</v>
      </c>
      <c r="B1858">
        <v>5</v>
      </c>
      <c r="C1858">
        <v>1857</v>
      </c>
      <c r="D1858" s="2">
        <v>0.4469359722222222</v>
      </c>
      <c r="E1858" t="s">
        <v>1435</v>
      </c>
      <c r="F1858" t="s">
        <v>1436</v>
      </c>
      <c r="G1858" t="s">
        <v>1437</v>
      </c>
      <c r="H1858" t="s">
        <v>387</v>
      </c>
      <c r="I1858" t="s">
        <v>821</v>
      </c>
      <c r="J1858" t="s">
        <v>40</v>
      </c>
      <c r="K1858" t="s">
        <v>37</v>
      </c>
      <c r="L1858">
        <v>198.44</v>
      </c>
      <c r="M1858" s="1">
        <v>46042</v>
      </c>
      <c r="N1858" t="s">
        <v>48</v>
      </c>
      <c r="O1858">
        <v>20</v>
      </c>
      <c r="P1858">
        <v>1</v>
      </c>
      <c r="Q1858">
        <v>1</v>
      </c>
      <c r="R1858">
        <v>2026</v>
      </c>
    </row>
    <row r="1859" spans="1:18">
      <c r="A1859">
        <v>104.04</v>
      </c>
      <c r="B1859">
        <v>1</v>
      </c>
      <c r="C1859">
        <v>1858</v>
      </c>
      <c r="D1859" s="2">
        <v>0.18385258101851851</v>
      </c>
      <c r="E1859" t="s">
        <v>1427</v>
      </c>
      <c r="F1859" t="s">
        <v>1428</v>
      </c>
      <c r="G1859" t="s">
        <v>1429</v>
      </c>
      <c r="H1859" t="s">
        <v>1168</v>
      </c>
      <c r="I1859" t="s">
        <v>758</v>
      </c>
      <c r="J1859" t="s">
        <v>507</v>
      </c>
      <c r="K1859" t="s">
        <v>55</v>
      </c>
      <c r="L1859">
        <v>104.04</v>
      </c>
      <c r="M1859" s="1">
        <v>46016</v>
      </c>
      <c r="N1859" t="s">
        <v>105</v>
      </c>
      <c r="O1859">
        <v>25</v>
      </c>
      <c r="P1859">
        <v>12</v>
      </c>
      <c r="Q1859">
        <v>4</v>
      </c>
      <c r="R1859">
        <v>2025</v>
      </c>
    </row>
    <row r="1860" spans="1:18">
      <c r="A1860">
        <v>676.92</v>
      </c>
      <c r="B1860">
        <v>4</v>
      </c>
      <c r="C1860">
        <v>1859</v>
      </c>
      <c r="D1860" s="2">
        <v>0.30582912037037036</v>
      </c>
      <c r="E1860" t="s">
        <v>2963</v>
      </c>
      <c r="F1860" t="s">
        <v>2964</v>
      </c>
      <c r="G1860" t="s">
        <v>1286</v>
      </c>
      <c r="H1860" t="s">
        <v>1199</v>
      </c>
      <c r="I1860" t="s">
        <v>839</v>
      </c>
      <c r="J1860" t="s">
        <v>3427</v>
      </c>
      <c r="K1860" t="s">
        <v>39</v>
      </c>
      <c r="L1860">
        <v>169.23</v>
      </c>
      <c r="M1860" s="1">
        <v>46114</v>
      </c>
      <c r="N1860" t="s">
        <v>105</v>
      </c>
      <c r="O1860">
        <v>2</v>
      </c>
      <c r="P1860">
        <v>4</v>
      </c>
      <c r="Q1860">
        <v>2</v>
      </c>
      <c r="R1860">
        <v>2026</v>
      </c>
    </row>
    <row r="1861" spans="1:18">
      <c r="A1861">
        <v>314.68</v>
      </c>
      <c r="B1861">
        <v>2</v>
      </c>
      <c r="C1861">
        <v>1860</v>
      </c>
      <c r="D1861" s="2">
        <v>0.98361289351851855</v>
      </c>
      <c r="E1861" t="s">
        <v>1949</v>
      </c>
      <c r="F1861" t="s">
        <v>1950</v>
      </c>
      <c r="G1861" t="s">
        <v>1335</v>
      </c>
      <c r="H1861" t="s">
        <v>767</v>
      </c>
      <c r="I1861" t="s">
        <v>768</v>
      </c>
      <c r="J1861" t="s">
        <v>147</v>
      </c>
      <c r="K1861" t="s">
        <v>27</v>
      </c>
      <c r="L1861">
        <v>157.34</v>
      </c>
      <c r="M1861" s="1">
        <v>46125</v>
      </c>
      <c r="N1861" t="s">
        <v>93</v>
      </c>
      <c r="O1861">
        <v>13</v>
      </c>
      <c r="P1861">
        <v>4</v>
      </c>
      <c r="Q1861">
        <v>2</v>
      </c>
      <c r="R1861">
        <v>2026</v>
      </c>
    </row>
    <row r="1862" spans="1:18">
      <c r="A1862">
        <v>907.88</v>
      </c>
      <c r="B1862">
        <v>4</v>
      </c>
      <c r="C1862">
        <v>1861</v>
      </c>
      <c r="D1862" s="2">
        <v>0.32528134259259261</v>
      </c>
      <c r="E1862" t="s">
        <v>904</v>
      </c>
      <c r="F1862" t="s">
        <v>905</v>
      </c>
      <c r="G1862" t="s">
        <v>906</v>
      </c>
      <c r="H1862" t="s">
        <v>907</v>
      </c>
      <c r="I1862" t="s">
        <v>908</v>
      </c>
      <c r="J1862" t="s">
        <v>283</v>
      </c>
      <c r="K1862" t="s">
        <v>100</v>
      </c>
      <c r="L1862">
        <v>226.97</v>
      </c>
      <c r="M1862" s="1">
        <v>46087</v>
      </c>
      <c r="N1862" t="s">
        <v>79</v>
      </c>
      <c r="O1862">
        <v>6</v>
      </c>
      <c r="P1862">
        <v>3</v>
      </c>
      <c r="Q1862">
        <v>1</v>
      </c>
      <c r="R1862">
        <v>2026</v>
      </c>
    </row>
    <row r="1863" spans="1:18">
      <c r="A1863">
        <v>449.34000000000003</v>
      </c>
      <c r="B1863">
        <v>3</v>
      </c>
      <c r="C1863">
        <v>1862</v>
      </c>
      <c r="D1863" s="2">
        <v>0.2209723148148148</v>
      </c>
      <c r="E1863" t="s">
        <v>2662</v>
      </c>
      <c r="F1863" t="s">
        <v>2663</v>
      </c>
      <c r="G1863" t="s">
        <v>2416</v>
      </c>
      <c r="H1863" t="s">
        <v>825</v>
      </c>
      <c r="I1863" t="s">
        <v>781</v>
      </c>
      <c r="J1863" t="s">
        <v>427</v>
      </c>
      <c r="K1863" t="s">
        <v>21</v>
      </c>
      <c r="L1863">
        <v>149.78</v>
      </c>
      <c r="M1863" s="1">
        <v>45966</v>
      </c>
      <c r="N1863" t="s">
        <v>34</v>
      </c>
      <c r="O1863">
        <v>5</v>
      </c>
      <c r="P1863">
        <v>11</v>
      </c>
      <c r="Q1863">
        <v>4</v>
      </c>
      <c r="R1863">
        <v>2025</v>
      </c>
    </row>
    <row r="1864" spans="1:18">
      <c r="A1864">
        <v>947.8</v>
      </c>
      <c r="B1864">
        <v>4</v>
      </c>
      <c r="C1864">
        <v>1863</v>
      </c>
      <c r="D1864" s="2">
        <v>0.9593666666666667</v>
      </c>
      <c r="E1864" t="s">
        <v>1079</v>
      </c>
      <c r="F1864" t="s">
        <v>1080</v>
      </c>
      <c r="G1864" t="s">
        <v>1081</v>
      </c>
      <c r="H1864" t="s">
        <v>772</v>
      </c>
      <c r="I1864" t="s">
        <v>758</v>
      </c>
      <c r="J1864" t="s">
        <v>50</v>
      </c>
      <c r="K1864" t="s">
        <v>51</v>
      </c>
      <c r="L1864">
        <v>236.95</v>
      </c>
      <c r="M1864" s="1">
        <v>46251</v>
      </c>
      <c r="N1864" t="s">
        <v>93</v>
      </c>
      <c r="O1864">
        <v>17</v>
      </c>
      <c r="P1864">
        <v>8</v>
      </c>
      <c r="Q1864">
        <v>3</v>
      </c>
      <c r="R1864">
        <v>2026</v>
      </c>
    </row>
    <row r="1865" spans="1:18">
      <c r="A1865">
        <v>117.44</v>
      </c>
      <c r="B1865">
        <v>1</v>
      </c>
      <c r="C1865">
        <v>1864</v>
      </c>
      <c r="D1865" s="2">
        <v>0.66731244212962959</v>
      </c>
      <c r="E1865" t="s">
        <v>1814</v>
      </c>
      <c r="F1865" t="s">
        <v>1815</v>
      </c>
      <c r="G1865" t="s">
        <v>824</v>
      </c>
      <c r="H1865" t="s">
        <v>757</v>
      </c>
      <c r="I1865" t="s">
        <v>758</v>
      </c>
      <c r="J1865" t="s">
        <v>419</v>
      </c>
      <c r="K1865" t="s">
        <v>39</v>
      </c>
      <c r="L1865">
        <v>117.44</v>
      </c>
      <c r="M1865" s="1">
        <v>46074</v>
      </c>
      <c r="N1865" t="s">
        <v>14</v>
      </c>
      <c r="O1865">
        <v>21</v>
      </c>
      <c r="P1865">
        <v>2</v>
      </c>
      <c r="Q1865">
        <v>1</v>
      </c>
      <c r="R1865">
        <v>2026</v>
      </c>
    </row>
    <row r="1866" spans="1:18">
      <c r="A1866">
        <v>643.77</v>
      </c>
      <c r="B1866">
        <v>3</v>
      </c>
      <c r="C1866">
        <v>1865</v>
      </c>
      <c r="D1866" s="2">
        <v>0.60600212962962963</v>
      </c>
      <c r="E1866" t="s">
        <v>3017</v>
      </c>
      <c r="F1866" t="s">
        <v>3018</v>
      </c>
      <c r="G1866" t="s">
        <v>2007</v>
      </c>
      <c r="H1866" t="s">
        <v>1359</v>
      </c>
      <c r="I1866" t="s">
        <v>768</v>
      </c>
      <c r="J1866" t="s">
        <v>571</v>
      </c>
      <c r="K1866" t="s">
        <v>23</v>
      </c>
      <c r="L1866">
        <v>214.59</v>
      </c>
      <c r="M1866" s="1">
        <v>46163</v>
      </c>
      <c r="N1866" t="s">
        <v>105</v>
      </c>
      <c r="O1866">
        <v>21</v>
      </c>
      <c r="P1866">
        <v>5</v>
      </c>
      <c r="Q1866">
        <v>2</v>
      </c>
      <c r="R1866">
        <v>2026</v>
      </c>
    </row>
    <row r="1867" spans="1:18">
      <c r="A1867">
        <v>77.7</v>
      </c>
      <c r="B1867">
        <v>2</v>
      </c>
      <c r="C1867">
        <v>1866</v>
      </c>
      <c r="D1867" s="2">
        <v>0.28634052083333333</v>
      </c>
      <c r="E1867" t="s">
        <v>1163</v>
      </c>
      <c r="F1867" t="s">
        <v>1164</v>
      </c>
      <c r="G1867" t="s">
        <v>1165</v>
      </c>
      <c r="H1867" t="s">
        <v>464</v>
      </c>
      <c r="I1867" t="s">
        <v>896</v>
      </c>
      <c r="J1867" t="s">
        <v>586</v>
      </c>
      <c r="K1867" t="s">
        <v>43</v>
      </c>
      <c r="L1867">
        <v>38.85</v>
      </c>
      <c r="M1867" s="1">
        <v>46212</v>
      </c>
      <c r="N1867" t="s">
        <v>105</v>
      </c>
      <c r="O1867">
        <v>9</v>
      </c>
      <c r="P1867">
        <v>7</v>
      </c>
      <c r="Q1867">
        <v>3</v>
      </c>
      <c r="R1867">
        <v>2026</v>
      </c>
    </row>
    <row r="1868" spans="1:18">
      <c r="A1868">
        <v>82.320000000000007</v>
      </c>
      <c r="B1868">
        <v>3</v>
      </c>
      <c r="C1868">
        <v>1867</v>
      </c>
      <c r="D1868" s="2">
        <v>0.27795023148148146</v>
      </c>
      <c r="E1868" t="s">
        <v>3224</v>
      </c>
      <c r="F1868" t="s">
        <v>3225</v>
      </c>
      <c r="G1868" t="s">
        <v>1031</v>
      </c>
      <c r="H1868" t="s">
        <v>1236</v>
      </c>
      <c r="I1868" t="s">
        <v>807</v>
      </c>
      <c r="J1868" t="s">
        <v>722</v>
      </c>
      <c r="K1868" t="s">
        <v>37</v>
      </c>
      <c r="L1868">
        <v>27.44</v>
      </c>
      <c r="M1868" s="1">
        <v>46054</v>
      </c>
      <c r="N1868" t="s">
        <v>28</v>
      </c>
      <c r="O1868">
        <v>1</v>
      </c>
      <c r="P1868">
        <v>2</v>
      </c>
      <c r="Q1868">
        <v>1</v>
      </c>
      <c r="R1868">
        <v>2026</v>
      </c>
    </row>
    <row r="1869" spans="1:18">
      <c r="A1869">
        <v>154.02000000000001</v>
      </c>
      <c r="B1869">
        <v>3</v>
      </c>
      <c r="C1869">
        <v>1868</v>
      </c>
      <c r="D1869" s="2">
        <v>0.99345835648148151</v>
      </c>
      <c r="E1869" t="s">
        <v>3051</v>
      </c>
      <c r="F1869" t="s">
        <v>3052</v>
      </c>
      <c r="G1869" t="s">
        <v>1136</v>
      </c>
      <c r="H1869" t="s">
        <v>1107</v>
      </c>
      <c r="I1869" t="s">
        <v>892</v>
      </c>
      <c r="J1869" t="s">
        <v>376</v>
      </c>
      <c r="K1869" t="s">
        <v>51</v>
      </c>
      <c r="L1869">
        <v>51.34</v>
      </c>
      <c r="M1869" s="1">
        <v>45665</v>
      </c>
      <c r="N1869" t="s">
        <v>34</v>
      </c>
      <c r="O1869">
        <v>8</v>
      </c>
      <c r="P1869">
        <v>1</v>
      </c>
      <c r="Q1869">
        <v>1</v>
      </c>
      <c r="R1869">
        <v>2025</v>
      </c>
    </row>
    <row r="1870" spans="1:18">
      <c r="A1870">
        <v>73.72</v>
      </c>
      <c r="B1870">
        <v>4</v>
      </c>
      <c r="C1870">
        <v>1869</v>
      </c>
      <c r="D1870" s="2">
        <v>0.14245324074074073</v>
      </c>
      <c r="E1870" t="s">
        <v>1814</v>
      </c>
      <c r="F1870" t="s">
        <v>1815</v>
      </c>
      <c r="G1870" t="s">
        <v>824</v>
      </c>
      <c r="H1870" t="s">
        <v>757</v>
      </c>
      <c r="I1870" t="s">
        <v>758</v>
      </c>
      <c r="J1870" t="s">
        <v>1816</v>
      </c>
      <c r="K1870" t="s">
        <v>37</v>
      </c>
      <c r="L1870">
        <v>18.43</v>
      </c>
      <c r="M1870" s="1">
        <v>45571</v>
      </c>
      <c r="N1870" t="s">
        <v>28</v>
      </c>
      <c r="O1870">
        <v>6</v>
      </c>
      <c r="P1870">
        <v>10</v>
      </c>
      <c r="Q1870">
        <v>4</v>
      </c>
      <c r="R1870">
        <v>2024</v>
      </c>
    </row>
    <row r="1871" spans="1:18">
      <c r="A1871">
        <v>125.4</v>
      </c>
      <c r="B1871">
        <v>4</v>
      </c>
      <c r="C1871">
        <v>1870</v>
      </c>
      <c r="D1871" s="2">
        <v>0.33780305555555556</v>
      </c>
      <c r="E1871" t="s">
        <v>3335</v>
      </c>
      <c r="F1871" t="s">
        <v>3336</v>
      </c>
      <c r="G1871" t="s">
        <v>1146</v>
      </c>
      <c r="H1871" t="s">
        <v>838</v>
      </c>
      <c r="I1871" t="s">
        <v>839</v>
      </c>
      <c r="J1871" t="s">
        <v>557</v>
      </c>
      <c r="K1871" t="s">
        <v>46</v>
      </c>
      <c r="L1871">
        <v>31.35</v>
      </c>
      <c r="M1871" s="1">
        <v>45927</v>
      </c>
      <c r="N1871" t="s">
        <v>14</v>
      </c>
      <c r="O1871">
        <v>27</v>
      </c>
      <c r="P1871">
        <v>9</v>
      </c>
      <c r="Q1871">
        <v>3</v>
      </c>
      <c r="R1871">
        <v>2025</v>
      </c>
    </row>
    <row r="1872" spans="1:18">
      <c r="A1872">
        <v>406.38</v>
      </c>
      <c r="B1872">
        <v>3</v>
      </c>
      <c r="C1872">
        <v>1871</v>
      </c>
      <c r="D1872" s="2">
        <v>0.69567515046296291</v>
      </c>
      <c r="E1872" t="s">
        <v>944</v>
      </c>
      <c r="F1872" t="s">
        <v>945</v>
      </c>
      <c r="G1872" t="s">
        <v>946</v>
      </c>
      <c r="H1872" t="s">
        <v>199</v>
      </c>
      <c r="I1872" t="s">
        <v>781</v>
      </c>
      <c r="J1872" t="s">
        <v>503</v>
      </c>
      <c r="K1872" t="s">
        <v>43</v>
      </c>
      <c r="L1872">
        <v>135.46</v>
      </c>
      <c r="M1872" s="1">
        <v>46227</v>
      </c>
      <c r="N1872" t="s">
        <v>79</v>
      </c>
      <c r="O1872">
        <v>24</v>
      </c>
      <c r="P1872">
        <v>7</v>
      </c>
      <c r="Q1872">
        <v>3</v>
      </c>
      <c r="R1872">
        <v>2026</v>
      </c>
    </row>
    <row r="1873" spans="1:18">
      <c r="A1873">
        <v>1029.75</v>
      </c>
      <c r="B1873">
        <v>5</v>
      </c>
      <c r="C1873">
        <v>1872</v>
      </c>
      <c r="D1873" s="2">
        <v>0.51558815972222227</v>
      </c>
      <c r="E1873" t="s">
        <v>2248</v>
      </c>
      <c r="F1873" t="s">
        <v>2249</v>
      </c>
      <c r="G1873" t="s">
        <v>2250</v>
      </c>
      <c r="H1873" t="s">
        <v>513</v>
      </c>
      <c r="I1873" t="s">
        <v>748</v>
      </c>
      <c r="J1873" t="s">
        <v>705</v>
      </c>
      <c r="K1873" t="s">
        <v>60</v>
      </c>
      <c r="L1873">
        <v>205.95</v>
      </c>
      <c r="M1873" s="1">
        <v>45664</v>
      </c>
      <c r="N1873" t="s">
        <v>48</v>
      </c>
      <c r="O1873">
        <v>7</v>
      </c>
      <c r="P1873">
        <v>1</v>
      </c>
      <c r="Q1873">
        <v>1</v>
      </c>
      <c r="R1873">
        <v>2025</v>
      </c>
    </row>
    <row r="1874" spans="1:18">
      <c r="A1874">
        <v>97.52</v>
      </c>
      <c r="B1874">
        <v>2</v>
      </c>
      <c r="C1874">
        <v>1873</v>
      </c>
      <c r="D1874" s="2">
        <v>0.18760121527777779</v>
      </c>
      <c r="E1874" t="s">
        <v>1104</v>
      </c>
      <c r="F1874" t="s">
        <v>1105</v>
      </c>
      <c r="G1874" t="s">
        <v>1106</v>
      </c>
      <c r="H1874" t="s">
        <v>1107</v>
      </c>
      <c r="I1874" t="s">
        <v>892</v>
      </c>
      <c r="J1874" t="s">
        <v>567</v>
      </c>
      <c r="K1874" t="s">
        <v>100</v>
      </c>
      <c r="L1874">
        <v>48.76</v>
      </c>
      <c r="M1874" s="1">
        <v>45818</v>
      </c>
      <c r="N1874" t="s">
        <v>48</v>
      </c>
      <c r="O1874">
        <v>10</v>
      </c>
      <c r="P1874">
        <v>6</v>
      </c>
      <c r="Q1874">
        <v>2</v>
      </c>
      <c r="R1874">
        <v>2025</v>
      </c>
    </row>
    <row r="1875" spans="1:18">
      <c r="A1875">
        <v>102.62</v>
      </c>
      <c r="B1875">
        <v>1</v>
      </c>
      <c r="C1875">
        <v>1874</v>
      </c>
      <c r="D1875" s="2">
        <v>0.30053337962962962</v>
      </c>
      <c r="E1875" t="s">
        <v>3502</v>
      </c>
      <c r="F1875" t="s">
        <v>3503</v>
      </c>
      <c r="G1875" t="s">
        <v>2594</v>
      </c>
      <c r="H1875" t="s">
        <v>1342</v>
      </c>
      <c r="I1875" t="s">
        <v>776</v>
      </c>
      <c r="J1875" t="s">
        <v>348</v>
      </c>
      <c r="K1875" t="s">
        <v>60</v>
      </c>
      <c r="L1875">
        <v>102.62</v>
      </c>
      <c r="M1875" s="1">
        <v>46021</v>
      </c>
      <c r="N1875" t="s">
        <v>48</v>
      </c>
      <c r="O1875">
        <v>30</v>
      </c>
      <c r="P1875">
        <v>12</v>
      </c>
      <c r="Q1875">
        <v>4</v>
      </c>
      <c r="R1875">
        <v>2025</v>
      </c>
    </row>
    <row r="1876" spans="1:18">
      <c r="A1876">
        <v>125.4</v>
      </c>
      <c r="B1876">
        <v>4</v>
      </c>
      <c r="C1876">
        <v>1875</v>
      </c>
      <c r="D1876" s="2">
        <v>6.1885937500000002E-2</v>
      </c>
      <c r="E1876" t="s">
        <v>2504</v>
      </c>
      <c r="F1876" t="s">
        <v>2505</v>
      </c>
      <c r="G1876" t="s">
        <v>1452</v>
      </c>
      <c r="H1876" t="s">
        <v>1339</v>
      </c>
      <c r="I1876" t="s">
        <v>1247</v>
      </c>
      <c r="J1876" t="s">
        <v>557</v>
      </c>
      <c r="K1876" t="s">
        <v>46</v>
      </c>
      <c r="L1876">
        <v>31.35</v>
      </c>
      <c r="M1876" s="1">
        <v>45968</v>
      </c>
      <c r="N1876" t="s">
        <v>79</v>
      </c>
      <c r="O1876">
        <v>7</v>
      </c>
      <c r="P1876">
        <v>11</v>
      </c>
      <c r="Q1876">
        <v>4</v>
      </c>
      <c r="R1876">
        <v>2025</v>
      </c>
    </row>
    <row r="1877" spans="1:18">
      <c r="A1877">
        <v>341.14</v>
      </c>
      <c r="B1877">
        <v>2</v>
      </c>
      <c r="C1877">
        <v>1876</v>
      </c>
      <c r="D1877" s="2">
        <v>0.34189003472222224</v>
      </c>
      <c r="E1877" t="s">
        <v>1150</v>
      </c>
      <c r="F1877" t="s">
        <v>1151</v>
      </c>
      <c r="G1877" t="s">
        <v>1152</v>
      </c>
      <c r="H1877" t="s">
        <v>843</v>
      </c>
      <c r="I1877" t="s">
        <v>753</v>
      </c>
      <c r="J1877" t="s">
        <v>482</v>
      </c>
      <c r="K1877" t="s">
        <v>82</v>
      </c>
      <c r="L1877">
        <v>170.57</v>
      </c>
      <c r="M1877" s="1">
        <v>45655</v>
      </c>
      <c r="N1877" t="s">
        <v>28</v>
      </c>
      <c r="O1877">
        <v>29</v>
      </c>
      <c r="P1877">
        <v>12</v>
      </c>
      <c r="Q1877">
        <v>4</v>
      </c>
      <c r="R1877">
        <v>2024</v>
      </c>
    </row>
    <row r="1878" spans="1:18">
      <c r="A1878">
        <v>235.19</v>
      </c>
      <c r="B1878">
        <v>1</v>
      </c>
      <c r="C1878">
        <v>1877</v>
      </c>
      <c r="D1878" s="2">
        <v>9.2861342592592596E-3</v>
      </c>
      <c r="E1878" t="s">
        <v>897</v>
      </c>
      <c r="F1878" t="s">
        <v>898</v>
      </c>
      <c r="G1878" t="s">
        <v>899</v>
      </c>
      <c r="H1878" t="s">
        <v>280</v>
      </c>
      <c r="I1878" t="s">
        <v>812</v>
      </c>
      <c r="J1878" t="s">
        <v>396</v>
      </c>
      <c r="K1878" t="s">
        <v>122</v>
      </c>
      <c r="L1878">
        <v>235.19</v>
      </c>
      <c r="M1878" s="1">
        <v>45648</v>
      </c>
      <c r="N1878" t="s">
        <v>28</v>
      </c>
      <c r="O1878">
        <v>22</v>
      </c>
      <c r="P1878">
        <v>12</v>
      </c>
      <c r="Q1878">
        <v>4</v>
      </c>
      <c r="R1878">
        <v>2024</v>
      </c>
    </row>
    <row r="1879" spans="1:18">
      <c r="A1879">
        <v>205.24</v>
      </c>
      <c r="B1879">
        <v>2</v>
      </c>
      <c r="C1879">
        <v>1878</v>
      </c>
      <c r="D1879" s="2">
        <v>0.58319746527777783</v>
      </c>
      <c r="E1879" t="s">
        <v>1794</v>
      </c>
      <c r="F1879" t="s">
        <v>1795</v>
      </c>
      <c r="G1879" t="s">
        <v>1016</v>
      </c>
      <c r="H1879" t="s">
        <v>762</v>
      </c>
      <c r="I1879" t="s">
        <v>763</v>
      </c>
      <c r="J1879" t="s">
        <v>348</v>
      </c>
      <c r="K1879" t="s">
        <v>60</v>
      </c>
      <c r="L1879">
        <v>102.62</v>
      </c>
      <c r="M1879" s="1">
        <v>45775</v>
      </c>
      <c r="N1879" t="s">
        <v>93</v>
      </c>
      <c r="O1879">
        <v>28</v>
      </c>
      <c r="P1879">
        <v>4</v>
      </c>
      <c r="Q1879">
        <v>2</v>
      </c>
      <c r="R1879">
        <v>2025</v>
      </c>
    </row>
    <row r="1880" spans="1:18">
      <c r="A1880">
        <v>82.48</v>
      </c>
      <c r="B1880">
        <v>4</v>
      </c>
      <c r="C1880">
        <v>1879</v>
      </c>
      <c r="D1880" s="2">
        <v>0.21154482638888888</v>
      </c>
      <c r="E1880" t="s">
        <v>2591</v>
      </c>
      <c r="F1880" t="s">
        <v>2592</v>
      </c>
      <c r="G1880" t="s">
        <v>875</v>
      </c>
      <c r="H1880" t="s">
        <v>985</v>
      </c>
      <c r="I1880" t="s">
        <v>817</v>
      </c>
      <c r="J1880" t="s">
        <v>96</v>
      </c>
      <c r="K1880" t="s">
        <v>97</v>
      </c>
      <c r="L1880">
        <v>20.62</v>
      </c>
      <c r="M1880" s="1">
        <v>45653</v>
      </c>
      <c r="N1880" t="s">
        <v>79</v>
      </c>
      <c r="O1880">
        <v>27</v>
      </c>
      <c r="P1880">
        <v>12</v>
      </c>
      <c r="Q1880">
        <v>4</v>
      </c>
      <c r="R1880">
        <v>2024</v>
      </c>
    </row>
    <row r="1881" spans="1:18">
      <c r="A1881">
        <v>162.87</v>
      </c>
      <c r="B1881">
        <v>1</v>
      </c>
      <c r="C1881">
        <v>1880</v>
      </c>
      <c r="D1881" s="2">
        <v>0.89297156249999998</v>
      </c>
      <c r="E1881" t="s">
        <v>1780</v>
      </c>
      <c r="F1881" t="s">
        <v>1781</v>
      </c>
      <c r="G1881" t="s">
        <v>1709</v>
      </c>
      <c r="H1881" t="s">
        <v>1054</v>
      </c>
      <c r="I1881" t="s">
        <v>892</v>
      </c>
      <c r="J1881" t="s">
        <v>236</v>
      </c>
      <c r="K1881" t="s">
        <v>60</v>
      </c>
      <c r="L1881">
        <v>162.87</v>
      </c>
      <c r="M1881" s="1">
        <v>45584</v>
      </c>
      <c r="N1881" t="s">
        <v>14</v>
      </c>
      <c r="O1881">
        <v>19</v>
      </c>
      <c r="P1881">
        <v>10</v>
      </c>
      <c r="Q1881">
        <v>4</v>
      </c>
      <c r="R1881">
        <v>2024</v>
      </c>
    </row>
    <row r="1882" spans="1:18">
      <c r="A1882">
        <v>81.8</v>
      </c>
      <c r="B1882">
        <v>5</v>
      </c>
      <c r="C1882">
        <v>1881</v>
      </c>
      <c r="D1882" s="2">
        <v>0.72682374999999999</v>
      </c>
      <c r="E1882" t="s">
        <v>1101</v>
      </c>
      <c r="F1882" t="s">
        <v>1102</v>
      </c>
      <c r="G1882" t="s">
        <v>1103</v>
      </c>
      <c r="H1882" t="s">
        <v>825</v>
      </c>
      <c r="I1882" t="s">
        <v>781</v>
      </c>
      <c r="J1882" t="s">
        <v>1183</v>
      </c>
      <c r="K1882" t="s">
        <v>100</v>
      </c>
      <c r="L1882">
        <v>16.36</v>
      </c>
      <c r="M1882" s="1">
        <v>45938</v>
      </c>
      <c r="N1882" t="s">
        <v>34</v>
      </c>
      <c r="O1882">
        <v>8</v>
      </c>
      <c r="P1882">
        <v>10</v>
      </c>
      <c r="Q1882">
        <v>4</v>
      </c>
      <c r="R1882">
        <v>2025</v>
      </c>
    </row>
    <row r="1883" spans="1:18">
      <c r="A1883">
        <v>527.48</v>
      </c>
      <c r="B1883">
        <v>4</v>
      </c>
      <c r="C1883">
        <v>1882</v>
      </c>
      <c r="D1883" s="2">
        <v>0.31448725694444446</v>
      </c>
      <c r="E1883" t="s">
        <v>1608</v>
      </c>
      <c r="F1883" t="s">
        <v>1609</v>
      </c>
      <c r="G1883" t="s">
        <v>998</v>
      </c>
      <c r="H1883" t="s">
        <v>1502</v>
      </c>
      <c r="I1883" t="s">
        <v>817</v>
      </c>
      <c r="J1883" t="s">
        <v>165</v>
      </c>
      <c r="K1883" t="s">
        <v>69</v>
      </c>
      <c r="L1883">
        <v>131.87</v>
      </c>
      <c r="M1883" s="1">
        <v>46067</v>
      </c>
      <c r="N1883" t="s">
        <v>14</v>
      </c>
      <c r="O1883">
        <v>14</v>
      </c>
      <c r="P1883">
        <v>2</v>
      </c>
      <c r="Q1883">
        <v>1</v>
      </c>
      <c r="R1883">
        <v>2026</v>
      </c>
    </row>
    <row r="1884" spans="1:18">
      <c r="A1884">
        <v>626.73</v>
      </c>
      <c r="B1884">
        <v>3</v>
      </c>
      <c r="C1884">
        <v>1883</v>
      </c>
      <c r="D1884" s="2">
        <v>0.48348510416666668</v>
      </c>
      <c r="E1884" t="s">
        <v>3207</v>
      </c>
      <c r="F1884" t="s">
        <v>3208</v>
      </c>
      <c r="G1884" t="s">
        <v>1577</v>
      </c>
      <c r="H1884" t="s">
        <v>1502</v>
      </c>
      <c r="I1884" t="s">
        <v>817</v>
      </c>
      <c r="J1884" t="s">
        <v>723</v>
      </c>
      <c r="K1884" t="s">
        <v>46</v>
      </c>
      <c r="L1884">
        <v>208.91</v>
      </c>
      <c r="M1884" s="1">
        <v>45626</v>
      </c>
      <c r="N1884" t="s">
        <v>14</v>
      </c>
      <c r="O1884">
        <v>30</v>
      </c>
      <c r="P1884">
        <v>11</v>
      </c>
      <c r="Q1884">
        <v>4</v>
      </c>
      <c r="R1884">
        <v>2024</v>
      </c>
    </row>
    <row r="1885" spans="1:18">
      <c r="A1885">
        <v>121.82</v>
      </c>
      <c r="B1885">
        <v>2</v>
      </c>
      <c r="C1885">
        <v>1884</v>
      </c>
      <c r="D1885" s="2">
        <v>0.97877363425925923</v>
      </c>
      <c r="E1885" t="s">
        <v>2389</v>
      </c>
      <c r="F1885" t="s">
        <v>2390</v>
      </c>
      <c r="G1885" t="s">
        <v>1925</v>
      </c>
      <c r="H1885" t="s">
        <v>816</v>
      </c>
      <c r="I1885" t="s">
        <v>817</v>
      </c>
      <c r="J1885" t="s">
        <v>550</v>
      </c>
      <c r="K1885" t="s">
        <v>55</v>
      </c>
      <c r="L1885">
        <v>60.91</v>
      </c>
      <c r="M1885" s="1">
        <v>45721</v>
      </c>
      <c r="N1885" t="s">
        <v>34</v>
      </c>
      <c r="O1885">
        <v>5</v>
      </c>
      <c r="P1885">
        <v>3</v>
      </c>
      <c r="Q1885">
        <v>1</v>
      </c>
      <c r="R1885">
        <v>2025</v>
      </c>
    </row>
    <row r="1886" spans="1:18">
      <c r="A1886">
        <v>864.44999999999993</v>
      </c>
      <c r="B1886">
        <v>5</v>
      </c>
      <c r="C1886">
        <v>1885</v>
      </c>
      <c r="D1886" s="2">
        <v>0.18525982638888888</v>
      </c>
      <c r="E1886" t="s">
        <v>2658</v>
      </c>
      <c r="F1886" t="s">
        <v>2659</v>
      </c>
      <c r="G1886" t="s">
        <v>1906</v>
      </c>
      <c r="H1886" t="s">
        <v>211</v>
      </c>
      <c r="I1886" t="s">
        <v>812</v>
      </c>
      <c r="J1886" t="s">
        <v>2166</v>
      </c>
      <c r="K1886" t="s">
        <v>21</v>
      </c>
      <c r="L1886">
        <v>172.89</v>
      </c>
      <c r="M1886" s="1">
        <v>45807</v>
      </c>
      <c r="N1886" t="s">
        <v>79</v>
      </c>
      <c r="O1886">
        <v>30</v>
      </c>
      <c r="P1886">
        <v>5</v>
      </c>
      <c r="Q1886">
        <v>2</v>
      </c>
      <c r="R1886">
        <v>2025</v>
      </c>
    </row>
    <row r="1887" spans="1:18">
      <c r="A1887">
        <v>445.82</v>
      </c>
      <c r="B1887">
        <v>2</v>
      </c>
      <c r="C1887">
        <v>1886</v>
      </c>
      <c r="D1887" s="2">
        <v>0.50181368055555553</v>
      </c>
      <c r="E1887" t="s">
        <v>1503</v>
      </c>
      <c r="F1887" t="s">
        <v>1504</v>
      </c>
      <c r="G1887" t="s">
        <v>1505</v>
      </c>
      <c r="H1887" t="s">
        <v>929</v>
      </c>
      <c r="I1887" t="s">
        <v>830</v>
      </c>
      <c r="J1887" t="s">
        <v>438</v>
      </c>
      <c r="K1887" t="s">
        <v>51</v>
      </c>
      <c r="L1887">
        <v>222.91</v>
      </c>
      <c r="M1887" s="1">
        <v>45592</v>
      </c>
      <c r="N1887" t="s">
        <v>28</v>
      </c>
      <c r="O1887">
        <v>27</v>
      </c>
      <c r="P1887">
        <v>10</v>
      </c>
      <c r="Q1887">
        <v>4</v>
      </c>
      <c r="R1887">
        <v>2024</v>
      </c>
    </row>
    <row r="1888" spans="1:18">
      <c r="A1888">
        <v>676.16</v>
      </c>
      <c r="B1888">
        <v>4</v>
      </c>
      <c r="C1888">
        <v>1887</v>
      </c>
      <c r="D1888" s="2">
        <v>0.41745582175925927</v>
      </c>
      <c r="E1888" t="s">
        <v>2579</v>
      </c>
      <c r="F1888" t="s">
        <v>2580</v>
      </c>
      <c r="G1888" t="s">
        <v>2581</v>
      </c>
      <c r="H1888" t="s">
        <v>562</v>
      </c>
      <c r="I1888" t="s">
        <v>753</v>
      </c>
      <c r="J1888" t="s">
        <v>443</v>
      </c>
      <c r="K1888" t="s">
        <v>55</v>
      </c>
      <c r="L1888">
        <v>169.04</v>
      </c>
      <c r="M1888" s="1">
        <v>45965</v>
      </c>
      <c r="N1888" t="s">
        <v>48</v>
      </c>
      <c r="O1888">
        <v>4</v>
      </c>
      <c r="P1888">
        <v>11</v>
      </c>
      <c r="Q1888">
        <v>4</v>
      </c>
      <c r="R1888">
        <v>2025</v>
      </c>
    </row>
    <row r="1889" spans="1:18">
      <c r="A1889">
        <v>102.34</v>
      </c>
      <c r="B1889">
        <v>1</v>
      </c>
      <c r="C1889">
        <v>1888</v>
      </c>
      <c r="D1889" s="2">
        <v>0.56537862268518524</v>
      </c>
      <c r="E1889" t="s">
        <v>3462</v>
      </c>
      <c r="F1889" t="s">
        <v>3463</v>
      </c>
      <c r="G1889" t="s">
        <v>1136</v>
      </c>
      <c r="H1889" t="s">
        <v>199</v>
      </c>
      <c r="I1889" t="s">
        <v>781</v>
      </c>
      <c r="J1889" t="s">
        <v>538</v>
      </c>
      <c r="K1889" t="s">
        <v>43</v>
      </c>
      <c r="L1889">
        <v>102.34</v>
      </c>
      <c r="M1889" s="1">
        <v>45932</v>
      </c>
      <c r="N1889" t="s">
        <v>105</v>
      </c>
      <c r="O1889">
        <v>2</v>
      </c>
      <c r="P1889">
        <v>10</v>
      </c>
      <c r="Q1889">
        <v>4</v>
      </c>
      <c r="R1889">
        <v>2025</v>
      </c>
    </row>
    <row r="1890" spans="1:18">
      <c r="A1890">
        <v>422.3</v>
      </c>
      <c r="B1890">
        <v>2</v>
      </c>
      <c r="C1890">
        <v>1889</v>
      </c>
      <c r="D1890" s="2">
        <v>0.48877339120370372</v>
      </c>
      <c r="E1890" t="s">
        <v>1832</v>
      </c>
      <c r="F1890" t="s">
        <v>1833</v>
      </c>
      <c r="G1890" t="s">
        <v>1358</v>
      </c>
      <c r="H1890" t="s">
        <v>825</v>
      </c>
      <c r="I1890" t="s">
        <v>781</v>
      </c>
      <c r="J1890" t="s">
        <v>221</v>
      </c>
      <c r="K1890" t="s">
        <v>60</v>
      </c>
      <c r="L1890">
        <v>211.15</v>
      </c>
      <c r="M1890" s="1">
        <v>46166</v>
      </c>
      <c r="N1890" t="s">
        <v>28</v>
      </c>
      <c r="O1890">
        <v>24</v>
      </c>
      <c r="P1890">
        <v>5</v>
      </c>
      <c r="Q1890">
        <v>2</v>
      </c>
      <c r="R1890">
        <v>2026</v>
      </c>
    </row>
    <row r="1891" spans="1:18">
      <c r="A1891">
        <v>426.32</v>
      </c>
      <c r="B1891">
        <v>4</v>
      </c>
      <c r="C1891">
        <v>1890</v>
      </c>
      <c r="D1891" s="2">
        <v>4.2167685185185183E-2</v>
      </c>
      <c r="E1891" t="s">
        <v>1769</v>
      </c>
      <c r="F1891" t="s">
        <v>1770</v>
      </c>
      <c r="G1891" t="s">
        <v>1771</v>
      </c>
      <c r="H1891" t="s">
        <v>915</v>
      </c>
      <c r="I1891" t="s">
        <v>768</v>
      </c>
      <c r="J1891" t="s">
        <v>670</v>
      </c>
      <c r="K1891" t="s">
        <v>57</v>
      </c>
      <c r="L1891">
        <v>106.58</v>
      </c>
      <c r="M1891" s="1">
        <v>46114</v>
      </c>
      <c r="N1891" t="s">
        <v>105</v>
      </c>
      <c r="O1891">
        <v>2</v>
      </c>
      <c r="P1891">
        <v>4</v>
      </c>
      <c r="Q1891">
        <v>2</v>
      </c>
      <c r="R1891">
        <v>2026</v>
      </c>
    </row>
    <row r="1892" spans="1:18">
      <c r="A1892">
        <v>70.22</v>
      </c>
      <c r="B1892">
        <v>2</v>
      </c>
      <c r="C1892">
        <v>1891</v>
      </c>
      <c r="D1892" s="2">
        <v>0.5095659027777778</v>
      </c>
      <c r="E1892" t="s">
        <v>2869</v>
      </c>
      <c r="F1892" t="s">
        <v>2870</v>
      </c>
      <c r="G1892" t="s">
        <v>1616</v>
      </c>
      <c r="H1892" t="s">
        <v>64</v>
      </c>
      <c r="I1892" t="s">
        <v>892</v>
      </c>
      <c r="J1892" t="s">
        <v>400</v>
      </c>
      <c r="K1892" t="s">
        <v>57</v>
      </c>
      <c r="L1892">
        <v>35.11</v>
      </c>
      <c r="M1892" s="1">
        <v>45966</v>
      </c>
      <c r="N1892" t="s">
        <v>34</v>
      </c>
      <c r="O1892">
        <v>5</v>
      </c>
      <c r="P1892">
        <v>11</v>
      </c>
      <c r="Q1892">
        <v>4</v>
      </c>
      <c r="R1892">
        <v>2025</v>
      </c>
    </row>
    <row r="1893" spans="1:18">
      <c r="A1893">
        <v>643.08000000000004</v>
      </c>
      <c r="B1893">
        <v>4</v>
      </c>
      <c r="C1893">
        <v>1892</v>
      </c>
      <c r="D1893" s="2">
        <v>0.62736728009259257</v>
      </c>
      <c r="E1893" t="s">
        <v>2941</v>
      </c>
      <c r="F1893" t="s">
        <v>2942</v>
      </c>
      <c r="G1893" t="s">
        <v>2566</v>
      </c>
      <c r="H1893" t="s">
        <v>1415</v>
      </c>
      <c r="I1893" t="s">
        <v>812</v>
      </c>
      <c r="J1893" t="s">
        <v>44</v>
      </c>
      <c r="K1893" t="s">
        <v>31</v>
      </c>
      <c r="L1893">
        <v>160.77000000000001</v>
      </c>
      <c r="M1893" s="1">
        <v>45778</v>
      </c>
      <c r="N1893" t="s">
        <v>105</v>
      </c>
      <c r="O1893">
        <v>1</v>
      </c>
      <c r="P1893">
        <v>5</v>
      </c>
      <c r="Q1893">
        <v>2</v>
      </c>
      <c r="R1893">
        <v>2025</v>
      </c>
    </row>
    <row r="1894" spans="1:18">
      <c r="A1894">
        <v>716.91</v>
      </c>
      <c r="B1894">
        <v>3</v>
      </c>
      <c r="C1894">
        <v>1893</v>
      </c>
      <c r="D1894" s="2">
        <v>0.34356679398148149</v>
      </c>
      <c r="E1894" t="s">
        <v>1141</v>
      </c>
      <c r="F1894" t="s">
        <v>1142</v>
      </c>
      <c r="G1894" t="s">
        <v>1143</v>
      </c>
      <c r="H1894" t="s">
        <v>862</v>
      </c>
      <c r="I1894" t="s">
        <v>908</v>
      </c>
      <c r="J1894" t="s">
        <v>180</v>
      </c>
      <c r="K1894" t="s">
        <v>55</v>
      </c>
      <c r="L1894">
        <v>238.97</v>
      </c>
      <c r="M1894" s="1">
        <v>46024</v>
      </c>
      <c r="N1894" t="s">
        <v>79</v>
      </c>
      <c r="O1894">
        <v>2</v>
      </c>
      <c r="P1894">
        <v>1</v>
      </c>
      <c r="Q1894">
        <v>1</v>
      </c>
      <c r="R1894">
        <v>2026</v>
      </c>
    </row>
    <row r="1895" spans="1:18">
      <c r="A1895">
        <v>385.24</v>
      </c>
      <c r="B1895">
        <v>4</v>
      </c>
      <c r="C1895">
        <v>1894</v>
      </c>
      <c r="D1895" s="2">
        <v>0.49279070601851854</v>
      </c>
      <c r="E1895" t="s">
        <v>1287</v>
      </c>
      <c r="F1895" t="s">
        <v>1288</v>
      </c>
      <c r="G1895" t="s">
        <v>1050</v>
      </c>
      <c r="H1895" t="s">
        <v>64</v>
      </c>
      <c r="I1895" t="s">
        <v>892</v>
      </c>
      <c r="J1895" t="s">
        <v>237</v>
      </c>
      <c r="K1895" t="s">
        <v>27</v>
      </c>
      <c r="L1895">
        <v>96.31</v>
      </c>
      <c r="M1895" s="1">
        <v>46019</v>
      </c>
      <c r="N1895" t="s">
        <v>28</v>
      </c>
      <c r="O1895">
        <v>28</v>
      </c>
      <c r="P1895">
        <v>12</v>
      </c>
      <c r="Q1895">
        <v>4</v>
      </c>
      <c r="R1895">
        <v>2025</v>
      </c>
    </row>
    <row r="1896" spans="1:18">
      <c r="A1896">
        <v>1.22</v>
      </c>
      <c r="B1896">
        <v>1</v>
      </c>
      <c r="C1896">
        <v>1895</v>
      </c>
      <c r="D1896" s="2">
        <v>0.16276372685185186</v>
      </c>
      <c r="E1896" t="s">
        <v>2821</v>
      </c>
      <c r="F1896" t="s">
        <v>2822</v>
      </c>
      <c r="G1896" t="s">
        <v>2823</v>
      </c>
      <c r="H1896" t="s">
        <v>136</v>
      </c>
      <c r="I1896" t="s">
        <v>954</v>
      </c>
      <c r="J1896" t="s">
        <v>242</v>
      </c>
      <c r="K1896" t="s">
        <v>19</v>
      </c>
      <c r="L1896">
        <v>1.22</v>
      </c>
      <c r="M1896" s="1">
        <v>45897</v>
      </c>
      <c r="N1896" t="s">
        <v>105</v>
      </c>
      <c r="O1896">
        <v>28</v>
      </c>
      <c r="P1896">
        <v>8</v>
      </c>
      <c r="Q1896">
        <v>3</v>
      </c>
      <c r="R1896">
        <v>2025</v>
      </c>
    </row>
    <row r="1897" spans="1:18">
      <c r="A1897">
        <v>402.06</v>
      </c>
      <c r="B1897">
        <v>2</v>
      </c>
      <c r="C1897">
        <v>1896</v>
      </c>
      <c r="D1897" s="2">
        <v>0.29395708333333331</v>
      </c>
      <c r="E1897" t="s">
        <v>1966</v>
      </c>
      <c r="F1897" t="s">
        <v>1967</v>
      </c>
      <c r="G1897" t="s">
        <v>1968</v>
      </c>
      <c r="H1897" t="s">
        <v>1421</v>
      </c>
      <c r="I1897" t="s">
        <v>776</v>
      </c>
      <c r="J1897" t="s">
        <v>314</v>
      </c>
      <c r="K1897" t="s">
        <v>100</v>
      </c>
      <c r="L1897">
        <v>201.03</v>
      </c>
      <c r="M1897" s="1">
        <v>45958</v>
      </c>
      <c r="N1897" t="s">
        <v>48</v>
      </c>
      <c r="O1897">
        <v>28</v>
      </c>
      <c r="P1897">
        <v>10</v>
      </c>
      <c r="Q1897">
        <v>4</v>
      </c>
      <c r="R1897">
        <v>2025</v>
      </c>
    </row>
    <row r="1898" spans="1:18">
      <c r="A1898">
        <v>818.2</v>
      </c>
      <c r="B1898">
        <v>4</v>
      </c>
      <c r="C1898">
        <v>1897</v>
      </c>
      <c r="D1898" s="2">
        <v>2.5198148148148147E-2</v>
      </c>
      <c r="E1898" t="s">
        <v>2151</v>
      </c>
      <c r="F1898" t="s">
        <v>2152</v>
      </c>
      <c r="G1898" t="s">
        <v>2153</v>
      </c>
      <c r="H1898" t="s">
        <v>2154</v>
      </c>
      <c r="I1898" t="s">
        <v>1003</v>
      </c>
      <c r="J1898" t="s">
        <v>323</v>
      </c>
      <c r="K1898" t="s">
        <v>100</v>
      </c>
      <c r="L1898">
        <v>204.55</v>
      </c>
      <c r="M1898" s="1">
        <v>46260</v>
      </c>
      <c r="N1898" t="s">
        <v>34</v>
      </c>
      <c r="O1898">
        <v>26</v>
      </c>
      <c r="P1898">
        <v>8</v>
      </c>
      <c r="Q1898">
        <v>3</v>
      </c>
      <c r="R1898">
        <v>2026</v>
      </c>
    </row>
    <row r="1899" spans="1:18">
      <c r="A1899">
        <v>622.08000000000004</v>
      </c>
      <c r="B1899">
        <v>4</v>
      </c>
      <c r="C1899">
        <v>1898</v>
      </c>
      <c r="D1899" s="2">
        <v>0.95693223379629633</v>
      </c>
      <c r="E1899" t="s">
        <v>1726</v>
      </c>
      <c r="F1899" t="s">
        <v>1727</v>
      </c>
      <c r="G1899" t="s">
        <v>1106</v>
      </c>
      <c r="H1899" t="s">
        <v>414</v>
      </c>
      <c r="I1899" t="s">
        <v>795</v>
      </c>
      <c r="J1899" t="s">
        <v>473</v>
      </c>
      <c r="K1899" t="s">
        <v>23</v>
      </c>
      <c r="L1899">
        <v>155.52000000000001</v>
      </c>
      <c r="M1899" s="1">
        <v>45586</v>
      </c>
      <c r="N1899" t="s">
        <v>93</v>
      </c>
      <c r="O1899">
        <v>21</v>
      </c>
      <c r="P1899">
        <v>10</v>
      </c>
      <c r="Q1899">
        <v>4</v>
      </c>
      <c r="R1899">
        <v>2024</v>
      </c>
    </row>
    <row r="1900" spans="1:18">
      <c r="A1900">
        <v>890.04</v>
      </c>
      <c r="B1900">
        <v>4</v>
      </c>
      <c r="C1900">
        <v>1899</v>
      </c>
      <c r="D1900" s="2">
        <v>0.88481187500000003</v>
      </c>
      <c r="E1900" t="s">
        <v>1526</v>
      </c>
      <c r="F1900" t="s">
        <v>1527</v>
      </c>
      <c r="G1900" t="s">
        <v>1031</v>
      </c>
      <c r="H1900" t="s">
        <v>1092</v>
      </c>
      <c r="I1900" t="s">
        <v>763</v>
      </c>
      <c r="J1900" t="s">
        <v>142</v>
      </c>
      <c r="K1900" t="s">
        <v>60</v>
      </c>
      <c r="L1900">
        <v>222.51</v>
      </c>
      <c r="M1900" s="1">
        <v>45555</v>
      </c>
      <c r="N1900" t="s">
        <v>79</v>
      </c>
      <c r="O1900">
        <v>20</v>
      </c>
      <c r="P1900">
        <v>9</v>
      </c>
      <c r="Q1900">
        <v>3</v>
      </c>
      <c r="R1900">
        <v>2024</v>
      </c>
    </row>
    <row r="1901" spans="1:18">
      <c r="A1901">
        <v>602.13</v>
      </c>
      <c r="B1901">
        <v>3</v>
      </c>
      <c r="C1901">
        <v>1900</v>
      </c>
      <c r="D1901" s="2">
        <v>0.23787414351851852</v>
      </c>
      <c r="E1901" t="s">
        <v>2149</v>
      </c>
      <c r="F1901" t="s">
        <v>2150</v>
      </c>
      <c r="G1901" t="s">
        <v>1645</v>
      </c>
      <c r="H1901" t="s">
        <v>64</v>
      </c>
      <c r="I1901" t="s">
        <v>892</v>
      </c>
      <c r="J1901" t="s">
        <v>298</v>
      </c>
      <c r="K1901" t="s">
        <v>31</v>
      </c>
      <c r="L1901">
        <v>200.71</v>
      </c>
      <c r="M1901" s="1">
        <v>46188</v>
      </c>
      <c r="N1901" t="s">
        <v>93</v>
      </c>
      <c r="O1901">
        <v>15</v>
      </c>
      <c r="P1901">
        <v>6</v>
      </c>
      <c r="Q1901">
        <v>2</v>
      </c>
      <c r="R1901">
        <v>2026</v>
      </c>
    </row>
    <row r="1902" spans="1:18">
      <c r="A1902">
        <v>134.9</v>
      </c>
      <c r="B1902">
        <v>5</v>
      </c>
      <c r="C1902">
        <v>1901</v>
      </c>
      <c r="D1902" s="2">
        <v>0.28189479166666664</v>
      </c>
      <c r="E1902" t="s">
        <v>1375</v>
      </c>
      <c r="F1902" t="s">
        <v>1376</v>
      </c>
      <c r="G1902" t="s">
        <v>1377</v>
      </c>
      <c r="H1902" t="s">
        <v>1061</v>
      </c>
      <c r="I1902" t="s">
        <v>834</v>
      </c>
      <c r="J1902" t="s">
        <v>458</v>
      </c>
      <c r="K1902" t="s">
        <v>37</v>
      </c>
      <c r="L1902">
        <v>26.98</v>
      </c>
      <c r="M1902" s="1">
        <v>46118</v>
      </c>
      <c r="N1902" t="s">
        <v>93</v>
      </c>
      <c r="O1902">
        <v>6</v>
      </c>
      <c r="P1902">
        <v>4</v>
      </c>
      <c r="Q1902">
        <v>2</v>
      </c>
      <c r="R1902">
        <v>2026</v>
      </c>
    </row>
    <row r="1903" spans="1:18">
      <c r="A1903">
        <v>465.68</v>
      </c>
      <c r="B1903">
        <v>4</v>
      </c>
      <c r="C1903">
        <v>1902</v>
      </c>
      <c r="D1903" s="2">
        <v>0.26245825231481479</v>
      </c>
      <c r="E1903" t="s">
        <v>2410</v>
      </c>
      <c r="F1903" t="s">
        <v>2411</v>
      </c>
      <c r="G1903" t="s">
        <v>1997</v>
      </c>
      <c r="H1903" t="s">
        <v>919</v>
      </c>
      <c r="I1903" t="s">
        <v>786</v>
      </c>
      <c r="J1903" t="s">
        <v>91</v>
      </c>
      <c r="K1903" t="s">
        <v>55</v>
      </c>
      <c r="L1903">
        <v>116.42</v>
      </c>
      <c r="M1903" s="1">
        <v>45745</v>
      </c>
      <c r="N1903" t="s">
        <v>14</v>
      </c>
      <c r="O1903">
        <v>29</v>
      </c>
      <c r="P1903">
        <v>3</v>
      </c>
      <c r="Q1903">
        <v>1</v>
      </c>
      <c r="R1903">
        <v>2025</v>
      </c>
    </row>
    <row r="1904" spans="1:18">
      <c r="A1904">
        <v>612.75</v>
      </c>
      <c r="B1904">
        <v>3</v>
      </c>
      <c r="C1904">
        <v>1903</v>
      </c>
      <c r="D1904" s="2">
        <v>0.94470137731481485</v>
      </c>
      <c r="E1904" t="s">
        <v>1958</v>
      </c>
      <c r="F1904" t="s">
        <v>1959</v>
      </c>
      <c r="G1904" t="s">
        <v>1437</v>
      </c>
      <c r="H1904" t="s">
        <v>196</v>
      </c>
      <c r="I1904" t="s">
        <v>1247</v>
      </c>
      <c r="J1904" t="s">
        <v>341</v>
      </c>
      <c r="K1904" t="s">
        <v>21</v>
      </c>
      <c r="L1904">
        <v>204.25</v>
      </c>
      <c r="M1904" s="1">
        <v>45874</v>
      </c>
      <c r="N1904" t="s">
        <v>48</v>
      </c>
      <c r="O1904">
        <v>5</v>
      </c>
      <c r="P1904">
        <v>8</v>
      </c>
      <c r="Q1904">
        <v>3</v>
      </c>
      <c r="R1904">
        <v>2025</v>
      </c>
    </row>
    <row r="1905" spans="1:18">
      <c r="A1905">
        <v>61.86</v>
      </c>
      <c r="B1905">
        <v>3</v>
      </c>
      <c r="C1905">
        <v>1904</v>
      </c>
      <c r="D1905" s="2">
        <v>0.55746350694444446</v>
      </c>
      <c r="E1905" t="s">
        <v>2414</v>
      </c>
      <c r="F1905" t="s">
        <v>2415</v>
      </c>
      <c r="G1905" t="s">
        <v>2416</v>
      </c>
      <c r="H1905" t="s">
        <v>666</v>
      </c>
      <c r="I1905" t="s">
        <v>954</v>
      </c>
      <c r="J1905" t="s">
        <v>96</v>
      </c>
      <c r="K1905" t="s">
        <v>97</v>
      </c>
      <c r="L1905">
        <v>20.62</v>
      </c>
      <c r="M1905" s="1">
        <v>46126</v>
      </c>
      <c r="N1905" t="s">
        <v>48</v>
      </c>
      <c r="O1905">
        <v>14</v>
      </c>
      <c r="P1905">
        <v>4</v>
      </c>
      <c r="Q1905">
        <v>2</v>
      </c>
      <c r="R1905">
        <v>2026</v>
      </c>
    </row>
    <row r="1906" spans="1:18">
      <c r="A1906">
        <v>90.07</v>
      </c>
      <c r="B1906">
        <v>1</v>
      </c>
      <c r="C1906">
        <v>1905</v>
      </c>
      <c r="D1906" s="2">
        <v>0.65066945601851855</v>
      </c>
      <c r="E1906" t="s">
        <v>1448</v>
      </c>
      <c r="F1906" t="s">
        <v>1449</v>
      </c>
      <c r="G1906" t="s">
        <v>1050</v>
      </c>
      <c r="H1906" t="s">
        <v>806</v>
      </c>
      <c r="I1906" t="s">
        <v>807</v>
      </c>
      <c r="J1906" t="s">
        <v>707</v>
      </c>
      <c r="K1906" t="s">
        <v>23</v>
      </c>
      <c r="L1906">
        <v>90.07</v>
      </c>
      <c r="M1906" s="1">
        <v>45674</v>
      </c>
      <c r="N1906" t="s">
        <v>79</v>
      </c>
      <c r="O1906">
        <v>17</v>
      </c>
      <c r="P1906">
        <v>1</v>
      </c>
      <c r="Q1906">
        <v>1</v>
      </c>
      <c r="R1906">
        <v>2025</v>
      </c>
    </row>
    <row r="1907" spans="1:18">
      <c r="A1907">
        <v>1221.5999999999999</v>
      </c>
      <c r="B1907">
        <v>5</v>
      </c>
      <c r="C1907">
        <v>1906</v>
      </c>
      <c r="D1907" s="2">
        <v>0.27318165509259257</v>
      </c>
      <c r="E1907" t="s">
        <v>3359</v>
      </c>
      <c r="F1907" t="s">
        <v>3360</v>
      </c>
      <c r="G1907" t="s">
        <v>2643</v>
      </c>
      <c r="H1907" t="s">
        <v>106</v>
      </c>
      <c r="I1907" t="s">
        <v>790</v>
      </c>
      <c r="J1907" t="s">
        <v>613</v>
      </c>
      <c r="K1907" t="s">
        <v>21</v>
      </c>
      <c r="L1907">
        <v>244.32</v>
      </c>
      <c r="M1907" s="1">
        <v>46046</v>
      </c>
      <c r="N1907" t="s">
        <v>14</v>
      </c>
      <c r="O1907">
        <v>24</v>
      </c>
      <c r="P1907">
        <v>1</v>
      </c>
      <c r="Q1907">
        <v>1</v>
      </c>
      <c r="R1907">
        <v>2026</v>
      </c>
    </row>
    <row r="1908" spans="1:18">
      <c r="A1908">
        <v>789.04</v>
      </c>
      <c r="B1908">
        <v>4</v>
      </c>
      <c r="C1908">
        <v>1907</v>
      </c>
      <c r="D1908" s="2">
        <v>0.52043569444444449</v>
      </c>
      <c r="E1908" t="s">
        <v>2785</v>
      </c>
      <c r="F1908" t="s">
        <v>2786</v>
      </c>
      <c r="G1908" t="s">
        <v>2787</v>
      </c>
      <c r="H1908" t="s">
        <v>838</v>
      </c>
      <c r="I1908" t="s">
        <v>839</v>
      </c>
      <c r="J1908" t="s">
        <v>293</v>
      </c>
      <c r="K1908" t="s">
        <v>100</v>
      </c>
      <c r="L1908">
        <v>197.26</v>
      </c>
      <c r="M1908" s="1">
        <v>45728</v>
      </c>
      <c r="N1908" t="s">
        <v>34</v>
      </c>
      <c r="O1908">
        <v>12</v>
      </c>
      <c r="P1908">
        <v>3</v>
      </c>
      <c r="Q1908">
        <v>1</v>
      </c>
      <c r="R1908">
        <v>2025</v>
      </c>
    </row>
    <row r="1909" spans="1:18">
      <c r="A1909">
        <v>122.69</v>
      </c>
      <c r="B1909">
        <v>1</v>
      </c>
      <c r="C1909">
        <v>1908</v>
      </c>
      <c r="D1909" s="2">
        <v>0.22564645833333333</v>
      </c>
      <c r="E1909" t="s">
        <v>3469</v>
      </c>
      <c r="F1909" t="s">
        <v>3470</v>
      </c>
      <c r="G1909" t="s">
        <v>1387</v>
      </c>
      <c r="H1909" t="s">
        <v>1246</v>
      </c>
      <c r="I1909" t="s">
        <v>1247</v>
      </c>
      <c r="J1909" t="s">
        <v>134</v>
      </c>
      <c r="K1909" t="s">
        <v>100</v>
      </c>
      <c r="L1909">
        <v>122.69</v>
      </c>
      <c r="M1909" s="1">
        <v>45725</v>
      </c>
      <c r="N1909" t="s">
        <v>28</v>
      </c>
      <c r="O1909">
        <v>9</v>
      </c>
      <c r="P1909">
        <v>3</v>
      </c>
      <c r="Q1909">
        <v>1</v>
      </c>
      <c r="R1909">
        <v>2025</v>
      </c>
    </row>
    <row r="1910" spans="1:18">
      <c r="A1910">
        <v>403.40999999999997</v>
      </c>
      <c r="B1910">
        <v>3</v>
      </c>
      <c r="C1910">
        <v>1909</v>
      </c>
      <c r="D1910" s="2">
        <v>0.87921239583333333</v>
      </c>
      <c r="E1910" t="s">
        <v>1023</v>
      </c>
      <c r="F1910" t="s">
        <v>1024</v>
      </c>
      <c r="G1910" t="s">
        <v>1025</v>
      </c>
      <c r="H1910" t="s">
        <v>1026</v>
      </c>
      <c r="I1910" t="s">
        <v>896</v>
      </c>
      <c r="J1910" t="s">
        <v>76</v>
      </c>
      <c r="K1910" t="s">
        <v>69</v>
      </c>
      <c r="L1910">
        <v>134.47</v>
      </c>
      <c r="M1910" s="1">
        <v>45951</v>
      </c>
      <c r="N1910" t="s">
        <v>48</v>
      </c>
      <c r="O1910">
        <v>21</v>
      </c>
      <c r="P1910">
        <v>10</v>
      </c>
      <c r="Q1910">
        <v>4</v>
      </c>
      <c r="R1910">
        <v>2025</v>
      </c>
    </row>
    <row r="1911" spans="1:18">
      <c r="A1911">
        <v>296.08</v>
      </c>
      <c r="B1911">
        <v>2</v>
      </c>
      <c r="C1911">
        <v>1910</v>
      </c>
      <c r="D1911" s="2">
        <v>0.57289872685185184</v>
      </c>
      <c r="E1911" t="s">
        <v>1214</v>
      </c>
      <c r="F1911" t="s">
        <v>1215</v>
      </c>
      <c r="G1911" t="s">
        <v>1216</v>
      </c>
      <c r="H1911" t="s">
        <v>199</v>
      </c>
      <c r="I1911" t="s">
        <v>781</v>
      </c>
      <c r="J1911" t="s">
        <v>260</v>
      </c>
      <c r="K1911" t="s">
        <v>46</v>
      </c>
      <c r="L1911">
        <v>148.04</v>
      </c>
      <c r="M1911" s="1">
        <v>45905</v>
      </c>
      <c r="N1911" t="s">
        <v>79</v>
      </c>
      <c r="O1911">
        <v>5</v>
      </c>
      <c r="P1911">
        <v>9</v>
      </c>
      <c r="Q1911">
        <v>3</v>
      </c>
      <c r="R1911">
        <v>2025</v>
      </c>
    </row>
    <row r="1912" spans="1:18">
      <c r="A1912">
        <v>106.32</v>
      </c>
      <c r="B1912">
        <v>3</v>
      </c>
      <c r="C1912">
        <v>1911</v>
      </c>
      <c r="D1912" s="2">
        <v>0.27820646990740738</v>
      </c>
      <c r="E1912" t="s">
        <v>1896</v>
      </c>
      <c r="F1912" t="s">
        <v>1897</v>
      </c>
      <c r="G1912" t="s">
        <v>1114</v>
      </c>
      <c r="H1912" t="s">
        <v>1026</v>
      </c>
      <c r="I1912" t="s">
        <v>896</v>
      </c>
      <c r="J1912" t="s">
        <v>173</v>
      </c>
      <c r="K1912" t="s">
        <v>55</v>
      </c>
      <c r="L1912">
        <v>35.44</v>
      </c>
      <c r="M1912" s="1">
        <v>45983</v>
      </c>
      <c r="N1912" t="s">
        <v>14</v>
      </c>
      <c r="O1912">
        <v>22</v>
      </c>
      <c r="P1912">
        <v>11</v>
      </c>
      <c r="Q1912">
        <v>4</v>
      </c>
      <c r="R1912">
        <v>2025</v>
      </c>
    </row>
    <row r="1913" spans="1:18">
      <c r="A1913">
        <v>116.64</v>
      </c>
      <c r="B1913">
        <v>4</v>
      </c>
      <c r="C1913">
        <v>1912</v>
      </c>
      <c r="D1913" s="2">
        <v>0.97337579861111112</v>
      </c>
      <c r="E1913" t="s">
        <v>1817</v>
      </c>
      <c r="F1913" t="s">
        <v>1818</v>
      </c>
      <c r="G1913" t="s">
        <v>914</v>
      </c>
      <c r="H1913" t="s">
        <v>1574</v>
      </c>
      <c r="I1913" t="s">
        <v>1003</v>
      </c>
      <c r="J1913" t="s">
        <v>511</v>
      </c>
      <c r="K1913" t="s">
        <v>27</v>
      </c>
      <c r="L1913">
        <v>29.16</v>
      </c>
      <c r="M1913" s="1">
        <v>45876</v>
      </c>
      <c r="N1913" t="s">
        <v>105</v>
      </c>
      <c r="O1913">
        <v>7</v>
      </c>
      <c r="P1913">
        <v>8</v>
      </c>
      <c r="Q1913">
        <v>3</v>
      </c>
      <c r="R1913">
        <v>2025</v>
      </c>
    </row>
    <row r="1914" spans="1:18">
      <c r="A1914">
        <v>105.81</v>
      </c>
      <c r="B1914">
        <v>3</v>
      </c>
      <c r="C1914">
        <v>1913</v>
      </c>
      <c r="D1914" s="2">
        <v>0.66496238425925924</v>
      </c>
      <c r="E1914" t="s">
        <v>1926</v>
      </c>
      <c r="F1914" t="s">
        <v>1927</v>
      </c>
      <c r="G1914" t="s">
        <v>998</v>
      </c>
      <c r="H1914" t="s">
        <v>666</v>
      </c>
      <c r="I1914" t="s">
        <v>954</v>
      </c>
      <c r="J1914" t="s">
        <v>33</v>
      </c>
      <c r="K1914" t="s">
        <v>19</v>
      </c>
      <c r="L1914">
        <v>35.270000000000003</v>
      </c>
      <c r="M1914" s="1">
        <v>46196</v>
      </c>
      <c r="N1914" t="s">
        <v>48</v>
      </c>
      <c r="O1914">
        <v>23</v>
      </c>
      <c r="P1914">
        <v>6</v>
      </c>
      <c r="Q1914">
        <v>2</v>
      </c>
      <c r="R1914">
        <v>2026</v>
      </c>
    </row>
    <row r="1915" spans="1:18">
      <c r="A1915">
        <v>640.84999999999991</v>
      </c>
      <c r="B1915">
        <v>5</v>
      </c>
      <c r="C1915">
        <v>1914</v>
      </c>
      <c r="D1915" s="2">
        <v>0.48662557870370371</v>
      </c>
      <c r="E1915" t="s">
        <v>2719</v>
      </c>
      <c r="F1915" t="s">
        <v>2720</v>
      </c>
      <c r="G1915" t="s">
        <v>2721</v>
      </c>
      <c r="H1915" t="s">
        <v>1061</v>
      </c>
      <c r="I1915" t="s">
        <v>821</v>
      </c>
      <c r="J1915" t="s">
        <v>487</v>
      </c>
      <c r="K1915" t="s">
        <v>19</v>
      </c>
      <c r="L1915">
        <v>128.16999999999999</v>
      </c>
      <c r="M1915" s="1">
        <v>46117</v>
      </c>
      <c r="N1915" t="s">
        <v>28</v>
      </c>
      <c r="O1915">
        <v>5</v>
      </c>
      <c r="P1915">
        <v>4</v>
      </c>
      <c r="Q1915">
        <v>2</v>
      </c>
      <c r="R1915">
        <v>2026</v>
      </c>
    </row>
    <row r="1916" spans="1:18">
      <c r="A1916">
        <v>178.68</v>
      </c>
      <c r="B1916">
        <v>3</v>
      </c>
      <c r="C1916">
        <v>1915</v>
      </c>
      <c r="D1916" s="2">
        <v>2.339164351851852E-2</v>
      </c>
      <c r="E1916" t="s">
        <v>2967</v>
      </c>
      <c r="F1916" t="s">
        <v>2968</v>
      </c>
      <c r="G1916" t="s">
        <v>2297</v>
      </c>
      <c r="H1916" t="s">
        <v>1280</v>
      </c>
      <c r="I1916" t="s">
        <v>908</v>
      </c>
      <c r="J1916" t="s">
        <v>573</v>
      </c>
      <c r="K1916" t="s">
        <v>55</v>
      </c>
      <c r="L1916">
        <v>59.56</v>
      </c>
      <c r="M1916" s="1">
        <v>45621</v>
      </c>
      <c r="N1916" t="s">
        <v>93</v>
      </c>
      <c r="O1916">
        <v>25</v>
      </c>
      <c r="P1916">
        <v>11</v>
      </c>
      <c r="Q1916">
        <v>4</v>
      </c>
      <c r="R1916">
        <v>2024</v>
      </c>
    </row>
    <row r="1917" spans="1:18">
      <c r="A1917">
        <v>135.93</v>
      </c>
      <c r="B1917">
        <v>3</v>
      </c>
      <c r="C1917">
        <v>1916</v>
      </c>
      <c r="D1917" s="2">
        <v>0.19858046296296297</v>
      </c>
      <c r="E1917" t="s">
        <v>1543</v>
      </c>
      <c r="F1917" t="s">
        <v>1544</v>
      </c>
      <c r="G1917" t="s">
        <v>1545</v>
      </c>
      <c r="H1917" t="s">
        <v>29</v>
      </c>
      <c r="I1917" t="s">
        <v>763</v>
      </c>
      <c r="J1917" t="s">
        <v>537</v>
      </c>
      <c r="K1917" t="s">
        <v>31</v>
      </c>
      <c r="L1917">
        <v>45.31</v>
      </c>
      <c r="M1917" s="1">
        <v>45901</v>
      </c>
      <c r="N1917" t="s">
        <v>93</v>
      </c>
      <c r="O1917">
        <v>1</v>
      </c>
      <c r="P1917">
        <v>9</v>
      </c>
      <c r="Q1917">
        <v>3</v>
      </c>
      <c r="R1917">
        <v>2025</v>
      </c>
    </row>
    <row r="1918" spans="1:18">
      <c r="A1918">
        <v>176.38</v>
      </c>
      <c r="B1918">
        <v>1</v>
      </c>
      <c r="C1918">
        <v>1917</v>
      </c>
      <c r="D1918" s="2">
        <v>0.42892118055555556</v>
      </c>
      <c r="E1918" t="s">
        <v>850</v>
      </c>
      <c r="F1918" t="s">
        <v>851</v>
      </c>
      <c r="G1918" t="s">
        <v>852</v>
      </c>
      <c r="H1918" t="s">
        <v>853</v>
      </c>
      <c r="I1918" t="s">
        <v>854</v>
      </c>
      <c r="J1918" t="s">
        <v>384</v>
      </c>
      <c r="K1918" t="s">
        <v>37</v>
      </c>
      <c r="L1918">
        <v>176.38</v>
      </c>
      <c r="M1918" s="1">
        <v>45597</v>
      </c>
      <c r="N1918" t="s">
        <v>79</v>
      </c>
      <c r="O1918">
        <v>1</v>
      </c>
      <c r="P1918">
        <v>11</v>
      </c>
      <c r="Q1918">
        <v>4</v>
      </c>
      <c r="R1918">
        <v>2024</v>
      </c>
    </row>
    <row r="1919" spans="1:18">
      <c r="A1919">
        <v>68.06</v>
      </c>
      <c r="B1919">
        <v>2</v>
      </c>
      <c r="C1919">
        <v>1918</v>
      </c>
      <c r="D1919" s="2">
        <v>0.3941075810185185</v>
      </c>
      <c r="E1919" t="s">
        <v>1634</v>
      </c>
      <c r="F1919" t="s">
        <v>1635</v>
      </c>
      <c r="G1919" t="s">
        <v>952</v>
      </c>
      <c r="H1919" t="s">
        <v>1026</v>
      </c>
      <c r="I1919" t="s">
        <v>896</v>
      </c>
      <c r="J1919" t="s">
        <v>678</v>
      </c>
      <c r="K1919" t="s">
        <v>100</v>
      </c>
      <c r="L1919">
        <v>34.03</v>
      </c>
      <c r="M1919" s="1">
        <v>46019</v>
      </c>
      <c r="N1919" t="s">
        <v>28</v>
      </c>
      <c r="O1919">
        <v>28</v>
      </c>
      <c r="P1919">
        <v>12</v>
      </c>
      <c r="Q1919">
        <v>4</v>
      </c>
      <c r="R1919">
        <v>2025</v>
      </c>
    </row>
    <row r="1920" spans="1:18">
      <c r="A1920">
        <v>372.12</v>
      </c>
      <c r="B1920">
        <v>3</v>
      </c>
      <c r="C1920">
        <v>1919</v>
      </c>
      <c r="D1920" s="2">
        <v>0.517460462962963</v>
      </c>
      <c r="E1920" t="s">
        <v>933</v>
      </c>
      <c r="F1920" t="s">
        <v>934</v>
      </c>
      <c r="G1920" t="s">
        <v>935</v>
      </c>
      <c r="H1920" t="s">
        <v>322</v>
      </c>
      <c r="I1920" t="s">
        <v>795</v>
      </c>
      <c r="J1920" t="s">
        <v>543</v>
      </c>
      <c r="K1920" t="s">
        <v>37</v>
      </c>
      <c r="L1920">
        <v>124.04</v>
      </c>
      <c r="M1920" s="1">
        <v>45767</v>
      </c>
      <c r="N1920" t="s">
        <v>28</v>
      </c>
      <c r="O1920">
        <v>20</v>
      </c>
      <c r="P1920">
        <v>4</v>
      </c>
      <c r="Q1920">
        <v>2</v>
      </c>
      <c r="R1920">
        <v>2025</v>
      </c>
    </row>
    <row r="1921" spans="1:18">
      <c r="A1921">
        <v>22.84</v>
      </c>
      <c r="B1921">
        <v>4</v>
      </c>
      <c r="C1921">
        <v>1920</v>
      </c>
      <c r="D1921" s="2">
        <v>0.72412597222222219</v>
      </c>
      <c r="E1921" t="s">
        <v>2417</v>
      </c>
      <c r="F1921" t="s">
        <v>2418</v>
      </c>
      <c r="G1921" t="s">
        <v>2419</v>
      </c>
      <c r="H1921" t="s">
        <v>995</v>
      </c>
      <c r="I1921" t="s">
        <v>781</v>
      </c>
      <c r="J1921" t="s">
        <v>669</v>
      </c>
      <c r="K1921" t="s">
        <v>97</v>
      </c>
      <c r="L1921">
        <v>5.71</v>
      </c>
      <c r="M1921" s="1">
        <v>45591</v>
      </c>
      <c r="N1921" t="s">
        <v>14</v>
      </c>
      <c r="O1921">
        <v>26</v>
      </c>
      <c r="P1921">
        <v>10</v>
      </c>
      <c r="Q1921">
        <v>4</v>
      </c>
      <c r="R1921">
        <v>2024</v>
      </c>
    </row>
    <row r="1922" spans="1:18">
      <c r="A1922">
        <v>690.68</v>
      </c>
      <c r="B1922">
        <v>4</v>
      </c>
      <c r="C1922">
        <v>1921</v>
      </c>
      <c r="D1922" s="2">
        <v>0.919854849537037</v>
      </c>
      <c r="E1922" t="s">
        <v>1393</v>
      </c>
      <c r="F1922" t="s">
        <v>1394</v>
      </c>
      <c r="G1922" t="s">
        <v>1182</v>
      </c>
      <c r="H1922" t="s">
        <v>1395</v>
      </c>
      <c r="I1922" t="s">
        <v>776</v>
      </c>
      <c r="J1922" t="s">
        <v>551</v>
      </c>
      <c r="K1922" t="s">
        <v>122</v>
      </c>
      <c r="L1922">
        <v>172.67</v>
      </c>
      <c r="M1922" s="1">
        <v>45597</v>
      </c>
      <c r="N1922" t="s">
        <v>79</v>
      </c>
      <c r="O1922">
        <v>1</v>
      </c>
      <c r="P1922">
        <v>11</v>
      </c>
      <c r="Q1922">
        <v>4</v>
      </c>
      <c r="R1922">
        <v>2024</v>
      </c>
    </row>
    <row r="1923" spans="1:18">
      <c r="A1923">
        <v>19.190000000000001</v>
      </c>
      <c r="B1923">
        <v>1</v>
      </c>
      <c r="C1923">
        <v>1922</v>
      </c>
      <c r="D1923" s="2">
        <v>0.49524422453703704</v>
      </c>
      <c r="E1923" t="s">
        <v>1663</v>
      </c>
      <c r="F1923" t="s">
        <v>1664</v>
      </c>
      <c r="G1923" t="s">
        <v>1665</v>
      </c>
      <c r="H1923" t="s">
        <v>1666</v>
      </c>
      <c r="I1923" t="s">
        <v>830</v>
      </c>
      <c r="J1923" t="s">
        <v>71</v>
      </c>
      <c r="K1923" t="s">
        <v>23</v>
      </c>
      <c r="L1923">
        <v>19.190000000000001</v>
      </c>
      <c r="M1923" s="1">
        <v>46115</v>
      </c>
      <c r="N1923" t="s">
        <v>79</v>
      </c>
      <c r="O1923">
        <v>3</v>
      </c>
      <c r="P1923">
        <v>4</v>
      </c>
      <c r="Q1923">
        <v>2</v>
      </c>
      <c r="R1923">
        <v>2026</v>
      </c>
    </row>
    <row r="1924" spans="1:18">
      <c r="A1924">
        <v>491.58</v>
      </c>
      <c r="B1924">
        <v>2</v>
      </c>
      <c r="C1924">
        <v>1923</v>
      </c>
      <c r="D1924" s="2">
        <v>0.52841821759259255</v>
      </c>
      <c r="E1924" t="s">
        <v>1904</v>
      </c>
      <c r="F1924" t="s">
        <v>1905</v>
      </c>
      <c r="G1924" t="s">
        <v>1906</v>
      </c>
      <c r="H1924" t="s">
        <v>644</v>
      </c>
      <c r="I1924" t="s">
        <v>748</v>
      </c>
      <c r="J1924" t="s">
        <v>344</v>
      </c>
      <c r="K1924" t="s">
        <v>19</v>
      </c>
      <c r="L1924">
        <v>245.79</v>
      </c>
      <c r="M1924" s="1">
        <v>46236</v>
      </c>
      <c r="N1924" t="s">
        <v>28</v>
      </c>
      <c r="O1924">
        <v>2</v>
      </c>
      <c r="P1924">
        <v>8</v>
      </c>
      <c r="Q1924">
        <v>3</v>
      </c>
      <c r="R1924">
        <v>2026</v>
      </c>
    </row>
    <row r="1925" spans="1:18">
      <c r="A1925">
        <v>27.57</v>
      </c>
      <c r="B1925">
        <v>3</v>
      </c>
      <c r="C1925">
        <v>1924</v>
      </c>
      <c r="D1925" s="2">
        <v>0.62503388888888889</v>
      </c>
      <c r="E1925" t="s">
        <v>1947</v>
      </c>
      <c r="F1925" t="s">
        <v>1948</v>
      </c>
      <c r="G1925" t="s">
        <v>1038</v>
      </c>
      <c r="H1925" t="s">
        <v>414</v>
      </c>
      <c r="I1925" t="s">
        <v>795</v>
      </c>
      <c r="J1925" t="s">
        <v>413</v>
      </c>
      <c r="K1925" t="s">
        <v>57</v>
      </c>
      <c r="L1925">
        <v>9.19</v>
      </c>
      <c r="M1925" s="1">
        <v>46125</v>
      </c>
      <c r="N1925" t="s">
        <v>93</v>
      </c>
      <c r="O1925">
        <v>13</v>
      </c>
      <c r="P1925">
        <v>4</v>
      </c>
      <c r="Q1925">
        <v>2</v>
      </c>
      <c r="R1925">
        <v>2026</v>
      </c>
    </row>
    <row r="1926" spans="1:18">
      <c r="A1926">
        <v>245.79</v>
      </c>
      <c r="B1926">
        <v>1</v>
      </c>
      <c r="C1926">
        <v>1925</v>
      </c>
      <c r="D1926" s="2">
        <v>0.13690476851851852</v>
      </c>
      <c r="E1926" t="s">
        <v>3055</v>
      </c>
      <c r="F1926" t="s">
        <v>3056</v>
      </c>
      <c r="G1926" t="s">
        <v>960</v>
      </c>
      <c r="H1926" t="s">
        <v>1540</v>
      </c>
      <c r="I1926" t="s">
        <v>768</v>
      </c>
      <c r="J1926" t="s">
        <v>344</v>
      </c>
      <c r="K1926" t="s">
        <v>19</v>
      </c>
      <c r="L1926">
        <v>245.79</v>
      </c>
      <c r="M1926" s="1">
        <v>46090</v>
      </c>
      <c r="N1926" t="s">
        <v>93</v>
      </c>
      <c r="O1926">
        <v>9</v>
      </c>
      <c r="P1926">
        <v>3</v>
      </c>
      <c r="Q1926">
        <v>1</v>
      </c>
      <c r="R1926">
        <v>2026</v>
      </c>
    </row>
    <row r="1927" spans="1:18">
      <c r="A1927">
        <v>559.29999999999995</v>
      </c>
      <c r="B1927">
        <v>5</v>
      </c>
      <c r="C1927">
        <v>1926</v>
      </c>
      <c r="D1927" s="2">
        <v>0.55637728009259257</v>
      </c>
      <c r="E1927" t="s">
        <v>847</v>
      </c>
      <c r="F1927" t="s">
        <v>848</v>
      </c>
      <c r="G1927" t="s">
        <v>849</v>
      </c>
      <c r="H1927" t="s">
        <v>387</v>
      </c>
      <c r="I1927" t="s">
        <v>821</v>
      </c>
      <c r="J1927" t="s">
        <v>432</v>
      </c>
      <c r="K1927" t="s">
        <v>46</v>
      </c>
      <c r="L1927">
        <v>111.86</v>
      </c>
      <c r="M1927" s="1">
        <v>45743</v>
      </c>
      <c r="N1927" t="s">
        <v>105</v>
      </c>
      <c r="O1927">
        <v>27</v>
      </c>
      <c r="P1927">
        <v>3</v>
      </c>
      <c r="Q1927">
        <v>1</v>
      </c>
      <c r="R1927">
        <v>2025</v>
      </c>
    </row>
    <row r="1928" spans="1:18">
      <c r="A1928">
        <v>230.82</v>
      </c>
      <c r="B1928">
        <v>3</v>
      </c>
      <c r="C1928">
        <v>1927</v>
      </c>
      <c r="D1928" s="2">
        <v>0.71424432870370369</v>
      </c>
      <c r="E1928" t="s">
        <v>847</v>
      </c>
      <c r="F1928" t="s">
        <v>848</v>
      </c>
      <c r="G1928" t="s">
        <v>849</v>
      </c>
      <c r="H1928" t="s">
        <v>387</v>
      </c>
      <c r="I1928" t="s">
        <v>821</v>
      </c>
      <c r="J1928" t="s">
        <v>119</v>
      </c>
      <c r="K1928" t="s">
        <v>60</v>
      </c>
      <c r="L1928">
        <v>76.94</v>
      </c>
      <c r="M1928" s="1">
        <v>46192</v>
      </c>
      <c r="N1928" t="s">
        <v>79</v>
      </c>
      <c r="O1928">
        <v>19</v>
      </c>
      <c r="P1928">
        <v>6</v>
      </c>
      <c r="Q1928">
        <v>2</v>
      </c>
      <c r="R1928">
        <v>2026</v>
      </c>
    </row>
    <row r="1929" spans="1:18">
      <c r="A1929">
        <v>174.77</v>
      </c>
      <c r="B1929">
        <v>1</v>
      </c>
      <c r="C1929">
        <v>1928</v>
      </c>
      <c r="D1929" s="2">
        <v>0.61821187499999997</v>
      </c>
      <c r="E1929" t="s">
        <v>1331</v>
      </c>
      <c r="F1929" t="s">
        <v>1332</v>
      </c>
      <c r="G1929" t="s">
        <v>1133</v>
      </c>
      <c r="H1929" t="s">
        <v>825</v>
      </c>
      <c r="I1929" t="s">
        <v>781</v>
      </c>
      <c r="J1929" t="s">
        <v>483</v>
      </c>
      <c r="K1929" t="s">
        <v>100</v>
      </c>
      <c r="L1929">
        <v>174.77</v>
      </c>
      <c r="M1929" s="1">
        <v>46244</v>
      </c>
      <c r="N1929" t="s">
        <v>93</v>
      </c>
      <c r="O1929">
        <v>10</v>
      </c>
      <c r="P1929">
        <v>8</v>
      </c>
      <c r="Q1929">
        <v>3</v>
      </c>
      <c r="R1929">
        <v>2026</v>
      </c>
    </row>
    <row r="1930" spans="1:18">
      <c r="A1930">
        <v>591.78</v>
      </c>
      <c r="B1930">
        <v>3</v>
      </c>
      <c r="C1930">
        <v>1929</v>
      </c>
      <c r="D1930" s="2">
        <v>0.76605770833333331</v>
      </c>
      <c r="E1930" t="s">
        <v>2541</v>
      </c>
      <c r="F1930" t="s">
        <v>2542</v>
      </c>
      <c r="G1930" t="s">
        <v>1545</v>
      </c>
      <c r="H1930" t="s">
        <v>1199</v>
      </c>
      <c r="I1930" t="s">
        <v>839</v>
      </c>
      <c r="J1930" t="s">
        <v>293</v>
      </c>
      <c r="K1930" t="s">
        <v>100</v>
      </c>
      <c r="L1930">
        <v>197.26</v>
      </c>
      <c r="M1930" s="1">
        <v>45582</v>
      </c>
      <c r="N1930" t="s">
        <v>105</v>
      </c>
      <c r="O1930">
        <v>17</v>
      </c>
      <c r="P1930">
        <v>10</v>
      </c>
      <c r="Q1930">
        <v>4</v>
      </c>
      <c r="R1930">
        <v>2024</v>
      </c>
    </row>
    <row r="1931" spans="1:18">
      <c r="A1931">
        <v>718.2</v>
      </c>
      <c r="B1931">
        <v>4</v>
      </c>
      <c r="C1931">
        <v>1930</v>
      </c>
      <c r="D1931" s="2">
        <v>0.1893065625</v>
      </c>
      <c r="E1931" t="s">
        <v>3490</v>
      </c>
      <c r="F1931" t="s">
        <v>3491</v>
      </c>
      <c r="G1931" t="s">
        <v>1010</v>
      </c>
      <c r="H1931" t="s">
        <v>903</v>
      </c>
      <c r="I1931" t="s">
        <v>786</v>
      </c>
      <c r="J1931" t="s">
        <v>614</v>
      </c>
      <c r="K1931" t="s">
        <v>21</v>
      </c>
      <c r="L1931">
        <v>179.55</v>
      </c>
      <c r="M1931" s="1">
        <v>45555</v>
      </c>
      <c r="N1931" t="s">
        <v>79</v>
      </c>
      <c r="O1931">
        <v>20</v>
      </c>
      <c r="P1931">
        <v>9</v>
      </c>
      <c r="Q1931">
        <v>3</v>
      </c>
      <c r="R1931">
        <v>2024</v>
      </c>
    </row>
    <row r="1932" spans="1:18">
      <c r="A1932">
        <v>39.15</v>
      </c>
      <c r="B1932">
        <v>5</v>
      </c>
      <c r="C1932">
        <v>1931</v>
      </c>
      <c r="D1932" s="2">
        <v>0.40747379629629632</v>
      </c>
      <c r="E1932" t="s">
        <v>1062</v>
      </c>
      <c r="F1932" t="s">
        <v>1063</v>
      </c>
      <c r="G1932" t="s">
        <v>1064</v>
      </c>
      <c r="H1932" t="s">
        <v>151</v>
      </c>
      <c r="I1932" t="s">
        <v>1003</v>
      </c>
      <c r="J1932" t="s">
        <v>489</v>
      </c>
      <c r="K1932" t="s">
        <v>51</v>
      </c>
      <c r="L1932">
        <v>7.83</v>
      </c>
      <c r="M1932" s="1">
        <v>45800</v>
      </c>
      <c r="N1932" t="s">
        <v>79</v>
      </c>
      <c r="O1932">
        <v>23</v>
      </c>
      <c r="P1932">
        <v>5</v>
      </c>
      <c r="Q1932">
        <v>2</v>
      </c>
      <c r="R1932">
        <v>2025</v>
      </c>
    </row>
    <row r="1933" spans="1:18">
      <c r="A1933">
        <v>137.47</v>
      </c>
      <c r="B1933">
        <v>1</v>
      </c>
      <c r="C1933">
        <v>1932</v>
      </c>
      <c r="D1933" s="2">
        <v>0.60703357638888888</v>
      </c>
      <c r="E1933" t="s">
        <v>3175</v>
      </c>
      <c r="F1933" t="s">
        <v>3176</v>
      </c>
      <c r="G1933" t="s">
        <v>882</v>
      </c>
      <c r="H1933" t="s">
        <v>392</v>
      </c>
      <c r="I1933" t="s">
        <v>834</v>
      </c>
      <c r="J1933" t="s">
        <v>379</v>
      </c>
      <c r="K1933" t="s">
        <v>69</v>
      </c>
      <c r="L1933">
        <v>137.47</v>
      </c>
      <c r="M1933" s="1">
        <v>46044</v>
      </c>
      <c r="N1933" t="s">
        <v>105</v>
      </c>
      <c r="O1933">
        <v>22</v>
      </c>
      <c r="P1933">
        <v>1</v>
      </c>
      <c r="Q1933">
        <v>1</v>
      </c>
      <c r="R1933">
        <v>2026</v>
      </c>
    </row>
    <row r="1934" spans="1:18">
      <c r="A1934">
        <v>81.960000000000008</v>
      </c>
      <c r="B1934">
        <v>3</v>
      </c>
      <c r="C1934">
        <v>1933</v>
      </c>
      <c r="D1934" s="2">
        <v>0.86115584490740738</v>
      </c>
      <c r="E1934" t="s">
        <v>2790</v>
      </c>
      <c r="F1934" t="s">
        <v>2791</v>
      </c>
      <c r="G1934" t="s">
        <v>1440</v>
      </c>
      <c r="H1934" t="s">
        <v>1342</v>
      </c>
      <c r="I1934" t="s">
        <v>776</v>
      </c>
      <c r="J1934" t="s">
        <v>423</v>
      </c>
      <c r="K1934" t="s">
        <v>37</v>
      </c>
      <c r="L1934">
        <v>27.32</v>
      </c>
      <c r="M1934" s="1">
        <v>45596</v>
      </c>
      <c r="N1934" t="s">
        <v>105</v>
      </c>
      <c r="O1934">
        <v>31</v>
      </c>
      <c r="P1934">
        <v>10</v>
      </c>
      <c r="Q1934">
        <v>4</v>
      </c>
      <c r="R1934">
        <v>2024</v>
      </c>
    </row>
    <row r="1935" spans="1:18">
      <c r="A1935">
        <v>932.84</v>
      </c>
      <c r="B1935">
        <v>4</v>
      </c>
      <c r="C1935">
        <v>1934</v>
      </c>
      <c r="D1935" s="2">
        <v>0.87794962962962964</v>
      </c>
      <c r="E1935" t="s">
        <v>2884</v>
      </c>
      <c r="F1935" t="s">
        <v>2885</v>
      </c>
      <c r="G1935" t="s">
        <v>1152</v>
      </c>
      <c r="H1935" t="s">
        <v>965</v>
      </c>
      <c r="I1935" t="s">
        <v>966</v>
      </c>
      <c r="J1935" t="s">
        <v>648</v>
      </c>
      <c r="K1935" t="s">
        <v>57</v>
      </c>
      <c r="L1935">
        <v>233.21</v>
      </c>
      <c r="M1935" s="1">
        <v>46014</v>
      </c>
      <c r="N1935" t="s">
        <v>48</v>
      </c>
      <c r="O1935">
        <v>23</v>
      </c>
      <c r="P1935">
        <v>12</v>
      </c>
      <c r="Q1935">
        <v>4</v>
      </c>
      <c r="R1935">
        <v>2025</v>
      </c>
    </row>
    <row r="1936" spans="1:18">
      <c r="A1936">
        <v>325.74</v>
      </c>
      <c r="B1936">
        <v>2</v>
      </c>
      <c r="C1936">
        <v>1935</v>
      </c>
      <c r="D1936" s="2">
        <v>0.33781696759259261</v>
      </c>
      <c r="E1936" t="s">
        <v>1112</v>
      </c>
      <c r="F1936" t="s">
        <v>1113</v>
      </c>
      <c r="G1936" t="s">
        <v>1114</v>
      </c>
      <c r="H1936" t="s">
        <v>1078</v>
      </c>
      <c r="I1936" t="s">
        <v>781</v>
      </c>
      <c r="J1936" t="s">
        <v>236</v>
      </c>
      <c r="K1936" t="s">
        <v>60</v>
      </c>
      <c r="L1936">
        <v>162.87</v>
      </c>
      <c r="M1936" s="1">
        <v>45880</v>
      </c>
      <c r="N1936" t="s">
        <v>93</v>
      </c>
      <c r="O1936">
        <v>11</v>
      </c>
      <c r="P1936">
        <v>8</v>
      </c>
      <c r="Q1936">
        <v>3</v>
      </c>
      <c r="R1936">
        <v>2025</v>
      </c>
    </row>
    <row r="1937" spans="1:18">
      <c r="A1937">
        <v>37.119999999999997</v>
      </c>
      <c r="B1937">
        <v>2</v>
      </c>
      <c r="C1937">
        <v>1936</v>
      </c>
      <c r="D1937" s="2">
        <v>0.90392430555555559</v>
      </c>
      <c r="E1937" t="s">
        <v>2561</v>
      </c>
      <c r="F1937" t="s">
        <v>2562</v>
      </c>
      <c r="G1937" t="s">
        <v>2563</v>
      </c>
      <c r="H1937" t="s">
        <v>691</v>
      </c>
      <c r="I1937" t="s">
        <v>776</v>
      </c>
      <c r="J1937" t="s">
        <v>672</v>
      </c>
      <c r="K1937" t="s">
        <v>55</v>
      </c>
      <c r="L1937">
        <v>18.559999999999999</v>
      </c>
      <c r="M1937" s="1">
        <v>46036</v>
      </c>
      <c r="N1937" t="s">
        <v>34</v>
      </c>
      <c r="O1937">
        <v>14</v>
      </c>
      <c r="P1937">
        <v>1</v>
      </c>
      <c r="Q1937">
        <v>1</v>
      </c>
      <c r="R1937">
        <v>2026</v>
      </c>
    </row>
    <row r="1938" spans="1:18">
      <c r="A1938">
        <v>98.5</v>
      </c>
      <c r="B1938">
        <v>2</v>
      </c>
      <c r="C1938">
        <v>1937</v>
      </c>
      <c r="D1938" s="2">
        <v>0.40133120370370368</v>
      </c>
      <c r="E1938" t="s">
        <v>2462</v>
      </c>
      <c r="F1938" t="s">
        <v>2463</v>
      </c>
      <c r="G1938" t="s">
        <v>1501</v>
      </c>
      <c r="H1938" t="s">
        <v>1156</v>
      </c>
      <c r="I1938" t="s">
        <v>839</v>
      </c>
      <c r="J1938" t="s">
        <v>518</v>
      </c>
      <c r="K1938" t="s">
        <v>17</v>
      </c>
      <c r="L1938">
        <v>49.25</v>
      </c>
      <c r="M1938" s="1">
        <v>45598</v>
      </c>
      <c r="N1938" t="s">
        <v>14</v>
      </c>
      <c r="O1938">
        <v>2</v>
      </c>
      <c r="P1938">
        <v>11</v>
      </c>
      <c r="Q1938">
        <v>4</v>
      </c>
      <c r="R1938">
        <v>2024</v>
      </c>
    </row>
    <row r="1939" spans="1:18">
      <c r="A1939">
        <v>391.08000000000004</v>
      </c>
      <c r="B1939">
        <v>3</v>
      </c>
      <c r="C1939">
        <v>1938</v>
      </c>
      <c r="D1939" s="2">
        <v>0.16488760416666667</v>
      </c>
      <c r="E1939" t="s">
        <v>835</v>
      </c>
      <c r="F1939" t="s">
        <v>836</v>
      </c>
      <c r="G1939" t="s">
        <v>837</v>
      </c>
      <c r="H1939" t="s">
        <v>838</v>
      </c>
      <c r="I1939" t="s">
        <v>839</v>
      </c>
      <c r="J1939" t="s">
        <v>118</v>
      </c>
      <c r="K1939" t="s">
        <v>31</v>
      </c>
      <c r="L1939">
        <v>130.36000000000001</v>
      </c>
      <c r="M1939" s="1">
        <v>45584</v>
      </c>
      <c r="N1939" t="s">
        <v>14</v>
      </c>
      <c r="O1939">
        <v>19</v>
      </c>
      <c r="P1939">
        <v>10</v>
      </c>
      <c r="Q1939">
        <v>4</v>
      </c>
      <c r="R1939">
        <v>2024</v>
      </c>
    </row>
    <row r="1940" spans="1:18">
      <c r="A1940">
        <v>119.58</v>
      </c>
      <c r="B1940">
        <v>1</v>
      </c>
      <c r="C1940">
        <v>1939</v>
      </c>
      <c r="D1940" s="2">
        <v>0.78955097222222226</v>
      </c>
      <c r="E1940" t="s">
        <v>3297</v>
      </c>
      <c r="F1940" t="s">
        <v>3298</v>
      </c>
      <c r="G1940" t="s">
        <v>3299</v>
      </c>
      <c r="H1940" t="s">
        <v>1071</v>
      </c>
      <c r="I1940" t="s">
        <v>817</v>
      </c>
      <c r="J1940" t="s">
        <v>143</v>
      </c>
      <c r="K1940" t="s">
        <v>69</v>
      </c>
      <c r="L1940">
        <v>119.58</v>
      </c>
      <c r="M1940" s="1">
        <v>46015</v>
      </c>
      <c r="N1940" t="s">
        <v>34</v>
      </c>
      <c r="O1940">
        <v>24</v>
      </c>
      <c r="P1940">
        <v>12</v>
      </c>
      <c r="Q1940">
        <v>4</v>
      </c>
      <c r="R1940">
        <v>2025</v>
      </c>
    </row>
    <row r="1941" spans="1:18">
      <c r="A1941">
        <v>618.96</v>
      </c>
      <c r="B1941">
        <v>4</v>
      </c>
      <c r="C1941">
        <v>1940</v>
      </c>
      <c r="D1941" s="2">
        <v>0.80231609953703709</v>
      </c>
      <c r="E1941" t="s">
        <v>2384</v>
      </c>
      <c r="F1941" t="s">
        <v>2385</v>
      </c>
      <c r="G1941" t="s">
        <v>2386</v>
      </c>
      <c r="H1941" t="s">
        <v>1469</v>
      </c>
      <c r="I1941" t="s">
        <v>908</v>
      </c>
      <c r="J1941" t="s">
        <v>547</v>
      </c>
      <c r="K1941" t="s">
        <v>97</v>
      </c>
      <c r="L1941">
        <v>154.74</v>
      </c>
      <c r="M1941" s="1">
        <v>46011</v>
      </c>
      <c r="N1941" t="s">
        <v>14</v>
      </c>
      <c r="O1941">
        <v>20</v>
      </c>
      <c r="P1941">
        <v>12</v>
      </c>
      <c r="Q1941">
        <v>4</v>
      </c>
      <c r="R1941">
        <v>2025</v>
      </c>
    </row>
    <row r="1942" spans="1:18">
      <c r="A1942">
        <v>967.92</v>
      </c>
      <c r="B1942">
        <v>4</v>
      </c>
      <c r="C1942">
        <v>1941</v>
      </c>
      <c r="D1942" s="2">
        <v>0.31462228009259258</v>
      </c>
      <c r="E1942" t="s">
        <v>1023</v>
      </c>
      <c r="F1942" t="s">
        <v>1024</v>
      </c>
      <c r="G1942" t="s">
        <v>1025</v>
      </c>
      <c r="H1942" t="s">
        <v>1026</v>
      </c>
      <c r="I1942" t="s">
        <v>896</v>
      </c>
      <c r="J1942" t="s">
        <v>203</v>
      </c>
      <c r="K1942" t="s">
        <v>100</v>
      </c>
      <c r="L1942">
        <v>241.98</v>
      </c>
      <c r="M1942" s="1">
        <v>46092</v>
      </c>
      <c r="N1942" t="s">
        <v>34</v>
      </c>
      <c r="O1942">
        <v>11</v>
      </c>
      <c r="P1942">
        <v>3</v>
      </c>
      <c r="Q1942">
        <v>1</v>
      </c>
      <c r="R1942">
        <v>2026</v>
      </c>
    </row>
    <row r="1943" spans="1:18">
      <c r="A1943">
        <v>51.42</v>
      </c>
      <c r="B1943">
        <v>3</v>
      </c>
      <c r="C1943">
        <v>1942</v>
      </c>
      <c r="D1943" s="2">
        <v>0.77263603009259263</v>
      </c>
      <c r="E1943" t="s">
        <v>2444</v>
      </c>
      <c r="F1943" t="s">
        <v>2445</v>
      </c>
      <c r="G1943" t="s">
        <v>1629</v>
      </c>
      <c r="H1943" t="s">
        <v>838</v>
      </c>
      <c r="I1943" t="s">
        <v>839</v>
      </c>
      <c r="J1943" t="s">
        <v>633</v>
      </c>
      <c r="K1943" t="s">
        <v>17</v>
      </c>
      <c r="L1943">
        <v>17.14</v>
      </c>
      <c r="M1943" s="1">
        <v>45893</v>
      </c>
      <c r="N1943" t="s">
        <v>28</v>
      </c>
      <c r="O1943">
        <v>24</v>
      </c>
      <c r="P1943">
        <v>8</v>
      </c>
      <c r="Q1943">
        <v>3</v>
      </c>
      <c r="R1943">
        <v>2025</v>
      </c>
    </row>
    <row r="1944" spans="1:18">
      <c r="A1944">
        <v>19.38</v>
      </c>
      <c r="B1944">
        <v>1</v>
      </c>
      <c r="C1944">
        <v>1943</v>
      </c>
      <c r="D1944" s="2">
        <v>0.25807802083333331</v>
      </c>
      <c r="E1944" t="s">
        <v>3084</v>
      </c>
      <c r="F1944" t="s">
        <v>3085</v>
      </c>
      <c r="G1944" t="s">
        <v>3086</v>
      </c>
      <c r="H1944" t="s">
        <v>562</v>
      </c>
      <c r="I1944" t="s">
        <v>753</v>
      </c>
      <c r="J1944" t="s">
        <v>733</v>
      </c>
      <c r="K1944" t="s">
        <v>51</v>
      </c>
      <c r="L1944">
        <v>19.38</v>
      </c>
      <c r="M1944" s="1">
        <v>46133</v>
      </c>
      <c r="N1944" t="s">
        <v>48</v>
      </c>
      <c r="O1944">
        <v>21</v>
      </c>
      <c r="P1944">
        <v>4</v>
      </c>
      <c r="Q1944">
        <v>2</v>
      </c>
      <c r="R1944">
        <v>2026</v>
      </c>
    </row>
    <row r="1945" spans="1:18">
      <c r="A1945">
        <v>484.56</v>
      </c>
      <c r="B1945">
        <v>4</v>
      </c>
      <c r="C1945">
        <v>1944</v>
      </c>
      <c r="D1945" s="2">
        <v>0.78566953703703701</v>
      </c>
      <c r="E1945" t="s">
        <v>2023</v>
      </c>
      <c r="F1945" t="s">
        <v>2024</v>
      </c>
      <c r="G1945" t="s">
        <v>1865</v>
      </c>
      <c r="H1945" t="s">
        <v>1246</v>
      </c>
      <c r="I1945" t="s">
        <v>1247</v>
      </c>
      <c r="J1945" t="s">
        <v>640</v>
      </c>
      <c r="K1945" t="s">
        <v>82</v>
      </c>
      <c r="L1945">
        <v>121.14</v>
      </c>
      <c r="M1945" s="1">
        <v>45660</v>
      </c>
      <c r="N1945" t="s">
        <v>79</v>
      </c>
      <c r="O1945">
        <v>3</v>
      </c>
      <c r="P1945">
        <v>1</v>
      </c>
      <c r="Q1945">
        <v>1</v>
      </c>
      <c r="R1945">
        <v>2025</v>
      </c>
    </row>
    <row r="1946" spans="1:18">
      <c r="A1946">
        <v>172.67</v>
      </c>
      <c r="B1946">
        <v>1</v>
      </c>
      <c r="C1946">
        <v>1945</v>
      </c>
      <c r="D1946" s="2">
        <v>0.69815637731481484</v>
      </c>
      <c r="E1946" t="s">
        <v>2686</v>
      </c>
      <c r="F1946" t="s">
        <v>2687</v>
      </c>
      <c r="G1946" t="s">
        <v>952</v>
      </c>
      <c r="H1946" t="s">
        <v>280</v>
      </c>
      <c r="I1946" t="s">
        <v>812</v>
      </c>
      <c r="J1946" t="s">
        <v>551</v>
      </c>
      <c r="K1946" t="s">
        <v>122</v>
      </c>
      <c r="L1946">
        <v>172.67</v>
      </c>
      <c r="M1946" s="1">
        <v>45890</v>
      </c>
      <c r="N1946" t="s">
        <v>105</v>
      </c>
      <c r="O1946">
        <v>21</v>
      </c>
      <c r="P1946">
        <v>8</v>
      </c>
      <c r="Q1946">
        <v>3</v>
      </c>
      <c r="R1946">
        <v>2025</v>
      </c>
    </row>
    <row r="1947" spans="1:18">
      <c r="A1947">
        <v>219.68</v>
      </c>
      <c r="B1947">
        <v>2</v>
      </c>
      <c r="C1947">
        <v>1946</v>
      </c>
      <c r="D1947" s="2">
        <v>7.8267638888888894E-2</v>
      </c>
      <c r="E1947" t="s">
        <v>1435</v>
      </c>
      <c r="F1947" t="s">
        <v>1436</v>
      </c>
      <c r="G1947" t="s">
        <v>1437</v>
      </c>
      <c r="H1947" t="s">
        <v>387</v>
      </c>
      <c r="I1947" t="s">
        <v>821</v>
      </c>
      <c r="J1947" t="s">
        <v>663</v>
      </c>
      <c r="K1947" t="s">
        <v>27</v>
      </c>
      <c r="L1947">
        <v>109.84</v>
      </c>
      <c r="M1947" s="1">
        <v>45989</v>
      </c>
      <c r="N1947" t="s">
        <v>79</v>
      </c>
      <c r="O1947">
        <v>28</v>
      </c>
      <c r="P1947">
        <v>11</v>
      </c>
      <c r="Q1947">
        <v>4</v>
      </c>
      <c r="R1947">
        <v>2025</v>
      </c>
    </row>
    <row r="1948" spans="1:18">
      <c r="A1948">
        <v>256.33999999999997</v>
      </c>
      <c r="B1948">
        <v>2</v>
      </c>
      <c r="C1948">
        <v>1947</v>
      </c>
      <c r="D1948" s="2">
        <v>0.77722111111111114</v>
      </c>
      <c r="E1948" t="s">
        <v>2276</v>
      </c>
      <c r="F1948" t="s">
        <v>2277</v>
      </c>
      <c r="G1948" t="s">
        <v>2004</v>
      </c>
      <c r="H1948" t="s">
        <v>322</v>
      </c>
      <c r="I1948" t="s">
        <v>795</v>
      </c>
      <c r="J1948" t="s">
        <v>487</v>
      </c>
      <c r="K1948" t="s">
        <v>19</v>
      </c>
      <c r="L1948">
        <v>128.16999999999999</v>
      </c>
      <c r="M1948" s="1">
        <v>46108</v>
      </c>
      <c r="N1948" t="s">
        <v>79</v>
      </c>
      <c r="O1948">
        <v>27</v>
      </c>
      <c r="P1948">
        <v>3</v>
      </c>
      <c r="Q1948">
        <v>1</v>
      </c>
      <c r="R1948">
        <v>2026</v>
      </c>
    </row>
    <row r="1949" spans="1:18">
      <c r="A1949">
        <v>108.05</v>
      </c>
      <c r="B1949">
        <v>1</v>
      </c>
      <c r="C1949">
        <v>1948</v>
      </c>
      <c r="D1949" s="2">
        <v>0.12328356481481481</v>
      </c>
      <c r="E1949" t="s">
        <v>3265</v>
      </c>
      <c r="F1949" t="s">
        <v>3266</v>
      </c>
      <c r="G1949" t="s">
        <v>1324</v>
      </c>
      <c r="H1949" t="s">
        <v>980</v>
      </c>
      <c r="I1949" t="s">
        <v>981</v>
      </c>
      <c r="J1949" t="s">
        <v>682</v>
      </c>
      <c r="K1949" t="s">
        <v>23</v>
      </c>
      <c r="L1949">
        <v>108.05</v>
      </c>
      <c r="M1949" s="1">
        <v>45915</v>
      </c>
      <c r="N1949" t="s">
        <v>93</v>
      </c>
      <c r="O1949">
        <v>15</v>
      </c>
      <c r="P1949">
        <v>9</v>
      </c>
      <c r="Q1949">
        <v>3</v>
      </c>
      <c r="R1949">
        <v>2025</v>
      </c>
    </row>
    <row r="1950" spans="1:18">
      <c r="A1950">
        <v>112.8</v>
      </c>
      <c r="B1950">
        <v>5</v>
      </c>
      <c r="C1950">
        <v>1949</v>
      </c>
      <c r="D1950" s="2">
        <v>0.46433464120370371</v>
      </c>
      <c r="E1950" t="s">
        <v>2014</v>
      </c>
      <c r="F1950" t="s">
        <v>2015</v>
      </c>
      <c r="G1950" t="s">
        <v>1585</v>
      </c>
      <c r="H1950" t="s">
        <v>862</v>
      </c>
      <c r="I1950" t="s">
        <v>908</v>
      </c>
      <c r="J1950" t="s">
        <v>371</v>
      </c>
      <c r="K1950" t="s">
        <v>21</v>
      </c>
      <c r="L1950">
        <v>22.56</v>
      </c>
      <c r="M1950" s="1">
        <v>46274</v>
      </c>
      <c r="N1950" t="s">
        <v>34</v>
      </c>
      <c r="O1950">
        <v>9</v>
      </c>
      <c r="P1950">
        <v>9</v>
      </c>
      <c r="Q1950">
        <v>3</v>
      </c>
      <c r="R1950">
        <v>2026</v>
      </c>
    </row>
    <row r="1951" spans="1:18">
      <c r="A1951">
        <v>350.56</v>
      </c>
      <c r="B1951">
        <v>4</v>
      </c>
      <c r="C1951">
        <v>1950</v>
      </c>
      <c r="D1951" s="2">
        <v>0.13826667824074074</v>
      </c>
      <c r="E1951" t="s">
        <v>2995</v>
      </c>
      <c r="F1951" t="s">
        <v>2996</v>
      </c>
      <c r="G1951" t="s">
        <v>2108</v>
      </c>
      <c r="H1951" t="s">
        <v>1039</v>
      </c>
      <c r="I1951" t="s">
        <v>758</v>
      </c>
      <c r="J1951" t="s">
        <v>561</v>
      </c>
      <c r="K1951" t="s">
        <v>17</v>
      </c>
      <c r="L1951">
        <v>87.64</v>
      </c>
      <c r="M1951" s="1">
        <v>46216</v>
      </c>
      <c r="N1951" t="s">
        <v>93</v>
      </c>
      <c r="O1951">
        <v>13</v>
      </c>
      <c r="P1951">
        <v>7</v>
      </c>
      <c r="Q1951">
        <v>3</v>
      </c>
      <c r="R1951">
        <v>2026</v>
      </c>
    </row>
    <row r="1952" spans="1:18">
      <c r="A1952">
        <v>735.66</v>
      </c>
      <c r="B1952">
        <v>3</v>
      </c>
      <c r="C1952">
        <v>1951</v>
      </c>
      <c r="D1952" s="2">
        <v>0.24748310185185185</v>
      </c>
      <c r="E1952" t="s">
        <v>2556</v>
      </c>
      <c r="F1952" t="s">
        <v>2557</v>
      </c>
      <c r="G1952" t="s">
        <v>976</v>
      </c>
      <c r="H1952" t="s">
        <v>136</v>
      </c>
      <c r="I1952" t="s">
        <v>776</v>
      </c>
      <c r="J1952" t="s">
        <v>168</v>
      </c>
      <c r="K1952" t="s">
        <v>46</v>
      </c>
      <c r="L1952">
        <v>245.22</v>
      </c>
      <c r="M1952" s="1">
        <v>45742</v>
      </c>
      <c r="N1952" t="s">
        <v>34</v>
      </c>
      <c r="O1952">
        <v>26</v>
      </c>
      <c r="P1952">
        <v>3</v>
      </c>
      <c r="Q1952">
        <v>1</v>
      </c>
      <c r="R1952">
        <v>2025</v>
      </c>
    </row>
    <row r="1953" spans="1:18">
      <c r="A1953">
        <v>67.23</v>
      </c>
      <c r="B1953">
        <v>3</v>
      </c>
      <c r="C1953">
        <v>1952</v>
      </c>
      <c r="D1953" s="2">
        <v>5.5401921296296293E-2</v>
      </c>
      <c r="E1953" t="s">
        <v>3140</v>
      </c>
      <c r="F1953" t="s">
        <v>3141</v>
      </c>
      <c r="G1953" t="s">
        <v>2904</v>
      </c>
      <c r="H1953" t="s">
        <v>562</v>
      </c>
      <c r="I1953" t="s">
        <v>753</v>
      </c>
      <c r="J1953" t="s">
        <v>484</v>
      </c>
      <c r="K1953" t="s">
        <v>25</v>
      </c>
      <c r="L1953">
        <v>22.41</v>
      </c>
      <c r="M1953" s="1">
        <v>46237</v>
      </c>
      <c r="N1953" t="s">
        <v>93</v>
      </c>
      <c r="O1953">
        <v>3</v>
      </c>
      <c r="P1953">
        <v>8</v>
      </c>
      <c r="Q1953">
        <v>3</v>
      </c>
      <c r="R1953">
        <v>2026</v>
      </c>
    </row>
    <row r="1954" spans="1:18">
      <c r="A1954">
        <v>345.81</v>
      </c>
      <c r="B1954">
        <v>3</v>
      </c>
      <c r="C1954">
        <v>1953</v>
      </c>
      <c r="D1954" s="2">
        <v>0.45358171296296296</v>
      </c>
      <c r="E1954" t="s">
        <v>2865</v>
      </c>
      <c r="F1954" t="s">
        <v>2866</v>
      </c>
      <c r="G1954" t="s">
        <v>1085</v>
      </c>
      <c r="H1954" t="s">
        <v>608</v>
      </c>
      <c r="I1954" t="s">
        <v>966</v>
      </c>
      <c r="J1954" t="s">
        <v>198</v>
      </c>
      <c r="K1954" t="s">
        <v>43</v>
      </c>
      <c r="L1954">
        <v>115.27</v>
      </c>
      <c r="M1954" s="1">
        <v>45673</v>
      </c>
      <c r="N1954" t="s">
        <v>105</v>
      </c>
      <c r="O1954">
        <v>16</v>
      </c>
      <c r="P1954">
        <v>1</v>
      </c>
      <c r="Q1954">
        <v>1</v>
      </c>
      <c r="R1954">
        <v>2025</v>
      </c>
    </row>
    <row r="1955" spans="1:18">
      <c r="A1955">
        <v>668.88</v>
      </c>
      <c r="B1955">
        <v>3</v>
      </c>
      <c r="C1955">
        <v>1954</v>
      </c>
      <c r="D1955" s="2">
        <v>0.53970149305555559</v>
      </c>
      <c r="E1955" t="s">
        <v>3272</v>
      </c>
      <c r="F1955" t="s">
        <v>3273</v>
      </c>
      <c r="G1955" t="s">
        <v>2416</v>
      </c>
      <c r="H1955" t="s">
        <v>1740</v>
      </c>
      <c r="I1955" t="s">
        <v>954</v>
      </c>
      <c r="J1955" t="s">
        <v>715</v>
      </c>
      <c r="K1955" t="s">
        <v>55</v>
      </c>
      <c r="L1955">
        <v>222.96</v>
      </c>
      <c r="M1955" s="1">
        <v>45740</v>
      </c>
      <c r="N1955" t="s">
        <v>93</v>
      </c>
      <c r="O1955">
        <v>24</v>
      </c>
      <c r="P1955">
        <v>3</v>
      </c>
      <c r="Q1955">
        <v>1</v>
      </c>
      <c r="R1955">
        <v>2025</v>
      </c>
    </row>
    <row r="1956" spans="1:18">
      <c r="A1956">
        <v>735.72</v>
      </c>
      <c r="B1956">
        <v>4</v>
      </c>
      <c r="C1956">
        <v>1955</v>
      </c>
      <c r="D1956" s="2">
        <v>0.47891760416666668</v>
      </c>
      <c r="E1956" t="s">
        <v>2106</v>
      </c>
      <c r="F1956" t="s">
        <v>2107</v>
      </c>
      <c r="G1956" t="s">
        <v>2108</v>
      </c>
      <c r="H1956" t="s">
        <v>1395</v>
      </c>
      <c r="I1956" t="s">
        <v>776</v>
      </c>
      <c r="J1956" t="s">
        <v>359</v>
      </c>
      <c r="K1956" t="s">
        <v>23</v>
      </c>
      <c r="L1956">
        <v>183.93</v>
      </c>
      <c r="M1956" s="1">
        <v>46260</v>
      </c>
      <c r="N1956" t="s">
        <v>34</v>
      </c>
      <c r="O1956">
        <v>26</v>
      </c>
      <c r="P1956">
        <v>8</v>
      </c>
      <c r="Q1956">
        <v>3</v>
      </c>
      <c r="R1956">
        <v>2026</v>
      </c>
    </row>
    <row r="1957" spans="1:18">
      <c r="A1957">
        <v>35.11</v>
      </c>
      <c r="B1957">
        <v>1</v>
      </c>
      <c r="C1957">
        <v>1956</v>
      </c>
      <c r="D1957" s="2">
        <v>0.11975828703703703</v>
      </c>
      <c r="E1957" t="s">
        <v>1787</v>
      </c>
      <c r="F1957" t="s">
        <v>1788</v>
      </c>
      <c r="G1957" t="s">
        <v>1162</v>
      </c>
      <c r="H1957" t="s">
        <v>767</v>
      </c>
      <c r="I1957" t="s">
        <v>768</v>
      </c>
      <c r="J1957" t="s">
        <v>400</v>
      </c>
      <c r="K1957" t="s">
        <v>57</v>
      </c>
      <c r="L1957">
        <v>35.11</v>
      </c>
      <c r="M1957" s="1">
        <v>45792</v>
      </c>
      <c r="N1957" t="s">
        <v>105</v>
      </c>
      <c r="O1957">
        <v>15</v>
      </c>
      <c r="P1957">
        <v>5</v>
      </c>
      <c r="Q1957">
        <v>2</v>
      </c>
      <c r="R1957">
        <v>2025</v>
      </c>
    </row>
    <row r="1958" spans="1:18">
      <c r="A1958">
        <v>259.24</v>
      </c>
      <c r="B1958">
        <v>4</v>
      </c>
      <c r="C1958">
        <v>1957</v>
      </c>
      <c r="D1958" s="2">
        <v>0.97276412037037041</v>
      </c>
      <c r="E1958" t="s">
        <v>2283</v>
      </c>
      <c r="F1958" t="s">
        <v>2284</v>
      </c>
      <c r="G1958" t="s">
        <v>2285</v>
      </c>
      <c r="H1958" t="s">
        <v>862</v>
      </c>
      <c r="I1958" t="s">
        <v>908</v>
      </c>
      <c r="J1958" t="s">
        <v>471</v>
      </c>
      <c r="K1958" t="s">
        <v>19</v>
      </c>
      <c r="L1958">
        <v>64.81</v>
      </c>
      <c r="M1958" s="1">
        <v>45606</v>
      </c>
      <c r="N1958" t="s">
        <v>28</v>
      </c>
      <c r="O1958">
        <v>10</v>
      </c>
      <c r="P1958">
        <v>11</v>
      </c>
      <c r="Q1958">
        <v>4</v>
      </c>
      <c r="R1958">
        <v>2024</v>
      </c>
    </row>
    <row r="1959" spans="1:18">
      <c r="A1959">
        <v>110.25</v>
      </c>
      <c r="B1959">
        <v>3</v>
      </c>
      <c r="C1959">
        <v>1958</v>
      </c>
      <c r="D1959" s="2">
        <v>1.1335428240740741E-2</v>
      </c>
      <c r="E1959" t="s">
        <v>1636</v>
      </c>
      <c r="F1959" t="s">
        <v>1637</v>
      </c>
      <c r="G1959" t="s">
        <v>1260</v>
      </c>
      <c r="H1959" t="s">
        <v>1189</v>
      </c>
      <c r="I1959" t="s">
        <v>892</v>
      </c>
      <c r="J1959" t="s">
        <v>637</v>
      </c>
      <c r="K1959" t="s">
        <v>100</v>
      </c>
      <c r="L1959">
        <v>36.75</v>
      </c>
      <c r="M1959" s="1">
        <v>45913</v>
      </c>
      <c r="N1959" t="s">
        <v>14</v>
      </c>
      <c r="O1959">
        <v>13</v>
      </c>
      <c r="P1959">
        <v>9</v>
      </c>
      <c r="Q1959">
        <v>3</v>
      </c>
      <c r="R1959">
        <v>2025</v>
      </c>
    </row>
    <row r="1960" spans="1:18">
      <c r="A1960">
        <v>507.8</v>
      </c>
      <c r="B1960">
        <v>5</v>
      </c>
      <c r="C1960">
        <v>1959</v>
      </c>
      <c r="D1960" s="2">
        <v>0.95500714120370367</v>
      </c>
      <c r="E1960" t="s">
        <v>3175</v>
      </c>
      <c r="F1960" t="s">
        <v>3176</v>
      </c>
      <c r="G1960" t="s">
        <v>882</v>
      </c>
      <c r="H1960" t="s">
        <v>392</v>
      </c>
      <c r="I1960" t="s">
        <v>834</v>
      </c>
      <c r="J1960" t="s">
        <v>426</v>
      </c>
      <c r="K1960" t="s">
        <v>37</v>
      </c>
      <c r="L1960">
        <v>101.56</v>
      </c>
      <c r="M1960" s="1">
        <v>45562</v>
      </c>
      <c r="N1960" t="s">
        <v>79</v>
      </c>
      <c r="O1960">
        <v>27</v>
      </c>
      <c r="P1960">
        <v>9</v>
      </c>
      <c r="Q1960">
        <v>3</v>
      </c>
      <c r="R1960">
        <v>2024</v>
      </c>
    </row>
    <row r="1961" spans="1:18">
      <c r="A1961">
        <v>574.48</v>
      </c>
      <c r="B1961">
        <v>4</v>
      </c>
      <c r="C1961">
        <v>1960</v>
      </c>
      <c r="D1961" s="2">
        <v>0.16001582175925927</v>
      </c>
      <c r="E1961" t="s">
        <v>1769</v>
      </c>
      <c r="F1961" t="s">
        <v>1770</v>
      </c>
      <c r="G1961" t="s">
        <v>1771</v>
      </c>
      <c r="H1961" t="s">
        <v>915</v>
      </c>
      <c r="I1961" t="s">
        <v>768</v>
      </c>
      <c r="J1961" t="s">
        <v>326</v>
      </c>
      <c r="K1961" t="s">
        <v>97</v>
      </c>
      <c r="L1961">
        <v>143.62</v>
      </c>
      <c r="M1961" s="1">
        <v>45805</v>
      </c>
      <c r="N1961" t="s">
        <v>34</v>
      </c>
      <c r="O1961">
        <v>28</v>
      </c>
      <c r="P1961">
        <v>5</v>
      </c>
      <c r="Q1961">
        <v>2</v>
      </c>
      <c r="R1961">
        <v>2025</v>
      </c>
    </row>
    <row r="1962" spans="1:18">
      <c r="A1962">
        <v>10.48</v>
      </c>
      <c r="B1962">
        <v>1</v>
      </c>
      <c r="C1962">
        <v>1961</v>
      </c>
      <c r="D1962" s="2">
        <v>0.9488364583333333</v>
      </c>
      <c r="E1962" t="s">
        <v>2895</v>
      </c>
      <c r="F1962" t="s">
        <v>2896</v>
      </c>
      <c r="G1962" t="s">
        <v>1987</v>
      </c>
      <c r="H1962" t="s">
        <v>2468</v>
      </c>
      <c r="I1962" t="s">
        <v>763</v>
      </c>
      <c r="J1962" t="s">
        <v>578</v>
      </c>
      <c r="K1962" t="s">
        <v>82</v>
      </c>
      <c r="L1962">
        <v>10.48</v>
      </c>
      <c r="M1962" s="1">
        <v>46028</v>
      </c>
      <c r="N1962" t="s">
        <v>48</v>
      </c>
      <c r="O1962">
        <v>6</v>
      </c>
      <c r="P1962">
        <v>1</v>
      </c>
      <c r="Q1962">
        <v>1</v>
      </c>
      <c r="R1962">
        <v>2026</v>
      </c>
    </row>
    <row r="1963" spans="1:18">
      <c r="A1963">
        <v>238.1</v>
      </c>
      <c r="B1963">
        <v>5</v>
      </c>
      <c r="C1963">
        <v>1962</v>
      </c>
      <c r="D1963" s="2">
        <v>0.25164350694444443</v>
      </c>
      <c r="E1963" t="s">
        <v>2437</v>
      </c>
      <c r="F1963" t="s">
        <v>2438</v>
      </c>
      <c r="G1963" t="s">
        <v>1025</v>
      </c>
      <c r="H1963" t="s">
        <v>1111</v>
      </c>
      <c r="I1963" t="s">
        <v>981</v>
      </c>
      <c r="J1963" t="s">
        <v>508</v>
      </c>
      <c r="K1963" t="s">
        <v>43</v>
      </c>
      <c r="L1963">
        <v>47.62</v>
      </c>
      <c r="M1963" s="1">
        <v>46085</v>
      </c>
      <c r="N1963" t="s">
        <v>34</v>
      </c>
      <c r="O1963">
        <v>4</v>
      </c>
      <c r="P1963">
        <v>3</v>
      </c>
      <c r="Q1963">
        <v>1</v>
      </c>
      <c r="R1963">
        <v>2026</v>
      </c>
    </row>
    <row r="1964" spans="1:18">
      <c r="A1964">
        <v>735.72</v>
      </c>
      <c r="B1964">
        <v>4</v>
      </c>
      <c r="C1964">
        <v>1963</v>
      </c>
      <c r="D1964" s="2">
        <v>1.9024375E-2</v>
      </c>
      <c r="E1964" t="s">
        <v>2439</v>
      </c>
      <c r="F1964" t="s">
        <v>2440</v>
      </c>
      <c r="G1964" t="s">
        <v>1716</v>
      </c>
      <c r="H1964" t="s">
        <v>2441</v>
      </c>
      <c r="I1964" t="s">
        <v>834</v>
      </c>
      <c r="J1964" t="s">
        <v>359</v>
      </c>
      <c r="K1964" t="s">
        <v>23</v>
      </c>
      <c r="L1964">
        <v>183.93</v>
      </c>
      <c r="M1964" s="1">
        <v>45758</v>
      </c>
      <c r="N1964" t="s">
        <v>79</v>
      </c>
      <c r="O1964">
        <v>11</v>
      </c>
      <c r="P1964">
        <v>4</v>
      </c>
      <c r="Q1964">
        <v>2</v>
      </c>
      <c r="R1964">
        <v>2025</v>
      </c>
    </row>
    <row r="1965" spans="1:18">
      <c r="A1965">
        <v>411.72</v>
      </c>
      <c r="B1965">
        <v>3</v>
      </c>
      <c r="C1965">
        <v>1964</v>
      </c>
      <c r="D1965" s="2">
        <v>0.75012833333333329</v>
      </c>
      <c r="E1965" t="s">
        <v>3276</v>
      </c>
      <c r="F1965" t="s">
        <v>3277</v>
      </c>
      <c r="G1965" t="s">
        <v>1348</v>
      </c>
      <c r="H1965" t="s">
        <v>380</v>
      </c>
      <c r="I1965" t="s">
        <v>896</v>
      </c>
      <c r="J1965" t="s">
        <v>468</v>
      </c>
      <c r="K1965" t="s">
        <v>25</v>
      </c>
      <c r="L1965">
        <v>137.24</v>
      </c>
      <c r="M1965" s="1">
        <v>46116</v>
      </c>
      <c r="N1965" t="s">
        <v>14</v>
      </c>
      <c r="O1965">
        <v>4</v>
      </c>
      <c r="P1965">
        <v>4</v>
      </c>
      <c r="Q1965">
        <v>2</v>
      </c>
      <c r="R1965">
        <v>2026</v>
      </c>
    </row>
    <row r="1966" spans="1:18">
      <c r="A1966">
        <v>8.16</v>
      </c>
      <c r="B1966">
        <v>3</v>
      </c>
      <c r="C1966">
        <v>1965</v>
      </c>
      <c r="D1966" s="2">
        <v>0.97339310185185191</v>
      </c>
      <c r="E1966" t="s">
        <v>2569</v>
      </c>
      <c r="F1966" t="s">
        <v>2570</v>
      </c>
      <c r="G1966" t="s">
        <v>2571</v>
      </c>
      <c r="H1966" t="s">
        <v>1026</v>
      </c>
      <c r="I1966" t="s">
        <v>896</v>
      </c>
      <c r="J1966" t="s">
        <v>99</v>
      </c>
      <c r="K1966" t="s">
        <v>100</v>
      </c>
      <c r="L1966">
        <v>2.72</v>
      </c>
      <c r="M1966" s="1">
        <v>45710</v>
      </c>
      <c r="N1966" t="s">
        <v>14</v>
      </c>
      <c r="O1966">
        <v>22</v>
      </c>
      <c r="P1966">
        <v>2</v>
      </c>
      <c r="Q1966">
        <v>1</v>
      </c>
      <c r="R1966">
        <v>2025</v>
      </c>
    </row>
    <row r="1967" spans="1:18">
      <c r="A1967">
        <v>297.8</v>
      </c>
      <c r="B1967">
        <v>5</v>
      </c>
      <c r="C1967">
        <v>1966</v>
      </c>
      <c r="D1967" s="2">
        <v>0.82976881944444447</v>
      </c>
      <c r="E1967" t="s">
        <v>1528</v>
      </c>
      <c r="F1967" t="s">
        <v>1529</v>
      </c>
      <c r="G1967" t="s">
        <v>998</v>
      </c>
      <c r="H1967" t="s">
        <v>1465</v>
      </c>
      <c r="I1967" t="s">
        <v>817</v>
      </c>
      <c r="J1967" t="s">
        <v>573</v>
      </c>
      <c r="K1967" t="s">
        <v>55</v>
      </c>
      <c r="L1967">
        <v>59.56</v>
      </c>
      <c r="M1967" s="1">
        <v>45917</v>
      </c>
      <c r="N1967" t="s">
        <v>34</v>
      </c>
      <c r="O1967">
        <v>17</v>
      </c>
      <c r="P1967">
        <v>9</v>
      </c>
      <c r="Q1967">
        <v>3</v>
      </c>
      <c r="R1967">
        <v>2025</v>
      </c>
    </row>
    <row r="1968" spans="1:18">
      <c r="A1968">
        <v>318.72000000000003</v>
      </c>
      <c r="B1968">
        <v>4</v>
      </c>
      <c r="C1968">
        <v>1967</v>
      </c>
      <c r="D1968" s="2">
        <v>0.73581578703703698</v>
      </c>
      <c r="E1968" t="s">
        <v>1264</v>
      </c>
      <c r="F1968" t="s">
        <v>1265</v>
      </c>
      <c r="G1968" t="s">
        <v>1266</v>
      </c>
      <c r="H1968" t="s">
        <v>392</v>
      </c>
      <c r="I1968" t="s">
        <v>943</v>
      </c>
      <c r="J1968" t="s">
        <v>565</v>
      </c>
      <c r="K1968" t="s">
        <v>17</v>
      </c>
      <c r="L1968">
        <v>79.680000000000007</v>
      </c>
      <c r="M1968" s="1">
        <v>46137</v>
      </c>
      <c r="N1968" t="s">
        <v>14</v>
      </c>
      <c r="O1968">
        <v>25</v>
      </c>
      <c r="P1968">
        <v>4</v>
      </c>
      <c r="Q1968">
        <v>2</v>
      </c>
      <c r="R1968">
        <v>2026</v>
      </c>
    </row>
    <row r="1969" spans="1:18">
      <c r="A1969">
        <v>188.35</v>
      </c>
      <c r="B1969">
        <v>1</v>
      </c>
      <c r="C1969">
        <v>1968</v>
      </c>
      <c r="D1969" s="2">
        <v>0.2171701736111111</v>
      </c>
      <c r="E1969" t="s">
        <v>1144</v>
      </c>
      <c r="F1969" t="s">
        <v>1145</v>
      </c>
      <c r="G1969" t="s">
        <v>1146</v>
      </c>
      <c r="H1969" t="s">
        <v>1128</v>
      </c>
      <c r="I1969" t="s">
        <v>954</v>
      </c>
      <c r="J1969" t="s">
        <v>699</v>
      </c>
      <c r="K1969" t="s">
        <v>100</v>
      </c>
      <c r="L1969">
        <v>188.35</v>
      </c>
      <c r="M1969" s="1">
        <v>45639</v>
      </c>
      <c r="N1969" t="s">
        <v>79</v>
      </c>
      <c r="O1969">
        <v>13</v>
      </c>
      <c r="P1969">
        <v>12</v>
      </c>
      <c r="Q1969">
        <v>4</v>
      </c>
      <c r="R1969">
        <v>2024</v>
      </c>
    </row>
    <row r="1970" spans="1:18">
      <c r="A1970">
        <v>642.36</v>
      </c>
      <c r="B1970">
        <v>4</v>
      </c>
      <c r="C1970">
        <v>1969</v>
      </c>
      <c r="D1970" s="2">
        <v>0.37152917824074072</v>
      </c>
      <c r="E1970" t="s">
        <v>1570</v>
      </c>
      <c r="F1970" t="s">
        <v>1571</v>
      </c>
      <c r="G1970" t="s">
        <v>1274</v>
      </c>
      <c r="H1970" t="s">
        <v>1502</v>
      </c>
      <c r="I1970" t="s">
        <v>817</v>
      </c>
      <c r="J1970" t="s">
        <v>267</v>
      </c>
      <c r="K1970" t="s">
        <v>25</v>
      </c>
      <c r="L1970">
        <v>160.59</v>
      </c>
      <c r="M1970" s="1">
        <v>45703</v>
      </c>
      <c r="N1970" t="s">
        <v>14</v>
      </c>
      <c r="O1970">
        <v>15</v>
      </c>
      <c r="P1970">
        <v>2</v>
      </c>
      <c r="Q1970">
        <v>1</v>
      </c>
      <c r="R1970">
        <v>2025</v>
      </c>
    </row>
    <row r="1971" spans="1:18">
      <c r="A1971">
        <v>135.05000000000001</v>
      </c>
      <c r="B1971">
        <v>5</v>
      </c>
      <c r="C1971">
        <v>1970</v>
      </c>
      <c r="D1971" s="2">
        <v>0.77619244212962968</v>
      </c>
      <c r="E1971" t="s">
        <v>866</v>
      </c>
      <c r="F1971" t="s">
        <v>867</v>
      </c>
      <c r="G1971" t="s">
        <v>868</v>
      </c>
      <c r="H1971" t="s">
        <v>869</v>
      </c>
      <c r="I1971" t="s">
        <v>812</v>
      </c>
      <c r="J1971" t="s">
        <v>117</v>
      </c>
      <c r="K1971" t="s">
        <v>55</v>
      </c>
      <c r="L1971">
        <v>27.01</v>
      </c>
      <c r="M1971" s="1">
        <v>45623</v>
      </c>
      <c r="N1971" t="s">
        <v>34</v>
      </c>
      <c r="O1971">
        <v>27</v>
      </c>
      <c r="P1971">
        <v>11</v>
      </c>
      <c r="Q1971">
        <v>4</v>
      </c>
      <c r="R1971">
        <v>2024</v>
      </c>
    </row>
    <row r="1972" spans="1:18">
      <c r="A1972">
        <v>234.84</v>
      </c>
      <c r="B1972">
        <v>3</v>
      </c>
      <c r="C1972">
        <v>1971</v>
      </c>
      <c r="D1972" s="2">
        <v>0.18348265046296297</v>
      </c>
      <c r="E1972" t="s">
        <v>2002</v>
      </c>
      <c r="F1972" t="s">
        <v>2003</v>
      </c>
      <c r="G1972" t="s">
        <v>2004</v>
      </c>
      <c r="H1972" t="s">
        <v>794</v>
      </c>
      <c r="I1972" t="s">
        <v>821</v>
      </c>
      <c r="J1972" t="s">
        <v>441</v>
      </c>
      <c r="K1972" t="s">
        <v>37</v>
      </c>
      <c r="L1972">
        <v>78.28</v>
      </c>
      <c r="M1972" s="1">
        <v>45609</v>
      </c>
      <c r="N1972" t="s">
        <v>34</v>
      </c>
      <c r="O1972">
        <v>13</v>
      </c>
      <c r="P1972">
        <v>11</v>
      </c>
      <c r="Q1972">
        <v>4</v>
      </c>
      <c r="R1972">
        <v>2024</v>
      </c>
    </row>
    <row r="1973" spans="1:18">
      <c r="A1973">
        <v>246.26</v>
      </c>
      <c r="B1973">
        <v>2</v>
      </c>
      <c r="C1973">
        <v>1972</v>
      </c>
      <c r="D1973" s="2">
        <v>0.37847060185185183</v>
      </c>
      <c r="E1973" t="s">
        <v>958</v>
      </c>
      <c r="F1973" t="s">
        <v>959</v>
      </c>
      <c r="G1973" t="s">
        <v>960</v>
      </c>
      <c r="H1973" t="s">
        <v>961</v>
      </c>
      <c r="I1973" t="s">
        <v>807</v>
      </c>
      <c r="J1973" t="s">
        <v>66</v>
      </c>
      <c r="K1973" t="s">
        <v>46</v>
      </c>
      <c r="L1973">
        <v>123.13</v>
      </c>
      <c r="M1973" s="1">
        <v>46101</v>
      </c>
      <c r="N1973" t="s">
        <v>79</v>
      </c>
      <c r="O1973">
        <v>20</v>
      </c>
      <c r="P1973">
        <v>3</v>
      </c>
      <c r="Q1973">
        <v>1</v>
      </c>
      <c r="R1973">
        <v>2026</v>
      </c>
    </row>
    <row r="1974" spans="1:18">
      <c r="A1974">
        <v>734.49</v>
      </c>
      <c r="B1974">
        <v>3</v>
      </c>
      <c r="C1974">
        <v>1973</v>
      </c>
      <c r="D1974" s="2">
        <v>0.8170663773148148</v>
      </c>
      <c r="E1974" t="s">
        <v>3359</v>
      </c>
      <c r="F1974" t="s">
        <v>3360</v>
      </c>
      <c r="G1974" t="s">
        <v>2643</v>
      </c>
      <c r="H1974" t="s">
        <v>106</v>
      </c>
      <c r="I1974" t="s">
        <v>790</v>
      </c>
      <c r="J1974" t="s">
        <v>589</v>
      </c>
      <c r="K1974" t="s">
        <v>46</v>
      </c>
      <c r="L1974">
        <v>244.83</v>
      </c>
      <c r="M1974" s="1">
        <v>45723</v>
      </c>
      <c r="N1974" t="s">
        <v>79</v>
      </c>
      <c r="O1974">
        <v>7</v>
      </c>
      <c r="P1974">
        <v>3</v>
      </c>
      <c r="Q1974">
        <v>1</v>
      </c>
      <c r="R1974">
        <v>2025</v>
      </c>
    </row>
    <row r="1975" spans="1:18">
      <c r="A1975">
        <v>236.61</v>
      </c>
      <c r="B1975">
        <v>1</v>
      </c>
      <c r="C1975">
        <v>1974</v>
      </c>
      <c r="D1975" s="2">
        <v>0.54389210648148145</v>
      </c>
      <c r="E1975" t="s">
        <v>1011</v>
      </c>
      <c r="F1975" t="s">
        <v>1012</v>
      </c>
      <c r="G1975" t="s">
        <v>1013</v>
      </c>
      <c r="H1975" t="s">
        <v>883</v>
      </c>
      <c r="I1975" t="s">
        <v>807</v>
      </c>
      <c r="J1975" t="s">
        <v>235</v>
      </c>
      <c r="K1975" t="s">
        <v>19</v>
      </c>
      <c r="L1975">
        <v>236.61</v>
      </c>
      <c r="M1975" s="1">
        <v>45605</v>
      </c>
      <c r="N1975" t="s">
        <v>14</v>
      </c>
      <c r="O1975">
        <v>9</v>
      </c>
      <c r="P1975">
        <v>11</v>
      </c>
      <c r="Q1975">
        <v>4</v>
      </c>
      <c r="R1975">
        <v>2024</v>
      </c>
    </row>
    <row r="1976" spans="1:18">
      <c r="A1976">
        <v>105.24</v>
      </c>
      <c r="B1976">
        <v>2</v>
      </c>
      <c r="C1976">
        <v>1975</v>
      </c>
      <c r="D1976" s="2">
        <v>0.69388059027777782</v>
      </c>
      <c r="E1976" t="s">
        <v>3165</v>
      </c>
      <c r="F1976" t="s">
        <v>3166</v>
      </c>
      <c r="G1976" t="s">
        <v>1633</v>
      </c>
      <c r="H1976" t="s">
        <v>1673</v>
      </c>
      <c r="I1976" t="s">
        <v>821</v>
      </c>
      <c r="J1976" t="s">
        <v>270</v>
      </c>
      <c r="K1976" t="s">
        <v>55</v>
      </c>
      <c r="L1976">
        <v>52.62</v>
      </c>
      <c r="M1976" s="1">
        <v>45694</v>
      </c>
      <c r="N1976" t="s">
        <v>105</v>
      </c>
      <c r="O1976">
        <v>6</v>
      </c>
      <c r="P1976">
        <v>2</v>
      </c>
      <c r="Q1976">
        <v>1</v>
      </c>
      <c r="R1976">
        <v>2025</v>
      </c>
    </row>
    <row r="1977" spans="1:18">
      <c r="A1977">
        <v>152.88</v>
      </c>
      <c r="B1977">
        <v>2</v>
      </c>
      <c r="C1977">
        <v>1976</v>
      </c>
      <c r="D1977" s="2">
        <v>0.30753796296296299</v>
      </c>
      <c r="E1977" t="s">
        <v>982</v>
      </c>
      <c r="F1977" t="s">
        <v>983</v>
      </c>
      <c r="G1977" t="s">
        <v>984</v>
      </c>
      <c r="H1977" t="s">
        <v>985</v>
      </c>
      <c r="I1977" t="s">
        <v>817</v>
      </c>
      <c r="J1977" t="s">
        <v>92</v>
      </c>
      <c r="K1977" t="s">
        <v>51</v>
      </c>
      <c r="L1977">
        <v>76.44</v>
      </c>
      <c r="M1977" s="1">
        <v>45615</v>
      </c>
      <c r="N1977" t="s">
        <v>48</v>
      </c>
      <c r="O1977">
        <v>19</v>
      </c>
      <c r="P1977">
        <v>11</v>
      </c>
      <c r="Q1977">
        <v>4</v>
      </c>
      <c r="R1977">
        <v>2024</v>
      </c>
    </row>
    <row r="1978" spans="1:18">
      <c r="A1978">
        <v>242.81</v>
      </c>
      <c r="B1978">
        <v>1</v>
      </c>
      <c r="C1978">
        <v>1977</v>
      </c>
      <c r="D1978" s="2">
        <v>0.70158624999999997</v>
      </c>
      <c r="E1978" t="s">
        <v>3175</v>
      </c>
      <c r="F1978" t="s">
        <v>3176</v>
      </c>
      <c r="G1978" t="s">
        <v>882</v>
      </c>
      <c r="H1978" t="s">
        <v>392</v>
      </c>
      <c r="I1978" t="s">
        <v>834</v>
      </c>
      <c r="J1978" t="s">
        <v>329</v>
      </c>
      <c r="K1978" t="s">
        <v>82</v>
      </c>
      <c r="L1978">
        <v>242.81</v>
      </c>
      <c r="M1978" s="1">
        <v>45881</v>
      </c>
      <c r="N1978" t="s">
        <v>48</v>
      </c>
      <c r="O1978">
        <v>12</v>
      </c>
      <c r="P1978">
        <v>8</v>
      </c>
      <c r="Q1978">
        <v>3</v>
      </c>
      <c r="R1978">
        <v>2025</v>
      </c>
    </row>
    <row r="1979" spans="1:18">
      <c r="A1979">
        <v>536.91</v>
      </c>
      <c r="B1979">
        <v>3</v>
      </c>
      <c r="C1979">
        <v>1978</v>
      </c>
      <c r="D1979" s="2">
        <v>0.92462906249999999</v>
      </c>
      <c r="E1979" t="s">
        <v>1923</v>
      </c>
      <c r="F1979" t="s">
        <v>2593</v>
      </c>
      <c r="G1979" t="s">
        <v>2594</v>
      </c>
      <c r="H1979" t="s">
        <v>708</v>
      </c>
      <c r="I1979" t="s">
        <v>834</v>
      </c>
      <c r="J1979" t="s">
        <v>612</v>
      </c>
      <c r="K1979" t="s">
        <v>97</v>
      </c>
      <c r="L1979">
        <v>178.97</v>
      </c>
      <c r="M1979" s="1">
        <v>45835</v>
      </c>
      <c r="N1979" t="s">
        <v>79</v>
      </c>
      <c r="O1979">
        <v>27</v>
      </c>
      <c r="P1979">
        <v>6</v>
      </c>
      <c r="Q1979">
        <v>2</v>
      </c>
      <c r="R1979">
        <v>2025</v>
      </c>
    </row>
    <row r="1980" spans="1:18">
      <c r="A1980">
        <v>36.75</v>
      </c>
      <c r="B1980">
        <v>1</v>
      </c>
      <c r="C1980">
        <v>1979</v>
      </c>
      <c r="D1980" s="2">
        <v>0.92899329861111113</v>
      </c>
      <c r="E1980" t="s">
        <v>1112</v>
      </c>
      <c r="F1980" t="s">
        <v>1113</v>
      </c>
      <c r="G1980" t="s">
        <v>1114</v>
      </c>
      <c r="H1980" t="s">
        <v>1078</v>
      </c>
      <c r="I1980" t="s">
        <v>781</v>
      </c>
      <c r="J1980" t="s">
        <v>637</v>
      </c>
      <c r="K1980" t="s">
        <v>100</v>
      </c>
      <c r="L1980">
        <v>36.75</v>
      </c>
      <c r="M1980" s="1">
        <v>46272</v>
      </c>
      <c r="N1980" t="s">
        <v>93</v>
      </c>
      <c r="O1980">
        <v>7</v>
      </c>
      <c r="P1980">
        <v>9</v>
      </c>
      <c r="Q1980">
        <v>3</v>
      </c>
      <c r="R1980">
        <v>2026</v>
      </c>
    </row>
    <row r="1981" spans="1:18">
      <c r="A1981">
        <v>141.36000000000001</v>
      </c>
      <c r="B1981">
        <v>1</v>
      </c>
      <c r="C1981">
        <v>1980</v>
      </c>
      <c r="D1981" s="2">
        <v>0.94461981481481483</v>
      </c>
      <c r="E1981" t="s">
        <v>1062</v>
      </c>
      <c r="F1981" t="s">
        <v>1063</v>
      </c>
      <c r="G1981" t="s">
        <v>1064</v>
      </c>
      <c r="H1981" t="s">
        <v>151</v>
      </c>
      <c r="I1981" t="s">
        <v>1003</v>
      </c>
      <c r="J1981" t="s">
        <v>181</v>
      </c>
      <c r="K1981" t="s">
        <v>82</v>
      </c>
      <c r="L1981">
        <v>141.36000000000001</v>
      </c>
      <c r="M1981" s="1">
        <v>46208</v>
      </c>
      <c r="N1981" t="s">
        <v>28</v>
      </c>
      <c r="O1981">
        <v>5</v>
      </c>
      <c r="P1981">
        <v>7</v>
      </c>
      <c r="Q1981">
        <v>3</v>
      </c>
      <c r="R1981">
        <v>2026</v>
      </c>
    </row>
    <row r="1982" spans="1:18">
      <c r="A1982">
        <v>1001.35</v>
      </c>
      <c r="B1982">
        <v>5</v>
      </c>
      <c r="C1982">
        <v>1981</v>
      </c>
      <c r="D1982" s="2">
        <v>0.16652718750000001</v>
      </c>
      <c r="E1982" t="s">
        <v>1528</v>
      </c>
      <c r="F1982" t="s">
        <v>1529</v>
      </c>
      <c r="G1982" t="s">
        <v>998</v>
      </c>
      <c r="H1982" t="s">
        <v>1465</v>
      </c>
      <c r="I1982" t="s">
        <v>817</v>
      </c>
      <c r="J1982" t="s">
        <v>434</v>
      </c>
      <c r="K1982" t="s">
        <v>57</v>
      </c>
      <c r="L1982">
        <v>200.27</v>
      </c>
      <c r="M1982" s="1">
        <v>46118</v>
      </c>
      <c r="N1982" t="s">
        <v>93</v>
      </c>
      <c r="O1982">
        <v>6</v>
      </c>
      <c r="P1982">
        <v>4</v>
      </c>
      <c r="Q1982">
        <v>2</v>
      </c>
      <c r="R1982">
        <v>2026</v>
      </c>
    </row>
    <row r="1983" spans="1:18">
      <c r="A1983">
        <v>183.22</v>
      </c>
      <c r="B1983">
        <v>1</v>
      </c>
      <c r="C1983">
        <v>1982</v>
      </c>
      <c r="D1983" s="2">
        <v>0.10287111111111111</v>
      </c>
      <c r="E1983" t="s">
        <v>2790</v>
      </c>
      <c r="F1983" t="s">
        <v>2791</v>
      </c>
      <c r="G1983" t="s">
        <v>1440</v>
      </c>
      <c r="H1983" t="s">
        <v>1342</v>
      </c>
      <c r="I1983" t="s">
        <v>776</v>
      </c>
      <c r="J1983" t="s">
        <v>491</v>
      </c>
      <c r="K1983" t="s">
        <v>25</v>
      </c>
      <c r="L1983">
        <v>183.22</v>
      </c>
      <c r="M1983" s="1">
        <v>45900</v>
      </c>
      <c r="N1983" t="s">
        <v>28</v>
      </c>
      <c r="O1983">
        <v>31</v>
      </c>
      <c r="P1983">
        <v>8</v>
      </c>
      <c r="Q1983">
        <v>3</v>
      </c>
      <c r="R1983">
        <v>2025</v>
      </c>
    </row>
    <row r="1984" spans="1:18">
      <c r="A1984">
        <v>60.91</v>
      </c>
      <c r="B1984">
        <v>1</v>
      </c>
      <c r="C1984">
        <v>1983</v>
      </c>
      <c r="D1984" s="2">
        <v>0.36581724537037036</v>
      </c>
      <c r="E1984" t="s">
        <v>886</v>
      </c>
      <c r="F1984" t="s">
        <v>887</v>
      </c>
      <c r="G1984" t="s">
        <v>888</v>
      </c>
      <c r="H1984" t="s">
        <v>806</v>
      </c>
      <c r="I1984" t="s">
        <v>807</v>
      </c>
      <c r="J1984" t="s">
        <v>550</v>
      </c>
      <c r="K1984" t="s">
        <v>55</v>
      </c>
      <c r="L1984">
        <v>60.91</v>
      </c>
      <c r="M1984" s="1">
        <v>46212</v>
      </c>
      <c r="N1984" t="s">
        <v>105</v>
      </c>
      <c r="O1984">
        <v>9</v>
      </c>
      <c r="P1984">
        <v>7</v>
      </c>
      <c r="Q1984">
        <v>3</v>
      </c>
      <c r="R1984">
        <v>2026</v>
      </c>
    </row>
    <row r="1985" spans="1:18">
      <c r="A1985">
        <v>20.420000000000002</v>
      </c>
      <c r="B1985">
        <v>1</v>
      </c>
      <c r="C1985">
        <v>1984</v>
      </c>
      <c r="D1985" s="2">
        <v>0.78369833333333339</v>
      </c>
      <c r="E1985" t="s">
        <v>1588</v>
      </c>
      <c r="F1985" t="s">
        <v>1589</v>
      </c>
      <c r="G1985" t="s">
        <v>1590</v>
      </c>
      <c r="H1985" t="s">
        <v>1591</v>
      </c>
      <c r="I1985" t="s">
        <v>966</v>
      </c>
      <c r="J1985" t="s">
        <v>698</v>
      </c>
      <c r="K1985" t="s">
        <v>69</v>
      </c>
      <c r="L1985">
        <v>20.420000000000002</v>
      </c>
      <c r="M1985" s="1">
        <v>45985</v>
      </c>
      <c r="N1985" t="s">
        <v>93</v>
      </c>
      <c r="O1985">
        <v>24</v>
      </c>
      <c r="P1985">
        <v>11</v>
      </c>
      <c r="Q1985">
        <v>4</v>
      </c>
      <c r="R1985">
        <v>2025</v>
      </c>
    </row>
    <row r="1986" spans="1:18">
      <c r="A1986">
        <v>56.39</v>
      </c>
      <c r="B1986">
        <v>1</v>
      </c>
      <c r="C1986">
        <v>1985</v>
      </c>
      <c r="D1986" s="2">
        <v>0.13838280092592592</v>
      </c>
      <c r="E1986" t="s">
        <v>1610</v>
      </c>
      <c r="F1986" t="s">
        <v>1611</v>
      </c>
      <c r="G1986" t="s">
        <v>1565</v>
      </c>
      <c r="H1986" t="s">
        <v>380</v>
      </c>
      <c r="I1986" t="s">
        <v>896</v>
      </c>
      <c r="J1986" t="s">
        <v>308</v>
      </c>
      <c r="K1986" t="s">
        <v>19</v>
      </c>
      <c r="L1986">
        <v>56.39</v>
      </c>
      <c r="M1986" s="1">
        <v>45771</v>
      </c>
      <c r="N1986" t="s">
        <v>105</v>
      </c>
      <c r="O1986">
        <v>24</v>
      </c>
      <c r="P1986">
        <v>4</v>
      </c>
      <c r="Q1986">
        <v>2</v>
      </c>
      <c r="R1986">
        <v>2025</v>
      </c>
    </row>
    <row r="1987" spans="1:18">
      <c r="A1987">
        <v>270.48</v>
      </c>
      <c r="B1987">
        <v>4</v>
      </c>
      <c r="C1987">
        <v>1986</v>
      </c>
      <c r="D1987" s="2">
        <v>0.7593428703703704</v>
      </c>
      <c r="E1987" t="s">
        <v>1945</v>
      </c>
      <c r="F1987" t="s">
        <v>1946</v>
      </c>
      <c r="G1987" t="s">
        <v>1556</v>
      </c>
      <c r="H1987" t="s">
        <v>1061</v>
      </c>
      <c r="I1987" t="s">
        <v>834</v>
      </c>
      <c r="J1987" t="s">
        <v>697</v>
      </c>
      <c r="K1987" t="s">
        <v>17</v>
      </c>
      <c r="L1987">
        <v>67.62</v>
      </c>
      <c r="M1987" s="1">
        <v>45639</v>
      </c>
      <c r="N1987" t="s">
        <v>79</v>
      </c>
      <c r="O1987">
        <v>13</v>
      </c>
      <c r="P1987">
        <v>12</v>
      </c>
      <c r="Q1987">
        <v>4</v>
      </c>
      <c r="R1987">
        <v>2024</v>
      </c>
    </row>
    <row r="1988" spans="1:18">
      <c r="A1988">
        <v>445.09999999999997</v>
      </c>
      <c r="B1988">
        <v>5</v>
      </c>
      <c r="C1988">
        <v>1987</v>
      </c>
      <c r="D1988" s="2">
        <v>0.27226449074074072</v>
      </c>
      <c r="E1988" t="s">
        <v>1233</v>
      </c>
      <c r="F1988" t="s">
        <v>1234</v>
      </c>
      <c r="G1988" t="s">
        <v>1235</v>
      </c>
      <c r="H1988" t="s">
        <v>1236</v>
      </c>
      <c r="I1988" t="s">
        <v>807</v>
      </c>
      <c r="J1988" t="s">
        <v>399</v>
      </c>
      <c r="K1988" t="s">
        <v>55</v>
      </c>
      <c r="L1988">
        <v>89.02</v>
      </c>
      <c r="M1988" s="1">
        <v>45959</v>
      </c>
      <c r="N1988" t="s">
        <v>34</v>
      </c>
      <c r="O1988">
        <v>29</v>
      </c>
      <c r="P1988">
        <v>10</v>
      </c>
      <c r="Q1988">
        <v>4</v>
      </c>
      <c r="R1988">
        <v>2025</v>
      </c>
    </row>
    <row r="1989" spans="1:18">
      <c r="A1989">
        <v>646.34999999999991</v>
      </c>
      <c r="B1989">
        <v>3</v>
      </c>
      <c r="C1989">
        <v>1988</v>
      </c>
      <c r="D1989" s="2">
        <v>4.3946006944444442E-2</v>
      </c>
      <c r="E1989" t="s">
        <v>909</v>
      </c>
      <c r="F1989" t="s">
        <v>910</v>
      </c>
      <c r="G1989" t="s">
        <v>911</v>
      </c>
      <c r="H1989" t="s">
        <v>29</v>
      </c>
      <c r="I1989" t="s">
        <v>763</v>
      </c>
      <c r="J1989" t="s">
        <v>395</v>
      </c>
      <c r="K1989" t="s">
        <v>19</v>
      </c>
      <c r="L1989">
        <v>215.45</v>
      </c>
      <c r="M1989" s="1">
        <v>45883</v>
      </c>
      <c r="N1989" t="s">
        <v>105</v>
      </c>
      <c r="O1989">
        <v>14</v>
      </c>
      <c r="P1989">
        <v>8</v>
      </c>
      <c r="Q1989">
        <v>3</v>
      </c>
      <c r="R1989">
        <v>2025</v>
      </c>
    </row>
    <row r="1990" spans="1:18">
      <c r="A1990">
        <v>604.52</v>
      </c>
      <c r="B1990">
        <v>4</v>
      </c>
      <c r="C1990">
        <v>1989</v>
      </c>
      <c r="D1990" s="2">
        <v>0.67009431712962964</v>
      </c>
      <c r="E1990" t="s">
        <v>1463</v>
      </c>
      <c r="F1990" t="s">
        <v>1464</v>
      </c>
      <c r="G1990" t="s">
        <v>882</v>
      </c>
      <c r="H1990" t="s">
        <v>1465</v>
      </c>
      <c r="I1990" t="s">
        <v>817</v>
      </c>
      <c r="J1990" t="s">
        <v>655</v>
      </c>
      <c r="K1990" t="s">
        <v>82</v>
      </c>
      <c r="L1990">
        <v>151.13</v>
      </c>
      <c r="M1990" s="1">
        <v>45720</v>
      </c>
      <c r="N1990" t="s">
        <v>48</v>
      </c>
      <c r="O1990">
        <v>4</v>
      </c>
      <c r="P1990">
        <v>3</v>
      </c>
      <c r="Q1990">
        <v>1</v>
      </c>
      <c r="R1990">
        <v>2025</v>
      </c>
    </row>
    <row r="1991" spans="1:18">
      <c r="A1991">
        <v>1219.6500000000001</v>
      </c>
      <c r="B1991">
        <v>5</v>
      </c>
      <c r="C1991">
        <v>1990</v>
      </c>
      <c r="D1991" s="2">
        <v>0.79757863425925923</v>
      </c>
      <c r="E1991" t="s">
        <v>3121</v>
      </c>
      <c r="F1991" t="s">
        <v>3122</v>
      </c>
      <c r="G1991" t="s">
        <v>1676</v>
      </c>
      <c r="H1991" t="s">
        <v>211</v>
      </c>
      <c r="I1991" t="s">
        <v>966</v>
      </c>
      <c r="J1991" t="s">
        <v>564</v>
      </c>
      <c r="K1991" t="s">
        <v>17</v>
      </c>
      <c r="L1991">
        <v>243.93</v>
      </c>
      <c r="M1991" s="1">
        <v>45946</v>
      </c>
      <c r="N1991" t="s">
        <v>105</v>
      </c>
      <c r="O1991">
        <v>16</v>
      </c>
      <c r="P1991">
        <v>10</v>
      </c>
      <c r="Q1991">
        <v>4</v>
      </c>
      <c r="R1991">
        <v>2025</v>
      </c>
    </row>
    <row r="1992" spans="1:18">
      <c r="A1992">
        <v>203.37</v>
      </c>
      <c r="B1992">
        <v>1</v>
      </c>
      <c r="C1992">
        <v>1991</v>
      </c>
      <c r="D1992" s="2">
        <v>3.7734027777777776E-2</v>
      </c>
      <c r="E1992" t="s">
        <v>2501</v>
      </c>
      <c r="F1992" t="s">
        <v>2502</v>
      </c>
      <c r="G1992" t="s">
        <v>2503</v>
      </c>
      <c r="H1992" t="s">
        <v>548</v>
      </c>
      <c r="I1992" t="s">
        <v>790</v>
      </c>
      <c r="J1992" t="s">
        <v>228</v>
      </c>
      <c r="K1992" t="s">
        <v>23</v>
      </c>
      <c r="L1992">
        <v>203.37</v>
      </c>
      <c r="M1992" s="1">
        <v>46185</v>
      </c>
      <c r="N1992" t="s">
        <v>79</v>
      </c>
      <c r="O1992">
        <v>12</v>
      </c>
      <c r="P1992">
        <v>6</v>
      </c>
      <c r="Q1992">
        <v>2</v>
      </c>
      <c r="R1992">
        <v>2026</v>
      </c>
    </row>
    <row r="1993" spans="1:18">
      <c r="A1993">
        <v>396.88</v>
      </c>
      <c r="B1993">
        <v>2</v>
      </c>
      <c r="C1993">
        <v>1992</v>
      </c>
      <c r="D1993" s="2">
        <v>0.17087672453703703</v>
      </c>
      <c r="E1993" t="s">
        <v>2630</v>
      </c>
      <c r="F1993" t="s">
        <v>2631</v>
      </c>
      <c r="G1993" t="s">
        <v>1633</v>
      </c>
      <c r="H1993" t="s">
        <v>1421</v>
      </c>
      <c r="I1993" t="s">
        <v>776</v>
      </c>
      <c r="J1993" t="s">
        <v>40</v>
      </c>
      <c r="K1993" t="s">
        <v>37</v>
      </c>
      <c r="L1993">
        <v>198.44</v>
      </c>
      <c r="M1993" s="1">
        <v>45662</v>
      </c>
      <c r="N1993" t="s">
        <v>28</v>
      </c>
      <c r="O1993">
        <v>5</v>
      </c>
      <c r="P1993">
        <v>1</v>
      </c>
      <c r="Q1993">
        <v>1</v>
      </c>
      <c r="R1993">
        <v>2025</v>
      </c>
    </row>
    <row r="1994" spans="1:18">
      <c r="A1994">
        <v>323.83999999999997</v>
      </c>
      <c r="B1994">
        <v>2</v>
      </c>
      <c r="C1994">
        <v>1993</v>
      </c>
      <c r="D1994" s="2">
        <v>0.36393462962962964</v>
      </c>
      <c r="E1994" t="s">
        <v>2047</v>
      </c>
      <c r="F1994" t="s">
        <v>2048</v>
      </c>
      <c r="G1994" t="s">
        <v>2043</v>
      </c>
      <c r="H1994" t="s">
        <v>49</v>
      </c>
      <c r="I1994" t="s">
        <v>807</v>
      </c>
      <c r="J1994" t="s">
        <v>546</v>
      </c>
      <c r="K1994" t="s">
        <v>25</v>
      </c>
      <c r="L1994">
        <v>161.91999999999999</v>
      </c>
      <c r="M1994" s="1">
        <v>45791</v>
      </c>
      <c r="N1994" t="s">
        <v>34</v>
      </c>
      <c r="O1994">
        <v>14</v>
      </c>
      <c r="P1994">
        <v>5</v>
      </c>
      <c r="Q1994">
        <v>2</v>
      </c>
      <c r="R1994">
        <v>2025</v>
      </c>
    </row>
    <row r="1995" spans="1:18">
      <c r="A1995">
        <v>246.96</v>
      </c>
      <c r="B1995">
        <v>2</v>
      </c>
      <c r="C1995">
        <v>1994</v>
      </c>
      <c r="D1995" s="2">
        <v>0.40549026620370371</v>
      </c>
      <c r="E1995" t="s">
        <v>3487</v>
      </c>
      <c r="F1995" t="s">
        <v>3488</v>
      </c>
      <c r="G1995" t="s">
        <v>3489</v>
      </c>
      <c r="H1995" t="s">
        <v>29</v>
      </c>
      <c r="I1995" t="s">
        <v>763</v>
      </c>
      <c r="J1995" t="s">
        <v>575</v>
      </c>
      <c r="K1995" t="s">
        <v>37</v>
      </c>
      <c r="L1995">
        <v>123.48</v>
      </c>
      <c r="M1995" s="1">
        <v>45548</v>
      </c>
      <c r="N1995" t="s">
        <v>79</v>
      </c>
      <c r="O1995">
        <v>13</v>
      </c>
      <c r="P1995">
        <v>9</v>
      </c>
      <c r="Q1995">
        <v>3</v>
      </c>
      <c r="R1995">
        <v>2024</v>
      </c>
    </row>
    <row r="1996" spans="1:18">
      <c r="A1996">
        <v>228.66</v>
      </c>
      <c r="B1996">
        <v>1</v>
      </c>
      <c r="C1996">
        <v>1995</v>
      </c>
      <c r="D1996" s="2">
        <v>0.14591399305555555</v>
      </c>
      <c r="E1996" t="s">
        <v>1850</v>
      </c>
      <c r="F1996" t="s">
        <v>1851</v>
      </c>
      <c r="G1996" t="s">
        <v>833</v>
      </c>
      <c r="H1996" t="s">
        <v>49</v>
      </c>
      <c r="I1996" t="s">
        <v>807</v>
      </c>
      <c r="J1996" t="s">
        <v>480</v>
      </c>
      <c r="K1996" t="s">
        <v>57</v>
      </c>
      <c r="L1996">
        <v>228.66</v>
      </c>
      <c r="M1996" s="1">
        <v>45815</v>
      </c>
      <c r="N1996" t="s">
        <v>14</v>
      </c>
      <c r="O1996">
        <v>7</v>
      </c>
      <c r="P1996">
        <v>6</v>
      </c>
      <c r="Q1996">
        <v>2</v>
      </c>
      <c r="R1996">
        <v>2025</v>
      </c>
    </row>
    <row r="1997" spans="1:18">
      <c r="A1997">
        <v>286.92</v>
      </c>
      <c r="B1997">
        <v>2</v>
      </c>
      <c r="C1997">
        <v>1996</v>
      </c>
      <c r="D1997" s="2">
        <v>0.47039249999999999</v>
      </c>
      <c r="E1997" t="s">
        <v>2572</v>
      </c>
      <c r="F1997" t="s">
        <v>2573</v>
      </c>
      <c r="G1997" t="s">
        <v>1688</v>
      </c>
      <c r="H1997" t="s">
        <v>2574</v>
      </c>
      <c r="I1997" t="s">
        <v>839</v>
      </c>
      <c r="J1997" t="s">
        <v>299</v>
      </c>
      <c r="K1997" t="s">
        <v>57</v>
      </c>
      <c r="L1997">
        <v>143.46</v>
      </c>
      <c r="M1997" s="1">
        <v>45899</v>
      </c>
      <c r="N1997" t="s">
        <v>14</v>
      </c>
      <c r="O1997">
        <v>30</v>
      </c>
      <c r="P1997">
        <v>8</v>
      </c>
      <c r="Q1997">
        <v>3</v>
      </c>
      <c r="R1997">
        <v>2025</v>
      </c>
    </row>
    <row r="1998" spans="1:18">
      <c r="A1998">
        <v>858.28</v>
      </c>
      <c r="B1998">
        <v>4</v>
      </c>
      <c r="C1998">
        <v>1997</v>
      </c>
      <c r="D1998" s="2">
        <v>0.27582648148148148</v>
      </c>
      <c r="E1998" t="s">
        <v>2233</v>
      </c>
      <c r="F1998" t="s">
        <v>2234</v>
      </c>
      <c r="G1998" t="s">
        <v>2235</v>
      </c>
      <c r="H1998" t="s">
        <v>1755</v>
      </c>
      <c r="I1998" t="s">
        <v>786</v>
      </c>
      <c r="J1998" t="s">
        <v>383</v>
      </c>
      <c r="K1998" t="s">
        <v>39</v>
      </c>
      <c r="L1998">
        <v>214.57</v>
      </c>
      <c r="M1998" s="1">
        <v>46257</v>
      </c>
      <c r="N1998" t="s">
        <v>28</v>
      </c>
      <c r="O1998">
        <v>23</v>
      </c>
      <c r="P1998">
        <v>8</v>
      </c>
      <c r="Q1998">
        <v>3</v>
      </c>
      <c r="R1998">
        <v>2026</v>
      </c>
    </row>
    <row r="1999" spans="1:18">
      <c r="A1999">
        <v>1072.8499999999999</v>
      </c>
      <c r="B1999">
        <v>5</v>
      </c>
      <c r="C1999">
        <v>1998</v>
      </c>
      <c r="D1999" s="2">
        <v>0.65840887731481479</v>
      </c>
      <c r="E1999" t="s">
        <v>2890</v>
      </c>
      <c r="F1999" t="s">
        <v>2891</v>
      </c>
      <c r="G1999" t="s">
        <v>2892</v>
      </c>
      <c r="H1999" t="s">
        <v>708</v>
      </c>
      <c r="I1999" t="s">
        <v>834</v>
      </c>
      <c r="J1999" t="s">
        <v>383</v>
      </c>
      <c r="K1999" t="s">
        <v>39</v>
      </c>
      <c r="L1999">
        <v>214.57</v>
      </c>
      <c r="M1999" s="1">
        <v>45819</v>
      </c>
      <c r="N1999" t="s">
        <v>34</v>
      </c>
      <c r="O1999">
        <v>11</v>
      </c>
      <c r="P1999">
        <v>6</v>
      </c>
      <c r="Q1999">
        <v>2</v>
      </c>
      <c r="R1999">
        <v>2025</v>
      </c>
    </row>
    <row r="2000" spans="1:18">
      <c r="A2000">
        <v>23.08</v>
      </c>
      <c r="B2000">
        <v>4</v>
      </c>
      <c r="C2000">
        <v>1999</v>
      </c>
      <c r="D2000" s="2">
        <v>0.40840321759259257</v>
      </c>
      <c r="E2000" t="s">
        <v>1036</v>
      </c>
      <c r="F2000" t="s">
        <v>1037</v>
      </c>
      <c r="G2000" t="s">
        <v>1038</v>
      </c>
      <c r="H2000" t="s">
        <v>1039</v>
      </c>
      <c r="I2000" t="s">
        <v>758</v>
      </c>
      <c r="J2000" t="s">
        <v>140</v>
      </c>
      <c r="K2000" t="s">
        <v>17</v>
      </c>
      <c r="L2000">
        <v>5.77</v>
      </c>
      <c r="M2000" s="1">
        <v>46169</v>
      </c>
      <c r="N2000" t="s">
        <v>34</v>
      </c>
      <c r="O2000">
        <v>27</v>
      </c>
      <c r="P2000">
        <v>5</v>
      </c>
      <c r="Q2000">
        <v>2</v>
      </c>
      <c r="R2000">
        <v>2026</v>
      </c>
    </row>
    <row r="2001" spans="1:18">
      <c r="A2001">
        <v>72.72</v>
      </c>
      <c r="B2001">
        <v>4</v>
      </c>
      <c r="C2001">
        <v>2000</v>
      </c>
      <c r="D2001" s="2">
        <v>0.86245582175925928</v>
      </c>
      <c r="E2001" t="s">
        <v>2412</v>
      </c>
      <c r="F2001" t="s">
        <v>2413</v>
      </c>
      <c r="G2001" t="s">
        <v>875</v>
      </c>
      <c r="H2001" t="s">
        <v>825</v>
      </c>
      <c r="I2001" t="s">
        <v>781</v>
      </c>
      <c r="J2001" t="s">
        <v>284</v>
      </c>
      <c r="K2001" t="s">
        <v>97</v>
      </c>
      <c r="L2001">
        <v>18.18</v>
      </c>
      <c r="M2001" s="1">
        <v>45569</v>
      </c>
      <c r="N2001" t="s">
        <v>79</v>
      </c>
      <c r="O2001">
        <v>4</v>
      </c>
      <c r="P2001">
        <v>10</v>
      </c>
      <c r="Q2001">
        <v>4</v>
      </c>
      <c r="R2001">
        <v>2024</v>
      </c>
    </row>
    <row r="2002" spans="1:18">
      <c r="A2002">
        <v>486.48</v>
      </c>
      <c r="B2002">
        <v>3</v>
      </c>
      <c r="C2002">
        <v>2001</v>
      </c>
      <c r="D2002" s="2">
        <v>0.5134413541666667</v>
      </c>
      <c r="E2002" t="s">
        <v>2928</v>
      </c>
      <c r="F2002" t="s">
        <v>2929</v>
      </c>
      <c r="G2002" t="s">
        <v>2354</v>
      </c>
      <c r="H2002" t="s">
        <v>843</v>
      </c>
      <c r="I2002" t="s">
        <v>753</v>
      </c>
      <c r="J2002" t="s">
        <v>651</v>
      </c>
      <c r="K2002" t="s">
        <v>122</v>
      </c>
      <c r="L2002">
        <v>162.16</v>
      </c>
      <c r="M2002" s="1">
        <v>45946</v>
      </c>
      <c r="N2002" t="s">
        <v>105</v>
      </c>
      <c r="O2002">
        <v>16</v>
      </c>
      <c r="P2002">
        <v>10</v>
      </c>
      <c r="Q2002">
        <v>4</v>
      </c>
      <c r="R2002">
        <v>2025</v>
      </c>
    </row>
    <row r="2003" spans="1:18">
      <c r="A2003">
        <v>226.05</v>
      </c>
      <c r="B2003">
        <v>5</v>
      </c>
      <c r="C2003">
        <v>2002</v>
      </c>
      <c r="D2003" s="2">
        <v>0.31930704861111109</v>
      </c>
      <c r="E2003" t="s">
        <v>2374</v>
      </c>
      <c r="F2003" t="s">
        <v>2375</v>
      </c>
      <c r="G2003" t="s">
        <v>2120</v>
      </c>
      <c r="H2003" t="s">
        <v>1740</v>
      </c>
      <c r="I2003" t="s">
        <v>954</v>
      </c>
      <c r="J2003" t="s">
        <v>542</v>
      </c>
      <c r="K2003" t="s">
        <v>46</v>
      </c>
      <c r="L2003">
        <v>45.21</v>
      </c>
      <c r="M2003" s="1">
        <v>45679</v>
      </c>
      <c r="N2003" t="s">
        <v>34</v>
      </c>
      <c r="O2003">
        <v>22</v>
      </c>
      <c r="P2003">
        <v>1</v>
      </c>
      <c r="Q2003">
        <v>1</v>
      </c>
      <c r="R2003">
        <v>2025</v>
      </c>
    </row>
    <row r="2004" spans="1:18">
      <c r="A2004">
        <v>145.83000000000001</v>
      </c>
      <c r="B2004">
        <v>1</v>
      </c>
      <c r="C2004">
        <v>2003</v>
      </c>
      <c r="D2004" s="2">
        <v>6.6843136574074077E-2</v>
      </c>
      <c r="E2004" t="s">
        <v>2622</v>
      </c>
      <c r="F2004" t="s">
        <v>2623</v>
      </c>
      <c r="G2004" t="s">
        <v>1455</v>
      </c>
      <c r="H2004" t="s">
        <v>879</v>
      </c>
      <c r="I2004" t="s">
        <v>748</v>
      </c>
      <c r="J2004" t="s">
        <v>171</v>
      </c>
      <c r="K2004" t="s">
        <v>46</v>
      </c>
      <c r="L2004">
        <v>145.83000000000001</v>
      </c>
      <c r="M2004" s="1">
        <v>45784</v>
      </c>
      <c r="N2004" t="s">
        <v>34</v>
      </c>
      <c r="O2004">
        <v>7</v>
      </c>
      <c r="P2004">
        <v>5</v>
      </c>
      <c r="Q2004">
        <v>2</v>
      </c>
      <c r="R2004">
        <v>2025</v>
      </c>
    </row>
    <row r="2005" spans="1:18">
      <c r="A2005">
        <v>144.47999999999999</v>
      </c>
      <c r="B2005">
        <v>1</v>
      </c>
      <c r="C2005">
        <v>2004</v>
      </c>
      <c r="D2005" s="2">
        <v>0.69899348379629633</v>
      </c>
      <c r="E2005" t="s">
        <v>2014</v>
      </c>
      <c r="F2005" t="s">
        <v>2015</v>
      </c>
      <c r="G2005" t="s">
        <v>1585</v>
      </c>
      <c r="H2005" t="s">
        <v>862</v>
      </c>
      <c r="I2005" t="s">
        <v>908</v>
      </c>
      <c r="J2005" t="s">
        <v>1441</v>
      </c>
      <c r="K2005" t="s">
        <v>19</v>
      </c>
      <c r="L2005">
        <v>144.47999999999999</v>
      </c>
      <c r="M2005" s="1">
        <v>46061</v>
      </c>
      <c r="N2005" t="s">
        <v>28</v>
      </c>
      <c r="O2005">
        <v>8</v>
      </c>
      <c r="P2005">
        <v>2</v>
      </c>
      <c r="Q2005">
        <v>1</v>
      </c>
      <c r="R2005">
        <v>2026</v>
      </c>
    </row>
    <row r="2006" spans="1:18">
      <c r="A2006">
        <v>1069.0999999999999</v>
      </c>
      <c r="B2006">
        <v>5</v>
      </c>
      <c r="C2006">
        <v>2005</v>
      </c>
      <c r="D2006" s="2">
        <v>0.48699319444444444</v>
      </c>
      <c r="E2006" t="s">
        <v>1483</v>
      </c>
      <c r="F2006" t="s">
        <v>1484</v>
      </c>
      <c r="G2006" t="s">
        <v>1485</v>
      </c>
      <c r="H2006" t="s">
        <v>802</v>
      </c>
      <c r="I2006" t="s">
        <v>748</v>
      </c>
      <c r="J2006" t="s">
        <v>266</v>
      </c>
      <c r="K2006" t="s">
        <v>19</v>
      </c>
      <c r="L2006">
        <v>213.82</v>
      </c>
      <c r="M2006" s="1">
        <v>46187</v>
      </c>
      <c r="N2006" t="s">
        <v>28</v>
      </c>
      <c r="O2006">
        <v>14</v>
      </c>
      <c r="P2006">
        <v>6</v>
      </c>
      <c r="Q2006">
        <v>2</v>
      </c>
      <c r="R2006">
        <v>2026</v>
      </c>
    </row>
    <row r="2007" spans="1:18">
      <c r="A2007">
        <v>199.05</v>
      </c>
      <c r="B2007">
        <v>5</v>
      </c>
      <c r="C2007">
        <v>2006</v>
      </c>
      <c r="D2007" s="2">
        <v>0.2812782060185185</v>
      </c>
      <c r="E2007" t="s">
        <v>3365</v>
      </c>
      <c r="F2007" t="s">
        <v>3366</v>
      </c>
      <c r="G2007" t="s">
        <v>2338</v>
      </c>
      <c r="H2007" t="s">
        <v>919</v>
      </c>
      <c r="I2007" t="s">
        <v>786</v>
      </c>
      <c r="J2007" t="s">
        <v>154</v>
      </c>
      <c r="K2007" t="s">
        <v>37</v>
      </c>
      <c r="L2007">
        <v>39.81</v>
      </c>
      <c r="M2007" s="1">
        <v>46171</v>
      </c>
      <c r="N2007" t="s">
        <v>79</v>
      </c>
      <c r="O2007">
        <v>29</v>
      </c>
      <c r="P2007">
        <v>5</v>
      </c>
      <c r="Q2007">
        <v>2</v>
      </c>
      <c r="R2007">
        <v>2026</v>
      </c>
    </row>
    <row r="2008" spans="1:18">
      <c r="A2008">
        <v>53.87</v>
      </c>
      <c r="B2008">
        <v>1</v>
      </c>
      <c r="C2008">
        <v>2007</v>
      </c>
      <c r="D2008" s="2">
        <v>0.3163945486111111</v>
      </c>
      <c r="E2008" t="s">
        <v>1083</v>
      </c>
      <c r="F2008" t="s">
        <v>1084</v>
      </c>
      <c r="G2008" t="s">
        <v>1085</v>
      </c>
      <c r="H2008" t="s">
        <v>1007</v>
      </c>
      <c r="I2008" t="s">
        <v>966</v>
      </c>
      <c r="J2008" t="s">
        <v>2034</v>
      </c>
      <c r="K2008" t="s">
        <v>100</v>
      </c>
      <c r="L2008">
        <v>53.87</v>
      </c>
      <c r="M2008" s="1">
        <v>46251</v>
      </c>
      <c r="N2008" t="s">
        <v>93</v>
      </c>
      <c r="O2008">
        <v>17</v>
      </c>
      <c r="P2008">
        <v>8</v>
      </c>
      <c r="Q2008">
        <v>3</v>
      </c>
      <c r="R2008">
        <v>2026</v>
      </c>
    </row>
    <row r="2009" spans="1:18">
      <c r="A2009">
        <v>567.66</v>
      </c>
      <c r="B2009">
        <v>3</v>
      </c>
      <c r="C2009">
        <v>2008</v>
      </c>
      <c r="D2009" s="2">
        <v>0.67950061342592594</v>
      </c>
      <c r="E2009" t="s">
        <v>1717</v>
      </c>
      <c r="F2009" t="s">
        <v>1718</v>
      </c>
      <c r="G2009" t="s">
        <v>1582</v>
      </c>
      <c r="H2009" t="s">
        <v>965</v>
      </c>
      <c r="I2009" t="s">
        <v>966</v>
      </c>
      <c r="J2009" t="s">
        <v>634</v>
      </c>
      <c r="K2009" t="s">
        <v>46</v>
      </c>
      <c r="L2009">
        <v>189.22</v>
      </c>
      <c r="M2009" s="1">
        <v>45880</v>
      </c>
      <c r="N2009" t="s">
        <v>93</v>
      </c>
      <c r="O2009">
        <v>11</v>
      </c>
      <c r="P2009">
        <v>8</v>
      </c>
      <c r="Q2009">
        <v>3</v>
      </c>
      <c r="R2009">
        <v>2025</v>
      </c>
    </row>
    <row r="2010" spans="1:18">
      <c r="A2010">
        <v>35.130000000000003</v>
      </c>
      <c r="B2010">
        <v>1</v>
      </c>
      <c r="C2010">
        <v>2009</v>
      </c>
      <c r="D2010" s="2">
        <v>0.27434550925925927</v>
      </c>
      <c r="E2010" t="s">
        <v>2402</v>
      </c>
      <c r="F2010" t="s">
        <v>2403</v>
      </c>
      <c r="G2010" t="s">
        <v>1263</v>
      </c>
      <c r="H2010" t="s">
        <v>929</v>
      </c>
      <c r="I2010" t="s">
        <v>830</v>
      </c>
      <c r="J2010" t="s">
        <v>559</v>
      </c>
      <c r="K2010" t="s">
        <v>97</v>
      </c>
      <c r="L2010">
        <v>35.130000000000003</v>
      </c>
      <c r="M2010" s="1">
        <v>46142</v>
      </c>
      <c r="N2010" t="s">
        <v>105</v>
      </c>
      <c r="O2010">
        <v>30</v>
      </c>
      <c r="P2010">
        <v>4</v>
      </c>
      <c r="Q2010">
        <v>2</v>
      </c>
      <c r="R2010">
        <v>2026</v>
      </c>
    </row>
    <row r="2011" spans="1:18">
      <c r="A2011">
        <v>90.87</v>
      </c>
      <c r="B2011">
        <v>1</v>
      </c>
      <c r="C2011">
        <v>2010</v>
      </c>
      <c r="D2011" s="2">
        <v>0.17380850694444444</v>
      </c>
      <c r="E2011" t="s">
        <v>962</v>
      </c>
      <c r="F2011" t="s">
        <v>963</v>
      </c>
      <c r="G2011" t="s">
        <v>964</v>
      </c>
      <c r="H2011" t="s">
        <v>965</v>
      </c>
      <c r="I2011" t="s">
        <v>966</v>
      </c>
      <c r="J2011" t="s">
        <v>470</v>
      </c>
      <c r="K2011" t="s">
        <v>39</v>
      </c>
      <c r="L2011">
        <v>90.87</v>
      </c>
      <c r="M2011" s="1">
        <v>46161</v>
      </c>
      <c r="N2011" t="s">
        <v>48</v>
      </c>
      <c r="O2011">
        <v>19</v>
      </c>
      <c r="P2011">
        <v>5</v>
      </c>
      <c r="Q2011">
        <v>2</v>
      </c>
      <c r="R2011">
        <v>2026</v>
      </c>
    </row>
    <row r="2012" spans="1:18">
      <c r="A2012">
        <v>140.82</v>
      </c>
      <c r="B2012">
        <v>3</v>
      </c>
      <c r="C2012">
        <v>2011</v>
      </c>
      <c r="D2012" s="2">
        <v>0.84412302083333335</v>
      </c>
      <c r="E2012" t="s">
        <v>2671</v>
      </c>
      <c r="F2012" t="s">
        <v>2672</v>
      </c>
      <c r="G2012" t="s">
        <v>1182</v>
      </c>
      <c r="H2012" t="s">
        <v>328</v>
      </c>
      <c r="I2012" t="s">
        <v>1247</v>
      </c>
      <c r="J2012" t="s">
        <v>365</v>
      </c>
      <c r="K2012" t="s">
        <v>51</v>
      </c>
      <c r="L2012">
        <v>46.94</v>
      </c>
      <c r="M2012" s="1">
        <v>45909</v>
      </c>
      <c r="N2012" t="s">
        <v>48</v>
      </c>
      <c r="O2012">
        <v>9</v>
      </c>
      <c r="P2012">
        <v>9</v>
      </c>
      <c r="Q2012">
        <v>3</v>
      </c>
      <c r="R2012">
        <v>2025</v>
      </c>
    </row>
    <row r="2013" spans="1:18">
      <c r="A2013">
        <v>131.25</v>
      </c>
      <c r="B2013">
        <v>5</v>
      </c>
      <c r="C2013">
        <v>2012</v>
      </c>
      <c r="D2013" s="2">
        <v>0.44403246527777779</v>
      </c>
      <c r="E2013" t="s">
        <v>1898</v>
      </c>
      <c r="F2013" t="s">
        <v>1899</v>
      </c>
      <c r="G2013" t="s">
        <v>824</v>
      </c>
      <c r="H2013" t="s">
        <v>762</v>
      </c>
      <c r="I2013" t="s">
        <v>763</v>
      </c>
      <c r="J2013" t="s">
        <v>493</v>
      </c>
      <c r="K2013" t="s">
        <v>46</v>
      </c>
      <c r="L2013">
        <v>26.25</v>
      </c>
      <c r="M2013" s="1">
        <v>45921</v>
      </c>
      <c r="N2013" t="s">
        <v>28</v>
      </c>
      <c r="O2013">
        <v>21</v>
      </c>
      <c r="P2013">
        <v>9</v>
      </c>
      <c r="Q2013">
        <v>3</v>
      </c>
      <c r="R2013">
        <v>2025</v>
      </c>
    </row>
    <row r="2014" spans="1:18">
      <c r="A2014">
        <v>51.72</v>
      </c>
      <c r="B2014">
        <v>2</v>
      </c>
      <c r="C2014">
        <v>2013</v>
      </c>
      <c r="D2014" s="2">
        <v>0.63897208333333333</v>
      </c>
      <c r="E2014" t="s">
        <v>2134</v>
      </c>
      <c r="F2014" t="s">
        <v>2135</v>
      </c>
      <c r="G2014" t="s">
        <v>1559</v>
      </c>
      <c r="H2014" t="s">
        <v>619</v>
      </c>
      <c r="I2014" t="s">
        <v>758</v>
      </c>
      <c r="J2014" t="s">
        <v>282</v>
      </c>
      <c r="K2014" t="s">
        <v>21</v>
      </c>
      <c r="L2014">
        <v>25.86</v>
      </c>
      <c r="M2014" s="1">
        <v>46123</v>
      </c>
      <c r="N2014" t="s">
        <v>14</v>
      </c>
      <c r="O2014">
        <v>11</v>
      </c>
      <c r="P2014">
        <v>4</v>
      </c>
      <c r="Q2014">
        <v>2</v>
      </c>
      <c r="R2014">
        <v>2026</v>
      </c>
    </row>
    <row r="2015" spans="1:18">
      <c r="A2015">
        <v>318.75</v>
      </c>
      <c r="B2015">
        <v>5</v>
      </c>
      <c r="C2015">
        <v>2014</v>
      </c>
      <c r="D2015" s="2">
        <v>5.286283564814815E-2</v>
      </c>
      <c r="E2015" t="s">
        <v>1548</v>
      </c>
      <c r="F2015" t="s">
        <v>1549</v>
      </c>
      <c r="G2015" t="s">
        <v>1057</v>
      </c>
      <c r="H2015" t="s">
        <v>1550</v>
      </c>
      <c r="I2015" t="s">
        <v>776</v>
      </c>
      <c r="J2015" t="s">
        <v>418</v>
      </c>
      <c r="K2015" t="s">
        <v>43</v>
      </c>
      <c r="L2015">
        <v>63.75</v>
      </c>
      <c r="M2015" s="1">
        <v>46139</v>
      </c>
      <c r="N2015" t="s">
        <v>93</v>
      </c>
      <c r="O2015">
        <v>27</v>
      </c>
      <c r="P2015">
        <v>4</v>
      </c>
      <c r="Q2015">
        <v>2</v>
      </c>
      <c r="R2015">
        <v>2026</v>
      </c>
    </row>
    <row r="2016" spans="1:18">
      <c r="A2016">
        <v>28.55</v>
      </c>
      <c r="B2016">
        <v>5</v>
      </c>
      <c r="C2016">
        <v>2015</v>
      </c>
      <c r="D2016" s="2">
        <v>0.4185452199074074</v>
      </c>
      <c r="E2016" t="s">
        <v>2258</v>
      </c>
      <c r="F2016" t="s">
        <v>2259</v>
      </c>
      <c r="G2016" t="s">
        <v>2260</v>
      </c>
      <c r="H2016" t="s">
        <v>772</v>
      </c>
      <c r="I2016" t="s">
        <v>758</v>
      </c>
      <c r="J2016" t="s">
        <v>669</v>
      </c>
      <c r="K2016" t="s">
        <v>97</v>
      </c>
      <c r="L2016">
        <v>5.71</v>
      </c>
      <c r="M2016" s="1">
        <v>46224</v>
      </c>
      <c r="N2016" t="s">
        <v>48</v>
      </c>
      <c r="O2016">
        <v>21</v>
      </c>
      <c r="P2016">
        <v>7</v>
      </c>
      <c r="Q2016">
        <v>3</v>
      </c>
      <c r="R2016">
        <v>2026</v>
      </c>
    </row>
    <row r="2017" spans="1:18">
      <c r="A2017">
        <v>992.2</v>
      </c>
      <c r="B2017">
        <v>5</v>
      </c>
      <c r="C2017">
        <v>2016</v>
      </c>
      <c r="D2017" s="2">
        <v>0.73668131944444448</v>
      </c>
      <c r="E2017" t="s">
        <v>2980</v>
      </c>
      <c r="F2017" t="s">
        <v>2981</v>
      </c>
      <c r="G2017" t="s">
        <v>1140</v>
      </c>
      <c r="H2017" t="s">
        <v>2982</v>
      </c>
      <c r="I2017" t="s">
        <v>839</v>
      </c>
      <c r="J2017" t="s">
        <v>40</v>
      </c>
      <c r="K2017" t="s">
        <v>37</v>
      </c>
      <c r="L2017">
        <v>198.44</v>
      </c>
      <c r="M2017" s="1">
        <v>45963</v>
      </c>
      <c r="N2017" t="s">
        <v>28</v>
      </c>
      <c r="O2017">
        <v>2</v>
      </c>
      <c r="P2017">
        <v>11</v>
      </c>
      <c r="Q2017">
        <v>4</v>
      </c>
      <c r="R2017">
        <v>2025</v>
      </c>
    </row>
    <row r="2018" spans="1:18">
      <c r="A2018">
        <v>227.47</v>
      </c>
      <c r="B2018">
        <v>1</v>
      </c>
      <c r="C2018">
        <v>2017</v>
      </c>
      <c r="D2018" s="2">
        <v>6.1805671296296296E-3</v>
      </c>
      <c r="E2018" t="s">
        <v>3280</v>
      </c>
      <c r="F2018" t="s">
        <v>3281</v>
      </c>
      <c r="G2018" t="s">
        <v>2615</v>
      </c>
      <c r="H2018" t="s">
        <v>387</v>
      </c>
      <c r="I2018" t="s">
        <v>821</v>
      </c>
      <c r="J2018" t="s">
        <v>116</v>
      </c>
      <c r="K2018" t="s">
        <v>57</v>
      </c>
      <c r="L2018">
        <v>227.47</v>
      </c>
      <c r="M2018" s="1">
        <v>45859</v>
      </c>
      <c r="N2018" t="s">
        <v>93</v>
      </c>
      <c r="O2018">
        <v>21</v>
      </c>
      <c r="P2018">
        <v>7</v>
      </c>
      <c r="Q2018">
        <v>3</v>
      </c>
      <c r="R2018">
        <v>2025</v>
      </c>
    </row>
    <row r="2019" spans="1:18">
      <c r="A2019">
        <v>297.12</v>
      </c>
      <c r="B2019">
        <v>4</v>
      </c>
      <c r="C2019">
        <v>2018</v>
      </c>
      <c r="D2019" s="2">
        <v>0.99421989583333337</v>
      </c>
      <c r="E2019" t="s">
        <v>2884</v>
      </c>
      <c r="F2019" t="s">
        <v>2885</v>
      </c>
      <c r="G2019" t="s">
        <v>1152</v>
      </c>
      <c r="H2019" t="s">
        <v>965</v>
      </c>
      <c r="I2019" t="s">
        <v>966</v>
      </c>
      <c r="J2019" t="s">
        <v>54</v>
      </c>
      <c r="K2019" t="s">
        <v>55</v>
      </c>
      <c r="L2019">
        <v>74.28</v>
      </c>
      <c r="M2019" s="1">
        <v>45786</v>
      </c>
      <c r="N2019" t="s">
        <v>79</v>
      </c>
      <c r="O2019">
        <v>9</v>
      </c>
      <c r="P2019">
        <v>5</v>
      </c>
      <c r="Q2019">
        <v>2</v>
      </c>
      <c r="R2019">
        <v>2025</v>
      </c>
    </row>
    <row r="2020" spans="1:18">
      <c r="A2020">
        <v>229.72</v>
      </c>
      <c r="B2020">
        <v>4</v>
      </c>
      <c r="C2020">
        <v>2019</v>
      </c>
      <c r="D2020" s="2">
        <v>0.53016542824074075</v>
      </c>
      <c r="E2020" t="s">
        <v>1491</v>
      </c>
      <c r="F2020" t="s">
        <v>1492</v>
      </c>
      <c r="G2020" t="s">
        <v>1493</v>
      </c>
      <c r="H2020" t="s">
        <v>1401</v>
      </c>
      <c r="I2020" t="s">
        <v>943</v>
      </c>
      <c r="J2020" t="s">
        <v>730</v>
      </c>
      <c r="K2020" t="s">
        <v>51</v>
      </c>
      <c r="L2020">
        <v>57.43</v>
      </c>
      <c r="M2020" s="1">
        <v>45741</v>
      </c>
      <c r="N2020" t="s">
        <v>48</v>
      </c>
      <c r="O2020">
        <v>25</v>
      </c>
      <c r="P2020">
        <v>3</v>
      </c>
      <c r="Q2020">
        <v>1</v>
      </c>
      <c r="R2020">
        <v>2025</v>
      </c>
    </row>
    <row r="2021" spans="1:18">
      <c r="A2021">
        <v>1035.3499999999999</v>
      </c>
      <c r="B2021">
        <v>5</v>
      </c>
      <c r="C2021">
        <v>2020</v>
      </c>
      <c r="D2021" s="2">
        <v>0.44270754629629627</v>
      </c>
      <c r="E2021" t="s">
        <v>1787</v>
      </c>
      <c r="F2021" t="s">
        <v>1788</v>
      </c>
      <c r="G2021" t="s">
        <v>1162</v>
      </c>
      <c r="H2021" t="s">
        <v>767</v>
      </c>
      <c r="I2021" t="s">
        <v>768</v>
      </c>
      <c r="J2021" t="s">
        <v>201</v>
      </c>
      <c r="K2021" t="s">
        <v>37</v>
      </c>
      <c r="L2021">
        <v>207.07</v>
      </c>
      <c r="M2021" s="1">
        <v>45645</v>
      </c>
      <c r="N2021" t="s">
        <v>105</v>
      </c>
      <c r="O2021">
        <v>19</v>
      </c>
      <c r="P2021">
        <v>12</v>
      </c>
      <c r="Q2021">
        <v>4</v>
      </c>
      <c r="R2021">
        <v>2024</v>
      </c>
    </row>
    <row r="2022" spans="1:18">
      <c r="A2022">
        <v>338.08</v>
      </c>
      <c r="B2022">
        <v>2</v>
      </c>
      <c r="C2022">
        <v>2021</v>
      </c>
      <c r="D2022" s="2">
        <v>0.77888429398148151</v>
      </c>
      <c r="E2022" t="s">
        <v>1293</v>
      </c>
      <c r="F2022" t="s">
        <v>1294</v>
      </c>
      <c r="G2022" t="s">
        <v>1295</v>
      </c>
      <c r="H2022" t="s">
        <v>883</v>
      </c>
      <c r="I2022" t="s">
        <v>807</v>
      </c>
      <c r="J2022" t="s">
        <v>443</v>
      </c>
      <c r="K2022" t="s">
        <v>55</v>
      </c>
      <c r="L2022">
        <v>169.04</v>
      </c>
      <c r="M2022" s="1">
        <v>45882</v>
      </c>
      <c r="N2022" t="s">
        <v>34</v>
      </c>
      <c r="O2022">
        <v>13</v>
      </c>
      <c r="P2022">
        <v>8</v>
      </c>
      <c r="Q2022">
        <v>3</v>
      </c>
      <c r="R2022">
        <v>2025</v>
      </c>
    </row>
    <row r="2023" spans="1:18">
      <c r="A2023">
        <v>44.14</v>
      </c>
      <c r="B2023">
        <v>2</v>
      </c>
      <c r="C2023">
        <v>2022</v>
      </c>
      <c r="D2023" s="2">
        <v>0.57505650462962965</v>
      </c>
      <c r="E2023" t="s">
        <v>3292</v>
      </c>
      <c r="F2023" t="s">
        <v>3293</v>
      </c>
      <c r="G2023" t="s">
        <v>1633</v>
      </c>
      <c r="H2023" t="s">
        <v>513</v>
      </c>
      <c r="I2023" t="s">
        <v>786</v>
      </c>
      <c r="J2023" t="s">
        <v>700</v>
      </c>
      <c r="K2023" t="s">
        <v>37</v>
      </c>
      <c r="L2023">
        <v>22.07</v>
      </c>
      <c r="M2023" s="1">
        <v>45976</v>
      </c>
      <c r="N2023" t="s">
        <v>14</v>
      </c>
      <c r="O2023">
        <v>15</v>
      </c>
      <c r="P2023">
        <v>11</v>
      </c>
      <c r="Q2023">
        <v>4</v>
      </c>
      <c r="R2023">
        <v>2025</v>
      </c>
    </row>
    <row r="2024" spans="1:18">
      <c r="A2024">
        <v>916.36</v>
      </c>
      <c r="B2024">
        <v>4</v>
      </c>
      <c r="C2024">
        <v>2023</v>
      </c>
      <c r="D2024" s="2">
        <v>0.46922657407407409</v>
      </c>
      <c r="E2024" t="s">
        <v>1277</v>
      </c>
      <c r="F2024" t="s">
        <v>1278</v>
      </c>
      <c r="G2024" t="s">
        <v>1279</v>
      </c>
      <c r="H2024" t="s">
        <v>1280</v>
      </c>
      <c r="I2024" t="s">
        <v>908</v>
      </c>
      <c r="J2024" t="s">
        <v>622</v>
      </c>
      <c r="K2024" t="s">
        <v>37</v>
      </c>
      <c r="L2024">
        <v>229.09</v>
      </c>
      <c r="M2024" s="1">
        <v>45677</v>
      </c>
      <c r="N2024" t="s">
        <v>93</v>
      </c>
      <c r="O2024">
        <v>20</v>
      </c>
      <c r="P2024">
        <v>1</v>
      </c>
      <c r="Q2024">
        <v>1</v>
      </c>
      <c r="R2024">
        <v>2025</v>
      </c>
    </row>
    <row r="2025" spans="1:18">
      <c r="A2025">
        <v>888.76</v>
      </c>
      <c r="B2025">
        <v>4</v>
      </c>
      <c r="C2025">
        <v>2024</v>
      </c>
      <c r="D2025" s="2">
        <v>0.66494644675925929</v>
      </c>
      <c r="E2025" t="s">
        <v>1079</v>
      </c>
      <c r="F2025" t="s">
        <v>1080</v>
      </c>
      <c r="G2025" t="s">
        <v>1081</v>
      </c>
      <c r="H2025" t="s">
        <v>772</v>
      </c>
      <c r="I2025" t="s">
        <v>758</v>
      </c>
      <c r="J2025" t="s">
        <v>1082</v>
      </c>
      <c r="K2025" t="s">
        <v>69</v>
      </c>
      <c r="L2025">
        <v>222.19</v>
      </c>
      <c r="M2025" s="1">
        <v>45945</v>
      </c>
      <c r="N2025" t="s">
        <v>34</v>
      </c>
      <c r="O2025">
        <v>15</v>
      </c>
      <c r="P2025">
        <v>10</v>
      </c>
      <c r="Q2025">
        <v>4</v>
      </c>
      <c r="R2025">
        <v>2025</v>
      </c>
    </row>
    <row r="2026" spans="1:18">
      <c r="A2026">
        <v>44.14</v>
      </c>
      <c r="B2026">
        <v>2</v>
      </c>
      <c r="C2026">
        <v>2025</v>
      </c>
      <c r="D2026" s="2">
        <v>0.26428064814814817</v>
      </c>
      <c r="E2026" t="s">
        <v>893</v>
      </c>
      <c r="F2026" t="s">
        <v>894</v>
      </c>
      <c r="G2026" t="s">
        <v>895</v>
      </c>
      <c r="H2026" t="s">
        <v>106</v>
      </c>
      <c r="I2026" t="s">
        <v>896</v>
      </c>
      <c r="J2026" t="s">
        <v>700</v>
      </c>
      <c r="K2026" t="s">
        <v>37</v>
      </c>
      <c r="L2026">
        <v>22.07</v>
      </c>
      <c r="M2026" s="1">
        <v>45864</v>
      </c>
      <c r="N2026" t="s">
        <v>14</v>
      </c>
      <c r="O2026">
        <v>26</v>
      </c>
      <c r="P2026">
        <v>7</v>
      </c>
      <c r="Q2026">
        <v>3</v>
      </c>
      <c r="R2026">
        <v>2025</v>
      </c>
    </row>
    <row r="2027" spans="1:18">
      <c r="A2027">
        <v>694.24</v>
      </c>
      <c r="B2027">
        <v>4</v>
      </c>
      <c r="C2027">
        <v>2026</v>
      </c>
      <c r="D2027" s="2">
        <v>7.474104166666666E-2</v>
      </c>
      <c r="E2027" t="s">
        <v>1221</v>
      </c>
      <c r="F2027" t="s">
        <v>1222</v>
      </c>
      <c r="G2027" t="s">
        <v>1098</v>
      </c>
      <c r="H2027" t="s">
        <v>802</v>
      </c>
      <c r="I2027" t="s">
        <v>748</v>
      </c>
      <c r="J2027" t="s">
        <v>706</v>
      </c>
      <c r="K2027" t="s">
        <v>39</v>
      </c>
      <c r="L2027">
        <v>173.56</v>
      </c>
      <c r="M2027" s="1">
        <v>45931</v>
      </c>
      <c r="N2027" t="s">
        <v>34</v>
      </c>
      <c r="O2027">
        <v>1</v>
      </c>
      <c r="P2027">
        <v>10</v>
      </c>
      <c r="Q2027">
        <v>4</v>
      </c>
      <c r="R2027">
        <v>2025</v>
      </c>
    </row>
    <row r="2028" spans="1:18">
      <c r="A2028">
        <v>691.59</v>
      </c>
      <c r="B2028">
        <v>3</v>
      </c>
      <c r="C2028">
        <v>2027</v>
      </c>
      <c r="D2028" s="2">
        <v>0.17947697916666666</v>
      </c>
      <c r="E2028" t="s">
        <v>3179</v>
      </c>
      <c r="F2028" t="s">
        <v>3180</v>
      </c>
      <c r="G2028" t="s">
        <v>1873</v>
      </c>
      <c r="H2028" t="s">
        <v>106</v>
      </c>
      <c r="I2028" t="s">
        <v>896</v>
      </c>
      <c r="J2028" t="s">
        <v>389</v>
      </c>
      <c r="K2028" t="s">
        <v>82</v>
      </c>
      <c r="L2028">
        <v>230.53</v>
      </c>
      <c r="M2028" s="1">
        <v>45843</v>
      </c>
      <c r="N2028" t="s">
        <v>14</v>
      </c>
      <c r="O2028">
        <v>5</v>
      </c>
      <c r="P2028">
        <v>7</v>
      </c>
      <c r="Q2028">
        <v>3</v>
      </c>
      <c r="R2028">
        <v>2025</v>
      </c>
    </row>
    <row r="2029" spans="1:18">
      <c r="A2029">
        <v>11.49</v>
      </c>
      <c r="B2029">
        <v>1</v>
      </c>
      <c r="C2029">
        <v>2028</v>
      </c>
      <c r="D2029" s="2">
        <v>0.72913067129629627</v>
      </c>
      <c r="E2029" t="s">
        <v>2916</v>
      </c>
      <c r="F2029" t="s">
        <v>2917</v>
      </c>
      <c r="G2029" t="s">
        <v>2173</v>
      </c>
      <c r="H2029" t="s">
        <v>328</v>
      </c>
      <c r="I2029" t="s">
        <v>1003</v>
      </c>
      <c r="J2029" t="s">
        <v>736</v>
      </c>
      <c r="K2029" t="s">
        <v>122</v>
      </c>
      <c r="L2029">
        <v>11.49</v>
      </c>
      <c r="M2029" s="1">
        <v>46240</v>
      </c>
      <c r="N2029" t="s">
        <v>105</v>
      </c>
      <c r="O2029">
        <v>6</v>
      </c>
      <c r="P2029">
        <v>8</v>
      </c>
      <c r="Q2029">
        <v>3</v>
      </c>
      <c r="R2029">
        <v>2026</v>
      </c>
    </row>
    <row r="2030" spans="1:18">
      <c r="A2030">
        <v>308.2</v>
      </c>
      <c r="B2030">
        <v>4</v>
      </c>
      <c r="C2030">
        <v>2029</v>
      </c>
      <c r="D2030" s="2">
        <v>0.40641429398148149</v>
      </c>
      <c r="E2030" t="s">
        <v>2074</v>
      </c>
      <c r="F2030" t="s">
        <v>2075</v>
      </c>
      <c r="G2030" t="s">
        <v>1532</v>
      </c>
      <c r="H2030" t="s">
        <v>113</v>
      </c>
      <c r="I2030" t="s">
        <v>854</v>
      </c>
      <c r="J2030" t="s">
        <v>509</v>
      </c>
      <c r="K2030" t="s">
        <v>19</v>
      </c>
      <c r="L2030">
        <v>77.05</v>
      </c>
      <c r="M2030" s="1">
        <v>45784</v>
      </c>
      <c r="N2030" t="s">
        <v>34</v>
      </c>
      <c r="O2030">
        <v>7</v>
      </c>
      <c r="P2030">
        <v>5</v>
      </c>
      <c r="Q2030">
        <v>2</v>
      </c>
      <c r="R2030">
        <v>2025</v>
      </c>
    </row>
    <row r="2031" spans="1:18">
      <c r="A2031">
        <v>131.87</v>
      </c>
      <c r="B2031">
        <v>1</v>
      </c>
      <c r="C2031">
        <v>2030</v>
      </c>
      <c r="D2031" s="2">
        <v>0.8804244907407407</v>
      </c>
      <c r="E2031" t="s">
        <v>3244</v>
      </c>
      <c r="F2031" t="s">
        <v>3245</v>
      </c>
      <c r="G2031" t="s">
        <v>1114</v>
      </c>
      <c r="H2031" t="s">
        <v>1401</v>
      </c>
      <c r="I2031" t="s">
        <v>943</v>
      </c>
      <c r="J2031" t="s">
        <v>165</v>
      </c>
      <c r="K2031" t="s">
        <v>69</v>
      </c>
      <c r="L2031">
        <v>131.87</v>
      </c>
      <c r="M2031" s="1">
        <v>46111</v>
      </c>
      <c r="N2031" t="s">
        <v>93</v>
      </c>
      <c r="O2031">
        <v>30</v>
      </c>
      <c r="P2031">
        <v>3</v>
      </c>
      <c r="Q2031">
        <v>1</v>
      </c>
      <c r="R2031">
        <v>2026</v>
      </c>
    </row>
    <row r="2032" spans="1:18">
      <c r="A2032">
        <v>110.93</v>
      </c>
      <c r="B2032">
        <v>1</v>
      </c>
      <c r="C2032">
        <v>2031</v>
      </c>
      <c r="D2032" s="2">
        <v>0.67593519675925928</v>
      </c>
      <c r="E2032" t="s">
        <v>3123</v>
      </c>
      <c r="F2032" t="s">
        <v>3124</v>
      </c>
      <c r="G2032" t="s">
        <v>3114</v>
      </c>
      <c r="H2032" t="s">
        <v>1007</v>
      </c>
      <c r="I2032" t="s">
        <v>966</v>
      </c>
      <c r="J2032" t="s">
        <v>457</v>
      </c>
      <c r="K2032" t="s">
        <v>25</v>
      </c>
      <c r="L2032">
        <v>110.93</v>
      </c>
      <c r="M2032" s="1">
        <v>45576</v>
      </c>
      <c r="N2032" t="s">
        <v>79</v>
      </c>
      <c r="O2032">
        <v>11</v>
      </c>
      <c r="P2032">
        <v>10</v>
      </c>
      <c r="Q2032">
        <v>4</v>
      </c>
      <c r="R2032">
        <v>2024</v>
      </c>
    </row>
    <row r="2033" spans="1:18">
      <c r="A2033">
        <v>888.08</v>
      </c>
      <c r="B2033">
        <v>4</v>
      </c>
      <c r="C2033">
        <v>2032</v>
      </c>
      <c r="D2033" s="2">
        <v>0.43979946759259259</v>
      </c>
      <c r="E2033" t="s">
        <v>2327</v>
      </c>
      <c r="F2033" t="s">
        <v>2328</v>
      </c>
      <c r="G2033" t="s">
        <v>1577</v>
      </c>
      <c r="H2033" t="s">
        <v>915</v>
      </c>
      <c r="I2033" t="s">
        <v>768</v>
      </c>
      <c r="J2033" t="s">
        <v>501</v>
      </c>
      <c r="K2033" t="s">
        <v>25</v>
      </c>
      <c r="L2033">
        <v>222.02</v>
      </c>
      <c r="M2033" s="1">
        <v>45759</v>
      </c>
      <c r="N2033" t="s">
        <v>14</v>
      </c>
      <c r="O2033">
        <v>12</v>
      </c>
      <c r="P2033">
        <v>4</v>
      </c>
      <c r="Q2033">
        <v>2</v>
      </c>
      <c r="R2033">
        <v>2025</v>
      </c>
    </row>
    <row r="2034" spans="1:18">
      <c r="A2034">
        <v>7.42</v>
      </c>
      <c r="B2034">
        <v>1</v>
      </c>
      <c r="C2034">
        <v>2033</v>
      </c>
      <c r="D2034" s="2">
        <v>9.4426053240740743E-2</v>
      </c>
      <c r="E2034" t="s">
        <v>2569</v>
      </c>
      <c r="F2034" t="s">
        <v>2570</v>
      </c>
      <c r="G2034" t="s">
        <v>2571</v>
      </c>
      <c r="H2034" t="s">
        <v>1026</v>
      </c>
      <c r="I2034" t="s">
        <v>896</v>
      </c>
      <c r="J2034" t="s">
        <v>194</v>
      </c>
      <c r="K2034" t="s">
        <v>39</v>
      </c>
      <c r="L2034">
        <v>7.42</v>
      </c>
      <c r="M2034" s="1">
        <v>45852</v>
      </c>
      <c r="N2034" t="s">
        <v>93</v>
      </c>
      <c r="O2034">
        <v>14</v>
      </c>
      <c r="P2034">
        <v>7</v>
      </c>
      <c r="Q2034">
        <v>3</v>
      </c>
      <c r="R2034">
        <v>2025</v>
      </c>
    </row>
    <row r="2035" spans="1:18">
      <c r="A2035">
        <v>18.18</v>
      </c>
      <c r="B2035">
        <v>1</v>
      </c>
      <c r="C2035">
        <v>2034</v>
      </c>
      <c r="D2035" s="2">
        <v>0.82675858796296298</v>
      </c>
      <c r="E2035" t="s">
        <v>926</v>
      </c>
      <c r="F2035" t="s">
        <v>927</v>
      </c>
      <c r="G2035" t="s">
        <v>928</v>
      </c>
      <c r="H2035" t="s">
        <v>929</v>
      </c>
      <c r="I2035" t="s">
        <v>830</v>
      </c>
      <c r="J2035" t="s">
        <v>284</v>
      </c>
      <c r="K2035" t="s">
        <v>97</v>
      </c>
      <c r="L2035">
        <v>18.18</v>
      </c>
      <c r="M2035" s="1">
        <v>46096</v>
      </c>
      <c r="N2035" t="s">
        <v>28</v>
      </c>
      <c r="O2035">
        <v>15</v>
      </c>
      <c r="P2035">
        <v>3</v>
      </c>
      <c r="Q2035">
        <v>1</v>
      </c>
      <c r="R2035">
        <v>2026</v>
      </c>
    </row>
    <row r="2036" spans="1:18">
      <c r="A2036">
        <v>216.1</v>
      </c>
      <c r="B2036">
        <v>2</v>
      </c>
      <c r="C2036">
        <v>2035</v>
      </c>
      <c r="D2036" s="2">
        <v>0.1240352662037037</v>
      </c>
      <c r="E2036" t="s">
        <v>1845</v>
      </c>
      <c r="F2036" t="s">
        <v>1846</v>
      </c>
      <c r="G2036" t="s">
        <v>1263</v>
      </c>
      <c r="H2036" t="s">
        <v>953</v>
      </c>
      <c r="I2036" t="s">
        <v>954</v>
      </c>
      <c r="J2036" t="s">
        <v>682</v>
      </c>
      <c r="K2036" t="s">
        <v>23</v>
      </c>
      <c r="L2036">
        <v>108.05</v>
      </c>
      <c r="M2036" s="1">
        <v>46013</v>
      </c>
      <c r="N2036" t="s">
        <v>93</v>
      </c>
      <c r="O2036">
        <v>22</v>
      </c>
      <c r="P2036">
        <v>12</v>
      </c>
      <c r="Q2036">
        <v>4</v>
      </c>
      <c r="R2036">
        <v>2025</v>
      </c>
    </row>
    <row r="2037" spans="1:18">
      <c r="A2037">
        <v>1160.6999999999998</v>
      </c>
      <c r="B2037">
        <v>5</v>
      </c>
      <c r="C2037">
        <v>2036</v>
      </c>
      <c r="D2037" s="2">
        <v>0.3723417824074074</v>
      </c>
      <c r="E2037" t="s">
        <v>2402</v>
      </c>
      <c r="F2037" t="s">
        <v>2403</v>
      </c>
      <c r="G2037" t="s">
        <v>1263</v>
      </c>
      <c r="H2037" t="s">
        <v>929</v>
      </c>
      <c r="I2037" t="s">
        <v>830</v>
      </c>
      <c r="J2037" t="s">
        <v>439</v>
      </c>
      <c r="K2037" t="s">
        <v>21</v>
      </c>
      <c r="L2037">
        <v>232.14</v>
      </c>
      <c r="M2037" s="1">
        <v>46232</v>
      </c>
      <c r="N2037" t="s">
        <v>34</v>
      </c>
      <c r="O2037">
        <v>29</v>
      </c>
      <c r="P2037">
        <v>7</v>
      </c>
      <c r="Q2037">
        <v>3</v>
      </c>
      <c r="R2037">
        <v>2026</v>
      </c>
    </row>
    <row r="2038" spans="1:18">
      <c r="A2038">
        <v>709.83</v>
      </c>
      <c r="B2038">
        <v>3</v>
      </c>
      <c r="C2038">
        <v>2037</v>
      </c>
      <c r="D2038" s="2">
        <v>0.79641413194444444</v>
      </c>
      <c r="E2038" t="s">
        <v>2547</v>
      </c>
      <c r="F2038" t="s">
        <v>2548</v>
      </c>
      <c r="G2038" t="s">
        <v>1938</v>
      </c>
      <c r="H2038" t="s">
        <v>1670</v>
      </c>
      <c r="I2038" t="s">
        <v>1247</v>
      </c>
      <c r="J2038" t="s">
        <v>235</v>
      </c>
      <c r="K2038" t="s">
        <v>19</v>
      </c>
      <c r="L2038">
        <v>236.61</v>
      </c>
      <c r="M2038" s="1">
        <v>46063</v>
      </c>
      <c r="N2038" t="s">
        <v>48</v>
      </c>
      <c r="O2038">
        <v>10</v>
      </c>
      <c r="P2038">
        <v>2</v>
      </c>
      <c r="Q2038">
        <v>1</v>
      </c>
      <c r="R2038">
        <v>2026</v>
      </c>
    </row>
    <row r="2039" spans="1:18">
      <c r="A2039">
        <v>37.94</v>
      </c>
      <c r="B2039">
        <v>1</v>
      </c>
      <c r="C2039">
        <v>2038</v>
      </c>
      <c r="D2039" s="2">
        <v>0.69138417824074072</v>
      </c>
      <c r="E2039" t="s">
        <v>3163</v>
      </c>
      <c r="F2039" t="s">
        <v>3164</v>
      </c>
      <c r="G2039" t="s">
        <v>2530</v>
      </c>
      <c r="H2039" t="s">
        <v>879</v>
      </c>
      <c r="I2039" t="s">
        <v>748</v>
      </c>
      <c r="J2039" t="s">
        <v>73</v>
      </c>
      <c r="K2039" t="s">
        <v>39</v>
      </c>
      <c r="L2039">
        <v>37.94</v>
      </c>
      <c r="M2039" s="1">
        <v>45691</v>
      </c>
      <c r="N2039" t="s">
        <v>93</v>
      </c>
      <c r="O2039">
        <v>3</v>
      </c>
      <c r="P2039">
        <v>2</v>
      </c>
      <c r="Q2039">
        <v>1</v>
      </c>
      <c r="R2039">
        <v>2025</v>
      </c>
    </row>
    <row r="2040" spans="1:18">
      <c r="A2040">
        <v>902.92</v>
      </c>
      <c r="B2040">
        <v>4</v>
      </c>
      <c r="C2040">
        <v>2039</v>
      </c>
      <c r="D2040" s="2">
        <v>0.67027760416666671</v>
      </c>
      <c r="E2040" t="s">
        <v>1072</v>
      </c>
      <c r="F2040" t="s">
        <v>1073</v>
      </c>
      <c r="G2040" t="s">
        <v>1074</v>
      </c>
      <c r="H2040" t="s">
        <v>1002</v>
      </c>
      <c r="I2040" t="s">
        <v>1003</v>
      </c>
      <c r="J2040" t="s">
        <v>444</v>
      </c>
      <c r="K2040" t="s">
        <v>37</v>
      </c>
      <c r="L2040">
        <v>225.73</v>
      </c>
      <c r="M2040" s="1">
        <v>45993</v>
      </c>
      <c r="N2040" t="s">
        <v>48</v>
      </c>
      <c r="O2040">
        <v>2</v>
      </c>
      <c r="P2040">
        <v>12</v>
      </c>
      <c r="Q2040">
        <v>4</v>
      </c>
      <c r="R2040">
        <v>2025</v>
      </c>
    </row>
    <row r="2041" spans="1:18">
      <c r="A2041">
        <v>474.06000000000006</v>
      </c>
      <c r="B2041">
        <v>3</v>
      </c>
      <c r="C2041">
        <v>2040</v>
      </c>
      <c r="D2041" s="2">
        <v>0.63019799768518514</v>
      </c>
      <c r="E2041" t="s">
        <v>2307</v>
      </c>
      <c r="F2041" t="s">
        <v>2308</v>
      </c>
      <c r="G2041" t="s">
        <v>761</v>
      </c>
      <c r="H2041" t="s">
        <v>1032</v>
      </c>
      <c r="I2041" t="s">
        <v>839</v>
      </c>
      <c r="J2041" t="s">
        <v>406</v>
      </c>
      <c r="K2041" t="s">
        <v>17</v>
      </c>
      <c r="L2041">
        <v>158.02000000000001</v>
      </c>
      <c r="M2041" s="1">
        <v>45794</v>
      </c>
      <c r="N2041" t="s">
        <v>14</v>
      </c>
      <c r="O2041">
        <v>17</v>
      </c>
      <c r="P2041">
        <v>5</v>
      </c>
      <c r="Q2041">
        <v>2</v>
      </c>
      <c r="R2041">
        <v>2025</v>
      </c>
    </row>
    <row r="2042" spans="1:18">
      <c r="A2042">
        <v>201.12</v>
      </c>
      <c r="B2042">
        <v>4</v>
      </c>
      <c r="C2042">
        <v>2041</v>
      </c>
      <c r="D2042" s="2">
        <v>0.28924127314814813</v>
      </c>
      <c r="E2042" t="s">
        <v>1340</v>
      </c>
      <c r="F2042" t="s">
        <v>1341</v>
      </c>
      <c r="G2042" t="s">
        <v>1152</v>
      </c>
      <c r="H2042" t="s">
        <v>1342</v>
      </c>
      <c r="I2042" t="s">
        <v>776</v>
      </c>
      <c r="J2042" t="s">
        <v>519</v>
      </c>
      <c r="K2042" t="s">
        <v>51</v>
      </c>
      <c r="L2042">
        <v>50.28</v>
      </c>
      <c r="M2042" s="1">
        <v>46002</v>
      </c>
      <c r="N2042" t="s">
        <v>105</v>
      </c>
      <c r="O2042">
        <v>11</v>
      </c>
      <c r="P2042">
        <v>12</v>
      </c>
      <c r="Q2042">
        <v>4</v>
      </c>
      <c r="R2042">
        <v>2025</v>
      </c>
    </row>
    <row r="2043" spans="1:18">
      <c r="A2043">
        <v>493.64</v>
      </c>
      <c r="B2043">
        <v>2</v>
      </c>
      <c r="C2043">
        <v>2042</v>
      </c>
      <c r="D2043" s="2">
        <v>0.28050410879629628</v>
      </c>
      <c r="E2043" t="s">
        <v>3005</v>
      </c>
      <c r="F2043" t="s">
        <v>3006</v>
      </c>
      <c r="G2043" t="s">
        <v>2275</v>
      </c>
      <c r="H2043" t="s">
        <v>392</v>
      </c>
      <c r="I2043" t="s">
        <v>943</v>
      </c>
      <c r="J2043" t="s">
        <v>369</v>
      </c>
      <c r="K2043" t="s">
        <v>43</v>
      </c>
      <c r="L2043">
        <v>246.82</v>
      </c>
      <c r="M2043" s="1">
        <v>45658</v>
      </c>
      <c r="N2043" t="s">
        <v>34</v>
      </c>
      <c r="O2043">
        <v>1</v>
      </c>
      <c r="P2043">
        <v>1</v>
      </c>
      <c r="Q2043">
        <v>1</v>
      </c>
      <c r="R2043">
        <v>2025</v>
      </c>
    </row>
    <row r="2044" spans="1:18">
      <c r="A2044">
        <v>5.44</v>
      </c>
      <c r="B2044">
        <v>2</v>
      </c>
      <c r="C2044">
        <v>2043</v>
      </c>
      <c r="D2044" s="2">
        <v>0.70401821759259264</v>
      </c>
      <c r="E2044" t="s">
        <v>2768</v>
      </c>
      <c r="F2044" t="s">
        <v>2769</v>
      </c>
      <c r="G2044" t="s">
        <v>857</v>
      </c>
      <c r="H2044" t="s">
        <v>1209</v>
      </c>
      <c r="I2044" t="s">
        <v>776</v>
      </c>
      <c r="J2044" t="s">
        <v>99</v>
      </c>
      <c r="K2044" t="s">
        <v>100</v>
      </c>
      <c r="L2044">
        <v>2.72</v>
      </c>
      <c r="M2044" s="1">
        <v>46018</v>
      </c>
      <c r="N2044" t="s">
        <v>14</v>
      </c>
      <c r="O2044">
        <v>27</v>
      </c>
      <c r="P2044">
        <v>12</v>
      </c>
      <c r="Q2044">
        <v>4</v>
      </c>
      <c r="R2044">
        <v>2025</v>
      </c>
    </row>
    <row r="2045" spans="1:18">
      <c r="A2045">
        <v>69.89</v>
      </c>
      <c r="B2045">
        <v>1</v>
      </c>
      <c r="C2045">
        <v>2044</v>
      </c>
      <c r="D2045" s="2">
        <v>0.34029886574074075</v>
      </c>
      <c r="E2045" t="s">
        <v>3283</v>
      </c>
      <c r="F2045" t="s">
        <v>3284</v>
      </c>
      <c r="G2045" t="s">
        <v>1038</v>
      </c>
      <c r="H2045" t="s">
        <v>915</v>
      </c>
      <c r="I2045" t="s">
        <v>768</v>
      </c>
      <c r="J2045" t="s">
        <v>366</v>
      </c>
      <c r="K2045" t="s">
        <v>19</v>
      </c>
      <c r="L2045">
        <v>69.89</v>
      </c>
      <c r="M2045" s="1">
        <v>45675</v>
      </c>
      <c r="N2045" t="s">
        <v>14</v>
      </c>
      <c r="O2045">
        <v>18</v>
      </c>
      <c r="P2045">
        <v>1</v>
      </c>
      <c r="Q2045">
        <v>1</v>
      </c>
      <c r="R2045">
        <v>2025</v>
      </c>
    </row>
    <row r="2046" spans="1:18">
      <c r="A2046">
        <v>158.38</v>
      </c>
      <c r="B2046">
        <v>1</v>
      </c>
      <c r="C2046">
        <v>2045</v>
      </c>
      <c r="D2046" s="2">
        <v>0.4435428472222222</v>
      </c>
      <c r="E2046" t="s">
        <v>1237</v>
      </c>
      <c r="F2046" t="s">
        <v>1238</v>
      </c>
      <c r="G2046" t="s">
        <v>1053</v>
      </c>
      <c r="H2046" t="s">
        <v>1239</v>
      </c>
      <c r="I2046" t="s">
        <v>795</v>
      </c>
      <c r="J2046" t="s">
        <v>172</v>
      </c>
      <c r="K2046" t="s">
        <v>46</v>
      </c>
      <c r="L2046">
        <v>158.38</v>
      </c>
      <c r="M2046" s="1">
        <v>46142</v>
      </c>
      <c r="N2046" t="s">
        <v>105</v>
      </c>
      <c r="O2046">
        <v>30</v>
      </c>
      <c r="P2046">
        <v>4</v>
      </c>
      <c r="Q2046">
        <v>2</v>
      </c>
      <c r="R2046">
        <v>2026</v>
      </c>
    </row>
    <row r="2047" spans="1:18">
      <c r="A2047">
        <v>104.12</v>
      </c>
      <c r="B2047">
        <v>1</v>
      </c>
      <c r="C2047">
        <v>2046</v>
      </c>
      <c r="D2047" s="2">
        <v>0.16706240740740741</v>
      </c>
      <c r="E2047" t="s">
        <v>2879</v>
      </c>
      <c r="F2047" t="s">
        <v>2880</v>
      </c>
      <c r="G2047" t="s">
        <v>2881</v>
      </c>
      <c r="H2047" t="s">
        <v>151</v>
      </c>
      <c r="I2047" t="s">
        <v>1003</v>
      </c>
      <c r="J2047" t="s">
        <v>620</v>
      </c>
      <c r="K2047" t="s">
        <v>21</v>
      </c>
      <c r="L2047">
        <v>104.12</v>
      </c>
      <c r="M2047" s="1">
        <v>46040</v>
      </c>
      <c r="N2047" t="s">
        <v>28</v>
      </c>
      <c r="O2047">
        <v>18</v>
      </c>
      <c r="P2047">
        <v>1</v>
      </c>
      <c r="Q2047">
        <v>1</v>
      </c>
      <c r="R2047">
        <v>2026</v>
      </c>
    </row>
    <row r="2048" spans="1:18">
      <c r="A2048">
        <v>985.3</v>
      </c>
      <c r="B2048">
        <v>5</v>
      </c>
      <c r="C2048">
        <v>2047</v>
      </c>
      <c r="D2048" s="2">
        <v>0.51944662037037037</v>
      </c>
      <c r="E2048" t="s">
        <v>2636</v>
      </c>
      <c r="F2048" t="s">
        <v>2637</v>
      </c>
      <c r="G2048" t="s">
        <v>1006</v>
      </c>
      <c r="H2048" t="s">
        <v>199</v>
      </c>
      <c r="I2048" t="s">
        <v>781</v>
      </c>
      <c r="J2048" t="s">
        <v>179</v>
      </c>
      <c r="K2048" t="s">
        <v>37</v>
      </c>
      <c r="L2048">
        <v>197.06</v>
      </c>
      <c r="M2048" s="1">
        <v>46149</v>
      </c>
      <c r="N2048" t="s">
        <v>105</v>
      </c>
      <c r="O2048">
        <v>7</v>
      </c>
      <c r="P2048">
        <v>5</v>
      </c>
      <c r="Q2048">
        <v>2</v>
      </c>
      <c r="R2048">
        <v>2026</v>
      </c>
    </row>
    <row r="2049" spans="1:18">
      <c r="A2049">
        <v>91.88</v>
      </c>
      <c r="B2049">
        <v>4</v>
      </c>
      <c r="C2049">
        <v>2048</v>
      </c>
      <c r="D2049" s="2">
        <v>0.41316056712962962</v>
      </c>
      <c r="E2049" t="s">
        <v>2209</v>
      </c>
      <c r="F2049" t="s">
        <v>2210</v>
      </c>
      <c r="G2049" t="s">
        <v>1035</v>
      </c>
      <c r="H2049" t="s">
        <v>1630</v>
      </c>
      <c r="I2049" t="s">
        <v>763</v>
      </c>
      <c r="J2049" t="s">
        <v>90</v>
      </c>
      <c r="K2049" t="s">
        <v>23</v>
      </c>
      <c r="L2049">
        <v>22.97</v>
      </c>
      <c r="M2049" s="1">
        <v>45902</v>
      </c>
      <c r="N2049" t="s">
        <v>48</v>
      </c>
      <c r="O2049">
        <v>2</v>
      </c>
      <c r="P2049">
        <v>9</v>
      </c>
      <c r="Q2049">
        <v>3</v>
      </c>
      <c r="R2049">
        <v>2025</v>
      </c>
    </row>
    <row r="2050" spans="1:18">
      <c r="A2050">
        <v>20.02</v>
      </c>
      <c r="B2050">
        <v>2</v>
      </c>
      <c r="C2050">
        <v>2049</v>
      </c>
      <c r="D2050" s="2">
        <v>0.29518537037037035</v>
      </c>
      <c r="E2050" t="s">
        <v>2662</v>
      </c>
      <c r="F2050" t="s">
        <v>2663</v>
      </c>
      <c r="G2050" t="s">
        <v>2416</v>
      </c>
      <c r="H2050" t="s">
        <v>825</v>
      </c>
      <c r="I2050" t="s">
        <v>781</v>
      </c>
      <c r="J2050" t="s">
        <v>163</v>
      </c>
      <c r="K2050" t="s">
        <v>97</v>
      </c>
      <c r="L2050">
        <v>10.01</v>
      </c>
      <c r="M2050" s="1">
        <v>46189</v>
      </c>
      <c r="N2050" t="s">
        <v>48</v>
      </c>
      <c r="O2050">
        <v>16</v>
      </c>
      <c r="P2050">
        <v>6</v>
      </c>
      <c r="Q2050">
        <v>2</v>
      </c>
      <c r="R2050">
        <v>2026</v>
      </c>
    </row>
    <row r="2051" spans="1:18">
      <c r="A2051">
        <v>34.47</v>
      </c>
      <c r="B2051">
        <v>3</v>
      </c>
      <c r="C2051">
        <v>2050</v>
      </c>
      <c r="D2051" s="2">
        <v>0.34500489583333332</v>
      </c>
      <c r="E2051" t="s">
        <v>3165</v>
      </c>
      <c r="F2051" t="s">
        <v>3166</v>
      </c>
      <c r="G2051" t="s">
        <v>1633</v>
      </c>
      <c r="H2051" t="s">
        <v>1673</v>
      </c>
      <c r="I2051" t="s">
        <v>821</v>
      </c>
      <c r="J2051" t="s">
        <v>736</v>
      </c>
      <c r="K2051" t="s">
        <v>122</v>
      </c>
      <c r="L2051">
        <v>11.49</v>
      </c>
      <c r="M2051" s="1">
        <v>45777</v>
      </c>
      <c r="N2051" t="s">
        <v>34</v>
      </c>
      <c r="O2051">
        <v>30</v>
      </c>
      <c r="P2051">
        <v>4</v>
      </c>
      <c r="Q2051">
        <v>2</v>
      </c>
      <c r="R2051">
        <v>2025</v>
      </c>
    </row>
    <row r="2052" spans="1:18">
      <c r="A2052">
        <v>302.26</v>
      </c>
      <c r="B2052">
        <v>2</v>
      </c>
      <c r="C2052">
        <v>2051</v>
      </c>
      <c r="D2052" s="2">
        <v>0.52203446759259264</v>
      </c>
      <c r="E2052" t="s">
        <v>2011</v>
      </c>
      <c r="F2052" t="s">
        <v>2012</v>
      </c>
      <c r="G2052" t="s">
        <v>2013</v>
      </c>
      <c r="H2052" t="s">
        <v>1172</v>
      </c>
      <c r="I2052" t="s">
        <v>830</v>
      </c>
      <c r="J2052" t="s">
        <v>655</v>
      </c>
      <c r="K2052" t="s">
        <v>82</v>
      </c>
      <c r="L2052">
        <v>151.13</v>
      </c>
      <c r="M2052" s="1">
        <v>45597</v>
      </c>
      <c r="N2052" t="s">
        <v>79</v>
      </c>
      <c r="O2052">
        <v>1</v>
      </c>
      <c r="P2052">
        <v>11</v>
      </c>
      <c r="Q2052">
        <v>4</v>
      </c>
      <c r="R2052">
        <v>2024</v>
      </c>
    </row>
    <row r="2053" spans="1:18">
      <c r="A2053">
        <v>591.18000000000006</v>
      </c>
      <c r="B2053">
        <v>3</v>
      </c>
      <c r="C2053">
        <v>2052</v>
      </c>
      <c r="D2053" s="2">
        <v>0.14353996527777776</v>
      </c>
      <c r="E2053" t="s">
        <v>1570</v>
      </c>
      <c r="F2053" t="s">
        <v>1571</v>
      </c>
      <c r="G2053" t="s">
        <v>1274</v>
      </c>
      <c r="H2053" t="s">
        <v>1502</v>
      </c>
      <c r="I2053" t="s">
        <v>817</v>
      </c>
      <c r="J2053" t="s">
        <v>179</v>
      </c>
      <c r="K2053" t="s">
        <v>37</v>
      </c>
      <c r="L2053">
        <v>197.06</v>
      </c>
      <c r="M2053" s="1">
        <v>46083</v>
      </c>
      <c r="N2053" t="s">
        <v>93</v>
      </c>
      <c r="O2053">
        <v>2</v>
      </c>
      <c r="P2053">
        <v>3</v>
      </c>
      <c r="Q2053">
        <v>1</v>
      </c>
      <c r="R2053">
        <v>2026</v>
      </c>
    </row>
    <row r="2054" spans="1:18">
      <c r="A2054">
        <v>627.79999999999995</v>
      </c>
      <c r="B2054">
        <v>5</v>
      </c>
      <c r="C2054">
        <v>2053</v>
      </c>
      <c r="D2054" s="2">
        <v>3.360363425925926E-2</v>
      </c>
      <c r="E2054" t="s">
        <v>2068</v>
      </c>
      <c r="F2054" t="s">
        <v>2069</v>
      </c>
      <c r="G2054" t="s">
        <v>1468</v>
      </c>
      <c r="H2054" t="s">
        <v>762</v>
      </c>
      <c r="I2054" t="s">
        <v>763</v>
      </c>
      <c r="J2054" t="s">
        <v>87</v>
      </c>
      <c r="K2054" t="s">
        <v>39</v>
      </c>
      <c r="L2054">
        <v>125.56</v>
      </c>
      <c r="M2054" s="1">
        <v>45941</v>
      </c>
      <c r="N2054" t="s">
        <v>14</v>
      </c>
      <c r="O2054">
        <v>11</v>
      </c>
      <c r="P2054">
        <v>10</v>
      </c>
      <c r="Q2054">
        <v>4</v>
      </c>
      <c r="R2054">
        <v>2025</v>
      </c>
    </row>
    <row r="2055" spans="1:18">
      <c r="A2055">
        <v>946.1</v>
      </c>
      <c r="B2055">
        <v>5</v>
      </c>
      <c r="C2055">
        <v>2054</v>
      </c>
      <c r="D2055" s="2">
        <v>0.84809521990740744</v>
      </c>
      <c r="E2055" t="s">
        <v>1350</v>
      </c>
      <c r="F2055" t="s">
        <v>1351</v>
      </c>
      <c r="G2055" t="s">
        <v>1031</v>
      </c>
      <c r="H2055" t="s">
        <v>1156</v>
      </c>
      <c r="I2055" t="s">
        <v>821</v>
      </c>
      <c r="J2055" t="s">
        <v>634</v>
      </c>
      <c r="K2055" t="s">
        <v>46</v>
      </c>
      <c r="L2055">
        <v>189.22</v>
      </c>
      <c r="M2055" s="1">
        <v>46057</v>
      </c>
      <c r="N2055" t="s">
        <v>34</v>
      </c>
      <c r="O2055">
        <v>4</v>
      </c>
      <c r="P2055">
        <v>2</v>
      </c>
      <c r="Q2055">
        <v>1</v>
      </c>
      <c r="R2055">
        <v>2026</v>
      </c>
    </row>
    <row r="2056" spans="1:18">
      <c r="A2056">
        <v>430.5</v>
      </c>
      <c r="B2056">
        <v>2</v>
      </c>
      <c r="C2056">
        <v>2055</v>
      </c>
      <c r="D2056" s="2">
        <v>0.1710500925925926</v>
      </c>
      <c r="E2056" t="s">
        <v>3290</v>
      </c>
      <c r="F2056" t="s">
        <v>3291</v>
      </c>
      <c r="G2056" t="s">
        <v>1965</v>
      </c>
      <c r="H2056" t="s">
        <v>1533</v>
      </c>
      <c r="I2056" t="s">
        <v>781</v>
      </c>
      <c r="J2056" t="s">
        <v>148</v>
      </c>
      <c r="K2056" t="s">
        <v>51</v>
      </c>
      <c r="L2056">
        <v>215.25</v>
      </c>
      <c r="M2056" s="1">
        <v>45662</v>
      </c>
      <c r="N2056" t="s">
        <v>28</v>
      </c>
      <c r="O2056">
        <v>5</v>
      </c>
      <c r="P2056">
        <v>1</v>
      </c>
      <c r="Q2056">
        <v>1</v>
      </c>
      <c r="R2056">
        <v>2025</v>
      </c>
    </row>
    <row r="2057" spans="1:18">
      <c r="A2057">
        <v>178.46</v>
      </c>
      <c r="B2057">
        <v>2</v>
      </c>
      <c r="C2057">
        <v>2056</v>
      </c>
      <c r="D2057" s="2">
        <v>0.87858650462962962</v>
      </c>
      <c r="E2057" t="s">
        <v>1173</v>
      </c>
      <c r="F2057" t="s">
        <v>1174</v>
      </c>
      <c r="G2057" t="s">
        <v>969</v>
      </c>
      <c r="H2057" t="s">
        <v>345</v>
      </c>
      <c r="I2057" t="s">
        <v>892</v>
      </c>
      <c r="J2057" t="s">
        <v>401</v>
      </c>
      <c r="K2057" t="s">
        <v>31</v>
      </c>
      <c r="L2057">
        <v>89.23</v>
      </c>
      <c r="M2057" s="1">
        <v>45716</v>
      </c>
      <c r="N2057" t="s">
        <v>79</v>
      </c>
      <c r="O2057">
        <v>28</v>
      </c>
      <c r="P2057">
        <v>2</v>
      </c>
      <c r="Q2057">
        <v>1</v>
      </c>
      <c r="R2057">
        <v>2025</v>
      </c>
    </row>
    <row r="2058" spans="1:18">
      <c r="A2058">
        <v>446.15000000000003</v>
      </c>
      <c r="B2058">
        <v>5</v>
      </c>
      <c r="C2058">
        <v>2057</v>
      </c>
      <c r="D2058" s="2">
        <v>0.94328981481481478</v>
      </c>
      <c r="E2058" t="s">
        <v>1062</v>
      </c>
      <c r="F2058" t="s">
        <v>1063</v>
      </c>
      <c r="G2058" t="s">
        <v>1064</v>
      </c>
      <c r="H2058" t="s">
        <v>151</v>
      </c>
      <c r="I2058" t="s">
        <v>1003</v>
      </c>
      <c r="J2058" t="s">
        <v>401</v>
      </c>
      <c r="K2058" t="s">
        <v>31</v>
      </c>
      <c r="L2058">
        <v>89.23</v>
      </c>
      <c r="M2058" s="1">
        <v>46084</v>
      </c>
      <c r="N2058" t="s">
        <v>48</v>
      </c>
      <c r="O2058">
        <v>3</v>
      </c>
      <c r="P2058">
        <v>3</v>
      </c>
      <c r="Q2058">
        <v>1</v>
      </c>
      <c r="R2058">
        <v>2026</v>
      </c>
    </row>
    <row r="2059" spans="1:18">
      <c r="A2059">
        <v>233.52</v>
      </c>
      <c r="B2059">
        <v>1</v>
      </c>
      <c r="C2059">
        <v>2058</v>
      </c>
      <c r="D2059" s="2">
        <v>0.29363570601851852</v>
      </c>
      <c r="E2059" t="s">
        <v>2027</v>
      </c>
      <c r="F2059" t="s">
        <v>1355</v>
      </c>
      <c r="G2059" t="s">
        <v>1508</v>
      </c>
      <c r="H2059" t="s">
        <v>1002</v>
      </c>
      <c r="I2059" t="s">
        <v>1003</v>
      </c>
      <c r="J2059" t="s">
        <v>676</v>
      </c>
      <c r="K2059" t="s">
        <v>69</v>
      </c>
      <c r="L2059">
        <v>233.52</v>
      </c>
      <c r="M2059" s="1">
        <v>45802</v>
      </c>
      <c r="N2059" t="s">
        <v>28</v>
      </c>
      <c r="O2059">
        <v>25</v>
      </c>
      <c r="P2059">
        <v>5</v>
      </c>
      <c r="Q2059">
        <v>2</v>
      </c>
      <c r="R2059">
        <v>2025</v>
      </c>
    </row>
    <row r="2060" spans="1:18">
      <c r="A2060">
        <v>102.09</v>
      </c>
      <c r="B2060">
        <v>3</v>
      </c>
      <c r="C2060">
        <v>2059</v>
      </c>
      <c r="D2060" s="2">
        <v>0.2689371527777778</v>
      </c>
      <c r="E2060" t="s">
        <v>1714</v>
      </c>
      <c r="F2060" t="s">
        <v>1715</v>
      </c>
      <c r="G2060" t="s">
        <v>1716</v>
      </c>
      <c r="H2060" t="s">
        <v>1032</v>
      </c>
      <c r="I2060" t="s">
        <v>839</v>
      </c>
      <c r="J2060" t="s">
        <v>678</v>
      </c>
      <c r="K2060" t="s">
        <v>100</v>
      </c>
      <c r="L2060">
        <v>34.03</v>
      </c>
      <c r="M2060" s="1">
        <v>46201</v>
      </c>
      <c r="N2060" t="s">
        <v>28</v>
      </c>
      <c r="O2060">
        <v>28</v>
      </c>
      <c r="P2060">
        <v>6</v>
      </c>
      <c r="Q2060">
        <v>2</v>
      </c>
      <c r="R2060">
        <v>2026</v>
      </c>
    </row>
    <row r="2061" spans="1:18">
      <c r="A2061">
        <v>25.68</v>
      </c>
      <c r="B2061">
        <v>4</v>
      </c>
      <c r="C2061">
        <v>2060</v>
      </c>
      <c r="D2061" s="2">
        <v>0.86740873842592592</v>
      </c>
      <c r="E2061" t="s">
        <v>1799</v>
      </c>
      <c r="F2061" t="s">
        <v>1800</v>
      </c>
      <c r="G2061" t="s">
        <v>1801</v>
      </c>
      <c r="H2061" t="s">
        <v>883</v>
      </c>
      <c r="I2061" t="s">
        <v>807</v>
      </c>
      <c r="J2061" t="s">
        <v>316</v>
      </c>
      <c r="K2061" t="s">
        <v>97</v>
      </c>
      <c r="L2061">
        <v>6.42</v>
      </c>
      <c r="M2061" s="1">
        <v>45960</v>
      </c>
      <c r="N2061" t="s">
        <v>105</v>
      </c>
      <c r="O2061">
        <v>30</v>
      </c>
      <c r="P2061">
        <v>10</v>
      </c>
      <c r="Q2061">
        <v>4</v>
      </c>
      <c r="R2061">
        <v>2025</v>
      </c>
    </row>
    <row r="2062" spans="1:18">
      <c r="A2062">
        <v>109.22999999999999</v>
      </c>
      <c r="B2062">
        <v>3</v>
      </c>
      <c r="C2062">
        <v>2061</v>
      </c>
      <c r="D2062" s="2">
        <v>0.82000084490740743</v>
      </c>
      <c r="E2062" t="s">
        <v>2121</v>
      </c>
      <c r="F2062" t="s">
        <v>2122</v>
      </c>
      <c r="G2062" t="s">
        <v>1077</v>
      </c>
      <c r="H2062" t="s">
        <v>929</v>
      </c>
      <c r="I2062" t="s">
        <v>786</v>
      </c>
      <c r="J2062" t="s">
        <v>607</v>
      </c>
      <c r="K2062" t="s">
        <v>43</v>
      </c>
      <c r="L2062">
        <v>36.409999999999997</v>
      </c>
      <c r="M2062" s="1">
        <v>45984</v>
      </c>
      <c r="N2062" t="s">
        <v>28</v>
      </c>
      <c r="O2062">
        <v>23</v>
      </c>
      <c r="P2062">
        <v>11</v>
      </c>
      <c r="Q2062">
        <v>4</v>
      </c>
      <c r="R2062">
        <v>2025</v>
      </c>
    </row>
    <row r="2063" spans="1:18">
      <c r="A2063">
        <v>199.05</v>
      </c>
      <c r="B2063">
        <v>5</v>
      </c>
      <c r="C2063">
        <v>2062</v>
      </c>
      <c r="D2063" s="2">
        <v>0.50746809027777773</v>
      </c>
      <c r="E2063" t="s">
        <v>884</v>
      </c>
      <c r="F2063" t="s">
        <v>885</v>
      </c>
      <c r="G2063" t="s">
        <v>837</v>
      </c>
      <c r="H2063" t="s">
        <v>762</v>
      </c>
      <c r="I2063" t="s">
        <v>763</v>
      </c>
      <c r="J2063" t="s">
        <v>154</v>
      </c>
      <c r="K2063" t="s">
        <v>37</v>
      </c>
      <c r="L2063">
        <v>39.81</v>
      </c>
      <c r="M2063" s="1">
        <v>46073</v>
      </c>
      <c r="N2063" t="s">
        <v>79</v>
      </c>
      <c r="O2063">
        <v>20</v>
      </c>
      <c r="P2063">
        <v>2</v>
      </c>
      <c r="Q2063">
        <v>1</v>
      </c>
      <c r="R2063">
        <v>2026</v>
      </c>
    </row>
    <row r="2064" spans="1:18">
      <c r="A2064">
        <v>353.06</v>
      </c>
      <c r="B2064">
        <v>2</v>
      </c>
      <c r="C2064">
        <v>2063</v>
      </c>
      <c r="D2064" s="2">
        <v>0.47014599537037038</v>
      </c>
      <c r="E2064" t="s">
        <v>2630</v>
      </c>
      <c r="F2064" t="s">
        <v>2631</v>
      </c>
      <c r="G2064" t="s">
        <v>1633</v>
      </c>
      <c r="H2064" t="s">
        <v>1421</v>
      </c>
      <c r="I2064" t="s">
        <v>776</v>
      </c>
      <c r="J2064" t="s">
        <v>631</v>
      </c>
      <c r="K2064" t="s">
        <v>39</v>
      </c>
      <c r="L2064">
        <v>176.53</v>
      </c>
      <c r="M2064" s="1">
        <v>45595</v>
      </c>
      <c r="N2064" t="s">
        <v>34</v>
      </c>
      <c r="O2064">
        <v>30</v>
      </c>
      <c r="P2064">
        <v>10</v>
      </c>
      <c r="Q2064">
        <v>4</v>
      </c>
      <c r="R2064">
        <v>2024</v>
      </c>
    </row>
    <row r="2065" spans="1:18">
      <c r="A2065">
        <v>14.62</v>
      </c>
      <c r="B2065">
        <v>1</v>
      </c>
      <c r="C2065">
        <v>2064</v>
      </c>
      <c r="D2065" s="2">
        <v>3.7573854166666663E-2</v>
      </c>
      <c r="E2065" t="s">
        <v>1438</v>
      </c>
      <c r="F2065" t="s">
        <v>1439</v>
      </c>
      <c r="G2065" t="s">
        <v>1440</v>
      </c>
      <c r="H2065" t="s">
        <v>29</v>
      </c>
      <c r="I2065" t="s">
        <v>763</v>
      </c>
      <c r="J2065" t="s">
        <v>102</v>
      </c>
      <c r="K2065" t="s">
        <v>51</v>
      </c>
      <c r="L2065">
        <v>14.62</v>
      </c>
      <c r="M2065" s="1">
        <v>45891</v>
      </c>
      <c r="N2065" t="s">
        <v>79</v>
      </c>
      <c r="O2065">
        <v>22</v>
      </c>
      <c r="P2065">
        <v>8</v>
      </c>
      <c r="Q2065">
        <v>3</v>
      </c>
      <c r="R2065">
        <v>2025</v>
      </c>
    </row>
    <row r="2066" spans="1:18">
      <c r="A2066">
        <v>379.90000000000003</v>
      </c>
      <c r="B2066">
        <v>5</v>
      </c>
      <c r="C2066">
        <v>2065</v>
      </c>
      <c r="D2066" s="2">
        <v>0.30314693287037037</v>
      </c>
      <c r="E2066" t="s">
        <v>2646</v>
      </c>
      <c r="F2066" t="s">
        <v>2647</v>
      </c>
      <c r="G2066" t="s">
        <v>1070</v>
      </c>
      <c r="H2066" t="s">
        <v>838</v>
      </c>
      <c r="I2066" t="s">
        <v>839</v>
      </c>
      <c r="J2066" t="s">
        <v>313</v>
      </c>
      <c r="K2066" t="s">
        <v>31</v>
      </c>
      <c r="L2066">
        <v>75.98</v>
      </c>
      <c r="M2066" s="1">
        <v>46110</v>
      </c>
      <c r="N2066" t="s">
        <v>28</v>
      </c>
      <c r="O2066">
        <v>29</v>
      </c>
      <c r="P2066">
        <v>3</v>
      </c>
      <c r="Q2066">
        <v>1</v>
      </c>
      <c r="R2066">
        <v>2026</v>
      </c>
    </row>
    <row r="2067" spans="1:18">
      <c r="A2067">
        <v>977.28</v>
      </c>
      <c r="B2067">
        <v>4</v>
      </c>
      <c r="C2067">
        <v>2066</v>
      </c>
      <c r="D2067" s="2">
        <v>0.2547111226851852</v>
      </c>
      <c r="E2067" t="s">
        <v>1526</v>
      </c>
      <c r="F2067" t="s">
        <v>1527</v>
      </c>
      <c r="G2067" t="s">
        <v>1031</v>
      </c>
      <c r="H2067" t="s">
        <v>1092</v>
      </c>
      <c r="I2067" t="s">
        <v>763</v>
      </c>
      <c r="J2067" t="s">
        <v>613</v>
      </c>
      <c r="K2067" t="s">
        <v>21</v>
      </c>
      <c r="L2067">
        <v>244.32</v>
      </c>
      <c r="M2067" s="1">
        <v>45874</v>
      </c>
      <c r="N2067" t="s">
        <v>48</v>
      </c>
      <c r="O2067">
        <v>5</v>
      </c>
      <c r="P2067">
        <v>8</v>
      </c>
      <c r="Q2067">
        <v>3</v>
      </c>
      <c r="R2067">
        <v>2025</v>
      </c>
    </row>
    <row r="2068" spans="1:18">
      <c r="A2068">
        <v>154.11000000000001</v>
      </c>
      <c r="B2068">
        <v>1</v>
      </c>
      <c r="C2068">
        <v>2067</v>
      </c>
      <c r="D2068" s="2">
        <v>0.70803400462962962</v>
      </c>
      <c r="E2068" t="s">
        <v>2485</v>
      </c>
      <c r="F2068" t="s">
        <v>2486</v>
      </c>
      <c r="G2068" t="s">
        <v>1849</v>
      </c>
      <c r="H2068" t="s">
        <v>1525</v>
      </c>
      <c r="I2068" t="s">
        <v>763</v>
      </c>
      <c r="J2068" t="s">
        <v>161</v>
      </c>
      <c r="K2068" t="s">
        <v>37</v>
      </c>
      <c r="L2068">
        <v>154.11000000000001</v>
      </c>
      <c r="M2068" s="1">
        <v>46031</v>
      </c>
      <c r="N2068" t="s">
        <v>79</v>
      </c>
      <c r="O2068">
        <v>9</v>
      </c>
      <c r="P2068">
        <v>1</v>
      </c>
      <c r="Q2068">
        <v>1</v>
      </c>
      <c r="R2068">
        <v>2026</v>
      </c>
    </row>
    <row r="2069" spans="1:18">
      <c r="A2069">
        <v>83.62</v>
      </c>
      <c r="B2069">
        <v>1</v>
      </c>
      <c r="C2069">
        <v>2068</v>
      </c>
      <c r="D2069" s="2">
        <v>0.96747964120370367</v>
      </c>
      <c r="E2069" t="s">
        <v>1671</v>
      </c>
      <c r="F2069" t="s">
        <v>1672</v>
      </c>
      <c r="G2069" t="s">
        <v>1013</v>
      </c>
      <c r="H2069" t="s">
        <v>1673</v>
      </c>
      <c r="I2069" t="s">
        <v>821</v>
      </c>
      <c r="J2069" t="s">
        <v>649</v>
      </c>
      <c r="K2069" t="s">
        <v>23</v>
      </c>
      <c r="L2069">
        <v>83.62</v>
      </c>
      <c r="M2069" s="1">
        <v>46270</v>
      </c>
      <c r="N2069" t="s">
        <v>14</v>
      </c>
      <c r="O2069">
        <v>5</v>
      </c>
      <c r="P2069">
        <v>9</v>
      </c>
      <c r="Q2069">
        <v>3</v>
      </c>
      <c r="R2069">
        <v>2026</v>
      </c>
    </row>
    <row r="2070" spans="1:18">
      <c r="A2070">
        <v>89.25</v>
      </c>
      <c r="B2070">
        <v>5</v>
      </c>
      <c r="C2070">
        <v>2069</v>
      </c>
      <c r="D2070" s="2">
        <v>0.22883321759259259</v>
      </c>
      <c r="E2070" t="s">
        <v>2805</v>
      </c>
      <c r="F2070" t="s">
        <v>2806</v>
      </c>
      <c r="G2070" t="s">
        <v>2141</v>
      </c>
      <c r="H2070" t="s">
        <v>995</v>
      </c>
      <c r="I2070" t="s">
        <v>781</v>
      </c>
      <c r="J2070" t="s">
        <v>605</v>
      </c>
      <c r="K2070" t="s">
        <v>39</v>
      </c>
      <c r="L2070">
        <v>17.850000000000001</v>
      </c>
      <c r="M2070" s="1">
        <v>45649</v>
      </c>
      <c r="N2070" t="s">
        <v>93</v>
      </c>
      <c r="O2070">
        <v>23</v>
      </c>
      <c r="P2070">
        <v>12</v>
      </c>
      <c r="Q2070">
        <v>4</v>
      </c>
      <c r="R2070">
        <v>2024</v>
      </c>
    </row>
    <row r="2071" spans="1:18">
      <c r="A2071">
        <v>67.679999999999993</v>
      </c>
      <c r="B2071">
        <v>3</v>
      </c>
      <c r="C2071">
        <v>2070</v>
      </c>
      <c r="D2071" s="2">
        <v>0.37263253472222224</v>
      </c>
      <c r="E2071" t="s">
        <v>1782</v>
      </c>
      <c r="F2071" t="s">
        <v>1783</v>
      </c>
      <c r="G2071" t="s">
        <v>1085</v>
      </c>
      <c r="H2071" t="s">
        <v>1002</v>
      </c>
      <c r="I2071" t="s">
        <v>892</v>
      </c>
      <c r="J2071" t="s">
        <v>371</v>
      </c>
      <c r="K2071" t="s">
        <v>21</v>
      </c>
      <c r="L2071">
        <v>22.56</v>
      </c>
      <c r="M2071" s="1">
        <v>46204</v>
      </c>
      <c r="N2071" t="s">
        <v>34</v>
      </c>
      <c r="O2071">
        <v>1</v>
      </c>
      <c r="P2071">
        <v>7</v>
      </c>
      <c r="Q2071">
        <v>3</v>
      </c>
      <c r="R2071">
        <v>2026</v>
      </c>
    </row>
    <row r="2072" spans="1:18">
      <c r="A2072">
        <v>72.849999999999994</v>
      </c>
      <c r="B2072">
        <v>5</v>
      </c>
      <c r="C2072">
        <v>2071</v>
      </c>
      <c r="D2072" s="2">
        <v>0.43418534722222224</v>
      </c>
      <c r="E2072" t="s">
        <v>1093</v>
      </c>
      <c r="F2072" t="s">
        <v>1094</v>
      </c>
      <c r="G2072" t="s">
        <v>1095</v>
      </c>
      <c r="H2072" t="s">
        <v>862</v>
      </c>
      <c r="I2072" t="s">
        <v>758</v>
      </c>
      <c r="J2072" t="s">
        <v>166</v>
      </c>
      <c r="K2072" t="s">
        <v>23</v>
      </c>
      <c r="L2072">
        <v>14.57</v>
      </c>
      <c r="M2072" s="1">
        <v>46268</v>
      </c>
      <c r="N2072" t="s">
        <v>105</v>
      </c>
      <c r="O2072">
        <v>3</v>
      </c>
      <c r="P2072">
        <v>9</v>
      </c>
      <c r="Q2072">
        <v>3</v>
      </c>
      <c r="R2072">
        <v>2026</v>
      </c>
    </row>
    <row r="2073" spans="1:18">
      <c r="A2073">
        <v>81.8</v>
      </c>
      <c r="B2073">
        <v>4</v>
      </c>
      <c r="C2073">
        <v>2072</v>
      </c>
      <c r="D2073" s="2">
        <v>0.1196692824074074</v>
      </c>
      <c r="E2073" t="s">
        <v>2360</v>
      </c>
      <c r="F2073" t="s">
        <v>2361</v>
      </c>
      <c r="G2073" t="s">
        <v>2362</v>
      </c>
      <c r="H2073" t="s">
        <v>1306</v>
      </c>
      <c r="I2073" t="s">
        <v>966</v>
      </c>
      <c r="J2073" t="s">
        <v>555</v>
      </c>
      <c r="K2073" t="s">
        <v>37</v>
      </c>
      <c r="L2073">
        <v>20.45</v>
      </c>
      <c r="M2073" s="1">
        <v>45915</v>
      </c>
      <c r="N2073" t="s">
        <v>93</v>
      </c>
      <c r="O2073">
        <v>15</v>
      </c>
      <c r="P2073">
        <v>9</v>
      </c>
      <c r="Q2073">
        <v>3</v>
      </c>
      <c r="R2073">
        <v>2025</v>
      </c>
    </row>
    <row r="2074" spans="1:18">
      <c r="A2074">
        <v>80.39</v>
      </c>
      <c r="B2074">
        <v>1</v>
      </c>
      <c r="C2074">
        <v>2073</v>
      </c>
      <c r="D2074" s="2">
        <v>0.28771597222222223</v>
      </c>
      <c r="E2074" t="s">
        <v>1817</v>
      </c>
      <c r="F2074" t="s">
        <v>1818</v>
      </c>
      <c r="G2074" t="s">
        <v>914</v>
      </c>
      <c r="H2074" t="s">
        <v>1574</v>
      </c>
      <c r="I2074" t="s">
        <v>1003</v>
      </c>
      <c r="J2074" t="s">
        <v>130</v>
      </c>
      <c r="K2074" t="s">
        <v>69</v>
      </c>
      <c r="L2074">
        <v>80.39</v>
      </c>
      <c r="M2074" s="1">
        <v>46254</v>
      </c>
      <c r="N2074" t="s">
        <v>105</v>
      </c>
      <c r="O2074">
        <v>20</v>
      </c>
      <c r="P2074">
        <v>8</v>
      </c>
      <c r="Q2074">
        <v>3</v>
      </c>
      <c r="R2074">
        <v>2026</v>
      </c>
    </row>
    <row r="2075" spans="1:18">
      <c r="A2075">
        <v>364.74</v>
      </c>
      <c r="B2075">
        <v>2</v>
      </c>
      <c r="C2075">
        <v>2074</v>
      </c>
      <c r="D2075" s="2">
        <v>8.2369768518518516E-2</v>
      </c>
      <c r="E2075" t="s">
        <v>1534</v>
      </c>
      <c r="F2075" t="s">
        <v>1535</v>
      </c>
      <c r="G2075" t="s">
        <v>1536</v>
      </c>
      <c r="H2075" t="s">
        <v>995</v>
      </c>
      <c r="I2075" t="s">
        <v>781</v>
      </c>
      <c r="J2075" t="s">
        <v>661</v>
      </c>
      <c r="K2075" t="s">
        <v>122</v>
      </c>
      <c r="L2075">
        <v>182.37</v>
      </c>
      <c r="M2075" s="1">
        <v>45758</v>
      </c>
      <c r="N2075" t="s">
        <v>79</v>
      </c>
      <c r="O2075">
        <v>11</v>
      </c>
      <c r="P2075">
        <v>4</v>
      </c>
      <c r="Q2075">
        <v>2</v>
      </c>
      <c r="R2075">
        <v>2025</v>
      </c>
    </row>
    <row r="2076" spans="1:18">
      <c r="A2076">
        <v>71.72</v>
      </c>
      <c r="B2076">
        <v>1</v>
      </c>
      <c r="C2076">
        <v>2075</v>
      </c>
      <c r="D2076" s="2">
        <v>0.14826692129629629</v>
      </c>
      <c r="E2076" t="s">
        <v>1737</v>
      </c>
      <c r="F2076" t="s">
        <v>1738</v>
      </c>
      <c r="G2076" t="s">
        <v>1739</v>
      </c>
      <c r="H2076" t="s">
        <v>1740</v>
      </c>
      <c r="I2076" t="s">
        <v>954</v>
      </c>
      <c r="J2076" t="s">
        <v>141</v>
      </c>
      <c r="K2076" t="s">
        <v>46</v>
      </c>
      <c r="L2076">
        <v>71.72</v>
      </c>
      <c r="M2076" s="1">
        <v>45837</v>
      </c>
      <c r="N2076" t="s">
        <v>28</v>
      </c>
      <c r="O2076">
        <v>29</v>
      </c>
      <c r="P2076">
        <v>6</v>
      </c>
      <c r="Q2076">
        <v>2</v>
      </c>
      <c r="R2076">
        <v>2025</v>
      </c>
    </row>
    <row r="2077" spans="1:18">
      <c r="A2077">
        <v>959.92</v>
      </c>
      <c r="B2077">
        <v>4</v>
      </c>
      <c r="C2077">
        <v>2076</v>
      </c>
      <c r="D2077" s="2">
        <v>0.35232297453703704</v>
      </c>
      <c r="E2077" t="s">
        <v>2768</v>
      </c>
      <c r="F2077" t="s">
        <v>2769</v>
      </c>
      <c r="G2077" t="s">
        <v>857</v>
      </c>
      <c r="H2077" t="s">
        <v>1209</v>
      </c>
      <c r="I2077" t="s">
        <v>776</v>
      </c>
      <c r="J2077" t="s">
        <v>702</v>
      </c>
      <c r="K2077" t="s">
        <v>27</v>
      </c>
      <c r="L2077">
        <v>239.98</v>
      </c>
      <c r="M2077" s="1">
        <v>45758</v>
      </c>
      <c r="N2077" t="s">
        <v>79</v>
      </c>
      <c r="O2077">
        <v>11</v>
      </c>
      <c r="P2077">
        <v>4</v>
      </c>
      <c r="Q2077">
        <v>2</v>
      </c>
      <c r="R2077">
        <v>2025</v>
      </c>
    </row>
    <row r="2078" spans="1:18">
      <c r="A2078">
        <v>969.44</v>
      </c>
      <c r="B2078">
        <v>4</v>
      </c>
      <c r="C2078">
        <v>2077</v>
      </c>
      <c r="D2078" s="2">
        <v>0.46907601851851854</v>
      </c>
      <c r="E2078" t="s">
        <v>2079</v>
      </c>
      <c r="F2078" t="s">
        <v>2080</v>
      </c>
      <c r="G2078" t="s">
        <v>1698</v>
      </c>
      <c r="H2078" t="s">
        <v>1673</v>
      </c>
      <c r="I2078" t="s">
        <v>821</v>
      </c>
      <c r="J2078" t="s">
        <v>115</v>
      </c>
      <c r="K2078" t="s">
        <v>55</v>
      </c>
      <c r="L2078">
        <v>242.36</v>
      </c>
      <c r="M2078" s="1">
        <v>45719</v>
      </c>
      <c r="N2078" t="s">
        <v>93</v>
      </c>
      <c r="O2078">
        <v>3</v>
      </c>
      <c r="P2078">
        <v>3</v>
      </c>
      <c r="Q2078">
        <v>1</v>
      </c>
      <c r="R2078">
        <v>2025</v>
      </c>
    </row>
    <row r="2079" spans="1:18">
      <c r="A2079">
        <v>719.35</v>
      </c>
      <c r="B2079">
        <v>5</v>
      </c>
      <c r="C2079">
        <v>2078</v>
      </c>
      <c r="D2079" s="2">
        <v>0.94732446759259259</v>
      </c>
      <c r="E2079" t="s">
        <v>1372</v>
      </c>
      <c r="F2079" t="s">
        <v>3226</v>
      </c>
      <c r="G2079" t="s">
        <v>1585</v>
      </c>
      <c r="H2079" t="s">
        <v>1682</v>
      </c>
      <c r="I2079" t="s">
        <v>892</v>
      </c>
      <c r="J2079" t="s">
        <v>587</v>
      </c>
      <c r="K2079" t="s">
        <v>27</v>
      </c>
      <c r="L2079">
        <v>143.87</v>
      </c>
      <c r="M2079" s="1">
        <v>45839</v>
      </c>
      <c r="N2079" t="s">
        <v>48</v>
      </c>
      <c r="O2079">
        <v>1</v>
      </c>
      <c r="P2079">
        <v>7</v>
      </c>
      <c r="Q2079">
        <v>3</v>
      </c>
      <c r="R2079">
        <v>2025</v>
      </c>
    </row>
    <row r="2080" spans="1:18">
      <c r="A2080">
        <v>103.94</v>
      </c>
      <c r="B2080">
        <v>1</v>
      </c>
      <c r="C2080">
        <v>2079</v>
      </c>
      <c r="D2080" s="2">
        <v>0.30234458333333336</v>
      </c>
      <c r="E2080" t="s">
        <v>2755</v>
      </c>
      <c r="F2080" t="s">
        <v>2753</v>
      </c>
      <c r="G2080" t="s">
        <v>865</v>
      </c>
      <c r="H2080" t="s">
        <v>1111</v>
      </c>
      <c r="I2080" t="s">
        <v>981</v>
      </c>
      <c r="J2080" t="s">
        <v>210</v>
      </c>
      <c r="K2080" t="s">
        <v>55</v>
      </c>
      <c r="L2080">
        <v>103.94</v>
      </c>
      <c r="M2080" s="1">
        <v>45807</v>
      </c>
      <c r="N2080" t="s">
        <v>79</v>
      </c>
      <c r="O2080">
        <v>30</v>
      </c>
      <c r="P2080">
        <v>5</v>
      </c>
      <c r="Q2080">
        <v>2</v>
      </c>
      <c r="R2080">
        <v>2025</v>
      </c>
    </row>
    <row r="2081" spans="1:18">
      <c r="A2081">
        <v>602.13</v>
      </c>
      <c r="B2081">
        <v>3</v>
      </c>
      <c r="C2081">
        <v>2080</v>
      </c>
      <c r="D2081" s="2">
        <v>0.52816530092592595</v>
      </c>
      <c r="E2081" t="s">
        <v>1343</v>
      </c>
      <c r="F2081" t="s">
        <v>1344</v>
      </c>
      <c r="G2081" t="s">
        <v>1345</v>
      </c>
      <c r="H2081" t="s">
        <v>903</v>
      </c>
      <c r="I2081" t="s">
        <v>786</v>
      </c>
      <c r="J2081" t="s">
        <v>298</v>
      </c>
      <c r="K2081" t="s">
        <v>31</v>
      </c>
      <c r="L2081">
        <v>200.71</v>
      </c>
      <c r="M2081" s="1">
        <v>46143</v>
      </c>
      <c r="N2081" t="s">
        <v>79</v>
      </c>
      <c r="O2081">
        <v>1</v>
      </c>
      <c r="P2081">
        <v>5</v>
      </c>
      <c r="Q2081">
        <v>2</v>
      </c>
      <c r="R2081">
        <v>2026</v>
      </c>
    </row>
    <row r="2082" spans="1:18">
      <c r="A2082">
        <v>566.20000000000005</v>
      </c>
      <c r="B2082">
        <v>4</v>
      </c>
      <c r="C2082">
        <v>2081</v>
      </c>
      <c r="D2082" s="2">
        <v>0.94928495370370369</v>
      </c>
      <c r="E2082" t="s">
        <v>1769</v>
      </c>
      <c r="F2082" t="s">
        <v>1770</v>
      </c>
      <c r="G2082" t="s">
        <v>1771</v>
      </c>
      <c r="H2082" t="s">
        <v>915</v>
      </c>
      <c r="I2082" t="s">
        <v>768</v>
      </c>
      <c r="J2082" t="s">
        <v>273</v>
      </c>
      <c r="K2082" t="s">
        <v>100</v>
      </c>
      <c r="L2082">
        <v>141.55000000000001</v>
      </c>
      <c r="M2082" s="1">
        <v>45724</v>
      </c>
      <c r="N2082" t="s">
        <v>14</v>
      </c>
      <c r="O2082">
        <v>8</v>
      </c>
      <c r="P2082">
        <v>3</v>
      </c>
      <c r="Q2082">
        <v>1</v>
      </c>
      <c r="R2082">
        <v>2025</v>
      </c>
    </row>
    <row r="2083" spans="1:18">
      <c r="A2083">
        <v>465.25</v>
      </c>
      <c r="B2083">
        <v>5</v>
      </c>
      <c r="C2083">
        <v>2082</v>
      </c>
      <c r="D2083" s="2">
        <v>0.43868769675925928</v>
      </c>
      <c r="E2083" t="s">
        <v>1309</v>
      </c>
      <c r="F2083" t="s">
        <v>1310</v>
      </c>
      <c r="G2083" t="s">
        <v>1311</v>
      </c>
      <c r="H2083" t="s">
        <v>49</v>
      </c>
      <c r="I2083" t="s">
        <v>807</v>
      </c>
      <c r="J2083" t="s">
        <v>350</v>
      </c>
      <c r="K2083" t="s">
        <v>60</v>
      </c>
      <c r="L2083">
        <v>93.05</v>
      </c>
      <c r="M2083" s="1">
        <v>46026</v>
      </c>
      <c r="N2083" t="s">
        <v>28</v>
      </c>
      <c r="O2083">
        <v>4</v>
      </c>
      <c r="P2083">
        <v>1</v>
      </c>
      <c r="Q2083">
        <v>1</v>
      </c>
      <c r="R2083">
        <v>2026</v>
      </c>
    </row>
    <row r="2084" spans="1:18">
      <c r="A2084">
        <v>74.400000000000006</v>
      </c>
      <c r="B2084">
        <v>5</v>
      </c>
      <c r="C2084">
        <v>2083</v>
      </c>
      <c r="D2084" s="2">
        <v>0.46531888888888889</v>
      </c>
      <c r="E2084" t="s">
        <v>2814</v>
      </c>
      <c r="F2084" t="s">
        <v>2361</v>
      </c>
      <c r="G2084" t="s">
        <v>1321</v>
      </c>
      <c r="H2084" t="s">
        <v>858</v>
      </c>
      <c r="I2084" t="s">
        <v>753</v>
      </c>
      <c r="J2084" t="s">
        <v>349</v>
      </c>
      <c r="K2084" t="s">
        <v>51</v>
      </c>
      <c r="L2084">
        <v>14.88</v>
      </c>
      <c r="M2084" s="1">
        <v>46084</v>
      </c>
      <c r="N2084" t="s">
        <v>48</v>
      </c>
      <c r="O2084">
        <v>3</v>
      </c>
      <c r="P2084">
        <v>3</v>
      </c>
      <c r="Q2084">
        <v>1</v>
      </c>
      <c r="R2084">
        <v>2026</v>
      </c>
    </row>
    <row r="2085" spans="1:18">
      <c r="A2085">
        <v>223.36</v>
      </c>
      <c r="B2085">
        <v>2</v>
      </c>
      <c r="C2085">
        <v>2084</v>
      </c>
      <c r="D2085" s="2">
        <v>0.90305039351851857</v>
      </c>
      <c r="E2085" t="s">
        <v>1866</v>
      </c>
      <c r="F2085" t="s">
        <v>1867</v>
      </c>
      <c r="G2085" t="s">
        <v>1868</v>
      </c>
      <c r="H2085" t="s">
        <v>1111</v>
      </c>
      <c r="I2085" t="s">
        <v>981</v>
      </c>
      <c r="J2085" t="s">
        <v>540</v>
      </c>
      <c r="K2085" t="s">
        <v>19</v>
      </c>
      <c r="L2085">
        <v>111.68</v>
      </c>
      <c r="M2085" s="1">
        <v>46212</v>
      </c>
      <c r="N2085" t="s">
        <v>105</v>
      </c>
      <c r="O2085">
        <v>9</v>
      </c>
      <c r="P2085">
        <v>7</v>
      </c>
      <c r="Q2085">
        <v>3</v>
      </c>
      <c r="R2085">
        <v>2026</v>
      </c>
    </row>
    <row r="2086" spans="1:18">
      <c r="A2086">
        <v>254.76</v>
      </c>
      <c r="B2086">
        <v>2</v>
      </c>
      <c r="C2086">
        <v>2085</v>
      </c>
      <c r="D2086" s="2">
        <v>0.47886314814814812</v>
      </c>
      <c r="E2086" t="s">
        <v>2783</v>
      </c>
      <c r="F2086" t="s">
        <v>2784</v>
      </c>
      <c r="G2086" t="s">
        <v>1050</v>
      </c>
      <c r="H2086" t="s">
        <v>1107</v>
      </c>
      <c r="I2086" t="s">
        <v>763</v>
      </c>
      <c r="J2086" t="s">
        <v>1217</v>
      </c>
      <c r="K2086" t="s">
        <v>122</v>
      </c>
      <c r="L2086">
        <v>127.38</v>
      </c>
      <c r="M2086" s="1">
        <v>45894</v>
      </c>
      <c r="N2086" t="s">
        <v>93</v>
      </c>
      <c r="O2086">
        <v>25</v>
      </c>
      <c r="P2086">
        <v>8</v>
      </c>
      <c r="Q2086">
        <v>3</v>
      </c>
      <c r="R2086">
        <v>2025</v>
      </c>
    </row>
    <row r="2087" spans="1:18">
      <c r="A2087">
        <v>470.38</v>
      </c>
      <c r="B2087">
        <v>2</v>
      </c>
      <c r="C2087">
        <v>2086</v>
      </c>
      <c r="D2087" s="2">
        <v>0.94316484953703705</v>
      </c>
      <c r="E2087" t="s">
        <v>2084</v>
      </c>
      <c r="F2087" t="s">
        <v>2085</v>
      </c>
      <c r="G2087" t="s">
        <v>2086</v>
      </c>
      <c r="H2087" t="s">
        <v>1209</v>
      </c>
      <c r="I2087" t="s">
        <v>776</v>
      </c>
      <c r="J2087" t="s">
        <v>396</v>
      </c>
      <c r="K2087" t="s">
        <v>122</v>
      </c>
      <c r="L2087">
        <v>235.19</v>
      </c>
      <c r="M2087" s="1">
        <v>45970</v>
      </c>
      <c r="N2087" t="s">
        <v>28</v>
      </c>
      <c r="O2087">
        <v>9</v>
      </c>
      <c r="P2087">
        <v>11</v>
      </c>
      <c r="Q2087">
        <v>4</v>
      </c>
      <c r="R2087">
        <v>2025</v>
      </c>
    </row>
    <row r="2088" spans="1:18">
      <c r="A2088">
        <v>186.1</v>
      </c>
      <c r="B2088">
        <v>2</v>
      </c>
      <c r="C2088">
        <v>2087</v>
      </c>
      <c r="D2088" s="2">
        <v>0.14160895833333334</v>
      </c>
      <c r="E2088" t="s">
        <v>2871</v>
      </c>
      <c r="F2088" t="s">
        <v>2872</v>
      </c>
      <c r="G2088" t="s">
        <v>1633</v>
      </c>
      <c r="H2088" t="s">
        <v>196</v>
      </c>
      <c r="I2088" t="s">
        <v>830</v>
      </c>
      <c r="J2088" t="s">
        <v>350</v>
      </c>
      <c r="K2088" t="s">
        <v>60</v>
      </c>
      <c r="L2088">
        <v>93.05</v>
      </c>
      <c r="M2088" s="1">
        <v>45689</v>
      </c>
      <c r="N2088" t="s">
        <v>14</v>
      </c>
      <c r="O2088">
        <v>1</v>
      </c>
      <c r="P2088">
        <v>2</v>
      </c>
      <c r="Q2088">
        <v>1</v>
      </c>
      <c r="R2088">
        <v>2025</v>
      </c>
    </row>
    <row r="2089" spans="1:18">
      <c r="A2089">
        <v>577.1</v>
      </c>
      <c r="B2089">
        <v>5</v>
      </c>
      <c r="C2089">
        <v>2088</v>
      </c>
      <c r="D2089" s="2">
        <v>0.67627123842592596</v>
      </c>
      <c r="E2089" t="s">
        <v>1068</v>
      </c>
      <c r="F2089" t="s">
        <v>1069</v>
      </c>
      <c r="G2089" t="s">
        <v>1070</v>
      </c>
      <c r="H2089" t="s">
        <v>1071</v>
      </c>
      <c r="I2089" t="s">
        <v>817</v>
      </c>
      <c r="J2089" t="s">
        <v>598</v>
      </c>
      <c r="K2089" t="s">
        <v>31</v>
      </c>
      <c r="L2089">
        <v>115.42</v>
      </c>
      <c r="M2089" s="1">
        <v>45801</v>
      </c>
      <c r="N2089" t="s">
        <v>14</v>
      </c>
      <c r="O2089">
        <v>24</v>
      </c>
      <c r="P2089">
        <v>5</v>
      </c>
      <c r="Q2089">
        <v>2</v>
      </c>
      <c r="R2089">
        <v>2025</v>
      </c>
    </row>
    <row r="2090" spans="1:18">
      <c r="A2090">
        <v>81.8</v>
      </c>
      <c r="B2090">
        <v>4</v>
      </c>
      <c r="C2090">
        <v>2089</v>
      </c>
      <c r="D2090" s="2">
        <v>0.59435585648148148</v>
      </c>
      <c r="E2090" t="s">
        <v>1470</v>
      </c>
      <c r="F2090" t="s">
        <v>1471</v>
      </c>
      <c r="G2090" t="s">
        <v>1472</v>
      </c>
      <c r="H2090" t="s">
        <v>1128</v>
      </c>
      <c r="I2090" t="s">
        <v>954</v>
      </c>
      <c r="J2090" t="s">
        <v>555</v>
      </c>
      <c r="K2090" t="s">
        <v>37</v>
      </c>
      <c r="L2090">
        <v>20.45</v>
      </c>
      <c r="M2090" s="1">
        <v>45861</v>
      </c>
      <c r="N2090" t="s">
        <v>34</v>
      </c>
      <c r="O2090">
        <v>23</v>
      </c>
      <c r="P2090">
        <v>7</v>
      </c>
      <c r="Q2090">
        <v>3</v>
      </c>
      <c r="R2090">
        <v>2025</v>
      </c>
    </row>
    <row r="2091" spans="1:18">
      <c r="A2091">
        <v>505.56000000000006</v>
      </c>
      <c r="B2091">
        <v>3</v>
      </c>
      <c r="C2091">
        <v>2090</v>
      </c>
      <c r="D2091" s="2">
        <v>0.40271425925925924</v>
      </c>
      <c r="E2091" t="s">
        <v>2990</v>
      </c>
      <c r="F2091" t="s">
        <v>2991</v>
      </c>
      <c r="G2091" t="s">
        <v>2992</v>
      </c>
      <c r="H2091" t="s">
        <v>136</v>
      </c>
      <c r="I2091" t="s">
        <v>954</v>
      </c>
      <c r="J2091" t="s">
        <v>311</v>
      </c>
      <c r="K2091" t="s">
        <v>46</v>
      </c>
      <c r="L2091">
        <v>168.52</v>
      </c>
      <c r="M2091" s="1">
        <v>46122</v>
      </c>
      <c r="N2091" t="s">
        <v>79</v>
      </c>
      <c r="O2091">
        <v>10</v>
      </c>
      <c r="P2091">
        <v>4</v>
      </c>
      <c r="Q2091">
        <v>2</v>
      </c>
      <c r="R2091">
        <v>2026</v>
      </c>
    </row>
    <row r="2092" spans="1:18">
      <c r="A2092">
        <v>27.57</v>
      </c>
      <c r="B2092">
        <v>3</v>
      </c>
      <c r="C2092">
        <v>2091</v>
      </c>
      <c r="D2092" s="2">
        <v>0.89052666666666669</v>
      </c>
      <c r="E2092" t="s">
        <v>1299</v>
      </c>
      <c r="F2092" t="s">
        <v>1300</v>
      </c>
      <c r="G2092" t="s">
        <v>1301</v>
      </c>
      <c r="H2092" t="s">
        <v>1302</v>
      </c>
      <c r="I2092" t="s">
        <v>786</v>
      </c>
      <c r="J2092" t="s">
        <v>413</v>
      </c>
      <c r="K2092" t="s">
        <v>57</v>
      </c>
      <c r="L2092">
        <v>9.19</v>
      </c>
      <c r="M2092" s="1">
        <v>45663</v>
      </c>
      <c r="N2092" t="s">
        <v>93</v>
      </c>
      <c r="O2092">
        <v>6</v>
      </c>
      <c r="P2092">
        <v>1</v>
      </c>
      <c r="Q2092">
        <v>1</v>
      </c>
      <c r="R2092">
        <v>2025</v>
      </c>
    </row>
    <row r="2093" spans="1:18">
      <c r="A2093">
        <v>917.90000000000009</v>
      </c>
      <c r="B2093">
        <v>5</v>
      </c>
      <c r="C2093">
        <v>2092</v>
      </c>
      <c r="D2093" s="2">
        <v>0.56373690972222223</v>
      </c>
      <c r="E2093" t="s">
        <v>1261</v>
      </c>
      <c r="F2093" t="s">
        <v>1262</v>
      </c>
      <c r="G2093" t="s">
        <v>1263</v>
      </c>
      <c r="H2093" t="s">
        <v>1007</v>
      </c>
      <c r="I2093" t="s">
        <v>966</v>
      </c>
      <c r="J2093" t="s">
        <v>641</v>
      </c>
      <c r="K2093" t="s">
        <v>46</v>
      </c>
      <c r="L2093">
        <v>183.58</v>
      </c>
      <c r="M2093" s="1">
        <v>45867</v>
      </c>
      <c r="N2093" t="s">
        <v>48</v>
      </c>
      <c r="O2093">
        <v>29</v>
      </c>
      <c r="P2093">
        <v>7</v>
      </c>
      <c r="Q2093">
        <v>3</v>
      </c>
      <c r="R2093">
        <v>2025</v>
      </c>
    </row>
    <row r="2094" spans="1:18">
      <c r="A2094">
        <v>414.14</v>
      </c>
      <c r="B2094">
        <v>2</v>
      </c>
      <c r="C2094">
        <v>2093</v>
      </c>
      <c r="D2094" s="2">
        <v>0.21752158564814814</v>
      </c>
      <c r="E2094" t="s">
        <v>2936</v>
      </c>
      <c r="F2094" t="s">
        <v>2937</v>
      </c>
      <c r="G2094" t="s">
        <v>1035</v>
      </c>
      <c r="H2094" t="s">
        <v>1395</v>
      </c>
      <c r="I2094" t="s">
        <v>776</v>
      </c>
      <c r="J2094" t="s">
        <v>201</v>
      </c>
      <c r="K2094" t="s">
        <v>37</v>
      </c>
      <c r="L2094">
        <v>207.07</v>
      </c>
      <c r="M2094" s="1">
        <v>45934</v>
      </c>
      <c r="N2094" t="s">
        <v>14</v>
      </c>
      <c r="O2094">
        <v>4</v>
      </c>
      <c r="P2094">
        <v>10</v>
      </c>
      <c r="Q2094">
        <v>4</v>
      </c>
      <c r="R2094">
        <v>2025</v>
      </c>
    </row>
    <row r="2095" spans="1:18">
      <c r="A2095">
        <v>504.81000000000006</v>
      </c>
      <c r="B2095">
        <v>3</v>
      </c>
      <c r="C2095">
        <v>2094</v>
      </c>
      <c r="D2095" s="2">
        <v>4.9752511574074072E-2</v>
      </c>
      <c r="E2095" t="s">
        <v>958</v>
      </c>
      <c r="F2095" t="s">
        <v>2368</v>
      </c>
      <c r="G2095" t="s">
        <v>2369</v>
      </c>
      <c r="H2095" t="s">
        <v>691</v>
      </c>
      <c r="I2095" t="s">
        <v>776</v>
      </c>
      <c r="J2095" t="s">
        <v>591</v>
      </c>
      <c r="K2095" t="s">
        <v>82</v>
      </c>
      <c r="L2095">
        <v>168.27</v>
      </c>
      <c r="M2095" s="1">
        <v>46165</v>
      </c>
      <c r="N2095" t="s">
        <v>14</v>
      </c>
      <c r="O2095">
        <v>23</v>
      </c>
      <c r="P2095">
        <v>5</v>
      </c>
      <c r="Q2095">
        <v>2</v>
      </c>
      <c r="R2095">
        <v>2026</v>
      </c>
    </row>
    <row r="2096" spans="1:18">
      <c r="A2096">
        <v>65.33</v>
      </c>
      <c r="B2096">
        <v>1</v>
      </c>
      <c r="C2096">
        <v>2095</v>
      </c>
      <c r="D2096" s="2">
        <v>0.2323895949074074</v>
      </c>
      <c r="E2096" t="s">
        <v>1592</v>
      </c>
      <c r="F2096" t="s">
        <v>1593</v>
      </c>
      <c r="G2096" t="s">
        <v>882</v>
      </c>
      <c r="H2096" t="s">
        <v>1594</v>
      </c>
      <c r="I2096" t="s">
        <v>1247</v>
      </c>
      <c r="J2096" t="s">
        <v>189</v>
      </c>
      <c r="K2096" t="s">
        <v>43</v>
      </c>
      <c r="L2096">
        <v>65.33</v>
      </c>
      <c r="M2096" s="1">
        <v>46086</v>
      </c>
      <c r="N2096" t="s">
        <v>105</v>
      </c>
      <c r="O2096">
        <v>5</v>
      </c>
      <c r="P2096">
        <v>3</v>
      </c>
      <c r="Q2096">
        <v>1</v>
      </c>
      <c r="R2096">
        <v>2026</v>
      </c>
    </row>
    <row r="2097" spans="1:18">
      <c r="A2097">
        <v>89.64</v>
      </c>
      <c r="B2097">
        <v>4</v>
      </c>
      <c r="C2097">
        <v>2096</v>
      </c>
      <c r="D2097" s="2">
        <v>0.19281793981481482</v>
      </c>
      <c r="E2097" t="s">
        <v>813</v>
      </c>
      <c r="F2097" t="s">
        <v>814</v>
      </c>
      <c r="G2097" t="s">
        <v>815</v>
      </c>
      <c r="H2097" t="s">
        <v>816</v>
      </c>
      <c r="I2097" t="s">
        <v>817</v>
      </c>
      <c r="J2097" t="s">
        <v>484</v>
      </c>
      <c r="K2097" t="s">
        <v>25</v>
      </c>
      <c r="L2097">
        <v>22.41</v>
      </c>
      <c r="M2097" s="1">
        <v>45904</v>
      </c>
      <c r="N2097" t="s">
        <v>105</v>
      </c>
      <c r="O2097">
        <v>4</v>
      </c>
      <c r="P2097">
        <v>9</v>
      </c>
      <c r="Q2097">
        <v>3</v>
      </c>
      <c r="R2097">
        <v>2025</v>
      </c>
    </row>
    <row r="2098" spans="1:18">
      <c r="A2098">
        <v>56.95</v>
      </c>
      <c r="B2098">
        <v>5</v>
      </c>
      <c r="C2098">
        <v>2097</v>
      </c>
      <c r="D2098" s="2">
        <v>0.42072180555555555</v>
      </c>
      <c r="E2098" t="s">
        <v>782</v>
      </c>
      <c r="F2098" t="s">
        <v>783</v>
      </c>
      <c r="G2098" t="s">
        <v>784</v>
      </c>
      <c r="H2098" t="s">
        <v>785</v>
      </c>
      <c r="I2098" t="s">
        <v>786</v>
      </c>
      <c r="J2098" t="s">
        <v>325</v>
      </c>
      <c r="K2098" t="s">
        <v>55</v>
      </c>
      <c r="L2098">
        <v>11.39</v>
      </c>
      <c r="M2098" s="1">
        <v>45970</v>
      </c>
      <c r="N2098" t="s">
        <v>28</v>
      </c>
      <c r="O2098">
        <v>9</v>
      </c>
      <c r="P2098">
        <v>11</v>
      </c>
      <c r="Q2098">
        <v>4</v>
      </c>
      <c r="R2098">
        <v>2025</v>
      </c>
    </row>
    <row r="2099" spans="1:18">
      <c r="A2099">
        <v>169.17000000000002</v>
      </c>
      <c r="B2099">
        <v>3</v>
      </c>
      <c r="C2099">
        <v>2098</v>
      </c>
      <c r="D2099" s="2">
        <v>0.49984390046296295</v>
      </c>
      <c r="E2099" t="s">
        <v>2347</v>
      </c>
      <c r="F2099" t="s">
        <v>2348</v>
      </c>
      <c r="G2099" t="s">
        <v>891</v>
      </c>
      <c r="H2099" t="s">
        <v>965</v>
      </c>
      <c r="I2099" t="s">
        <v>966</v>
      </c>
      <c r="J2099" t="s">
        <v>308</v>
      </c>
      <c r="K2099" t="s">
        <v>19</v>
      </c>
      <c r="L2099">
        <v>56.39</v>
      </c>
      <c r="M2099" s="1">
        <v>45953</v>
      </c>
      <c r="N2099" t="s">
        <v>105</v>
      </c>
      <c r="O2099">
        <v>23</v>
      </c>
      <c r="P2099">
        <v>10</v>
      </c>
      <c r="Q2099">
        <v>4</v>
      </c>
      <c r="R2099">
        <v>2025</v>
      </c>
    </row>
    <row r="2100" spans="1:18">
      <c r="A2100">
        <v>35.11</v>
      </c>
      <c r="B2100">
        <v>1</v>
      </c>
      <c r="C2100">
        <v>2099</v>
      </c>
      <c r="D2100" s="2">
        <v>0.79115300925925924</v>
      </c>
      <c r="E2100" t="s">
        <v>1992</v>
      </c>
      <c r="F2100" t="s">
        <v>1993</v>
      </c>
      <c r="G2100" t="s">
        <v>1968</v>
      </c>
      <c r="H2100" t="s">
        <v>1257</v>
      </c>
      <c r="I2100" t="s">
        <v>839</v>
      </c>
      <c r="J2100" t="s">
        <v>400</v>
      </c>
      <c r="K2100" t="s">
        <v>57</v>
      </c>
      <c r="L2100">
        <v>35.11</v>
      </c>
      <c r="M2100" s="1">
        <v>45572</v>
      </c>
      <c r="N2100" t="s">
        <v>93</v>
      </c>
      <c r="O2100">
        <v>7</v>
      </c>
      <c r="P2100">
        <v>10</v>
      </c>
      <c r="Q2100">
        <v>4</v>
      </c>
      <c r="R2100">
        <v>2024</v>
      </c>
    </row>
    <row r="2101" spans="1:18">
      <c r="A2101">
        <v>1.22</v>
      </c>
      <c r="B2101">
        <v>1</v>
      </c>
      <c r="C2101">
        <v>2100</v>
      </c>
      <c r="D2101" s="2">
        <v>0.56496258101851848</v>
      </c>
      <c r="E2101" t="s">
        <v>2376</v>
      </c>
      <c r="F2101" t="s">
        <v>2377</v>
      </c>
      <c r="G2101" t="s">
        <v>2378</v>
      </c>
      <c r="H2101" t="s">
        <v>151</v>
      </c>
      <c r="I2101" t="s">
        <v>1003</v>
      </c>
      <c r="J2101" t="s">
        <v>242</v>
      </c>
      <c r="K2101" t="s">
        <v>19</v>
      </c>
      <c r="L2101">
        <v>1.22</v>
      </c>
      <c r="M2101" s="1">
        <v>45730</v>
      </c>
      <c r="N2101" t="s">
        <v>79</v>
      </c>
      <c r="O2101">
        <v>14</v>
      </c>
      <c r="P2101">
        <v>3</v>
      </c>
      <c r="Q2101">
        <v>1</v>
      </c>
      <c r="R2101">
        <v>2025</v>
      </c>
    </row>
    <row r="2102" spans="1:18">
      <c r="A2102">
        <v>911.3</v>
      </c>
      <c r="B2102">
        <v>5</v>
      </c>
      <c r="C2102">
        <v>2101</v>
      </c>
      <c r="D2102" s="2">
        <v>0.23915065972222221</v>
      </c>
      <c r="E2102" t="s">
        <v>2781</v>
      </c>
      <c r="F2102" t="s">
        <v>2782</v>
      </c>
      <c r="G2102" t="s">
        <v>2419</v>
      </c>
      <c r="H2102" t="s">
        <v>136</v>
      </c>
      <c r="I2102" t="s">
        <v>776</v>
      </c>
      <c r="J2102" t="s">
        <v>378</v>
      </c>
      <c r="K2102" t="s">
        <v>57</v>
      </c>
      <c r="L2102">
        <v>182.26</v>
      </c>
      <c r="M2102" s="1">
        <v>45661</v>
      </c>
      <c r="N2102" t="s">
        <v>14</v>
      </c>
      <c r="O2102">
        <v>4</v>
      </c>
      <c r="P2102">
        <v>1</v>
      </c>
      <c r="Q2102">
        <v>1</v>
      </c>
      <c r="R2102">
        <v>2025</v>
      </c>
    </row>
    <row r="2103" spans="1:18">
      <c r="A2103">
        <v>33.17</v>
      </c>
      <c r="B2103">
        <v>1</v>
      </c>
      <c r="C2103">
        <v>2102</v>
      </c>
      <c r="D2103" s="2">
        <v>0.80856258101851852</v>
      </c>
      <c r="E2103" t="s">
        <v>1995</v>
      </c>
      <c r="F2103" t="s">
        <v>1996</v>
      </c>
      <c r="G2103" t="s">
        <v>1997</v>
      </c>
      <c r="H2103" t="s">
        <v>1061</v>
      </c>
      <c r="I2103" t="s">
        <v>821</v>
      </c>
      <c r="J2103" t="s">
        <v>481</v>
      </c>
      <c r="K2103" t="s">
        <v>69</v>
      </c>
      <c r="L2103">
        <v>33.17</v>
      </c>
      <c r="M2103" s="1">
        <v>45568</v>
      </c>
      <c r="N2103" t="s">
        <v>105</v>
      </c>
      <c r="O2103">
        <v>3</v>
      </c>
      <c r="P2103">
        <v>10</v>
      </c>
      <c r="Q2103">
        <v>4</v>
      </c>
      <c r="R2103">
        <v>2024</v>
      </c>
    </row>
    <row r="2104" spans="1:18">
      <c r="A2104">
        <v>169.26</v>
      </c>
      <c r="B2104">
        <v>2</v>
      </c>
      <c r="C2104">
        <v>2103</v>
      </c>
      <c r="D2104" s="2">
        <v>0.64129468749999996</v>
      </c>
      <c r="E2104" t="s">
        <v>2554</v>
      </c>
      <c r="F2104" t="s">
        <v>2555</v>
      </c>
      <c r="G2104" t="s">
        <v>2004</v>
      </c>
      <c r="H2104" t="s">
        <v>1172</v>
      </c>
      <c r="I2104" t="s">
        <v>830</v>
      </c>
      <c r="J2104" t="s">
        <v>528</v>
      </c>
      <c r="K2104" t="s">
        <v>69</v>
      </c>
      <c r="L2104">
        <v>84.63</v>
      </c>
      <c r="M2104" s="1">
        <v>45715</v>
      </c>
      <c r="N2104" t="s">
        <v>105</v>
      </c>
      <c r="O2104">
        <v>27</v>
      </c>
      <c r="P2104">
        <v>2</v>
      </c>
      <c r="Q2104">
        <v>1</v>
      </c>
      <c r="R2104">
        <v>2025</v>
      </c>
    </row>
    <row r="2105" spans="1:18">
      <c r="A2105">
        <v>98.42</v>
      </c>
      <c r="B2105">
        <v>2</v>
      </c>
      <c r="C2105">
        <v>2104</v>
      </c>
      <c r="D2105" s="2">
        <v>0.83866769675925923</v>
      </c>
      <c r="E2105" t="s">
        <v>2089</v>
      </c>
      <c r="F2105" t="s">
        <v>2090</v>
      </c>
      <c r="G2105" t="s">
        <v>2091</v>
      </c>
      <c r="H2105" t="s">
        <v>1017</v>
      </c>
      <c r="I2105" t="s">
        <v>966</v>
      </c>
      <c r="J2105" t="s">
        <v>717</v>
      </c>
      <c r="K2105" t="s">
        <v>17</v>
      </c>
      <c r="L2105">
        <v>49.21</v>
      </c>
      <c r="M2105" s="1">
        <v>46277</v>
      </c>
      <c r="N2105" t="s">
        <v>14</v>
      </c>
      <c r="O2105">
        <v>12</v>
      </c>
      <c r="P2105">
        <v>9</v>
      </c>
      <c r="Q2105">
        <v>3</v>
      </c>
      <c r="R2105">
        <v>2026</v>
      </c>
    </row>
    <row r="2106" spans="1:18">
      <c r="A2106">
        <v>602.32000000000005</v>
      </c>
      <c r="B2106">
        <v>4</v>
      </c>
      <c r="C2106">
        <v>2105</v>
      </c>
      <c r="D2106" s="2">
        <v>0.90002349537037041</v>
      </c>
      <c r="E2106" t="s">
        <v>2480</v>
      </c>
      <c r="F2106" t="s">
        <v>2308</v>
      </c>
      <c r="G2106" t="s">
        <v>789</v>
      </c>
      <c r="H2106" t="s">
        <v>708</v>
      </c>
      <c r="I2106" t="s">
        <v>834</v>
      </c>
      <c r="J2106" t="s">
        <v>398</v>
      </c>
      <c r="K2106" t="s">
        <v>27</v>
      </c>
      <c r="L2106">
        <v>150.58000000000001</v>
      </c>
      <c r="M2106" s="1">
        <v>45716</v>
      </c>
      <c r="N2106" t="s">
        <v>79</v>
      </c>
      <c r="O2106">
        <v>28</v>
      </c>
      <c r="P2106">
        <v>2</v>
      </c>
      <c r="Q2106">
        <v>1</v>
      </c>
      <c r="R2106">
        <v>2025</v>
      </c>
    </row>
    <row r="2107" spans="1:18">
      <c r="A2107">
        <v>134.53</v>
      </c>
      <c r="B2107">
        <v>1</v>
      </c>
      <c r="C2107">
        <v>2106</v>
      </c>
      <c r="D2107" s="2">
        <v>0.19968984953703703</v>
      </c>
      <c r="E2107" t="s">
        <v>1101</v>
      </c>
      <c r="F2107" t="s">
        <v>1102</v>
      </c>
      <c r="G2107" t="s">
        <v>1103</v>
      </c>
      <c r="H2107" t="s">
        <v>825</v>
      </c>
      <c r="I2107" t="s">
        <v>781</v>
      </c>
      <c r="J2107" t="s">
        <v>361</v>
      </c>
      <c r="K2107" t="s">
        <v>37</v>
      </c>
      <c r="L2107">
        <v>134.53</v>
      </c>
      <c r="M2107" s="1">
        <v>45617</v>
      </c>
      <c r="N2107" t="s">
        <v>105</v>
      </c>
      <c r="O2107">
        <v>21</v>
      </c>
      <c r="P2107">
        <v>11</v>
      </c>
      <c r="Q2107">
        <v>4</v>
      </c>
      <c r="R2107">
        <v>2024</v>
      </c>
    </row>
    <row r="2108" spans="1:18">
      <c r="A2108">
        <v>243.23</v>
      </c>
      <c r="B2108">
        <v>1</v>
      </c>
      <c r="C2108">
        <v>2107</v>
      </c>
      <c r="D2108" s="2">
        <v>0.46031729166666668</v>
      </c>
      <c r="E2108" t="s">
        <v>1608</v>
      </c>
      <c r="F2108" t="s">
        <v>1609</v>
      </c>
      <c r="G2108" t="s">
        <v>998</v>
      </c>
      <c r="H2108" t="s">
        <v>1502</v>
      </c>
      <c r="I2108" t="s">
        <v>817</v>
      </c>
      <c r="J2108" t="s">
        <v>126</v>
      </c>
      <c r="K2108" t="s">
        <v>43</v>
      </c>
      <c r="L2108">
        <v>243.23</v>
      </c>
      <c r="M2108" s="1">
        <v>46216</v>
      </c>
      <c r="N2108" t="s">
        <v>93</v>
      </c>
      <c r="O2108">
        <v>13</v>
      </c>
      <c r="P2108">
        <v>7</v>
      </c>
      <c r="Q2108">
        <v>3</v>
      </c>
      <c r="R2108">
        <v>2026</v>
      </c>
    </row>
    <row r="2109" spans="1:18">
      <c r="A2109">
        <v>977.48</v>
      </c>
      <c r="B2109">
        <v>4</v>
      </c>
      <c r="C2109">
        <v>2108</v>
      </c>
      <c r="D2109" s="2">
        <v>0.64195788194444448</v>
      </c>
      <c r="E2109" t="s">
        <v>2554</v>
      </c>
      <c r="F2109" t="s">
        <v>2555</v>
      </c>
      <c r="G2109" t="s">
        <v>2004</v>
      </c>
      <c r="H2109" t="s">
        <v>1172</v>
      </c>
      <c r="I2109" t="s">
        <v>830</v>
      </c>
      <c r="J2109" t="s">
        <v>327</v>
      </c>
      <c r="K2109" t="s">
        <v>51</v>
      </c>
      <c r="L2109">
        <v>244.37</v>
      </c>
      <c r="M2109" s="1">
        <v>46069</v>
      </c>
      <c r="N2109" t="s">
        <v>93</v>
      </c>
      <c r="O2109">
        <v>16</v>
      </c>
      <c r="P2109">
        <v>2</v>
      </c>
      <c r="Q2109">
        <v>1</v>
      </c>
      <c r="R2109">
        <v>2026</v>
      </c>
    </row>
    <row r="2110" spans="1:18">
      <c r="A2110">
        <v>104.98</v>
      </c>
      <c r="B2110">
        <v>1</v>
      </c>
      <c r="C2110">
        <v>2109</v>
      </c>
      <c r="D2110" s="2">
        <v>0.87832569444444442</v>
      </c>
      <c r="E2110" t="s">
        <v>2339</v>
      </c>
      <c r="F2110" t="s">
        <v>2340</v>
      </c>
      <c r="G2110" t="s">
        <v>2341</v>
      </c>
      <c r="H2110" t="s">
        <v>1469</v>
      </c>
      <c r="I2110" t="s">
        <v>908</v>
      </c>
      <c r="J2110" t="s">
        <v>690</v>
      </c>
      <c r="K2110" t="s">
        <v>46</v>
      </c>
      <c r="L2110">
        <v>104.98</v>
      </c>
      <c r="M2110" s="1">
        <v>45727</v>
      </c>
      <c r="N2110" t="s">
        <v>48</v>
      </c>
      <c r="O2110">
        <v>11</v>
      </c>
      <c r="P2110">
        <v>3</v>
      </c>
      <c r="Q2110">
        <v>1</v>
      </c>
      <c r="R2110">
        <v>2025</v>
      </c>
    </row>
    <row r="2111" spans="1:18">
      <c r="A2111">
        <v>132.03</v>
      </c>
      <c r="B2111">
        <v>3</v>
      </c>
      <c r="C2111">
        <v>2110</v>
      </c>
      <c r="D2111" s="2">
        <v>0.89662608796296295</v>
      </c>
      <c r="E2111" t="s">
        <v>1203</v>
      </c>
      <c r="F2111" t="s">
        <v>1204</v>
      </c>
      <c r="G2111" t="s">
        <v>1205</v>
      </c>
      <c r="H2111" t="s">
        <v>1206</v>
      </c>
      <c r="I2111" t="s">
        <v>943</v>
      </c>
      <c r="J2111" t="s">
        <v>689</v>
      </c>
      <c r="K2111" t="s">
        <v>55</v>
      </c>
      <c r="L2111">
        <v>44.01</v>
      </c>
      <c r="M2111" s="1">
        <v>45680</v>
      </c>
      <c r="N2111" t="s">
        <v>105</v>
      </c>
      <c r="O2111">
        <v>23</v>
      </c>
      <c r="P2111">
        <v>1</v>
      </c>
      <c r="Q2111">
        <v>1</v>
      </c>
      <c r="R2111">
        <v>2025</v>
      </c>
    </row>
    <row r="2112" spans="1:18">
      <c r="A2112">
        <v>1061.8499999999999</v>
      </c>
      <c r="B2112">
        <v>5</v>
      </c>
      <c r="C2112">
        <v>2111</v>
      </c>
      <c r="D2112" s="2">
        <v>0.67079030092592595</v>
      </c>
      <c r="E2112" t="s">
        <v>1237</v>
      </c>
      <c r="F2112" t="s">
        <v>1238</v>
      </c>
      <c r="G2112" t="s">
        <v>1053</v>
      </c>
      <c r="H2112" t="s">
        <v>1239</v>
      </c>
      <c r="I2112" t="s">
        <v>795</v>
      </c>
      <c r="J2112" t="s">
        <v>331</v>
      </c>
      <c r="K2112" t="s">
        <v>51</v>
      </c>
      <c r="L2112">
        <v>212.37</v>
      </c>
      <c r="M2112" s="1">
        <v>45943</v>
      </c>
      <c r="N2112" t="s">
        <v>93</v>
      </c>
      <c r="O2112">
        <v>13</v>
      </c>
      <c r="P2112">
        <v>10</v>
      </c>
      <c r="Q2112">
        <v>4</v>
      </c>
      <c r="R2112">
        <v>2025</v>
      </c>
    </row>
    <row r="2113" spans="1:18">
      <c r="A2113">
        <v>717.28</v>
      </c>
      <c r="B2113">
        <v>4</v>
      </c>
      <c r="C2113">
        <v>2112</v>
      </c>
      <c r="D2113" s="2">
        <v>0.80601670138888892</v>
      </c>
      <c r="E2113" t="s">
        <v>1027</v>
      </c>
      <c r="F2113" t="s">
        <v>1028</v>
      </c>
      <c r="G2113" t="s">
        <v>805</v>
      </c>
      <c r="H2113" t="s">
        <v>825</v>
      </c>
      <c r="I2113" t="s">
        <v>781</v>
      </c>
      <c r="J2113" t="s">
        <v>174</v>
      </c>
      <c r="K2113" t="s">
        <v>122</v>
      </c>
      <c r="L2113">
        <v>179.32</v>
      </c>
      <c r="M2113" s="1">
        <v>46087</v>
      </c>
      <c r="N2113" t="s">
        <v>79</v>
      </c>
      <c r="O2113">
        <v>6</v>
      </c>
      <c r="P2113">
        <v>3</v>
      </c>
      <c r="Q2113">
        <v>1</v>
      </c>
      <c r="R2113">
        <v>2026</v>
      </c>
    </row>
    <row r="2114" spans="1:18">
      <c r="A2114">
        <v>28.55</v>
      </c>
      <c r="B2114">
        <v>5</v>
      </c>
      <c r="C2114">
        <v>2113</v>
      </c>
      <c r="D2114" s="2">
        <v>0.50071498842592588</v>
      </c>
      <c r="E2114" t="s">
        <v>2412</v>
      </c>
      <c r="F2114" t="s">
        <v>2413</v>
      </c>
      <c r="G2114" t="s">
        <v>875</v>
      </c>
      <c r="H2114" t="s">
        <v>825</v>
      </c>
      <c r="I2114" t="s">
        <v>781</v>
      </c>
      <c r="J2114" t="s">
        <v>669</v>
      </c>
      <c r="K2114" t="s">
        <v>97</v>
      </c>
      <c r="L2114">
        <v>5.71</v>
      </c>
      <c r="M2114" s="1">
        <v>46122</v>
      </c>
      <c r="N2114" t="s">
        <v>79</v>
      </c>
      <c r="O2114">
        <v>10</v>
      </c>
      <c r="P2114">
        <v>4</v>
      </c>
      <c r="Q2114">
        <v>2</v>
      </c>
      <c r="R2114">
        <v>2026</v>
      </c>
    </row>
    <row r="2115" spans="1:18">
      <c r="A2115">
        <v>202.23</v>
      </c>
      <c r="B2115">
        <v>1</v>
      </c>
      <c r="C2115">
        <v>2114</v>
      </c>
      <c r="D2115" s="2">
        <v>0.19461208333333332</v>
      </c>
      <c r="E2115" t="s">
        <v>1503</v>
      </c>
      <c r="F2115" t="s">
        <v>1504</v>
      </c>
      <c r="G2115" t="s">
        <v>1505</v>
      </c>
      <c r="H2115" t="s">
        <v>929</v>
      </c>
      <c r="I2115" t="s">
        <v>830</v>
      </c>
      <c r="J2115" t="s">
        <v>321</v>
      </c>
      <c r="K2115" t="s">
        <v>17</v>
      </c>
      <c r="L2115">
        <v>202.23</v>
      </c>
      <c r="M2115" s="1">
        <v>45913</v>
      </c>
      <c r="N2115" t="s">
        <v>14</v>
      </c>
      <c r="O2115">
        <v>13</v>
      </c>
      <c r="P2115">
        <v>9</v>
      </c>
      <c r="Q2115">
        <v>3</v>
      </c>
      <c r="R2115">
        <v>2025</v>
      </c>
    </row>
    <row r="2116" spans="1:18">
      <c r="A2116">
        <v>567.66</v>
      </c>
      <c r="B2116">
        <v>3</v>
      </c>
      <c r="C2116">
        <v>2115</v>
      </c>
      <c r="D2116" s="2">
        <v>0.9039250694444444</v>
      </c>
      <c r="E2116" t="s">
        <v>1131</v>
      </c>
      <c r="F2116" t="s">
        <v>1132</v>
      </c>
      <c r="G2116" t="s">
        <v>1133</v>
      </c>
      <c r="H2116" t="s">
        <v>1107</v>
      </c>
      <c r="I2116" t="s">
        <v>763</v>
      </c>
      <c r="J2116" t="s">
        <v>634</v>
      </c>
      <c r="K2116" t="s">
        <v>46</v>
      </c>
      <c r="L2116">
        <v>189.22</v>
      </c>
      <c r="M2116" s="1">
        <v>45801</v>
      </c>
      <c r="N2116" t="s">
        <v>14</v>
      </c>
      <c r="O2116">
        <v>24</v>
      </c>
      <c r="P2116">
        <v>5</v>
      </c>
      <c r="Q2116">
        <v>2</v>
      </c>
      <c r="R2116">
        <v>2025</v>
      </c>
    </row>
    <row r="2117" spans="1:18">
      <c r="A2117">
        <v>700.68000000000006</v>
      </c>
      <c r="B2117">
        <v>3</v>
      </c>
      <c r="C2117">
        <v>2116</v>
      </c>
      <c r="D2117" s="2">
        <v>0.83515641203703705</v>
      </c>
      <c r="E2117" t="s">
        <v>3100</v>
      </c>
      <c r="F2117" t="s">
        <v>3101</v>
      </c>
      <c r="G2117" t="s">
        <v>1791</v>
      </c>
      <c r="H2117" t="s">
        <v>392</v>
      </c>
      <c r="I2117" t="s">
        <v>943</v>
      </c>
      <c r="J2117" t="s">
        <v>247</v>
      </c>
      <c r="K2117" t="s">
        <v>55</v>
      </c>
      <c r="L2117">
        <v>233.56</v>
      </c>
      <c r="M2117" s="1">
        <v>45761</v>
      </c>
      <c r="N2117" t="s">
        <v>93</v>
      </c>
      <c r="O2117">
        <v>14</v>
      </c>
      <c r="P2117">
        <v>4</v>
      </c>
      <c r="Q2117">
        <v>2</v>
      </c>
      <c r="R2117">
        <v>2025</v>
      </c>
    </row>
    <row r="2118" spans="1:18">
      <c r="A2118">
        <v>512.25</v>
      </c>
      <c r="B2118">
        <v>3</v>
      </c>
      <c r="C2118">
        <v>2117</v>
      </c>
      <c r="D2118" s="2">
        <v>4.8968981481481485E-3</v>
      </c>
      <c r="E2118" t="s">
        <v>3308</v>
      </c>
      <c r="F2118" t="s">
        <v>3309</v>
      </c>
      <c r="G2118" t="s">
        <v>2848</v>
      </c>
      <c r="H2118" t="s">
        <v>708</v>
      </c>
      <c r="I2118" t="s">
        <v>834</v>
      </c>
      <c r="J2118" t="s">
        <v>652</v>
      </c>
      <c r="K2118" t="s">
        <v>37</v>
      </c>
      <c r="L2118">
        <v>170.75</v>
      </c>
      <c r="M2118" s="1">
        <v>46155</v>
      </c>
      <c r="N2118" t="s">
        <v>34</v>
      </c>
      <c r="O2118">
        <v>13</v>
      </c>
      <c r="P2118">
        <v>5</v>
      </c>
      <c r="Q2118">
        <v>2</v>
      </c>
      <c r="R2118">
        <v>2026</v>
      </c>
    </row>
    <row r="2119" spans="1:18">
      <c r="A2119">
        <v>309.88</v>
      </c>
      <c r="B2119">
        <v>4</v>
      </c>
      <c r="C2119">
        <v>2118</v>
      </c>
      <c r="D2119" s="2">
        <v>0.56297791666666663</v>
      </c>
      <c r="E2119" t="s">
        <v>2801</v>
      </c>
      <c r="F2119" t="s">
        <v>2802</v>
      </c>
      <c r="G2119" t="s">
        <v>2535</v>
      </c>
      <c r="H2119" t="s">
        <v>713</v>
      </c>
      <c r="I2119" t="s">
        <v>908</v>
      </c>
      <c r="J2119" t="s">
        <v>638</v>
      </c>
      <c r="K2119" t="s">
        <v>100</v>
      </c>
      <c r="L2119">
        <v>77.47</v>
      </c>
      <c r="M2119" s="1">
        <v>46121</v>
      </c>
      <c r="N2119" t="s">
        <v>105</v>
      </c>
      <c r="O2119">
        <v>9</v>
      </c>
      <c r="P2119">
        <v>4</v>
      </c>
      <c r="Q2119">
        <v>2</v>
      </c>
      <c r="R2119">
        <v>2026</v>
      </c>
    </row>
    <row r="2120" spans="1:18">
      <c r="A2120">
        <v>34.47</v>
      </c>
      <c r="B2120">
        <v>3</v>
      </c>
      <c r="C2120">
        <v>2119</v>
      </c>
      <c r="D2120" s="2">
        <v>0.55880686342592589</v>
      </c>
      <c r="E2120" t="s">
        <v>3013</v>
      </c>
      <c r="F2120" t="s">
        <v>3014</v>
      </c>
      <c r="G2120" t="s">
        <v>872</v>
      </c>
      <c r="H2120" t="s">
        <v>862</v>
      </c>
      <c r="I2120" t="s">
        <v>807</v>
      </c>
      <c r="J2120" t="s">
        <v>736</v>
      </c>
      <c r="K2120" t="s">
        <v>122</v>
      </c>
      <c r="L2120">
        <v>11.49</v>
      </c>
      <c r="M2120" s="1">
        <v>46108</v>
      </c>
      <c r="N2120" t="s">
        <v>79</v>
      </c>
      <c r="O2120">
        <v>27</v>
      </c>
      <c r="P2120">
        <v>3</v>
      </c>
      <c r="Q2120">
        <v>1</v>
      </c>
      <c r="R2120">
        <v>2026</v>
      </c>
    </row>
    <row r="2121" spans="1:18">
      <c r="A2121">
        <v>285.92</v>
      </c>
      <c r="B2121">
        <v>4</v>
      </c>
      <c r="C2121">
        <v>2120</v>
      </c>
      <c r="D2121" s="2">
        <v>0.55096348379629634</v>
      </c>
      <c r="E2121" t="s">
        <v>3286</v>
      </c>
      <c r="F2121" t="s">
        <v>3287</v>
      </c>
      <c r="G2121" t="s">
        <v>1629</v>
      </c>
      <c r="H2121" t="s">
        <v>862</v>
      </c>
      <c r="I2121" t="s">
        <v>807</v>
      </c>
      <c r="J2121" t="s">
        <v>610</v>
      </c>
      <c r="K2121" t="s">
        <v>69</v>
      </c>
      <c r="L2121">
        <v>71.48</v>
      </c>
      <c r="M2121" s="1">
        <v>45775</v>
      </c>
      <c r="N2121" t="s">
        <v>93</v>
      </c>
      <c r="O2121">
        <v>28</v>
      </c>
      <c r="P2121">
        <v>4</v>
      </c>
      <c r="Q2121">
        <v>2</v>
      </c>
      <c r="R2121">
        <v>2025</v>
      </c>
    </row>
    <row r="2122" spans="1:18">
      <c r="A2122">
        <v>105.33</v>
      </c>
      <c r="B2122">
        <v>3</v>
      </c>
      <c r="C2122">
        <v>2121</v>
      </c>
      <c r="D2122" s="2">
        <v>0.27379273148148148</v>
      </c>
      <c r="E2122" t="s">
        <v>3078</v>
      </c>
      <c r="F2122" t="s">
        <v>3079</v>
      </c>
      <c r="G2122" t="s">
        <v>798</v>
      </c>
      <c r="H2122" t="s">
        <v>196</v>
      </c>
      <c r="I2122" t="s">
        <v>830</v>
      </c>
      <c r="J2122" t="s">
        <v>400</v>
      </c>
      <c r="K2122" t="s">
        <v>57</v>
      </c>
      <c r="L2122">
        <v>35.11</v>
      </c>
      <c r="M2122" s="1">
        <v>45591</v>
      </c>
      <c r="N2122" t="s">
        <v>14</v>
      </c>
      <c r="O2122">
        <v>26</v>
      </c>
      <c r="P2122">
        <v>10</v>
      </c>
      <c r="Q2122">
        <v>4</v>
      </c>
      <c r="R2122">
        <v>2024</v>
      </c>
    </row>
    <row r="2123" spans="1:18">
      <c r="A2123">
        <v>1018.7</v>
      </c>
      <c r="B2123">
        <v>5</v>
      </c>
      <c r="C2123">
        <v>2122</v>
      </c>
      <c r="D2123" s="2">
        <v>0.39258350694444444</v>
      </c>
      <c r="E2123" t="s">
        <v>1717</v>
      </c>
      <c r="F2123" t="s">
        <v>1718</v>
      </c>
      <c r="G2123" t="s">
        <v>1582</v>
      </c>
      <c r="H2123" t="s">
        <v>965</v>
      </c>
      <c r="I2123" t="s">
        <v>966</v>
      </c>
      <c r="J2123" t="s">
        <v>552</v>
      </c>
      <c r="K2123" t="s">
        <v>31</v>
      </c>
      <c r="L2123">
        <v>203.74</v>
      </c>
      <c r="M2123" s="1">
        <v>46106</v>
      </c>
      <c r="N2123" t="s">
        <v>34</v>
      </c>
      <c r="O2123">
        <v>25</v>
      </c>
      <c r="P2123">
        <v>3</v>
      </c>
      <c r="Q2123">
        <v>1</v>
      </c>
      <c r="R2123">
        <v>2026</v>
      </c>
    </row>
    <row r="2124" spans="1:18">
      <c r="A2124">
        <v>110.93</v>
      </c>
      <c r="B2124">
        <v>1</v>
      </c>
      <c r="C2124">
        <v>2123</v>
      </c>
      <c r="D2124" s="2">
        <v>0.73589792824074074</v>
      </c>
      <c r="E2124" t="s">
        <v>2582</v>
      </c>
      <c r="F2124" t="s">
        <v>2583</v>
      </c>
      <c r="G2124" t="s">
        <v>891</v>
      </c>
      <c r="H2124" t="s">
        <v>1410</v>
      </c>
      <c r="I2124" t="s">
        <v>812</v>
      </c>
      <c r="J2124" t="s">
        <v>457</v>
      </c>
      <c r="K2124" t="s">
        <v>25</v>
      </c>
      <c r="L2124">
        <v>110.93</v>
      </c>
      <c r="M2124" s="1">
        <v>46207</v>
      </c>
      <c r="N2124" t="s">
        <v>14</v>
      </c>
      <c r="O2124">
        <v>4</v>
      </c>
      <c r="P2124">
        <v>7</v>
      </c>
      <c r="Q2124">
        <v>3</v>
      </c>
      <c r="R2124">
        <v>2026</v>
      </c>
    </row>
    <row r="2125" spans="1:18">
      <c r="A2125">
        <v>7.9</v>
      </c>
      <c r="B2125">
        <v>2</v>
      </c>
      <c r="C2125">
        <v>2124</v>
      </c>
      <c r="D2125" s="2">
        <v>0.75195206018518523</v>
      </c>
      <c r="E2125" t="s">
        <v>1328</v>
      </c>
      <c r="F2125" t="s">
        <v>1329</v>
      </c>
      <c r="G2125" t="s">
        <v>1330</v>
      </c>
      <c r="H2125" t="s">
        <v>883</v>
      </c>
      <c r="I2125" t="s">
        <v>807</v>
      </c>
      <c r="J2125" t="s">
        <v>187</v>
      </c>
      <c r="K2125" t="s">
        <v>60</v>
      </c>
      <c r="L2125">
        <v>3.95</v>
      </c>
      <c r="M2125" s="1">
        <v>46033</v>
      </c>
      <c r="N2125" t="s">
        <v>28</v>
      </c>
      <c r="O2125">
        <v>11</v>
      </c>
      <c r="P2125">
        <v>1</v>
      </c>
      <c r="Q2125">
        <v>1</v>
      </c>
      <c r="R2125">
        <v>2026</v>
      </c>
    </row>
    <row r="2126" spans="1:18">
      <c r="A2126">
        <v>49.76</v>
      </c>
      <c r="B2126">
        <v>4</v>
      </c>
      <c r="C2126">
        <v>2125</v>
      </c>
      <c r="D2126" s="2">
        <v>0.62765187499999997</v>
      </c>
      <c r="E2126" t="s">
        <v>1319</v>
      </c>
      <c r="F2126" t="s">
        <v>1320</v>
      </c>
      <c r="G2126" t="s">
        <v>1321</v>
      </c>
      <c r="H2126" t="s">
        <v>1061</v>
      </c>
      <c r="I2126" t="s">
        <v>821</v>
      </c>
      <c r="J2126" t="s">
        <v>310</v>
      </c>
      <c r="K2126" t="s">
        <v>60</v>
      </c>
      <c r="L2126">
        <v>12.44</v>
      </c>
      <c r="M2126" s="1">
        <v>45761</v>
      </c>
      <c r="N2126" t="s">
        <v>93</v>
      </c>
      <c r="O2126">
        <v>14</v>
      </c>
      <c r="P2126">
        <v>4</v>
      </c>
      <c r="Q2126">
        <v>2</v>
      </c>
      <c r="R2126">
        <v>2025</v>
      </c>
    </row>
    <row r="2127" spans="1:18">
      <c r="A2127">
        <v>802.15000000000009</v>
      </c>
      <c r="B2127">
        <v>5</v>
      </c>
      <c r="C2127">
        <v>2126</v>
      </c>
      <c r="D2127" s="2">
        <v>0.84010206018518518</v>
      </c>
      <c r="E2127" t="s">
        <v>2192</v>
      </c>
      <c r="F2127" t="s">
        <v>2193</v>
      </c>
      <c r="G2127" t="s">
        <v>865</v>
      </c>
      <c r="H2127" t="s">
        <v>772</v>
      </c>
      <c r="I2127" t="s">
        <v>758</v>
      </c>
      <c r="J2127" t="s">
        <v>424</v>
      </c>
      <c r="K2127" t="s">
        <v>69</v>
      </c>
      <c r="L2127">
        <v>160.43</v>
      </c>
      <c r="M2127" s="1">
        <v>45919</v>
      </c>
      <c r="N2127" t="s">
        <v>79</v>
      </c>
      <c r="O2127">
        <v>19</v>
      </c>
      <c r="P2127">
        <v>9</v>
      </c>
      <c r="Q2127">
        <v>3</v>
      </c>
      <c r="R2127">
        <v>2025</v>
      </c>
    </row>
    <row r="2128" spans="1:18">
      <c r="A2128">
        <v>261.04000000000002</v>
      </c>
      <c r="B2128">
        <v>4</v>
      </c>
      <c r="C2128">
        <v>2127</v>
      </c>
      <c r="D2128" s="2">
        <v>0.69050488425925927</v>
      </c>
      <c r="E2128" t="s">
        <v>1530</v>
      </c>
      <c r="F2128" t="s">
        <v>1531</v>
      </c>
      <c r="G2128" t="s">
        <v>1532</v>
      </c>
      <c r="H2128" t="s">
        <v>1533</v>
      </c>
      <c r="I2128" t="s">
        <v>781</v>
      </c>
      <c r="J2128" t="s">
        <v>78</v>
      </c>
      <c r="K2128" t="s">
        <v>51</v>
      </c>
      <c r="L2128">
        <v>65.260000000000005</v>
      </c>
      <c r="M2128" s="1">
        <v>46132</v>
      </c>
      <c r="N2128" t="s">
        <v>93</v>
      </c>
      <c r="O2128">
        <v>20</v>
      </c>
      <c r="P2128">
        <v>4</v>
      </c>
      <c r="Q2128">
        <v>2</v>
      </c>
      <c r="R2128">
        <v>2026</v>
      </c>
    </row>
    <row r="2129" spans="1:18">
      <c r="A2129">
        <v>366.24</v>
      </c>
      <c r="B2129">
        <v>3</v>
      </c>
      <c r="C2129">
        <v>2128</v>
      </c>
      <c r="D2129" s="2">
        <v>0.73920627314814813</v>
      </c>
      <c r="E2129" t="s">
        <v>2625</v>
      </c>
      <c r="F2129" t="s">
        <v>2626</v>
      </c>
      <c r="G2129" t="s">
        <v>1383</v>
      </c>
      <c r="H2129" t="s">
        <v>106</v>
      </c>
      <c r="I2129" t="s">
        <v>748</v>
      </c>
      <c r="J2129" t="s">
        <v>646</v>
      </c>
      <c r="K2129" t="s">
        <v>21</v>
      </c>
      <c r="L2129">
        <v>122.08</v>
      </c>
      <c r="M2129" s="1">
        <v>45747</v>
      </c>
      <c r="N2129" t="s">
        <v>93</v>
      </c>
      <c r="O2129">
        <v>31</v>
      </c>
      <c r="P2129">
        <v>3</v>
      </c>
      <c r="Q2129">
        <v>1</v>
      </c>
      <c r="R2129">
        <v>2025</v>
      </c>
    </row>
    <row r="2130" spans="1:18">
      <c r="A2130">
        <v>208.08</v>
      </c>
      <c r="B2130">
        <v>2</v>
      </c>
      <c r="C2130">
        <v>2129</v>
      </c>
      <c r="D2130" s="2">
        <v>0.4536690162037037</v>
      </c>
      <c r="E2130" t="s">
        <v>1328</v>
      </c>
      <c r="F2130" t="s">
        <v>1329</v>
      </c>
      <c r="G2130" t="s">
        <v>1330</v>
      </c>
      <c r="H2130" t="s">
        <v>883</v>
      </c>
      <c r="I2130" t="s">
        <v>807</v>
      </c>
      <c r="J2130" t="s">
        <v>507</v>
      </c>
      <c r="K2130" t="s">
        <v>55</v>
      </c>
      <c r="L2130">
        <v>104.04</v>
      </c>
      <c r="M2130" s="1">
        <v>45966</v>
      </c>
      <c r="N2130" t="s">
        <v>34</v>
      </c>
      <c r="O2130">
        <v>5</v>
      </c>
      <c r="P2130">
        <v>11</v>
      </c>
      <c r="Q2130">
        <v>4</v>
      </c>
      <c r="R2130">
        <v>2025</v>
      </c>
    </row>
    <row r="2131" spans="1:18">
      <c r="A2131">
        <v>83.88</v>
      </c>
      <c r="B2131">
        <v>4</v>
      </c>
      <c r="C2131">
        <v>2130</v>
      </c>
      <c r="D2131" s="2">
        <v>0.98650123842592596</v>
      </c>
      <c r="E2131" t="s">
        <v>1686</v>
      </c>
      <c r="F2131" t="s">
        <v>1687</v>
      </c>
      <c r="G2131" t="s">
        <v>1688</v>
      </c>
      <c r="H2131" t="s">
        <v>757</v>
      </c>
      <c r="I2131" t="s">
        <v>758</v>
      </c>
      <c r="J2131" t="s">
        <v>472</v>
      </c>
      <c r="K2131" t="s">
        <v>122</v>
      </c>
      <c r="L2131">
        <v>20.97</v>
      </c>
      <c r="M2131" s="1">
        <v>45746</v>
      </c>
      <c r="N2131" t="s">
        <v>28</v>
      </c>
      <c r="O2131">
        <v>30</v>
      </c>
      <c r="P2131">
        <v>3</v>
      </c>
      <c r="Q2131">
        <v>1</v>
      </c>
      <c r="R2131">
        <v>2025</v>
      </c>
    </row>
    <row r="2132" spans="1:18">
      <c r="A2132">
        <v>312.12</v>
      </c>
      <c r="B2132">
        <v>3</v>
      </c>
      <c r="C2132">
        <v>2131</v>
      </c>
      <c r="D2132" s="2">
        <v>6.9085763888888886E-3</v>
      </c>
      <c r="E2132" t="s">
        <v>2955</v>
      </c>
      <c r="F2132" t="s">
        <v>2956</v>
      </c>
      <c r="G2132" t="s">
        <v>1330</v>
      </c>
      <c r="H2132" t="s">
        <v>64</v>
      </c>
      <c r="I2132" t="s">
        <v>892</v>
      </c>
      <c r="J2132" t="s">
        <v>507</v>
      </c>
      <c r="K2132" t="s">
        <v>55</v>
      </c>
      <c r="L2132">
        <v>104.04</v>
      </c>
      <c r="M2132" s="1">
        <v>46246</v>
      </c>
      <c r="N2132" t="s">
        <v>34</v>
      </c>
      <c r="O2132">
        <v>12</v>
      </c>
      <c r="P2132">
        <v>8</v>
      </c>
      <c r="Q2132">
        <v>3</v>
      </c>
      <c r="R2132">
        <v>2026</v>
      </c>
    </row>
    <row r="2133" spans="1:18">
      <c r="A2133">
        <v>81.03</v>
      </c>
      <c r="B2133">
        <v>3</v>
      </c>
      <c r="C2133">
        <v>2132</v>
      </c>
      <c r="D2133" s="2">
        <v>5.7266921296296298E-2</v>
      </c>
      <c r="E2133" t="s">
        <v>2606</v>
      </c>
      <c r="F2133" t="s">
        <v>2607</v>
      </c>
      <c r="G2133" t="s">
        <v>2078</v>
      </c>
      <c r="H2133" t="s">
        <v>1032</v>
      </c>
      <c r="I2133" t="s">
        <v>839</v>
      </c>
      <c r="J2133" t="s">
        <v>117</v>
      </c>
      <c r="K2133" t="s">
        <v>55</v>
      </c>
      <c r="L2133">
        <v>27.01</v>
      </c>
      <c r="M2133" s="1">
        <v>45573</v>
      </c>
      <c r="N2133" t="s">
        <v>48</v>
      </c>
      <c r="O2133">
        <v>8</v>
      </c>
      <c r="P2133">
        <v>10</v>
      </c>
      <c r="Q2133">
        <v>4</v>
      </c>
      <c r="R2133">
        <v>2024</v>
      </c>
    </row>
    <row r="2134" spans="1:18">
      <c r="A2134">
        <v>324.05</v>
      </c>
      <c r="B2134">
        <v>5</v>
      </c>
      <c r="C2134">
        <v>2133</v>
      </c>
      <c r="D2134" s="2">
        <v>0.58977774305555553</v>
      </c>
      <c r="E2134" t="s">
        <v>3224</v>
      </c>
      <c r="F2134" t="s">
        <v>3225</v>
      </c>
      <c r="G2134" t="s">
        <v>1031</v>
      </c>
      <c r="H2134" t="s">
        <v>1236</v>
      </c>
      <c r="I2134" t="s">
        <v>807</v>
      </c>
      <c r="J2134" t="s">
        <v>471</v>
      </c>
      <c r="K2134" t="s">
        <v>19</v>
      </c>
      <c r="L2134">
        <v>64.81</v>
      </c>
      <c r="M2134" s="1">
        <v>46035</v>
      </c>
      <c r="N2134" t="s">
        <v>48</v>
      </c>
      <c r="O2134">
        <v>13</v>
      </c>
      <c r="P2134">
        <v>1</v>
      </c>
      <c r="Q2134">
        <v>1</v>
      </c>
      <c r="R2134">
        <v>2026</v>
      </c>
    </row>
    <row r="2135" spans="1:18">
      <c r="A2135">
        <v>457.48</v>
      </c>
      <c r="B2135">
        <v>2</v>
      </c>
      <c r="C2135">
        <v>2134</v>
      </c>
      <c r="D2135" s="2">
        <v>0.91105949074074077</v>
      </c>
      <c r="E2135" t="s">
        <v>1021</v>
      </c>
      <c r="F2135" t="s">
        <v>1022</v>
      </c>
      <c r="G2135" t="s">
        <v>984</v>
      </c>
      <c r="H2135" t="s">
        <v>929</v>
      </c>
      <c r="I2135" t="s">
        <v>830</v>
      </c>
      <c r="J2135" t="s">
        <v>566</v>
      </c>
      <c r="K2135" t="s">
        <v>69</v>
      </c>
      <c r="L2135">
        <v>228.74</v>
      </c>
      <c r="M2135" s="1">
        <v>45708</v>
      </c>
      <c r="N2135" t="s">
        <v>105</v>
      </c>
      <c r="O2135">
        <v>20</v>
      </c>
      <c r="P2135">
        <v>2</v>
      </c>
      <c r="Q2135">
        <v>1</v>
      </c>
      <c r="R2135">
        <v>2025</v>
      </c>
    </row>
    <row r="2136" spans="1:18">
      <c r="A2136">
        <v>33.17</v>
      </c>
      <c r="B2136">
        <v>1</v>
      </c>
      <c r="C2136">
        <v>2135</v>
      </c>
      <c r="D2136" s="2">
        <v>0.87253099537037038</v>
      </c>
      <c r="E2136" t="s">
        <v>1857</v>
      </c>
      <c r="F2136" t="s">
        <v>1858</v>
      </c>
      <c r="G2136" t="s">
        <v>1859</v>
      </c>
      <c r="H2136" t="s">
        <v>15</v>
      </c>
      <c r="I2136" t="s">
        <v>834</v>
      </c>
      <c r="J2136" t="s">
        <v>481</v>
      </c>
      <c r="K2136" t="s">
        <v>69</v>
      </c>
      <c r="L2136">
        <v>33.17</v>
      </c>
      <c r="M2136" s="1">
        <v>45873</v>
      </c>
      <c r="N2136" t="s">
        <v>93</v>
      </c>
      <c r="O2136">
        <v>4</v>
      </c>
      <c r="P2136">
        <v>8</v>
      </c>
      <c r="Q2136">
        <v>3</v>
      </c>
      <c r="R2136">
        <v>2025</v>
      </c>
    </row>
    <row r="2137" spans="1:18">
      <c r="A2137">
        <v>41.55</v>
      </c>
      <c r="B2137">
        <v>3</v>
      </c>
      <c r="C2137">
        <v>2136</v>
      </c>
      <c r="D2137" s="2">
        <v>0.87056865740740741</v>
      </c>
      <c r="E2137" t="s">
        <v>2735</v>
      </c>
      <c r="F2137" t="s">
        <v>2736</v>
      </c>
      <c r="G2137" t="s">
        <v>1987</v>
      </c>
      <c r="H2137" t="s">
        <v>49</v>
      </c>
      <c r="I2137" t="s">
        <v>807</v>
      </c>
      <c r="J2137" t="s">
        <v>233</v>
      </c>
      <c r="K2137" t="s">
        <v>122</v>
      </c>
      <c r="L2137">
        <v>13.85</v>
      </c>
      <c r="M2137" s="1">
        <v>45894</v>
      </c>
      <c r="N2137" t="s">
        <v>93</v>
      </c>
      <c r="O2137">
        <v>25</v>
      </c>
      <c r="P2137">
        <v>8</v>
      </c>
      <c r="Q2137">
        <v>3</v>
      </c>
      <c r="R2137">
        <v>2025</v>
      </c>
    </row>
    <row r="2138" spans="1:18">
      <c r="A2138">
        <v>96.04</v>
      </c>
      <c r="B2138">
        <v>4</v>
      </c>
      <c r="C2138">
        <v>2137</v>
      </c>
      <c r="D2138" s="2">
        <v>0.26154859953703702</v>
      </c>
      <c r="E2138" t="s">
        <v>2360</v>
      </c>
      <c r="F2138" t="s">
        <v>2361</v>
      </c>
      <c r="G2138" t="s">
        <v>2362</v>
      </c>
      <c r="H2138" t="s">
        <v>1306</v>
      </c>
      <c r="I2138" t="s">
        <v>966</v>
      </c>
      <c r="J2138" t="s">
        <v>188</v>
      </c>
      <c r="K2138" t="s">
        <v>57</v>
      </c>
      <c r="L2138">
        <v>24.01</v>
      </c>
      <c r="M2138" s="1">
        <v>45939</v>
      </c>
      <c r="N2138" t="s">
        <v>105</v>
      </c>
      <c r="O2138">
        <v>9</v>
      </c>
      <c r="P2138">
        <v>10</v>
      </c>
      <c r="Q2138">
        <v>4</v>
      </c>
      <c r="R2138">
        <v>2025</v>
      </c>
    </row>
    <row r="2139" spans="1:18">
      <c r="A2139">
        <v>1095.05</v>
      </c>
      <c r="B2139">
        <v>5</v>
      </c>
      <c r="C2139">
        <v>2138</v>
      </c>
      <c r="D2139" s="2">
        <v>0.41674918981481479</v>
      </c>
      <c r="E2139" t="s">
        <v>3318</v>
      </c>
      <c r="F2139" t="s">
        <v>3319</v>
      </c>
      <c r="G2139" t="s">
        <v>1345</v>
      </c>
      <c r="H2139" t="s">
        <v>1306</v>
      </c>
      <c r="I2139" t="s">
        <v>966</v>
      </c>
      <c r="J2139" t="s">
        <v>279</v>
      </c>
      <c r="K2139" t="s">
        <v>82</v>
      </c>
      <c r="L2139">
        <v>219.01</v>
      </c>
      <c r="M2139" s="1">
        <v>45706</v>
      </c>
      <c r="N2139" t="s">
        <v>48</v>
      </c>
      <c r="O2139">
        <v>18</v>
      </c>
      <c r="P2139">
        <v>2</v>
      </c>
      <c r="Q2139">
        <v>1</v>
      </c>
      <c r="R2139">
        <v>2025</v>
      </c>
    </row>
    <row r="2140" spans="1:18">
      <c r="A2140">
        <v>748.65</v>
      </c>
      <c r="B2140">
        <v>5</v>
      </c>
      <c r="C2140">
        <v>2139</v>
      </c>
      <c r="D2140" s="2">
        <v>0.85727247685185182</v>
      </c>
      <c r="E2140" t="s">
        <v>2198</v>
      </c>
      <c r="F2140" t="s">
        <v>2199</v>
      </c>
      <c r="G2140" t="s">
        <v>1505</v>
      </c>
      <c r="H2140" t="s">
        <v>1722</v>
      </c>
      <c r="I2140" t="s">
        <v>954</v>
      </c>
      <c r="J2140" t="s">
        <v>425</v>
      </c>
      <c r="K2140" t="s">
        <v>51</v>
      </c>
      <c r="L2140">
        <v>149.72999999999999</v>
      </c>
      <c r="M2140" s="1">
        <v>45922</v>
      </c>
      <c r="N2140" t="s">
        <v>93</v>
      </c>
      <c r="O2140">
        <v>22</v>
      </c>
      <c r="P2140">
        <v>9</v>
      </c>
      <c r="Q2140">
        <v>3</v>
      </c>
      <c r="R2140">
        <v>2025</v>
      </c>
    </row>
    <row r="2141" spans="1:18">
      <c r="A2141">
        <v>228.74</v>
      </c>
      <c r="B2141">
        <v>1</v>
      </c>
      <c r="C2141">
        <v>2140</v>
      </c>
      <c r="D2141" s="2">
        <v>8.0473657407407403E-2</v>
      </c>
      <c r="E2141" t="s">
        <v>2370</v>
      </c>
      <c r="F2141" t="s">
        <v>2371</v>
      </c>
      <c r="G2141" t="s">
        <v>1633</v>
      </c>
      <c r="H2141" t="s">
        <v>757</v>
      </c>
      <c r="I2141" t="s">
        <v>758</v>
      </c>
      <c r="J2141" t="s">
        <v>566</v>
      </c>
      <c r="K2141" t="s">
        <v>69</v>
      </c>
      <c r="L2141">
        <v>228.74</v>
      </c>
      <c r="M2141" s="1">
        <v>45910</v>
      </c>
      <c r="N2141" t="s">
        <v>34</v>
      </c>
      <c r="O2141">
        <v>10</v>
      </c>
      <c r="P2141">
        <v>9</v>
      </c>
      <c r="Q2141">
        <v>3</v>
      </c>
      <c r="R2141">
        <v>2025</v>
      </c>
    </row>
    <row r="2142" spans="1:18">
      <c r="A2142">
        <v>84.94</v>
      </c>
      <c r="B2142">
        <v>1</v>
      </c>
      <c r="C2142">
        <v>2141</v>
      </c>
      <c r="D2142" s="2">
        <v>0.33066692129629632</v>
      </c>
      <c r="E2142" t="s">
        <v>2686</v>
      </c>
      <c r="F2142" t="s">
        <v>2687</v>
      </c>
      <c r="G2142" t="s">
        <v>952</v>
      </c>
      <c r="H2142" t="s">
        <v>280</v>
      </c>
      <c r="I2142" t="s">
        <v>812</v>
      </c>
      <c r="J2142" t="s">
        <v>554</v>
      </c>
      <c r="K2142" t="s">
        <v>17</v>
      </c>
      <c r="L2142">
        <v>84.94</v>
      </c>
      <c r="M2142" s="1">
        <v>46206</v>
      </c>
      <c r="N2142" t="s">
        <v>79</v>
      </c>
      <c r="O2142">
        <v>3</v>
      </c>
      <c r="P2142">
        <v>7</v>
      </c>
      <c r="Q2142">
        <v>3</v>
      </c>
      <c r="R2142">
        <v>2026</v>
      </c>
    </row>
    <row r="2143" spans="1:18">
      <c r="A2143">
        <v>49.56</v>
      </c>
      <c r="B2143">
        <v>3</v>
      </c>
      <c r="C2143">
        <v>2142</v>
      </c>
      <c r="D2143" s="2">
        <v>0.60753570601851847</v>
      </c>
      <c r="E2143" t="s">
        <v>2215</v>
      </c>
      <c r="F2143" t="s">
        <v>2216</v>
      </c>
      <c r="G2143" t="s">
        <v>1821</v>
      </c>
      <c r="H2143" t="s">
        <v>965</v>
      </c>
      <c r="I2143" t="s">
        <v>839</v>
      </c>
      <c r="J2143" t="s">
        <v>339</v>
      </c>
      <c r="K2143" t="s">
        <v>19</v>
      </c>
      <c r="L2143">
        <v>16.52</v>
      </c>
      <c r="M2143" s="1">
        <v>46094</v>
      </c>
      <c r="N2143" t="s">
        <v>79</v>
      </c>
      <c r="O2143">
        <v>13</v>
      </c>
      <c r="P2143">
        <v>3</v>
      </c>
      <c r="Q2143">
        <v>1</v>
      </c>
      <c r="R2143">
        <v>2026</v>
      </c>
    </row>
    <row r="2144" spans="1:18">
      <c r="A2144">
        <v>800.48</v>
      </c>
      <c r="B2144">
        <v>4</v>
      </c>
      <c r="C2144">
        <v>2143</v>
      </c>
      <c r="D2144" s="2">
        <v>0.58466047453703707</v>
      </c>
      <c r="E2144" t="s">
        <v>2258</v>
      </c>
      <c r="F2144" t="s">
        <v>2259</v>
      </c>
      <c r="G2144" t="s">
        <v>2260</v>
      </c>
      <c r="H2144" t="s">
        <v>772</v>
      </c>
      <c r="I2144" t="s">
        <v>758</v>
      </c>
      <c r="J2144" t="s">
        <v>239</v>
      </c>
      <c r="K2144" t="s">
        <v>23</v>
      </c>
      <c r="L2144">
        <v>200.12</v>
      </c>
      <c r="M2144" s="1">
        <v>45961</v>
      </c>
      <c r="N2144" t="s">
        <v>79</v>
      </c>
      <c r="O2144">
        <v>31</v>
      </c>
      <c r="P2144">
        <v>10</v>
      </c>
      <c r="Q2144">
        <v>4</v>
      </c>
      <c r="R2144">
        <v>2025</v>
      </c>
    </row>
    <row r="2145" spans="1:18">
      <c r="A2145">
        <v>53.87</v>
      </c>
      <c r="B2145">
        <v>1</v>
      </c>
      <c r="C2145">
        <v>2144</v>
      </c>
      <c r="D2145" s="2">
        <v>0.12853662037037036</v>
      </c>
      <c r="E2145" t="s">
        <v>3251</v>
      </c>
      <c r="F2145" t="s">
        <v>3252</v>
      </c>
      <c r="G2145" t="s">
        <v>1565</v>
      </c>
      <c r="H2145" t="s">
        <v>1591</v>
      </c>
      <c r="I2145" t="s">
        <v>966</v>
      </c>
      <c r="J2145" t="s">
        <v>2034</v>
      </c>
      <c r="K2145" t="s">
        <v>100</v>
      </c>
      <c r="L2145">
        <v>53.87</v>
      </c>
      <c r="M2145" s="1">
        <v>45598</v>
      </c>
      <c r="N2145" t="s">
        <v>14</v>
      </c>
      <c r="O2145">
        <v>2</v>
      </c>
      <c r="P2145">
        <v>11</v>
      </c>
      <c r="Q2145">
        <v>4</v>
      </c>
      <c r="R2145">
        <v>2024</v>
      </c>
    </row>
    <row r="2146" spans="1:18">
      <c r="A2146">
        <v>827.36</v>
      </c>
      <c r="B2146">
        <v>4</v>
      </c>
      <c r="C2146">
        <v>2145</v>
      </c>
      <c r="D2146" s="2">
        <v>0.14658743055555556</v>
      </c>
      <c r="E2146" t="s">
        <v>1598</v>
      </c>
      <c r="F2146" t="s">
        <v>1599</v>
      </c>
      <c r="G2146" t="s">
        <v>1283</v>
      </c>
      <c r="H2146" t="s">
        <v>1600</v>
      </c>
      <c r="I2146" t="s">
        <v>768</v>
      </c>
      <c r="J2146" t="s">
        <v>192</v>
      </c>
      <c r="K2146" t="s">
        <v>46</v>
      </c>
      <c r="L2146">
        <v>206.84</v>
      </c>
      <c r="M2146" s="1">
        <v>45716</v>
      </c>
      <c r="N2146" t="s">
        <v>79</v>
      </c>
      <c r="O2146">
        <v>28</v>
      </c>
      <c r="P2146">
        <v>2</v>
      </c>
      <c r="Q2146">
        <v>1</v>
      </c>
      <c r="R2146">
        <v>2025</v>
      </c>
    </row>
    <row r="2147" spans="1:18">
      <c r="A2147">
        <v>295.58</v>
      </c>
      <c r="B2147">
        <v>2</v>
      </c>
      <c r="C2147">
        <v>2146</v>
      </c>
      <c r="D2147" s="2">
        <v>0.34019671296296294</v>
      </c>
      <c r="E2147" t="s">
        <v>3112</v>
      </c>
      <c r="F2147" t="s">
        <v>3113</v>
      </c>
      <c r="G2147" t="s">
        <v>3114</v>
      </c>
      <c r="H2147" t="s">
        <v>1107</v>
      </c>
      <c r="I2147" t="s">
        <v>763</v>
      </c>
      <c r="J2147" t="s">
        <v>176</v>
      </c>
      <c r="K2147" t="s">
        <v>21</v>
      </c>
      <c r="L2147">
        <v>147.79</v>
      </c>
      <c r="M2147" s="1">
        <v>46191</v>
      </c>
      <c r="N2147" t="s">
        <v>105</v>
      </c>
      <c r="O2147">
        <v>18</v>
      </c>
      <c r="P2147">
        <v>6</v>
      </c>
      <c r="Q2147">
        <v>2</v>
      </c>
      <c r="R2147">
        <v>2026</v>
      </c>
    </row>
    <row r="2148" spans="1:18">
      <c r="A2148">
        <v>135.46</v>
      </c>
      <c r="B2148">
        <v>1</v>
      </c>
      <c r="C2148">
        <v>2147</v>
      </c>
      <c r="D2148" s="2">
        <v>5.1037592592592593E-2</v>
      </c>
      <c r="E2148" t="s">
        <v>1237</v>
      </c>
      <c r="F2148" t="s">
        <v>1238</v>
      </c>
      <c r="G2148" t="s">
        <v>1053</v>
      </c>
      <c r="H2148" t="s">
        <v>1239</v>
      </c>
      <c r="I2148" t="s">
        <v>795</v>
      </c>
      <c r="J2148" t="s">
        <v>503</v>
      </c>
      <c r="K2148" t="s">
        <v>43</v>
      </c>
      <c r="L2148">
        <v>135.46</v>
      </c>
      <c r="M2148" s="1">
        <v>45760</v>
      </c>
      <c r="N2148" t="s">
        <v>28</v>
      </c>
      <c r="O2148">
        <v>13</v>
      </c>
      <c r="P2148">
        <v>4</v>
      </c>
      <c r="Q2148">
        <v>2</v>
      </c>
      <c r="R2148">
        <v>2025</v>
      </c>
    </row>
    <row r="2149" spans="1:18">
      <c r="A2149">
        <v>565.91999999999996</v>
      </c>
      <c r="B2149">
        <v>4</v>
      </c>
      <c r="C2149">
        <v>2148</v>
      </c>
      <c r="D2149" s="2">
        <v>0.53774924768518517</v>
      </c>
      <c r="E2149" t="s">
        <v>1985</v>
      </c>
      <c r="F2149" t="s">
        <v>1986</v>
      </c>
      <c r="G2149" t="s">
        <v>1987</v>
      </c>
      <c r="H2149" t="s">
        <v>785</v>
      </c>
      <c r="I2149" t="s">
        <v>786</v>
      </c>
      <c r="J2149" t="s">
        <v>240</v>
      </c>
      <c r="K2149" t="s">
        <v>23</v>
      </c>
      <c r="L2149">
        <v>141.47999999999999</v>
      </c>
      <c r="M2149" s="1">
        <v>46274</v>
      </c>
      <c r="N2149" t="s">
        <v>34</v>
      </c>
      <c r="O2149">
        <v>9</v>
      </c>
      <c r="P2149">
        <v>9</v>
      </c>
      <c r="Q2149">
        <v>3</v>
      </c>
      <c r="R2149">
        <v>2026</v>
      </c>
    </row>
    <row r="2150" spans="1:18">
      <c r="A2150">
        <v>178.68</v>
      </c>
      <c r="B2150">
        <v>3</v>
      </c>
      <c r="C2150">
        <v>2149</v>
      </c>
      <c r="D2150" s="2">
        <v>0.3578441550925926</v>
      </c>
      <c r="E2150" t="s">
        <v>3512</v>
      </c>
      <c r="F2150" t="s">
        <v>3513</v>
      </c>
      <c r="G2150" t="s">
        <v>1418</v>
      </c>
      <c r="H2150" t="s">
        <v>1156</v>
      </c>
      <c r="I2150" t="s">
        <v>839</v>
      </c>
      <c r="J2150" t="s">
        <v>573</v>
      </c>
      <c r="K2150" t="s">
        <v>55</v>
      </c>
      <c r="L2150">
        <v>59.56</v>
      </c>
      <c r="M2150" s="1">
        <v>45726</v>
      </c>
      <c r="N2150" t="s">
        <v>93</v>
      </c>
      <c r="O2150">
        <v>10</v>
      </c>
      <c r="P2150">
        <v>3</v>
      </c>
      <c r="Q2150">
        <v>1</v>
      </c>
      <c r="R2150">
        <v>2025</v>
      </c>
    </row>
    <row r="2151" spans="1:18">
      <c r="A2151">
        <v>18.84</v>
      </c>
      <c r="B2151">
        <v>3</v>
      </c>
      <c r="C2151">
        <v>2150</v>
      </c>
      <c r="D2151" s="2">
        <v>0.48114517361111109</v>
      </c>
      <c r="E2151" t="s">
        <v>2613</v>
      </c>
      <c r="F2151" t="s">
        <v>2614</v>
      </c>
      <c r="G2151" t="s">
        <v>2615</v>
      </c>
      <c r="H2151" t="s">
        <v>1574</v>
      </c>
      <c r="I2151" t="s">
        <v>1003</v>
      </c>
      <c r="J2151" t="s">
        <v>601</v>
      </c>
      <c r="K2151" t="s">
        <v>19</v>
      </c>
      <c r="L2151">
        <v>6.28</v>
      </c>
      <c r="M2151" s="1">
        <v>46013</v>
      </c>
      <c r="N2151" t="s">
        <v>93</v>
      </c>
      <c r="O2151">
        <v>22</v>
      </c>
      <c r="P2151">
        <v>12</v>
      </c>
      <c r="Q2151">
        <v>4</v>
      </c>
      <c r="R2151">
        <v>2025</v>
      </c>
    </row>
    <row r="2152" spans="1:18">
      <c r="A2152">
        <v>239.98</v>
      </c>
      <c r="B2152">
        <v>1</v>
      </c>
      <c r="C2152">
        <v>2151</v>
      </c>
      <c r="D2152" s="2">
        <v>0.58465712962962968</v>
      </c>
      <c r="E2152" t="s">
        <v>2875</v>
      </c>
      <c r="F2152" t="s">
        <v>2876</v>
      </c>
      <c r="G2152" t="s">
        <v>1925</v>
      </c>
      <c r="H2152" t="s">
        <v>1189</v>
      </c>
      <c r="I2152" t="s">
        <v>892</v>
      </c>
      <c r="J2152" t="s">
        <v>702</v>
      </c>
      <c r="K2152" t="s">
        <v>27</v>
      </c>
      <c r="L2152">
        <v>239.98</v>
      </c>
      <c r="M2152" s="1">
        <v>45841</v>
      </c>
      <c r="N2152" t="s">
        <v>105</v>
      </c>
      <c r="O2152">
        <v>3</v>
      </c>
      <c r="P2152">
        <v>7</v>
      </c>
      <c r="Q2152">
        <v>3</v>
      </c>
      <c r="R2152">
        <v>2025</v>
      </c>
    </row>
    <row r="2153" spans="1:18">
      <c r="A2153">
        <v>674.08</v>
      </c>
      <c r="B2153">
        <v>4</v>
      </c>
      <c r="C2153">
        <v>2152</v>
      </c>
      <c r="D2153" s="2">
        <v>0.79257630787037037</v>
      </c>
      <c r="E2153" t="s">
        <v>2127</v>
      </c>
      <c r="F2153" t="s">
        <v>2128</v>
      </c>
      <c r="G2153" t="s">
        <v>1050</v>
      </c>
      <c r="H2153" t="s">
        <v>1371</v>
      </c>
      <c r="I2153" t="s">
        <v>786</v>
      </c>
      <c r="J2153" t="s">
        <v>311</v>
      </c>
      <c r="K2153" t="s">
        <v>46</v>
      </c>
      <c r="L2153">
        <v>168.52</v>
      </c>
      <c r="M2153" s="1">
        <v>45783</v>
      </c>
      <c r="N2153" t="s">
        <v>48</v>
      </c>
      <c r="O2153">
        <v>6</v>
      </c>
      <c r="P2153">
        <v>5</v>
      </c>
      <c r="Q2153">
        <v>2</v>
      </c>
      <c r="R2153">
        <v>2025</v>
      </c>
    </row>
    <row r="2154" spans="1:18">
      <c r="A2154">
        <v>1174.4499999999998</v>
      </c>
      <c r="B2154">
        <v>5</v>
      </c>
      <c r="C2154">
        <v>2153</v>
      </c>
      <c r="D2154" s="2">
        <v>0.69021910879629633</v>
      </c>
      <c r="E2154" t="s">
        <v>1366</v>
      </c>
      <c r="F2154" t="s">
        <v>1367</v>
      </c>
      <c r="G2154" t="s">
        <v>1020</v>
      </c>
      <c r="H2154" t="s">
        <v>136</v>
      </c>
      <c r="I2154" t="s">
        <v>954</v>
      </c>
      <c r="J2154" t="s">
        <v>255</v>
      </c>
      <c r="K2154" t="s">
        <v>39</v>
      </c>
      <c r="L2154">
        <v>234.89</v>
      </c>
      <c r="M2154" s="1">
        <v>46000</v>
      </c>
      <c r="N2154" t="s">
        <v>48</v>
      </c>
      <c r="O2154">
        <v>9</v>
      </c>
      <c r="P2154">
        <v>12</v>
      </c>
      <c r="Q2154">
        <v>4</v>
      </c>
      <c r="R2154">
        <v>2025</v>
      </c>
    </row>
    <row r="2155" spans="1:18">
      <c r="A2155">
        <v>121.22</v>
      </c>
      <c r="B2155">
        <v>1</v>
      </c>
      <c r="C2155">
        <v>2154</v>
      </c>
      <c r="D2155" s="2">
        <v>0.60916194444444449</v>
      </c>
      <c r="E2155" t="s">
        <v>2014</v>
      </c>
      <c r="F2155" t="s">
        <v>2015</v>
      </c>
      <c r="G2155" t="s">
        <v>1585</v>
      </c>
      <c r="H2155" t="s">
        <v>862</v>
      </c>
      <c r="I2155" t="s">
        <v>908</v>
      </c>
      <c r="J2155" t="s">
        <v>47</v>
      </c>
      <c r="K2155" t="s">
        <v>46</v>
      </c>
      <c r="L2155">
        <v>121.22</v>
      </c>
      <c r="M2155" s="1">
        <v>45904</v>
      </c>
      <c r="N2155" t="s">
        <v>105</v>
      </c>
      <c r="O2155">
        <v>4</v>
      </c>
      <c r="P2155">
        <v>9</v>
      </c>
      <c r="Q2155">
        <v>3</v>
      </c>
      <c r="R2155">
        <v>2025</v>
      </c>
    </row>
    <row r="2156" spans="1:18">
      <c r="A2156">
        <v>1167.6000000000001</v>
      </c>
      <c r="B2156">
        <v>5</v>
      </c>
      <c r="C2156">
        <v>2155</v>
      </c>
      <c r="D2156" s="2">
        <v>0.12118747685185186</v>
      </c>
      <c r="E2156" t="s">
        <v>2819</v>
      </c>
      <c r="F2156" t="s">
        <v>2820</v>
      </c>
      <c r="G2156" t="s">
        <v>1619</v>
      </c>
      <c r="H2156" t="s">
        <v>1032</v>
      </c>
      <c r="I2156" t="s">
        <v>839</v>
      </c>
      <c r="J2156" t="s">
        <v>676</v>
      </c>
      <c r="K2156" t="s">
        <v>69</v>
      </c>
      <c r="L2156">
        <v>233.52</v>
      </c>
      <c r="M2156" s="1">
        <v>45754</v>
      </c>
      <c r="N2156" t="s">
        <v>93</v>
      </c>
      <c r="O2156">
        <v>7</v>
      </c>
      <c r="P2156">
        <v>4</v>
      </c>
      <c r="Q2156">
        <v>2</v>
      </c>
      <c r="R2156">
        <v>2025</v>
      </c>
    </row>
    <row r="2157" spans="1:18">
      <c r="A2157">
        <v>27.4</v>
      </c>
      <c r="B2157">
        <v>4</v>
      </c>
      <c r="C2157">
        <v>2156</v>
      </c>
      <c r="D2157" s="2">
        <v>0.94643684027777775</v>
      </c>
      <c r="E2157" t="s">
        <v>3455</v>
      </c>
      <c r="F2157" t="s">
        <v>3456</v>
      </c>
      <c r="G2157" t="s">
        <v>2173</v>
      </c>
      <c r="H2157" t="s">
        <v>1002</v>
      </c>
      <c r="I2157" t="s">
        <v>1003</v>
      </c>
      <c r="J2157" t="s">
        <v>673</v>
      </c>
      <c r="K2157" t="s">
        <v>100</v>
      </c>
      <c r="L2157">
        <v>6.85</v>
      </c>
      <c r="M2157" s="1">
        <v>46150</v>
      </c>
      <c r="N2157" t="s">
        <v>79</v>
      </c>
      <c r="O2157">
        <v>8</v>
      </c>
      <c r="P2157">
        <v>5</v>
      </c>
      <c r="Q2157">
        <v>2</v>
      </c>
      <c r="R2157">
        <v>2026</v>
      </c>
    </row>
    <row r="2158" spans="1:18">
      <c r="A2158">
        <v>88.02</v>
      </c>
      <c r="B2158">
        <v>2</v>
      </c>
      <c r="C2158">
        <v>2157</v>
      </c>
      <c r="D2158" s="2">
        <v>0.53282112268518522</v>
      </c>
      <c r="E2158" t="s">
        <v>1839</v>
      </c>
      <c r="F2158" t="s">
        <v>1840</v>
      </c>
      <c r="G2158" t="s">
        <v>902</v>
      </c>
      <c r="H2158" t="s">
        <v>1841</v>
      </c>
      <c r="I2158" t="s">
        <v>753</v>
      </c>
      <c r="J2158" t="s">
        <v>689</v>
      </c>
      <c r="K2158" t="s">
        <v>55</v>
      </c>
      <c r="L2158">
        <v>44.01</v>
      </c>
      <c r="M2158" s="1">
        <v>45658</v>
      </c>
      <c r="N2158" t="s">
        <v>34</v>
      </c>
      <c r="O2158">
        <v>1</v>
      </c>
      <c r="P2158">
        <v>1</v>
      </c>
      <c r="Q2158">
        <v>1</v>
      </c>
      <c r="R2158">
        <v>2025</v>
      </c>
    </row>
    <row r="2159" spans="1:18">
      <c r="A2159">
        <v>810.12</v>
      </c>
      <c r="B2159">
        <v>4</v>
      </c>
      <c r="C2159">
        <v>2158</v>
      </c>
      <c r="D2159" s="2">
        <v>9.5187557870370365E-2</v>
      </c>
      <c r="E2159" t="s">
        <v>822</v>
      </c>
      <c r="F2159" t="s">
        <v>823</v>
      </c>
      <c r="G2159" t="s">
        <v>824</v>
      </c>
      <c r="H2159" t="s">
        <v>825</v>
      </c>
      <c r="I2159" t="s">
        <v>781</v>
      </c>
      <c r="J2159" t="s">
        <v>251</v>
      </c>
      <c r="K2159" t="s">
        <v>122</v>
      </c>
      <c r="L2159">
        <v>202.53</v>
      </c>
      <c r="M2159" s="1">
        <v>45789</v>
      </c>
      <c r="N2159" t="s">
        <v>93</v>
      </c>
      <c r="O2159">
        <v>12</v>
      </c>
      <c r="P2159">
        <v>5</v>
      </c>
      <c r="Q2159">
        <v>2</v>
      </c>
      <c r="R2159">
        <v>2025</v>
      </c>
    </row>
    <row r="2160" spans="1:18">
      <c r="A2160">
        <v>266.39999999999998</v>
      </c>
      <c r="B2160">
        <v>5</v>
      </c>
      <c r="C2160">
        <v>2159</v>
      </c>
      <c r="D2160" s="2">
        <v>0.14653829861111112</v>
      </c>
      <c r="E2160" t="s">
        <v>1251</v>
      </c>
      <c r="F2160" t="s">
        <v>1252</v>
      </c>
      <c r="G2160" t="s">
        <v>1253</v>
      </c>
      <c r="H2160" t="s">
        <v>1254</v>
      </c>
      <c r="I2160" t="s">
        <v>781</v>
      </c>
      <c r="J2160" t="s">
        <v>459</v>
      </c>
      <c r="K2160" t="s">
        <v>43</v>
      </c>
      <c r="L2160">
        <v>53.28</v>
      </c>
      <c r="M2160" s="1">
        <v>45736</v>
      </c>
      <c r="N2160" t="s">
        <v>105</v>
      </c>
      <c r="O2160">
        <v>20</v>
      </c>
      <c r="P2160">
        <v>3</v>
      </c>
      <c r="Q2160">
        <v>1</v>
      </c>
      <c r="R2160">
        <v>2025</v>
      </c>
    </row>
    <row r="2161" spans="1:18">
      <c r="A2161">
        <v>234.31</v>
      </c>
      <c r="B2161">
        <v>1</v>
      </c>
      <c r="C2161">
        <v>2160</v>
      </c>
      <c r="D2161" s="2">
        <v>0.93636516203703701</v>
      </c>
      <c r="E2161" t="s">
        <v>2523</v>
      </c>
      <c r="F2161" t="s">
        <v>2524</v>
      </c>
      <c r="G2161" t="s">
        <v>1997</v>
      </c>
      <c r="H2161" t="s">
        <v>1189</v>
      </c>
      <c r="I2161" t="s">
        <v>892</v>
      </c>
      <c r="J2161" t="s">
        <v>150</v>
      </c>
      <c r="K2161" t="s">
        <v>60</v>
      </c>
      <c r="L2161">
        <v>234.31</v>
      </c>
      <c r="M2161" s="1">
        <v>45815</v>
      </c>
      <c r="N2161" t="s">
        <v>14</v>
      </c>
      <c r="O2161">
        <v>7</v>
      </c>
      <c r="P2161">
        <v>6</v>
      </c>
      <c r="Q2161">
        <v>2</v>
      </c>
      <c r="R2161">
        <v>2025</v>
      </c>
    </row>
    <row r="2162" spans="1:18">
      <c r="A2162">
        <v>154.88</v>
      </c>
      <c r="B2162">
        <v>1</v>
      </c>
      <c r="C2162">
        <v>2161</v>
      </c>
      <c r="D2162" s="2">
        <v>0.9717662037037037</v>
      </c>
      <c r="E2162" t="s">
        <v>2169</v>
      </c>
      <c r="F2162" t="s">
        <v>2170</v>
      </c>
      <c r="G2162" t="s">
        <v>1279</v>
      </c>
      <c r="H2162" t="s">
        <v>64</v>
      </c>
      <c r="I2162" t="s">
        <v>892</v>
      </c>
      <c r="J2162" t="s">
        <v>704</v>
      </c>
      <c r="K2162" t="s">
        <v>51</v>
      </c>
      <c r="L2162">
        <v>154.88</v>
      </c>
      <c r="M2162" s="1">
        <v>46136</v>
      </c>
      <c r="N2162" t="s">
        <v>79</v>
      </c>
      <c r="O2162">
        <v>24</v>
      </c>
      <c r="P2162">
        <v>4</v>
      </c>
      <c r="Q2162">
        <v>2</v>
      </c>
      <c r="R2162">
        <v>2026</v>
      </c>
    </row>
    <row r="2163" spans="1:18">
      <c r="A2163">
        <v>244.98</v>
      </c>
      <c r="B2163">
        <v>2</v>
      </c>
      <c r="C2163">
        <v>2162</v>
      </c>
      <c r="D2163" s="2">
        <v>0.95035189814814813</v>
      </c>
      <c r="E2163" t="s">
        <v>1378</v>
      </c>
      <c r="F2163" t="s">
        <v>1379</v>
      </c>
      <c r="G2163" t="s">
        <v>1380</v>
      </c>
      <c r="H2163" t="s">
        <v>757</v>
      </c>
      <c r="I2163" t="s">
        <v>758</v>
      </c>
      <c r="J2163" t="s">
        <v>449</v>
      </c>
      <c r="K2163" t="s">
        <v>82</v>
      </c>
      <c r="L2163">
        <v>122.49</v>
      </c>
      <c r="M2163" s="1">
        <v>46129</v>
      </c>
      <c r="N2163" t="s">
        <v>79</v>
      </c>
      <c r="O2163">
        <v>17</v>
      </c>
      <c r="P2163">
        <v>4</v>
      </c>
      <c r="Q2163">
        <v>2</v>
      </c>
      <c r="R2163">
        <v>2026</v>
      </c>
    </row>
    <row r="2164" spans="1:18">
      <c r="A2164">
        <v>515.64</v>
      </c>
      <c r="B2164">
        <v>3</v>
      </c>
      <c r="C2164">
        <v>2163</v>
      </c>
      <c r="D2164" s="2">
        <v>9.2634212962962967E-2</v>
      </c>
      <c r="E2164" t="s">
        <v>1914</v>
      </c>
      <c r="F2164" t="s">
        <v>1915</v>
      </c>
      <c r="G2164" t="s">
        <v>976</v>
      </c>
      <c r="H2164" t="s">
        <v>1199</v>
      </c>
      <c r="I2164" t="s">
        <v>839</v>
      </c>
      <c r="J2164" t="s">
        <v>525</v>
      </c>
      <c r="K2164" t="s">
        <v>17</v>
      </c>
      <c r="L2164">
        <v>171.88</v>
      </c>
      <c r="M2164" s="1">
        <v>46143</v>
      </c>
      <c r="N2164" t="s">
        <v>79</v>
      </c>
      <c r="O2164">
        <v>1</v>
      </c>
      <c r="P2164">
        <v>5</v>
      </c>
      <c r="Q2164">
        <v>2</v>
      </c>
      <c r="R2164">
        <v>2026</v>
      </c>
    </row>
    <row r="2165" spans="1:18">
      <c r="A2165">
        <v>53.87</v>
      </c>
      <c r="B2165">
        <v>1</v>
      </c>
      <c r="C2165">
        <v>2164</v>
      </c>
      <c r="D2165" s="2">
        <v>0.92653989583333329</v>
      </c>
      <c r="E2165" t="s">
        <v>1186</v>
      </c>
      <c r="F2165" t="s">
        <v>1187</v>
      </c>
      <c r="G2165" t="s">
        <v>1188</v>
      </c>
      <c r="H2165" t="s">
        <v>1189</v>
      </c>
      <c r="I2165" t="s">
        <v>892</v>
      </c>
      <c r="J2165" t="s">
        <v>2034</v>
      </c>
      <c r="K2165" t="s">
        <v>100</v>
      </c>
      <c r="L2165">
        <v>53.87</v>
      </c>
      <c r="M2165" s="1">
        <v>45585</v>
      </c>
      <c r="N2165" t="s">
        <v>28</v>
      </c>
      <c r="O2165">
        <v>20</v>
      </c>
      <c r="P2165">
        <v>10</v>
      </c>
      <c r="Q2165">
        <v>4</v>
      </c>
      <c r="R2165">
        <v>2024</v>
      </c>
    </row>
    <row r="2166" spans="1:18">
      <c r="A2166">
        <v>11.82</v>
      </c>
      <c r="B2166">
        <v>2</v>
      </c>
      <c r="C2166">
        <v>2165</v>
      </c>
      <c r="D2166" s="2">
        <v>0.98977850694444447</v>
      </c>
      <c r="E2166" t="s">
        <v>3030</v>
      </c>
      <c r="F2166" t="s">
        <v>3031</v>
      </c>
      <c r="G2166" t="s">
        <v>2341</v>
      </c>
      <c r="H2166" t="s">
        <v>1092</v>
      </c>
      <c r="I2166" t="s">
        <v>763</v>
      </c>
      <c r="J2166" t="s">
        <v>590</v>
      </c>
      <c r="K2166" t="s">
        <v>51</v>
      </c>
      <c r="L2166">
        <v>5.91</v>
      </c>
      <c r="M2166" s="1">
        <v>45826</v>
      </c>
      <c r="N2166" t="s">
        <v>34</v>
      </c>
      <c r="O2166">
        <v>18</v>
      </c>
      <c r="P2166">
        <v>6</v>
      </c>
      <c r="Q2166">
        <v>2</v>
      </c>
      <c r="R2166">
        <v>2025</v>
      </c>
    </row>
    <row r="2167" spans="1:18">
      <c r="A2167">
        <v>928.34999999999991</v>
      </c>
      <c r="B2167">
        <v>5</v>
      </c>
      <c r="C2167">
        <v>2166</v>
      </c>
      <c r="D2167" s="2">
        <v>0.39370173611111109</v>
      </c>
      <c r="E2167" t="s">
        <v>1150</v>
      </c>
      <c r="F2167" t="s">
        <v>1151</v>
      </c>
      <c r="G2167" t="s">
        <v>1152</v>
      </c>
      <c r="H2167" t="s">
        <v>843</v>
      </c>
      <c r="I2167" t="s">
        <v>753</v>
      </c>
      <c r="J2167" t="s">
        <v>720</v>
      </c>
      <c r="K2167" t="s">
        <v>100</v>
      </c>
      <c r="L2167">
        <v>185.67</v>
      </c>
      <c r="M2167" s="1">
        <v>45877</v>
      </c>
      <c r="N2167" t="s">
        <v>79</v>
      </c>
      <c r="O2167">
        <v>8</v>
      </c>
      <c r="P2167">
        <v>8</v>
      </c>
      <c r="Q2167">
        <v>3</v>
      </c>
      <c r="R2167">
        <v>2025</v>
      </c>
    </row>
    <row r="2168" spans="1:18">
      <c r="A2168">
        <v>430.5</v>
      </c>
      <c r="B2168">
        <v>2</v>
      </c>
      <c r="C2168">
        <v>2167</v>
      </c>
      <c r="D2168" s="2">
        <v>0.39471490740740739</v>
      </c>
      <c r="E2168" t="s">
        <v>2895</v>
      </c>
      <c r="F2168" t="s">
        <v>2896</v>
      </c>
      <c r="G2168" t="s">
        <v>1987</v>
      </c>
      <c r="H2168" t="s">
        <v>2468</v>
      </c>
      <c r="I2168" t="s">
        <v>763</v>
      </c>
      <c r="J2168" t="s">
        <v>148</v>
      </c>
      <c r="K2168" t="s">
        <v>51</v>
      </c>
      <c r="L2168">
        <v>215.25</v>
      </c>
      <c r="M2168" s="1">
        <v>46156</v>
      </c>
      <c r="N2168" t="s">
        <v>105</v>
      </c>
      <c r="O2168">
        <v>14</v>
      </c>
      <c r="P2168">
        <v>5</v>
      </c>
      <c r="Q2168">
        <v>2</v>
      </c>
      <c r="R2168">
        <v>2026</v>
      </c>
    </row>
    <row r="2169" spans="1:18">
      <c r="A2169">
        <v>518.29999999999995</v>
      </c>
      <c r="B2169">
        <v>5</v>
      </c>
      <c r="C2169">
        <v>2168</v>
      </c>
      <c r="D2169" s="2">
        <v>0.64998466435185187</v>
      </c>
      <c r="E2169" t="s">
        <v>2298</v>
      </c>
      <c r="F2169" t="s">
        <v>2299</v>
      </c>
      <c r="G2169" t="s">
        <v>1498</v>
      </c>
      <c r="H2169" t="s">
        <v>1318</v>
      </c>
      <c r="I2169" t="s">
        <v>807</v>
      </c>
      <c r="J2169" t="s">
        <v>193</v>
      </c>
      <c r="K2169" t="s">
        <v>55</v>
      </c>
      <c r="L2169">
        <v>103.66</v>
      </c>
      <c r="M2169" s="1">
        <v>45702</v>
      </c>
      <c r="N2169" t="s">
        <v>79</v>
      </c>
      <c r="O2169">
        <v>14</v>
      </c>
      <c r="P2169">
        <v>2</v>
      </c>
      <c r="Q2169">
        <v>1</v>
      </c>
      <c r="R2169">
        <v>2025</v>
      </c>
    </row>
    <row r="2170" spans="1:18">
      <c r="A2170">
        <v>341.3</v>
      </c>
      <c r="B2170">
        <v>5</v>
      </c>
      <c r="C2170">
        <v>2169</v>
      </c>
      <c r="D2170" s="2">
        <v>0.13807312499999999</v>
      </c>
      <c r="E2170" t="s">
        <v>1949</v>
      </c>
      <c r="F2170" t="s">
        <v>1950</v>
      </c>
      <c r="G2170" t="s">
        <v>1335</v>
      </c>
      <c r="H2170" t="s">
        <v>767</v>
      </c>
      <c r="I2170" t="s">
        <v>768</v>
      </c>
      <c r="J2170" t="s">
        <v>306</v>
      </c>
      <c r="K2170" t="s">
        <v>39</v>
      </c>
      <c r="L2170">
        <v>68.260000000000005</v>
      </c>
      <c r="M2170" s="1">
        <v>46088</v>
      </c>
      <c r="N2170" t="s">
        <v>14</v>
      </c>
      <c r="O2170">
        <v>7</v>
      </c>
      <c r="P2170">
        <v>3</v>
      </c>
      <c r="Q2170">
        <v>1</v>
      </c>
      <c r="R2170">
        <v>2026</v>
      </c>
    </row>
    <row r="2171" spans="1:18">
      <c r="A2171">
        <v>983.9</v>
      </c>
      <c r="B2171">
        <v>5</v>
      </c>
      <c r="C2171">
        <v>2170</v>
      </c>
      <c r="D2171" s="2">
        <v>0.5552627546296296</v>
      </c>
      <c r="E2171" t="s">
        <v>1112</v>
      </c>
      <c r="F2171" t="s">
        <v>1113</v>
      </c>
      <c r="G2171" t="s">
        <v>1114</v>
      </c>
      <c r="H2171" t="s">
        <v>1078</v>
      </c>
      <c r="I2171" t="s">
        <v>781</v>
      </c>
      <c r="J2171" t="s">
        <v>397</v>
      </c>
      <c r="K2171" t="s">
        <v>31</v>
      </c>
      <c r="L2171">
        <v>196.78</v>
      </c>
      <c r="M2171" s="1">
        <v>46177</v>
      </c>
      <c r="N2171" t="s">
        <v>105</v>
      </c>
      <c r="O2171">
        <v>4</v>
      </c>
      <c r="P2171">
        <v>6</v>
      </c>
      <c r="Q2171">
        <v>2</v>
      </c>
      <c r="R2171">
        <v>2026</v>
      </c>
    </row>
    <row r="2172" spans="1:18">
      <c r="A2172">
        <v>170.75</v>
      </c>
      <c r="B2172">
        <v>1</v>
      </c>
      <c r="C2172">
        <v>2171</v>
      </c>
      <c r="D2172" s="2">
        <v>0.87512421296296294</v>
      </c>
      <c r="E2172" t="s">
        <v>2599</v>
      </c>
      <c r="F2172" t="s">
        <v>2600</v>
      </c>
      <c r="G2172" t="s">
        <v>2601</v>
      </c>
      <c r="H2172" t="s">
        <v>2044</v>
      </c>
      <c r="I2172" t="s">
        <v>748</v>
      </c>
      <c r="J2172" t="s">
        <v>652</v>
      </c>
      <c r="K2172" t="s">
        <v>37</v>
      </c>
      <c r="L2172">
        <v>170.75</v>
      </c>
      <c r="M2172" s="1">
        <v>45626</v>
      </c>
      <c r="N2172" t="s">
        <v>14</v>
      </c>
      <c r="O2172">
        <v>30</v>
      </c>
      <c r="P2172">
        <v>11</v>
      </c>
      <c r="Q2172">
        <v>4</v>
      </c>
      <c r="R2172">
        <v>2024</v>
      </c>
    </row>
    <row r="2173" spans="1:18">
      <c r="A2173">
        <v>209.56</v>
      </c>
      <c r="B2173">
        <v>4</v>
      </c>
      <c r="C2173">
        <v>2172</v>
      </c>
      <c r="D2173" s="2">
        <v>0.58751839120370375</v>
      </c>
      <c r="E2173" t="s">
        <v>2068</v>
      </c>
      <c r="F2173" t="s">
        <v>2069</v>
      </c>
      <c r="G2173" t="s">
        <v>1468</v>
      </c>
      <c r="H2173" t="s">
        <v>762</v>
      </c>
      <c r="I2173" t="s">
        <v>763</v>
      </c>
      <c r="J2173" t="s">
        <v>358</v>
      </c>
      <c r="K2173" t="s">
        <v>37</v>
      </c>
      <c r="L2173">
        <v>52.39</v>
      </c>
      <c r="M2173" s="1">
        <v>45662</v>
      </c>
      <c r="N2173" t="s">
        <v>28</v>
      </c>
      <c r="O2173">
        <v>5</v>
      </c>
      <c r="P2173">
        <v>1</v>
      </c>
      <c r="Q2173">
        <v>1</v>
      </c>
      <c r="R2173">
        <v>2025</v>
      </c>
    </row>
    <row r="2174" spans="1:18">
      <c r="A2174">
        <v>181.24</v>
      </c>
      <c r="B2174">
        <v>2</v>
      </c>
      <c r="C2174">
        <v>2173</v>
      </c>
      <c r="D2174" s="2">
        <v>0.46855121527777777</v>
      </c>
      <c r="E2174" t="s">
        <v>3051</v>
      </c>
      <c r="F2174" t="s">
        <v>3052</v>
      </c>
      <c r="G2174" t="s">
        <v>1136</v>
      </c>
      <c r="H2174" t="s">
        <v>1107</v>
      </c>
      <c r="I2174" t="s">
        <v>892</v>
      </c>
      <c r="J2174" t="s">
        <v>686</v>
      </c>
      <c r="K2174" t="s">
        <v>82</v>
      </c>
      <c r="L2174">
        <v>90.62</v>
      </c>
      <c r="M2174" s="1">
        <v>45830</v>
      </c>
      <c r="N2174" t="s">
        <v>28</v>
      </c>
      <c r="O2174">
        <v>22</v>
      </c>
      <c r="P2174">
        <v>6</v>
      </c>
      <c r="Q2174">
        <v>2</v>
      </c>
      <c r="R2174">
        <v>2025</v>
      </c>
    </row>
    <row r="2175" spans="1:18">
      <c r="A2175">
        <v>241.99</v>
      </c>
      <c r="B2175">
        <v>1</v>
      </c>
      <c r="C2175">
        <v>2174</v>
      </c>
      <c r="D2175" s="2">
        <v>0.46930896990740739</v>
      </c>
      <c r="E2175" t="s">
        <v>2755</v>
      </c>
      <c r="F2175" t="s">
        <v>2753</v>
      </c>
      <c r="G2175" t="s">
        <v>865</v>
      </c>
      <c r="H2175" t="s">
        <v>1111</v>
      </c>
      <c r="I2175" t="s">
        <v>981</v>
      </c>
      <c r="J2175" t="s">
        <v>521</v>
      </c>
      <c r="K2175" t="s">
        <v>17</v>
      </c>
      <c r="L2175">
        <v>241.99</v>
      </c>
      <c r="M2175" s="1">
        <v>46123</v>
      </c>
      <c r="N2175" t="s">
        <v>14</v>
      </c>
      <c r="O2175">
        <v>11</v>
      </c>
      <c r="P2175">
        <v>4</v>
      </c>
      <c r="Q2175">
        <v>2</v>
      </c>
      <c r="R2175">
        <v>2026</v>
      </c>
    </row>
    <row r="2176" spans="1:18">
      <c r="A2176">
        <v>981.96</v>
      </c>
      <c r="B2176">
        <v>4</v>
      </c>
      <c r="C2176">
        <v>2175</v>
      </c>
      <c r="D2176" s="2">
        <v>0.59499218750000005</v>
      </c>
      <c r="E2176" t="s">
        <v>2217</v>
      </c>
      <c r="F2176" t="s">
        <v>2218</v>
      </c>
      <c r="G2176" t="s">
        <v>1771</v>
      </c>
      <c r="H2176" t="s">
        <v>380</v>
      </c>
      <c r="I2176" t="s">
        <v>954</v>
      </c>
      <c r="J2176" t="s">
        <v>330</v>
      </c>
      <c r="K2176" t="s">
        <v>60</v>
      </c>
      <c r="L2176">
        <v>245.49</v>
      </c>
      <c r="M2176" s="1">
        <v>46148</v>
      </c>
      <c r="N2176" t="s">
        <v>34</v>
      </c>
      <c r="O2176">
        <v>6</v>
      </c>
      <c r="P2176">
        <v>5</v>
      </c>
      <c r="Q2176">
        <v>2</v>
      </c>
      <c r="R2176">
        <v>2026</v>
      </c>
    </row>
    <row r="2177" spans="1:18">
      <c r="A2177">
        <v>694.24</v>
      </c>
      <c r="B2177">
        <v>4</v>
      </c>
      <c r="C2177">
        <v>2176</v>
      </c>
      <c r="D2177" s="2">
        <v>0.38869642361111112</v>
      </c>
      <c r="E2177" t="s">
        <v>3331</v>
      </c>
      <c r="F2177" t="s">
        <v>3332</v>
      </c>
      <c r="G2177" t="s">
        <v>2726</v>
      </c>
      <c r="H2177" t="s">
        <v>1342</v>
      </c>
      <c r="I2177" t="s">
        <v>776</v>
      </c>
      <c r="J2177" t="s">
        <v>706</v>
      </c>
      <c r="K2177" t="s">
        <v>39</v>
      </c>
      <c r="L2177">
        <v>173.56</v>
      </c>
      <c r="M2177" s="1">
        <v>45627</v>
      </c>
      <c r="N2177" t="s">
        <v>28</v>
      </c>
      <c r="O2177">
        <v>1</v>
      </c>
      <c r="P2177">
        <v>12</v>
      </c>
      <c r="Q2177">
        <v>4</v>
      </c>
      <c r="R2177">
        <v>2024</v>
      </c>
    </row>
    <row r="2178" spans="1:18">
      <c r="A2178">
        <v>66.739999999999995</v>
      </c>
      <c r="B2178">
        <v>2</v>
      </c>
      <c r="C2178">
        <v>2177</v>
      </c>
      <c r="D2178" s="2">
        <v>0.41543719907407406</v>
      </c>
      <c r="E2178" t="s">
        <v>2420</v>
      </c>
      <c r="F2178" t="s">
        <v>2421</v>
      </c>
      <c r="G2178" t="s">
        <v>1001</v>
      </c>
      <c r="H2178" t="s">
        <v>1254</v>
      </c>
      <c r="I2178" t="s">
        <v>781</v>
      </c>
      <c r="J2178" t="s">
        <v>388</v>
      </c>
      <c r="K2178" t="s">
        <v>46</v>
      </c>
      <c r="L2178">
        <v>33.369999999999997</v>
      </c>
      <c r="M2178" s="1">
        <v>46259</v>
      </c>
      <c r="N2178" t="s">
        <v>48</v>
      </c>
      <c r="O2178">
        <v>25</v>
      </c>
      <c r="P2178">
        <v>8</v>
      </c>
      <c r="Q2178">
        <v>3</v>
      </c>
      <c r="R2178">
        <v>2026</v>
      </c>
    </row>
    <row r="2179" spans="1:18">
      <c r="A2179">
        <v>72.849999999999994</v>
      </c>
      <c r="B2179">
        <v>5</v>
      </c>
      <c r="C2179">
        <v>2178</v>
      </c>
      <c r="D2179" s="2">
        <v>0.80035945601851854</v>
      </c>
      <c r="E2179" t="s">
        <v>2448</v>
      </c>
      <c r="F2179" t="s">
        <v>2449</v>
      </c>
      <c r="G2179" t="s">
        <v>1070</v>
      </c>
      <c r="H2179" t="s">
        <v>961</v>
      </c>
      <c r="I2179" t="s">
        <v>807</v>
      </c>
      <c r="J2179" t="s">
        <v>166</v>
      </c>
      <c r="K2179" t="s">
        <v>23</v>
      </c>
      <c r="L2179">
        <v>14.57</v>
      </c>
      <c r="M2179" s="1">
        <v>46140</v>
      </c>
      <c r="N2179" t="s">
        <v>48</v>
      </c>
      <c r="O2179">
        <v>28</v>
      </c>
      <c r="P2179">
        <v>4</v>
      </c>
      <c r="Q2179">
        <v>2</v>
      </c>
      <c r="R2179">
        <v>2026</v>
      </c>
    </row>
    <row r="2180" spans="1:18">
      <c r="A2180">
        <v>897.75</v>
      </c>
      <c r="B2180">
        <v>5</v>
      </c>
      <c r="C2180">
        <v>2179</v>
      </c>
      <c r="D2180" s="2">
        <v>0.70209782407407406</v>
      </c>
      <c r="E2180" t="s">
        <v>1689</v>
      </c>
      <c r="F2180" t="s">
        <v>1690</v>
      </c>
      <c r="G2180" t="s">
        <v>1559</v>
      </c>
      <c r="H2180" t="s">
        <v>1691</v>
      </c>
      <c r="I2180" t="s">
        <v>821</v>
      </c>
      <c r="J2180" t="s">
        <v>614</v>
      </c>
      <c r="K2180" t="s">
        <v>21</v>
      </c>
      <c r="L2180">
        <v>179.55</v>
      </c>
      <c r="M2180" s="1">
        <v>45699</v>
      </c>
      <c r="N2180" t="s">
        <v>48</v>
      </c>
      <c r="O2180">
        <v>11</v>
      </c>
      <c r="P2180">
        <v>2</v>
      </c>
      <c r="Q2180">
        <v>1</v>
      </c>
      <c r="R2180">
        <v>2025</v>
      </c>
    </row>
    <row r="2181" spans="1:18">
      <c r="A2181">
        <v>449.18</v>
      </c>
      <c r="B2181">
        <v>2</v>
      </c>
      <c r="C2181">
        <v>2180</v>
      </c>
      <c r="D2181" s="2">
        <v>1.7922500000000001E-2</v>
      </c>
      <c r="E2181" t="s">
        <v>1631</v>
      </c>
      <c r="F2181" t="s">
        <v>1632</v>
      </c>
      <c r="G2181" t="s">
        <v>1633</v>
      </c>
      <c r="H2181" t="s">
        <v>136</v>
      </c>
      <c r="I2181" t="s">
        <v>776</v>
      </c>
      <c r="J2181" t="s">
        <v>121</v>
      </c>
      <c r="K2181" t="s">
        <v>122</v>
      </c>
      <c r="L2181">
        <v>224.59</v>
      </c>
      <c r="M2181" s="1">
        <v>45698</v>
      </c>
      <c r="N2181" t="s">
        <v>93</v>
      </c>
      <c r="O2181">
        <v>10</v>
      </c>
      <c r="P2181">
        <v>2</v>
      </c>
      <c r="Q2181">
        <v>1</v>
      </c>
      <c r="R2181">
        <v>2025</v>
      </c>
    </row>
    <row r="2182" spans="1:18">
      <c r="A2182">
        <v>349.54</v>
      </c>
      <c r="B2182">
        <v>2</v>
      </c>
      <c r="C2182">
        <v>2181</v>
      </c>
      <c r="D2182" s="2">
        <v>0.65467759259259262</v>
      </c>
      <c r="E2182" t="s">
        <v>2109</v>
      </c>
      <c r="F2182" t="s">
        <v>2110</v>
      </c>
      <c r="G2182" t="s">
        <v>2111</v>
      </c>
      <c r="H2182" t="s">
        <v>1156</v>
      </c>
      <c r="I2182" t="s">
        <v>821</v>
      </c>
      <c r="J2182" t="s">
        <v>483</v>
      </c>
      <c r="K2182" t="s">
        <v>100</v>
      </c>
      <c r="L2182">
        <v>174.77</v>
      </c>
      <c r="M2182" s="1">
        <v>45665</v>
      </c>
      <c r="N2182" t="s">
        <v>34</v>
      </c>
      <c r="O2182">
        <v>8</v>
      </c>
      <c r="P2182">
        <v>1</v>
      </c>
      <c r="Q2182">
        <v>1</v>
      </c>
      <c r="R2182">
        <v>2025</v>
      </c>
    </row>
    <row r="2183" spans="1:18">
      <c r="A2183">
        <v>248.72</v>
      </c>
      <c r="B2183">
        <v>4</v>
      </c>
      <c r="C2183">
        <v>2182</v>
      </c>
      <c r="D2183" s="2">
        <v>6.3870486111111111E-2</v>
      </c>
      <c r="E2183" t="s">
        <v>3100</v>
      </c>
      <c r="F2183" t="s">
        <v>3101</v>
      </c>
      <c r="G2183" t="s">
        <v>1791</v>
      </c>
      <c r="H2183" t="s">
        <v>392</v>
      </c>
      <c r="I2183" t="s">
        <v>943</v>
      </c>
      <c r="J2183" t="s">
        <v>276</v>
      </c>
      <c r="K2183" t="s">
        <v>57</v>
      </c>
      <c r="L2183">
        <v>62.18</v>
      </c>
      <c r="M2183" s="1">
        <v>46090</v>
      </c>
      <c r="N2183" t="s">
        <v>93</v>
      </c>
      <c r="O2183">
        <v>9</v>
      </c>
      <c r="P2183">
        <v>3</v>
      </c>
      <c r="Q2183">
        <v>1</v>
      </c>
      <c r="R2183">
        <v>2026</v>
      </c>
    </row>
    <row r="2184" spans="1:18">
      <c r="A2184">
        <v>68.06</v>
      </c>
      <c r="B2184">
        <v>2</v>
      </c>
      <c r="C2184">
        <v>2183</v>
      </c>
      <c r="D2184" s="2">
        <v>0.20873395833333333</v>
      </c>
      <c r="E2184" t="s">
        <v>2311</v>
      </c>
      <c r="F2184" t="s">
        <v>2312</v>
      </c>
      <c r="G2184" t="s">
        <v>1205</v>
      </c>
      <c r="H2184" t="s">
        <v>825</v>
      </c>
      <c r="I2184" t="s">
        <v>781</v>
      </c>
      <c r="J2184" t="s">
        <v>678</v>
      </c>
      <c r="K2184" t="s">
        <v>100</v>
      </c>
      <c r="L2184">
        <v>34.03</v>
      </c>
      <c r="M2184" s="1">
        <v>46271</v>
      </c>
      <c r="N2184" t="s">
        <v>28</v>
      </c>
      <c r="O2184">
        <v>6</v>
      </c>
      <c r="P2184">
        <v>9</v>
      </c>
      <c r="Q2184">
        <v>3</v>
      </c>
      <c r="R2184">
        <v>2026</v>
      </c>
    </row>
    <row r="2185" spans="1:18">
      <c r="A2185">
        <v>194.04</v>
      </c>
      <c r="B2185">
        <v>4</v>
      </c>
      <c r="C2185">
        <v>2184</v>
      </c>
      <c r="D2185" s="2">
        <v>0.90233571759259257</v>
      </c>
      <c r="E2185" t="s">
        <v>1643</v>
      </c>
      <c r="F2185" t="s">
        <v>1644</v>
      </c>
      <c r="G2185" t="s">
        <v>1645</v>
      </c>
      <c r="H2185" t="s">
        <v>328</v>
      </c>
      <c r="I2185" t="s">
        <v>1247</v>
      </c>
      <c r="J2185" t="s">
        <v>243</v>
      </c>
      <c r="K2185" t="s">
        <v>57</v>
      </c>
      <c r="L2185">
        <v>48.51</v>
      </c>
      <c r="M2185" s="1">
        <v>45821</v>
      </c>
      <c r="N2185" t="s">
        <v>79</v>
      </c>
      <c r="O2185">
        <v>13</v>
      </c>
      <c r="P2185">
        <v>6</v>
      </c>
      <c r="Q2185">
        <v>2</v>
      </c>
      <c r="R2185">
        <v>2025</v>
      </c>
    </row>
    <row r="2186" spans="1:18">
      <c r="A2186">
        <v>36.75</v>
      </c>
      <c r="B2186">
        <v>1</v>
      </c>
      <c r="C2186">
        <v>2185</v>
      </c>
      <c r="D2186" s="2">
        <v>7.6481631944444448E-2</v>
      </c>
      <c r="E2186" t="s">
        <v>2182</v>
      </c>
      <c r="F2186" t="s">
        <v>2183</v>
      </c>
      <c r="G2186" t="s">
        <v>2184</v>
      </c>
      <c r="H2186" t="s">
        <v>838</v>
      </c>
      <c r="I2186" t="s">
        <v>839</v>
      </c>
      <c r="J2186" t="s">
        <v>637</v>
      </c>
      <c r="K2186" t="s">
        <v>100</v>
      </c>
      <c r="L2186">
        <v>36.75</v>
      </c>
      <c r="M2186" s="1">
        <v>45971</v>
      </c>
      <c r="N2186" t="s">
        <v>93</v>
      </c>
      <c r="O2186">
        <v>10</v>
      </c>
      <c r="P2186">
        <v>11</v>
      </c>
      <c r="Q2186">
        <v>4</v>
      </c>
      <c r="R2186">
        <v>2025</v>
      </c>
    </row>
    <row r="2187" spans="1:18">
      <c r="A2187">
        <v>22.26</v>
      </c>
      <c r="B2187">
        <v>2</v>
      </c>
      <c r="C2187">
        <v>2186</v>
      </c>
      <c r="D2187" s="2">
        <v>0.85576247685185181</v>
      </c>
      <c r="E2187" t="s">
        <v>3038</v>
      </c>
      <c r="F2187" t="s">
        <v>3039</v>
      </c>
      <c r="G2187" t="s">
        <v>878</v>
      </c>
      <c r="H2187" t="s">
        <v>862</v>
      </c>
      <c r="I2187" t="s">
        <v>807</v>
      </c>
      <c r="J2187" t="s">
        <v>42</v>
      </c>
      <c r="K2187" t="s">
        <v>43</v>
      </c>
      <c r="L2187">
        <v>11.13</v>
      </c>
      <c r="M2187" s="1">
        <v>46160</v>
      </c>
      <c r="N2187" t="s">
        <v>93</v>
      </c>
      <c r="O2187">
        <v>18</v>
      </c>
      <c r="P2187">
        <v>5</v>
      </c>
      <c r="Q2187">
        <v>2</v>
      </c>
      <c r="R2187">
        <v>2026</v>
      </c>
    </row>
    <row r="2188" spans="1:18">
      <c r="A2188">
        <v>606.68999999999994</v>
      </c>
      <c r="B2188">
        <v>3</v>
      </c>
      <c r="C2188">
        <v>2187</v>
      </c>
      <c r="D2188" s="2">
        <v>2.3115740740740742E-2</v>
      </c>
      <c r="E2188" t="s">
        <v>1900</v>
      </c>
      <c r="F2188" t="s">
        <v>1901</v>
      </c>
      <c r="G2188" t="s">
        <v>1477</v>
      </c>
      <c r="H2188" t="s">
        <v>961</v>
      </c>
      <c r="I2188" t="s">
        <v>753</v>
      </c>
      <c r="J2188" t="s">
        <v>321</v>
      </c>
      <c r="K2188" t="s">
        <v>17</v>
      </c>
      <c r="L2188">
        <v>202.23</v>
      </c>
      <c r="M2188" s="1">
        <v>45666</v>
      </c>
      <c r="N2188" t="s">
        <v>105</v>
      </c>
      <c r="O2188">
        <v>9</v>
      </c>
      <c r="P2188">
        <v>1</v>
      </c>
      <c r="Q2188">
        <v>1</v>
      </c>
      <c r="R2188">
        <v>2025</v>
      </c>
    </row>
    <row r="2189" spans="1:18">
      <c r="A2189">
        <v>101.34</v>
      </c>
      <c r="B2189">
        <v>3</v>
      </c>
      <c r="C2189">
        <v>2188</v>
      </c>
      <c r="D2189" s="2">
        <v>0.51990410879629634</v>
      </c>
      <c r="E2189" t="s">
        <v>1470</v>
      </c>
      <c r="F2189" t="s">
        <v>1471</v>
      </c>
      <c r="G2189" t="s">
        <v>1472</v>
      </c>
      <c r="H2189" t="s">
        <v>1128</v>
      </c>
      <c r="I2189" t="s">
        <v>954</v>
      </c>
      <c r="J2189" t="s">
        <v>625</v>
      </c>
      <c r="K2189" t="s">
        <v>43</v>
      </c>
      <c r="L2189">
        <v>33.78</v>
      </c>
      <c r="M2189" s="1">
        <v>45628</v>
      </c>
      <c r="N2189" t="s">
        <v>93</v>
      </c>
      <c r="O2189">
        <v>2</v>
      </c>
      <c r="P2189">
        <v>12</v>
      </c>
      <c r="Q2189">
        <v>4</v>
      </c>
      <c r="R2189">
        <v>2024</v>
      </c>
    </row>
    <row r="2190" spans="1:18">
      <c r="A2190">
        <v>193.22</v>
      </c>
      <c r="B2190">
        <v>1</v>
      </c>
      <c r="C2190">
        <v>2189</v>
      </c>
      <c r="D2190" s="2">
        <v>0.43134956018518517</v>
      </c>
      <c r="E2190" t="s">
        <v>2790</v>
      </c>
      <c r="F2190" t="s">
        <v>2791</v>
      </c>
      <c r="G2190" t="s">
        <v>1440</v>
      </c>
      <c r="H2190" t="s">
        <v>1342</v>
      </c>
      <c r="I2190" t="s">
        <v>776</v>
      </c>
      <c r="J2190" t="s">
        <v>430</v>
      </c>
      <c r="K2190" t="s">
        <v>27</v>
      </c>
      <c r="L2190">
        <v>193.22</v>
      </c>
      <c r="M2190" s="1">
        <v>45662</v>
      </c>
      <c r="N2190" t="s">
        <v>28</v>
      </c>
      <c r="O2190">
        <v>5</v>
      </c>
      <c r="P2190">
        <v>1</v>
      </c>
      <c r="Q2190">
        <v>1</v>
      </c>
      <c r="R2190">
        <v>2025</v>
      </c>
    </row>
    <row r="2191" spans="1:18">
      <c r="A2191">
        <v>574.28</v>
      </c>
      <c r="B2191">
        <v>4</v>
      </c>
      <c r="C2191">
        <v>2190</v>
      </c>
      <c r="D2191" s="2">
        <v>6.9912303240740742E-2</v>
      </c>
      <c r="E2191" t="s">
        <v>2724</v>
      </c>
      <c r="F2191" t="s">
        <v>2860</v>
      </c>
      <c r="G2191" t="s">
        <v>1698</v>
      </c>
      <c r="H2191" t="s">
        <v>1984</v>
      </c>
      <c r="I2191" t="s">
        <v>768</v>
      </c>
      <c r="J2191" t="s">
        <v>514</v>
      </c>
      <c r="K2191" t="s">
        <v>23</v>
      </c>
      <c r="L2191">
        <v>143.57</v>
      </c>
      <c r="M2191" s="1">
        <v>46263</v>
      </c>
      <c r="N2191" t="s">
        <v>14</v>
      </c>
      <c r="O2191">
        <v>29</v>
      </c>
      <c r="P2191">
        <v>8</v>
      </c>
      <c r="Q2191">
        <v>3</v>
      </c>
      <c r="R2191">
        <v>2026</v>
      </c>
    </row>
    <row r="2192" spans="1:18">
      <c r="A2192">
        <v>620.20000000000005</v>
      </c>
      <c r="B2192">
        <v>5</v>
      </c>
      <c r="C2192">
        <v>2191</v>
      </c>
      <c r="D2192" s="2">
        <v>0.40531664351851854</v>
      </c>
      <c r="E2192" t="s">
        <v>1036</v>
      </c>
      <c r="F2192" t="s">
        <v>1037</v>
      </c>
      <c r="G2192" t="s">
        <v>1038</v>
      </c>
      <c r="H2192" t="s">
        <v>1039</v>
      </c>
      <c r="I2192" t="s">
        <v>758</v>
      </c>
      <c r="J2192" t="s">
        <v>543</v>
      </c>
      <c r="K2192" t="s">
        <v>37</v>
      </c>
      <c r="L2192">
        <v>124.04</v>
      </c>
      <c r="M2192" s="1">
        <v>45678</v>
      </c>
      <c r="N2192" t="s">
        <v>48</v>
      </c>
      <c r="O2192">
        <v>21</v>
      </c>
      <c r="P2192">
        <v>1</v>
      </c>
      <c r="Q2192">
        <v>1</v>
      </c>
      <c r="R2192">
        <v>2025</v>
      </c>
    </row>
    <row r="2193" spans="1:18">
      <c r="A2193">
        <v>929.75</v>
      </c>
      <c r="B2193">
        <v>5</v>
      </c>
      <c r="C2193">
        <v>2192</v>
      </c>
      <c r="D2193" s="2">
        <v>0.50533331018518524</v>
      </c>
      <c r="E2193" t="s">
        <v>2905</v>
      </c>
      <c r="F2193" t="s">
        <v>2906</v>
      </c>
      <c r="G2193" t="s">
        <v>1338</v>
      </c>
      <c r="H2193" t="s">
        <v>1550</v>
      </c>
      <c r="I2193" t="s">
        <v>776</v>
      </c>
      <c r="J2193" t="s">
        <v>556</v>
      </c>
      <c r="K2193" t="s">
        <v>55</v>
      </c>
      <c r="L2193">
        <v>185.95</v>
      </c>
      <c r="M2193" s="1">
        <v>46233</v>
      </c>
      <c r="N2193" t="s">
        <v>105</v>
      </c>
      <c r="O2193">
        <v>30</v>
      </c>
      <c r="P2193">
        <v>7</v>
      </c>
      <c r="Q2193">
        <v>3</v>
      </c>
      <c r="R2193">
        <v>2026</v>
      </c>
    </row>
    <row r="2194" spans="1:18">
      <c r="A2194">
        <v>401.84</v>
      </c>
      <c r="B2194">
        <v>4</v>
      </c>
      <c r="C2194">
        <v>2193</v>
      </c>
      <c r="D2194" s="2">
        <v>0.35946165509259259</v>
      </c>
      <c r="E2194" t="s">
        <v>2174</v>
      </c>
      <c r="F2194" t="s">
        <v>2175</v>
      </c>
      <c r="G2194" t="s">
        <v>1539</v>
      </c>
      <c r="H2194" t="s">
        <v>64</v>
      </c>
      <c r="I2194" t="s">
        <v>892</v>
      </c>
      <c r="J2194" t="s">
        <v>703</v>
      </c>
      <c r="K2194" t="s">
        <v>60</v>
      </c>
      <c r="L2194">
        <v>100.46</v>
      </c>
      <c r="M2194" s="1">
        <v>46082</v>
      </c>
      <c r="N2194" t="s">
        <v>28</v>
      </c>
      <c r="O2194">
        <v>1</v>
      </c>
      <c r="P2194">
        <v>3</v>
      </c>
      <c r="Q2194">
        <v>1</v>
      </c>
      <c r="R2194">
        <v>2026</v>
      </c>
    </row>
    <row r="2195" spans="1:18">
      <c r="A2195">
        <v>62.48</v>
      </c>
      <c r="B2195">
        <v>4</v>
      </c>
      <c r="C2195">
        <v>2194</v>
      </c>
      <c r="D2195" s="2">
        <v>4.876476851851852E-2</v>
      </c>
      <c r="E2195" t="s">
        <v>1782</v>
      </c>
      <c r="F2195" t="s">
        <v>1783</v>
      </c>
      <c r="G2195" t="s">
        <v>1085</v>
      </c>
      <c r="H2195" t="s">
        <v>1002</v>
      </c>
      <c r="I2195" t="s">
        <v>892</v>
      </c>
      <c r="J2195" t="s">
        <v>248</v>
      </c>
      <c r="K2195" t="s">
        <v>100</v>
      </c>
      <c r="L2195">
        <v>15.62</v>
      </c>
      <c r="M2195" s="1">
        <v>45683</v>
      </c>
      <c r="N2195" t="s">
        <v>28</v>
      </c>
      <c r="O2195">
        <v>26</v>
      </c>
      <c r="P2195">
        <v>1</v>
      </c>
      <c r="Q2195">
        <v>1</v>
      </c>
      <c r="R2195">
        <v>2025</v>
      </c>
    </row>
    <row r="2196" spans="1:18">
      <c r="A2196">
        <v>58.150000000000006</v>
      </c>
      <c r="B2196">
        <v>5</v>
      </c>
      <c r="C2196">
        <v>2195</v>
      </c>
      <c r="D2196" s="2">
        <v>5.81931712962963E-3</v>
      </c>
      <c r="E2196" t="s">
        <v>3331</v>
      </c>
      <c r="F2196" t="s">
        <v>3332</v>
      </c>
      <c r="G2196" t="s">
        <v>2726</v>
      </c>
      <c r="H2196" t="s">
        <v>1342</v>
      </c>
      <c r="I2196" t="s">
        <v>776</v>
      </c>
      <c r="J2196" t="s">
        <v>301</v>
      </c>
      <c r="K2196" t="s">
        <v>69</v>
      </c>
      <c r="L2196">
        <v>11.63</v>
      </c>
      <c r="M2196" s="1">
        <v>45990</v>
      </c>
      <c r="N2196" t="s">
        <v>14</v>
      </c>
      <c r="O2196">
        <v>29</v>
      </c>
      <c r="P2196">
        <v>11</v>
      </c>
      <c r="Q2196">
        <v>4</v>
      </c>
      <c r="R2196">
        <v>2025</v>
      </c>
    </row>
    <row r="2197" spans="1:18">
      <c r="A2197">
        <v>66.739999999999995</v>
      </c>
      <c r="B2197">
        <v>2</v>
      </c>
      <c r="C2197">
        <v>2196</v>
      </c>
      <c r="D2197" s="2">
        <v>0.60199922453703703</v>
      </c>
      <c r="E2197" t="s">
        <v>3100</v>
      </c>
      <c r="F2197" t="s">
        <v>3101</v>
      </c>
      <c r="G2197" t="s">
        <v>1791</v>
      </c>
      <c r="H2197" t="s">
        <v>392</v>
      </c>
      <c r="I2197" t="s">
        <v>943</v>
      </c>
      <c r="J2197" t="s">
        <v>388</v>
      </c>
      <c r="K2197" t="s">
        <v>46</v>
      </c>
      <c r="L2197">
        <v>33.369999999999997</v>
      </c>
      <c r="M2197" s="1">
        <v>45581</v>
      </c>
      <c r="N2197" t="s">
        <v>34</v>
      </c>
      <c r="O2197">
        <v>16</v>
      </c>
      <c r="P2197">
        <v>10</v>
      </c>
      <c r="Q2197">
        <v>4</v>
      </c>
      <c r="R2197">
        <v>2024</v>
      </c>
    </row>
    <row r="2198" spans="1:18">
      <c r="A2198">
        <v>230.27</v>
      </c>
      <c r="B2198">
        <v>1</v>
      </c>
      <c r="C2198">
        <v>2197</v>
      </c>
      <c r="D2198" s="2">
        <v>5.2998333333333335E-2</v>
      </c>
      <c r="E2198" t="s">
        <v>2446</v>
      </c>
      <c r="F2198" t="s">
        <v>2447</v>
      </c>
      <c r="G2198" t="s">
        <v>2184</v>
      </c>
      <c r="H2198" t="s">
        <v>74</v>
      </c>
      <c r="I2198" t="s">
        <v>943</v>
      </c>
      <c r="J2198" t="s">
        <v>200</v>
      </c>
      <c r="K2198" t="s">
        <v>17</v>
      </c>
      <c r="L2198">
        <v>230.27</v>
      </c>
      <c r="M2198" s="1">
        <v>45924</v>
      </c>
      <c r="N2198" t="s">
        <v>34</v>
      </c>
      <c r="O2198">
        <v>24</v>
      </c>
      <c r="P2198">
        <v>9</v>
      </c>
      <c r="Q2198">
        <v>3</v>
      </c>
      <c r="R2198">
        <v>2025</v>
      </c>
    </row>
    <row r="2199" spans="1:18">
      <c r="A2199">
        <v>231.29999999999998</v>
      </c>
      <c r="B2199">
        <v>5</v>
      </c>
      <c r="C2199">
        <v>2198</v>
      </c>
      <c r="D2199" s="2">
        <v>0.29411633101851853</v>
      </c>
      <c r="E2199" t="s">
        <v>1173</v>
      </c>
      <c r="F2199" t="s">
        <v>1174</v>
      </c>
      <c r="G2199" t="s">
        <v>969</v>
      </c>
      <c r="H2199" t="s">
        <v>345</v>
      </c>
      <c r="I2199" t="s">
        <v>892</v>
      </c>
      <c r="J2199" t="s">
        <v>190</v>
      </c>
      <c r="K2199" t="s">
        <v>39</v>
      </c>
      <c r="L2199">
        <v>46.26</v>
      </c>
      <c r="M2199" s="1">
        <v>46175</v>
      </c>
      <c r="N2199" t="s">
        <v>48</v>
      </c>
      <c r="O2199">
        <v>2</v>
      </c>
      <c r="P2199">
        <v>6</v>
      </c>
      <c r="Q2199">
        <v>2</v>
      </c>
      <c r="R2199">
        <v>2026</v>
      </c>
    </row>
    <row r="2200" spans="1:18">
      <c r="A2200">
        <v>234.78</v>
      </c>
      <c r="B2200">
        <v>1</v>
      </c>
      <c r="C2200">
        <v>2199</v>
      </c>
      <c r="D2200" s="2">
        <v>3.5227638888888892E-2</v>
      </c>
      <c r="E2200" t="s">
        <v>2200</v>
      </c>
      <c r="F2200" t="s">
        <v>2201</v>
      </c>
      <c r="G2200" t="s">
        <v>1140</v>
      </c>
      <c r="H2200" t="s">
        <v>1811</v>
      </c>
      <c r="I2200" t="s">
        <v>892</v>
      </c>
      <c r="J2200" t="s">
        <v>45</v>
      </c>
      <c r="K2200" t="s">
        <v>46</v>
      </c>
      <c r="L2200">
        <v>234.78</v>
      </c>
      <c r="M2200" s="1">
        <v>45679</v>
      </c>
      <c r="N2200" t="s">
        <v>34</v>
      </c>
      <c r="O2200">
        <v>22</v>
      </c>
      <c r="P2200">
        <v>1</v>
      </c>
      <c r="Q2200">
        <v>1</v>
      </c>
      <c r="R2200">
        <v>2025</v>
      </c>
    </row>
    <row r="2201" spans="1:18">
      <c r="A2201">
        <v>31.24</v>
      </c>
      <c r="B2201">
        <v>2</v>
      </c>
      <c r="C2201">
        <v>2200</v>
      </c>
      <c r="D2201" s="2">
        <v>0.49135685185185185</v>
      </c>
      <c r="E2201" t="s">
        <v>3429</v>
      </c>
      <c r="F2201" t="s">
        <v>3430</v>
      </c>
      <c r="G2201" t="s">
        <v>2615</v>
      </c>
      <c r="H2201" t="s">
        <v>780</v>
      </c>
      <c r="I2201" t="s">
        <v>781</v>
      </c>
      <c r="J2201" t="s">
        <v>248</v>
      </c>
      <c r="K2201" t="s">
        <v>100</v>
      </c>
      <c r="L2201">
        <v>15.62</v>
      </c>
      <c r="M2201" s="1">
        <v>45679</v>
      </c>
      <c r="N2201" t="s">
        <v>34</v>
      </c>
      <c r="O2201">
        <v>22</v>
      </c>
      <c r="P2201">
        <v>1</v>
      </c>
      <c r="Q2201">
        <v>1</v>
      </c>
      <c r="R2201">
        <v>2025</v>
      </c>
    </row>
    <row r="2202" spans="1:18">
      <c r="A2202">
        <v>87.5</v>
      </c>
      <c r="B2202">
        <v>2</v>
      </c>
      <c r="C2202">
        <v>2201</v>
      </c>
      <c r="D2202" s="2">
        <v>0.7101925</v>
      </c>
      <c r="E2202" t="s">
        <v>1528</v>
      </c>
      <c r="F2202" t="s">
        <v>1529</v>
      </c>
      <c r="G2202" t="s">
        <v>998</v>
      </c>
      <c r="H2202" t="s">
        <v>1465</v>
      </c>
      <c r="I2202" t="s">
        <v>817</v>
      </c>
      <c r="J2202" t="s">
        <v>386</v>
      </c>
      <c r="K2202" t="s">
        <v>21</v>
      </c>
      <c r="L2202">
        <v>43.75</v>
      </c>
      <c r="M2202" s="1">
        <v>45744</v>
      </c>
      <c r="N2202" t="s">
        <v>79</v>
      </c>
      <c r="O2202">
        <v>28</v>
      </c>
      <c r="P2202">
        <v>3</v>
      </c>
      <c r="Q2202">
        <v>1</v>
      </c>
      <c r="R2202">
        <v>2025</v>
      </c>
    </row>
    <row r="2203" spans="1:18">
      <c r="A2203">
        <v>228.26</v>
      </c>
      <c r="B2203">
        <v>1</v>
      </c>
      <c r="C2203">
        <v>2202</v>
      </c>
      <c r="D2203" s="2">
        <v>0.59102753472222225</v>
      </c>
      <c r="E2203" t="s">
        <v>2031</v>
      </c>
      <c r="F2203" t="s">
        <v>2032</v>
      </c>
      <c r="G2203" t="s">
        <v>2033</v>
      </c>
      <c r="H2203" t="s">
        <v>929</v>
      </c>
      <c r="I2203" t="s">
        <v>830</v>
      </c>
      <c r="J2203" t="s">
        <v>268</v>
      </c>
      <c r="K2203" t="s">
        <v>97</v>
      </c>
      <c r="L2203">
        <v>228.26</v>
      </c>
      <c r="M2203" s="1">
        <v>46005</v>
      </c>
      <c r="N2203" t="s">
        <v>28</v>
      </c>
      <c r="O2203">
        <v>14</v>
      </c>
      <c r="P2203">
        <v>12</v>
      </c>
      <c r="Q2203">
        <v>4</v>
      </c>
      <c r="R2203">
        <v>2025</v>
      </c>
    </row>
    <row r="2204" spans="1:18">
      <c r="A2204">
        <v>946.44</v>
      </c>
      <c r="B2204">
        <v>4</v>
      </c>
      <c r="C2204">
        <v>2203</v>
      </c>
      <c r="D2204" s="2">
        <v>0.40808148148148149</v>
      </c>
      <c r="E2204" t="s">
        <v>2999</v>
      </c>
      <c r="F2204" t="s">
        <v>3000</v>
      </c>
      <c r="G2204" t="s">
        <v>891</v>
      </c>
      <c r="H2204" t="s">
        <v>1566</v>
      </c>
      <c r="I2204" t="s">
        <v>763</v>
      </c>
      <c r="J2204" t="s">
        <v>235</v>
      </c>
      <c r="K2204" t="s">
        <v>19</v>
      </c>
      <c r="L2204">
        <v>236.61</v>
      </c>
      <c r="M2204" s="1">
        <v>46180</v>
      </c>
      <c r="N2204" t="s">
        <v>28</v>
      </c>
      <c r="O2204">
        <v>7</v>
      </c>
      <c r="P2204">
        <v>6</v>
      </c>
      <c r="Q2204">
        <v>2</v>
      </c>
      <c r="R2204">
        <v>2026</v>
      </c>
    </row>
    <row r="2205" spans="1:18">
      <c r="A2205">
        <v>565.44000000000005</v>
      </c>
      <c r="B2205">
        <v>4</v>
      </c>
      <c r="C2205">
        <v>2204</v>
      </c>
      <c r="D2205" s="2">
        <v>8.8751874999999994E-2</v>
      </c>
      <c r="E2205" t="s">
        <v>1871</v>
      </c>
      <c r="F2205" t="s">
        <v>1872</v>
      </c>
      <c r="G2205" t="s">
        <v>1873</v>
      </c>
      <c r="H2205" t="s">
        <v>747</v>
      </c>
      <c r="I2205" t="s">
        <v>748</v>
      </c>
      <c r="J2205" t="s">
        <v>181</v>
      </c>
      <c r="K2205" t="s">
        <v>82</v>
      </c>
      <c r="L2205">
        <v>141.36000000000001</v>
      </c>
      <c r="M2205" s="1">
        <v>45692</v>
      </c>
      <c r="N2205" t="s">
        <v>48</v>
      </c>
      <c r="O2205">
        <v>4</v>
      </c>
      <c r="P2205">
        <v>2</v>
      </c>
      <c r="Q2205">
        <v>1</v>
      </c>
      <c r="R2205">
        <v>2025</v>
      </c>
    </row>
    <row r="2206" spans="1:18">
      <c r="A2206">
        <v>219.26</v>
      </c>
      <c r="B2206">
        <v>1</v>
      </c>
      <c r="C2206">
        <v>2205</v>
      </c>
      <c r="D2206" s="2">
        <v>0.5751968287037037</v>
      </c>
      <c r="E2206" t="s">
        <v>1307</v>
      </c>
      <c r="F2206" t="s">
        <v>1308</v>
      </c>
      <c r="G2206" t="s">
        <v>1212</v>
      </c>
      <c r="H2206" t="s">
        <v>151</v>
      </c>
      <c r="I2206" t="s">
        <v>1003</v>
      </c>
      <c r="J2206" t="s">
        <v>162</v>
      </c>
      <c r="K2206" t="s">
        <v>51</v>
      </c>
      <c r="L2206">
        <v>219.26</v>
      </c>
      <c r="M2206" s="1">
        <v>45586</v>
      </c>
      <c r="N2206" t="s">
        <v>93</v>
      </c>
      <c r="O2206">
        <v>21</v>
      </c>
      <c r="P2206">
        <v>10</v>
      </c>
      <c r="Q2206">
        <v>4</v>
      </c>
      <c r="R2206">
        <v>2024</v>
      </c>
    </row>
    <row r="2207" spans="1:18">
      <c r="A2207">
        <v>478.1</v>
      </c>
      <c r="B2207">
        <v>5</v>
      </c>
      <c r="C2207">
        <v>2206</v>
      </c>
      <c r="D2207" s="2">
        <v>0.34959442129629631</v>
      </c>
      <c r="E2207" t="s">
        <v>2951</v>
      </c>
      <c r="F2207" t="s">
        <v>2952</v>
      </c>
      <c r="G2207" t="s">
        <v>969</v>
      </c>
      <c r="H2207" t="s">
        <v>853</v>
      </c>
      <c r="I2207" t="s">
        <v>854</v>
      </c>
      <c r="J2207" t="s">
        <v>153</v>
      </c>
      <c r="K2207" t="s">
        <v>37</v>
      </c>
      <c r="L2207">
        <v>95.62</v>
      </c>
      <c r="M2207" s="1">
        <v>45866</v>
      </c>
      <c r="N2207" t="s">
        <v>93</v>
      </c>
      <c r="O2207">
        <v>28</v>
      </c>
      <c r="P2207">
        <v>7</v>
      </c>
      <c r="Q2207">
        <v>3</v>
      </c>
      <c r="R2207">
        <v>2025</v>
      </c>
    </row>
    <row r="2208" spans="1:18">
      <c r="A2208">
        <v>321.54000000000002</v>
      </c>
      <c r="B2208">
        <v>2</v>
      </c>
      <c r="C2208">
        <v>2207</v>
      </c>
      <c r="D2208" s="2">
        <v>0.20536092592592592</v>
      </c>
      <c r="E2208" t="s">
        <v>2951</v>
      </c>
      <c r="F2208" t="s">
        <v>2952</v>
      </c>
      <c r="G2208" t="s">
        <v>969</v>
      </c>
      <c r="H2208" t="s">
        <v>853</v>
      </c>
      <c r="I2208" t="s">
        <v>854</v>
      </c>
      <c r="J2208" t="s">
        <v>44</v>
      </c>
      <c r="K2208" t="s">
        <v>31</v>
      </c>
      <c r="L2208">
        <v>160.77000000000001</v>
      </c>
      <c r="M2208" s="1">
        <v>45888</v>
      </c>
      <c r="N2208" t="s">
        <v>48</v>
      </c>
      <c r="O2208">
        <v>19</v>
      </c>
      <c r="P2208">
        <v>8</v>
      </c>
      <c r="Q2208">
        <v>3</v>
      </c>
      <c r="R2208">
        <v>2025</v>
      </c>
    </row>
    <row r="2209" spans="1:18">
      <c r="A2209">
        <v>861.8</v>
      </c>
      <c r="B2209">
        <v>4</v>
      </c>
      <c r="C2209">
        <v>2208</v>
      </c>
      <c r="D2209" s="2">
        <v>0.89253853009259254</v>
      </c>
      <c r="E2209" t="s">
        <v>2325</v>
      </c>
      <c r="F2209" t="s">
        <v>2326</v>
      </c>
      <c r="G2209" t="s">
        <v>2117</v>
      </c>
      <c r="H2209" t="s">
        <v>548</v>
      </c>
      <c r="I2209" t="s">
        <v>790</v>
      </c>
      <c r="J2209" t="s">
        <v>395</v>
      </c>
      <c r="K2209" t="s">
        <v>19</v>
      </c>
      <c r="L2209">
        <v>215.45</v>
      </c>
      <c r="M2209" s="1">
        <v>46025</v>
      </c>
      <c r="N2209" t="s">
        <v>14</v>
      </c>
      <c r="O2209">
        <v>3</v>
      </c>
      <c r="P2209">
        <v>1</v>
      </c>
      <c r="Q2209">
        <v>1</v>
      </c>
      <c r="R2209">
        <v>2026</v>
      </c>
    </row>
    <row r="2210" spans="1:18">
      <c r="A2210">
        <v>163.96</v>
      </c>
      <c r="B2210">
        <v>1</v>
      </c>
      <c r="C2210">
        <v>2209</v>
      </c>
      <c r="D2210" s="2">
        <v>0.30843288194444446</v>
      </c>
      <c r="E2210" t="s">
        <v>3011</v>
      </c>
      <c r="F2210" t="s">
        <v>3012</v>
      </c>
      <c r="G2210" t="s">
        <v>1171</v>
      </c>
      <c r="H2210" t="s">
        <v>1327</v>
      </c>
      <c r="I2210" t="s">
        <v>795</v>
      </c>
      <c r="J2210" t="s">
        <v>731</v>
      </c>
      <c r="K2210" t="s">
        <v>21</v>
      </c>
      <c r="L2210">
        <v>163.96</v>
      </c>
      <c r="M2210" s="1">
        <v>45723</v>
      </c>
      <c r="N2210" t="s">
        <v>79</v>
      </c>
      <c r="O2210">
        <v>7</v>
      </c>
      <c r="P2210">
        <v>3</v>
      </c>
      <c r="Q2210">
        <v>1</v>
      </c>
      <c r="R2210">
        <v>2025</v>
      </c>
    </row>
    <row r="2211" spans="1:18">
      <c r="A2211">
        <v>49.43</v>
      </c>
      <c r="B2211">
        <v>1</v>
      </c>
      <c r="C2211">
        <v>2210</v>
      </c>
      <c r="D2211" s="2">
        <v>0.44649233796296295</v>
      </c>
      <c r="E2211" t="s">
        <v>3017</v>
      </c>
      <c r="F2211" t="s">
        <v>3018</v>
      </c>
      <c r="G2211" t="s">
        <v>2007</v>
      </c>
      <c r="H2211" t="s">
        <v>1359</v>
      </c>
      <c r="I2211" t="s">
        <v>768</v>
      </c>
      <c r="J2211" t="s">
        <v>347</v>
      </c>
      <c r="K2211" t="s">
        <v>69</v>
      </c>
      <c r="L2211">
        <v>49.43</v>
      </c>
      <c r="M2211" s="1">
        <v>46160</v>
      </c>
      <c r="N2211" t="s">
        <v>93</v>
      </c>
      <c r="O2211">
        <v>18</v>
      </c>
      <c r="P2211">
        <v>5</v>
      </c>
      <c r="Q2211">
        <v>2</v>
      </c>
      <c r="R2211">
        <v>2026</v>
      </c>
    </row>
    <row r="2212" spans="1:18">
      <c r="A2212">
        <v>40.9</v>
      </c>
      <c r="B2212">
        <v>2</v>
      </c>
      <c r="C2212">
        <v>2211</v>
      </c>
      <c r="D2212" s="2">
        <v>0.55341412037037041</v>
      </c>
      <c r="E2212" t="s">
        <v>787</v>
      </c>
      <c r="F2212" t="s">
        <v>788</v>
      </c>
      <c r="G2212" t="s">
        <v>789</v>
      </c>
      <c r="H2212" t="s">
        <v>160</v>
      </c>
      <c r="I2212" t="s">
        <v>790</v>
      </c>
      <c r="J2212" t="s">
        <v>555</v>
      </c>
      <c r="K2212" t="s">
        <v>37</v>
      </c>
      <c r="L2212">
        <v>20.45</v>
      </c>
      <c r="M2212" s="1">
        <v>45940</v>
      </c>
      <c r="N2212" t="s">
        <v>79</v>
      </c>
      <c r="O2212">
        <v>10</v>
      </c>
      <c r="P2212">
        <v>10</v>
      </c>
      <c r="Q2212">
        <v>4</v>
      </c>
      <c r="R2212">
        <v>2025</v>
      </c>
    </row>
    <row r="2213" spans="1:18">
      <c r="A2213">
        <v>238.1</v>
      </c>
      <c r="B2213">
        <v>5</v>
      </c>
      <c r="C2213">
        <v>2212</v>
      </c>
      <c r="D2213" s="2">
        <v>0.95471567129629631</v>
      </c>
      <c r="E2213" t="s">
        <v>1799</v>
      </c>
      <c r="F2213" t="s">
        <v>1800</v>
      </c>
      <c r="G2213" t="s">
        <v>1801</v>
      </c>
      <c r="H2213" t="s">
        <v>883</v>
      </c>
      <c r="I2213" t="s">
        <v>807</v>
      </c>
      <c r="J2213" t="s">
        <v>508</v>
      </c>
      <c r="K2213" t="s">
        <v>43</v>
      </c>
      <c r="L2213">
        <v>47.62</v>
      </c>
      <c r="M2213" s="1">
        <v>45564</v>
      </c>
      <c r="N2213" t="s">
        <v>28</v>
      </c>
      <c r="O2213">
        <v>29</v>
      </c>
      <c r="P2213">
        <v>9</v>
      </c>
      <c r="Q2213">
        <v>3</v>
      </c>
      <c r="R2213">
        <v>2024</v>
      </c>
    </row>
    <row r="2214" spans="1:18">
      <c r="A2214">
        <v>1061.8499999999999</v>
      </c>
      <c r="B2214">
        <v>5</v>
      </c>
      <c r="C2214">
        <v>2213</v>
      </c>
      <c r="D2214" s="2">
        <v>0.20873694444444443</v>
      </c>
      <c r="E2214" t="s">
        <v>1548</v>
      </c>
      <c r="F2214" t="s">
        <v>1549</v>
      </c>
      <c r="G2214" t="s">
        <v>1057</v>
      </c>
      <c r="H2214" t="s">
        <v>1550</v>
      </c>
      <c r="I2214" t="s">
        <v>776</v>
      </c>
      <c r="J2214" t="s">
        <v>331</v>
      </c>
      <c r="K2214" t="s">
        <v>51</v>
      </c>
      <c r="L2214">
        <v>212.37</v>
      </c>
      <c r="M2214" s="1">
        <v>45550</v>
      </c>
      <c r="N2214" t="s">
        <v>28</v>
      </c>
      <c r="O2214">
        <v>15</v>
      </c>
      <c r="P2214">
        <v>9</v>
      </c>
      <c r="Q2214">
        <v>3</v>
      </c>
      <c r="R2214">
        <v>2024</v>
      </c>
    </row>
    <row r="2215" spans="1:18">
      <c r="A2215">
        <v>248.07</v>
      </c>
      <c r="B2215">
        <v>3</v>
      </c>
      <c r="C2215">
        <v>2214</v>
      </c>
      <c r="D2215" s="2">
        <v>0.41874584490740741</v>
      </c>
      <c r="E2215" t="s">
        <v>3504</v>
      </c>
      <c r="F2215" t="s">
        <v>3505</v>
      </c>
      <c r="G2215" t="s">
        <v>2419</v>
      </c>
      <c r="H2215" t="s">
        <v>1626</v>
      </c>
      <c r="I2215" t="s">
        <v>812</v>
      </c>
      <c r="J2215" t="s">
        <v>650</v>
      </c>
      <c r="K2215" t="s">
        <v>37</v>
      </c>
      <c r="L2215">
        <v>82.69</v>
      </c>
      <c r="M2215" s="1">
        <v>46229</v>
      </c>
      <c r="N2215" t="s">
        <v>28</v>
      </c>
      <c r="O2215">
        <v>26</v>
      </c>
      <c r="P2215">
        <v>7</v>
      </c>
      <c r="Q2215">
        <v>3</v>
      </c>
      <c r="R2215">
        <v>2026</v>
      </c>
    </row>
    <row r="2216" spans="1:18">
      <c r="A2216">
        <v>273.04000000000002</v>
      </c>
      <c r="B2216">
        <v>4</v>
      </c>
      <c r="C2216">
        <v>2215</v>
      </c>
      <c r="D2216" s="2">
        <v>0.6521940625</v>
      </c>
      <c r="E2216" t="s">
        <v>1760</v>
      </c>
      <c r="F2216" t="s">
        <v>1761</v>
      </c>
      <c r="G2216" t="s">
        <v>1603</v>
      </c>
      <c r="H2216" t="s">
        <v>380</v>
      </c>
      <c r="I2216" t="s">
        <v>896</v>
      </c>
      <c r="J2216" t="s">
        <v>306</v>
      </c>
      <c r="K2216" t="s">
        <v>39</v>
      </c>
      <c r="L2216">
        <v>68.260000000000005</v>
      </c>
      <c r="M2216" s="1">
        <v>46117</v>
      </c>
      <c r="N2216" t="s">
        <v>28</v>
      </c>
      <c r="O2216">
        <v>5</v>
      </c>
      <c r="P2216">
        <v>4</v>
      </c>
      <c r="Q2216">
        <v>2</v>
      </c>
      <c r="R2216">
        <v>2026</v>
      </c>
    </row>
    <row r="2217" spans="1:18">
      <c r="A2217">
        <v>409.1</v>
      </c>
      <c r="B2217">
        <v>2</v>
      </c>
      <c r="C2217">
        <v>2216</v>
      </c>
      <c r="D2217" s="2">
        <v>0.4030913078703704</v>
      </c>
      <c r="E2217" t="s">
        <v>2072</v>
      </c>
      <c r="F2217" t="s">
        <v>2073</v>
      </c>
      <c r="G2217" t="s">
        <v>1709</v>
      </c>
      <c r="H2217" t="s">
        <v>961</v>
      </c>
      <c r="I2217" t="s">
        <v>807</v>
      </c>
      <c r="J2217" t="s">
        <v>323</v>
      </c>
      <c r="K2217" t="s">
        <v>100</v>
      </c>
      <c r="L2217">
        <v>204.55</v>
      </c>
      <c r="M2217" s="1">
        <v>45562</v>
      </c>
      <c r="N2217" t="s">
        <v>79</v>
      </c>
      <c r="O2217">
        <v>27</v>
      </c>
      <c r="P2217">
        <v>9</v>
      </c>
      <c r="Q2217">
        <v>3</v>
      </c>
      <c r="R2217">
        <v>2024</v>
      </c>
    </row>
    <row r="2218" spans="1:18">
      <c r="A2218">
        <v>159.36000000000001</v>
      </c>
      <c r="B2218">
        <v>2</v>
      </c>
      <c r="C2218">
        <v>2217</v>
      </c>
      <c r="D2218" s="2">
        <v>0.85085107638888891</v>
      </c>
      <c r="E2218" t="s">
        <v>1115</v>
      </c>
      <c r="F2218" t="s">
        <v>1116</v>
      </c>
      <c r="G2218" t="s">
        <v>1117</v>
      </c>
      <c r="H2218" t="s">
        <v>1118</v>
      </c>
      <c r="I2218" t="s">
        <v>821</v>
      </c>
      <c r="J2218" t="s">
        <v>565</v>
      </c>
      <c r="K2218" t="s">
        <v>17</v>
      </c>
      <c r="L2218">
        <v>79.680000000000007</v>
      </c>
      <c r="M2218" s="1">
        <v>46158</v>
      </c>
      <c r="N2218" t="s">
        <v>14</v>
      </c>
      <c r="O2218">
        <v>16</v>
      </c>
      <c r="P2218">
        <v>5</v>
      </c>
      <c r="Q2218">
        <v>2</v>
      </c>
      <c r="R2218">
        <v>2026</v>
      </c>
    </row>
    <row r="2219" spans="1:18">
      <c r="A2219">
        <v>133.03</v>
      </c>
      <c r="B2219">
        <v>1</v>
      </c>
      <c r="C2219">
        <v>2218</v>
      </c>
      <c r="D2219" s="2">
        <v>0.65000975694444441</v>
      </c>
      <c r="E2219" t="s">
        <v>2792</v>
      </c>
      <c r="F2219" t="s">
        <v>2793</v>
      </c>
      <c r="G2219" t="s">
        <v>2794</v>
      </c>
      <c r="H2219" t="s">
        <v>548</v>
      </c>
      <c r="I2219" t="s">
        <v>790</v>
      </c>
      <c r="J2219" t="s">
        <v>112</v>
      </c>
      <c r="K2219" t="s">
        <v>21</v>
      </c>
      <c r="L2219">
        <v>133.03</v>
      </c>
      <c r="M2219" s="1">
        <v>45907</v>
      </c>
      <c r="N2219" t="s">
        <v>28</v>
      </c>
      <c r="O2219">
        <v>7</v>
      </c>
      <c r="P2219">
        <v>9</v>
      </c>
      <c r="Q2219">
        <v>3</v>
      </c>
      <c r="R2219">
        <v>2025</v>
      </c>
    </row>
    <row r="2220" spans="1:18">
      <c r="A2220">
        <v>143.78</v>
      </c>
      <c r="B2220">
        <v>1</v>
      </c>
      <c r="C2220">
        <v>2219</v>
      </c>
      <c r="D2220" s="2">
        <v>0.42272921296296295</v>
      </c>
      <c r="E2220" t="s">
        <v>2496</v>
      </c>
      <c r="F2220" t="s">
        <v>2497</v>
      </c>
      <c r="G2220" t="s">
        <v>2498</v>
      </c>
      <c r="H2220" t="s">
        <v>1302</v>
      </c>
      <c r="I2220" t="s">
        <v>786</v>
      </c>
      <c r="J2220" t="s">
        <v>346</v>
      </c>
      <c r="K2220" t="s">
        <v>23</v>
      </c>
      <c r="L2220">
        <v>143.78</v>
      </c>
      <c r="M2220" s="1">
        <v>45903</v>
      </c>
      <c r="N2220" t="s">
        <v>34</v>
      </c>
      <c r="O2220">
        <v>3</v>
      </c>
      <c r="P2220">
        <v>9</v>
      </c>
      <c r="Q2220">
        <v>3</v>
      </c>
      <c r="R2220">
        <v>2025</v>
      </c>
    </row>
    <row r="2221" spans="1:18">
      <c r="A2221">
        <v>196.84</v>
      </c>
      <c r="B2221">
        <v>4</v>
      </c>
      <c r="C2221">
        <v>2220</v>
      </c>
      <c r="D2221" s="2">
        <v>0.49767083333333334</v>
      </c>
      <c r="E2221" t="s">
        <v>1588</v>
      </c>
      <c r="F2221" t="s">
        <v>1589</v>
      </c>
      <c r="G2221" t="s">
        <v>1590</v>
      </c>
      <c r="H2221" t="s">
        <v>1591</v>
      </c>
      <c r="I2221" t="s">
        <v>966</v>
      </c>
      <c r="J2221" t="s">
        <v>717</v>
      </c>
      <c r="K2221" t="s">
        <v>17</v>
      </c>
      <c r="L2221">
        <v>49.21</v>
      </c>
      <c r="M2221" s="1">
        <v>45969</v>
      </c>
      <c r="N2221" t="s">
        <v>14</v>
      </c>
      <c r="O2221">
        <v>8</v>
      </c>
      <c r="P2221">
        <v>11</v>
      </c>
      <c r="Q2221">
        <v>4</v>
      </c>
      <c r="R2221">
        <v>2025</v>
      </c>
    </row>
    <row r="2222" spans="1:18">
      <c r="A2222">
        <v>249.16</v>
      </c>
      <c r="B2222">
        <v>1</v>
      </c>
      <c r="C2222">
        <v>2221</v>
      </c>
      <c r="D2222" s="2">
        <v>0.8750250810185185</v>
      </c>
      <c r="E2222" t="s">
        <v>791</v>
      </c>
      <c r="F2222" t="s">
        <v>792</v>
      </c>
      <c r="G2222" t="s">
        <v>793</v>
      </c>
      <c r="H2222" t="s">
        <v>794</v>
      </c>
      <c r="I2222" t="s">
        <v>795</v>
      </c>
      <c r="J2222" t="s">
        <v>265</v>
      </c>
      <c r="K2222" t="s">
        <v>46</v>
      </c>
      <c r="L2222">
        <v>249.16</v>
      </c>
      <c r="M2222" s="1">
        <v>46167</v>
      </c>
      <c r="N2222" t="s">
        <v>93</v>
      </c>
      <c r="O2222">
        <v>25</v>
      </c>
      <c r="P2222">
        <v>5</v>
      </c>
      <c r="Q2222">
        <v>2</v>
      </c>
      <c r="R2222">
        <v>2026</v>
      </c>
    </row>
    <row r="2223" spans="1:18">
      <c r="A2223">
        <v>227.92</v>
      </c>
      <c r="B2223">
        <v>2</v>
      </c>
      <c r="C2223">
        <v>2222</v>
      </c>
      <c r="D2223" s="2">
        <v>0.55053842592592594</v>
      </c>
      <c r="E2223" t="s">
        <v>2713</v>
      </c>
      <c r="F2223" t="s">
        <v>2714</v>
      </c>
      <c r="G2223" t="s">
        <v>2365</v>
      </c>
      <c r="H2223" t="s">
        <v>1682</v>
      </c>
      <c r="I2223" t="s">
        <v>892</v>
      </c>
      <c r="J2223" t="s">
        <v>18</v>
      </c>
      <c r="K2223" t="s">
        <v>19</v>
      </c>
      <c r="L2223">
        <v>113.96</v>
      </c>
      <c r="M2223" s="1">
        <v>45895</v>
      </c>
      <c r="N2223" t="s">
        <v>48</v>
      </c>
      <c r="O2223">
        <v>26</v>
      </c>
      <c r="P2223">
        <v>8</v>
      </c>
      <c r="Q2223">
        <v>3</v>
      </c>
      <c r="R2223">
        <v>2025</v>
      </c>
    </row>
    <row r="2224" spans="1:18">
      <c r="A2224">
        <v>511.70000000000005</v>
      </c>
      <c r="B2224">
        <v>5</v>
      </c>
      <c r="C2224">
        <v>2223</v>
      </c>
      <c r="D2224" s="2">
        <v>0.14486313657407407</v>
      </c>
      <c r="E2224" t="s">
        <v>1728</v>
      </c>
      <c r="F2224" t="s">
        <v>1729</v>
      </c>
      <c r="G2224" t="s">
        <v>1140</v>
      </c>
      <c r="H2224" t="s">
        <v>1525</v>
      </c>
      <c r="I2224" t="s">
        <v>763</v>
      </c>
      <c r="J2224" t="s">
        <v>538</v>
      </c>
      <c r="K2224" t="s">
        <v>43</v>
      </c>
      <c r="L2224">
        <v>102.34</v>
      </c>
      <c r="M2224" s="1">
        <v>46105</v>
      </c>
      <c r="N2224" t="s">
        <v>48</v>
      </c>
      <c r="O2224">
        <v>24</v>
      </c>
      <c r="P2224">
        <v>3</v>
      </c>
      <c r="Q2224">
        <v>1</v>
      </c>
      <c r="R2224">
        <v>2026</v>
      </c>
    </row>
    <row r="2225" spans="1:18">
      <c r="A2225">
        <v>45.199999999999996</v>
      </c>
      <c r="B2225">
        <v>5</v>
      </c>
      <c r="C2225">
        <v>2224</v>
      </c>
      <c r="D2225" s="2">
        <v>4.132261574074074E-2</v>
      </c>
      <c r="E2225" t="s">
        <v>2586</v>
      </c>
      <c r="F2225" t="s">
        <v>2587</v>
      </c>
      <c r="G2225" t="s">
        <v>2588</v>
      </c>
      <c r="H2225" t="s">
        <v>961</v>
      </c>
      <c r="I2225" t="s">
        <v>807</v>
      </c>
      <c r="J2225" t="s">
        <v>278</v>
      </c>
      <c r="K2225" t="s">
        <v>39</v>
      </c>
      <c r="L2225">
        <v>9.0399999999999991</v>
      </c>
      <c r="M2225" s="1">
        <v>46230</v>
      </c>
      <c r="N2225" t="s">
        <v>93</v>
      </c>
      <c r="O2225">
        <v>27</v>
      </c>
      <c r="P2225">
        <v>7</v>
      </c>
      <c r="Q2225">
        <v>3</v>
      </c>
      <c r="R2225">
        <v>2026</v>
      </c>
    </row>
    <row r="2226" spans="1:18">
      <c r="A2226">
        <v>11.49</v>
      </c>
      <c r="B2226">
        <v>1</v>
      </c>
      <c r="C2226">
        <v>2225</v>
      </c>
      <c r="D2226" s="2">
        <v>0.14082119212962962</v>
      </c>
      <c r="E2226" t="s">
        <v>1046</v>
      </c>
      <c r="F2226" t="s">
        <v>1047</v>
      </c>
      <c r="G2226" t="s">
        <v>746</v>
      </c>
      <c r="H2226" t="s">
        <v>29</v>
      </c>
      <c r="I2226" t="s">
        <v>821</v>
      </c>
      <c r="J2226" t="s">
        <v>736</v>
      </c>
      <c r="K2226" t="s">
        <v>122</v>
      </c>
      <c r="L2226">
        <v>11.49</v>
      </c>
      <c r="M2226" s="1">
        <v>45799</v>
      </c>
      <c r="N2226" t="s">
        <v>105</v>
      </c>
      <c r="O2226">
        <v>22</v>
      </c>
      <c r="P2226">
        <v>5</v>
      </c>
      <c r="Q2226">
        <v>2</v>
      </c>
      <c r="R2226">
        <v>2025</v>
      </c>
    </row>
    <row r="2227" spans="1:18">
      <c r="A2227">
        <v>473.62</v>
      </c>
      <c r="B2227">
        <v>2</v>
      </c>
      <c r="C2227">
        <v>2226</v>
      </c>
      <c r="D2227" s="2">
        <v>0.54127722222222219</v>
      </c>
      <c r="E2227" t="s">
        <v>2586</v>
      </c>
      <c r="F2227" t="s">
        <v>2587</v>
      </c>
      <c r="G2227" t="s">
        <v>2588</v>
      </c>
      <c r="H2227" t="s">
        <v>961</v>
      </c>
      <c r="I2227" t="s">
        <v>807</v>
      </c>
      <c r="J2227" t="s">
        <v>84</v>
      </c>
      <c r="K2227" t="s">
        <v>31</v>
      </c>
      <c r="L2227">
        <v>236.81</v>
      </c>
      <c r="M2227" s="1">
        <v>46100</v>
      </c>
      <c r="N2227" t="s">
        <v>105</v>
      </c>
      <c r="O2227">
        <v>19</v>
      </c>
      <c r="P2227">
        <v>3</v>
      </c>
      <c r="Q2227">
        <v>1</v>
      </c>
      <c r="R2227">
        <v>2026</v>
      </c>
    </row>
    <row r="2228" spans="1:18">
      <c r="A2228">
        <v>127.5</v>
      </c>
      <c r="B2228">
        <v>2</v>
      </c>
      <c r="C2228">
        <v>2227</v>
      </c>
      <c r="D2228" s="2">
        <v>0.33689609953703703</v>
      </c>
      <c r="E2228" t="s">
        <v>1863</v>
      </c>
      <c r="F2228" t="s">
        <v>1864</v>
      </c>
      <c r="G2228" t="s">
        <v>1865</v>
      </c>
      <c r="H2228" t="s">
        <v>1168</v>
      </c>
      <c r="I2228" t="s">
        <v>758</v>
      </c>
      <c r="J2228" t="s">
        <v>418</v>
      </c>
      <c r="K2228" t="s">
        <v>43</v>
      </c>
      <c r="L2228">
        <v>63.75</v>
      </c>
      <c r="M2228" s="1">
        <v>46104</v>
      </c>
      <c r="N2228" t="s">
        <v>93</v>
      </c>
      <c r="O2228">
        <v>23</v>
      </c>
      <c r="P2228">
        <v>3</v>
      </c>
      <c r="Q2228">
        <v>1</v>
      </c>
      <c r="R2228">
        <v>2026</v>
      </c>
    </row>
    <row r="2229" spans="1:18">
      <c r="A2229">
        <v>606.68999999999994</v>
      </c>
      <c r="B2229">
        <v>3</v>
      </c>
      <c r="C2229">
        <v>2228</v>
      </c>
      <c r="D2229" s="2">
        <v>0.79662510416666665</v>
      </c>
      <c r="E2229" t="s">
        <v>2812</v>
      </c>
      <c r="F2229" t="s">
        <v>2813</v>
      </c>
      <c r="G2229" t="s">
        <v>2098</v>
      </c>
      <c r="H2229" t="s">
        <v>953</v>
      </c>
      <c r="I2229" t="s">
        <v>954</v>
      </c>
      <c r="J2229" t="s">
        <v>321</v>
      </c>
      <c r="K2229" t="s">
        <v>17</v>
      </c>
      <c r="L2229">
        <v>202.23</v>
      </c>
      <c r="M2229" s="1">
        <v>45553</v>
      </c>
      <c r="N2229" t="s">
        <v>34</v>
      </c>
      <c r="O2229">
        <v>18</v>
      </c>
      <c r="P2229">
        <v>9</v>
      </c>
      <c r="Q2229">
        <v>3</v>
      </c>
      <c r="R2229">
        <v>2024</v>
      </c>
    </row>
    <row r="2230" spans="1:18">
      <c r="A2230">
        <v>35.229999999999997</v>
      </c>
      <c r="B2230">
        <v>1</v>
      </c>
      <c r="C2230">
        <v>2229</v>
      </c>
      <c r="D2230" s="2">
        <v>0.1472593287037037</v>
      </c>
      <c r="E2230" t="s">
        <v>1458</v>
      </c>
      <c r="F2230" t="s">
        <v>1459</v>
      </c>
      <c r="G2230" t="s">
        <v>1286</v>
      </c>
      <c r="H2230" t="s">
        <v>1359</v>
      </c>
      <c r="I2230" t="s">
        <v>768</v>
      </c>
      <c r="J2230" t="s">
        <v>261</v>
      </c>
      <c r="K2230" t="s">
        <v>31</v>
      </c>
      <c r="L2230">
        <v>35.229999999999997</v>
      </c>
      <c r="M2230" s="1">
        <v>45623</v>
      </c>
      <c r="N2230" t="s">
        <v>34</v>
      </c>
      <c r="O2230">
        <v>27</v>
      </c>
      <c r="P2230">
        <v>11</v>
      </c>
      <c r="Q2230">
        <v>4</v>
      </c>
      <c r="R2230">
        <v>2024</v>
      </c>
    </row>
    <row r="2231" spans="1:18">
      <c r="A2231">
        <v>710.43000000000006</v>
      </c>
      <c r="B2231">
        <v>3</v>
      </c>
      <c r="C2231">
        <v>2230</v>
      </c>
      <c r="D2231" s="2">
        <v>0.81221379629629631</v>
      </c>
      <c r="E2231" t="s">
        <v>3053</v>
      </c>
      <c r="F2231" t="s">
        <v>3054</v>
      </c>
      <c r="G2231" t="s">
        <v>1455</v>
      </c>
      <c r="H2231" t="s">
        <v>767</v>
      </c>
      <c r="I2231" t="s">
        <v>768</v>
      </c>
      <c r="J2231" t="s">
        <v>84</v>
      </c>
      <c r="K2231" t="s">
        <v>31</v>
      </c>
      <c r="L2231">
        <v>236.81</v>
      </c>
      <c r="M2231" s="1">
        <v>45912</v>
      </c>
      <c r="N2231" t="s">
        <v>79</v>
      </c>
      <c r="O2231">
        <v>12</v>
      </c>
      <c r="P2231">
        <v>9</v>
      </c>
      <c r="Q2231">
        <v>3</v>
      </c>
      <c r="R2231">
        <v>2025</v>
      </c>
    </row>
    <row r="2232" spans="1:18">
      <c r="A2232">
        <v>92.15</v>
      </c>
      <c r="B2232">
        <v>5</v>
      </c>
      <c r="C2232">
        <v>2231</v>
      </c>
      <c r="D2232" s="2">
        <v>0.49738461805555556</v>
      </c>
      <c r="E2232" t="s">
        <v>2339</v>
      </c>
      <c r="F2232" t="s">
        <v>2340</v>
      </c>
      <c r="G2232" t="s">
        <v>2341</v>
      </c>
      <c r="H2232" t="s">
        <v>1469</v>
      </c>
      <c r="I2232" t="s">
        <v>908</v>
      </c>
      <c r="J2232" t="s">
        <v>1816</v>
      </c>
      <c r="K2232" t="s">
        <v>37</v>
      </c>
      <c r="L2232">
        <v>18.43</v>
      </c>
      <c r="M2232" s="1">
        <v>45957</v>
      </c>
      <c r="N2232" t="s">
        <v>93</v>
      </c>
      <c r="O2232">
        <v>27</v>
      </c>
      <c r="P2232">
        <v>10</v>
      </c>
      <c r="Q2232">
        <v>4</v>
      </c>
      <c r="R2232">
        <v>2025</v>
      </c>
    </row>
    <row r="2233" spans="1:18">
      <c r="A2233">
        <v>406.46</v>
      </c>
      <c r="B2233">
        <v>2</v>
      </c>
      <c r="C2233">
        <v>2232</v>
      </c>
      <c r="D2233" s="2">
        <v>0.5118962037037037</v>
      </c>
      <c r="E2233" t="s">
        <v>2936</v>
      </c>
      <c r="F2233" t="s">
        <v>2937</v>
      </c>
      <c r="G2233" t="s">
        <v>1035</v>
      </c>
      <c r="H2233" t="s">
        <v>1395</v>
      </c>
      <c r="I2233" t="s">
        <v>776</v>
      </c>
      <c r="J2233" t="s">
        <v>417</v>
      </c>
      <c r="K2233" t="s">
        <v>51</v>
      </c>
      <c r="L2233">
        <v>203.23</v>
      </c>
      <c r="M2233" s="1">
        <v>46277</v>
      </c>
      <c r="N2233" t="s">
        <v>14</v>
      </c>
      <c r="O2233">
        <v>12</v>
      </c>
      <c r="P2233">
        <v>9</v>
      </c>
      <c r="Q2233">
        <v>3</v>
      </c>
      <c r="R2233">
        <v>2026</v>
      </c>
    </row>
    <row r="2234" spans="1:18">
      <c r="A2234">
        <v>453.39</v>
      </c>
      <c r="B2234">
        <v>3</v>
      </c>
      <c r="C2234">
        <v>2233</v>
      </c>
      <c r="D2234" s="2">
        <v>0.17933968750000001</v>
      </c>
      <c r="E2234" t="s">
        <v>944</v>
      </c>
      <c r="F2234" t="s">
        <v>945</v>
      </c>
      <c r="G2234" t="s">
        <v>946</v>
      </c>
      <c r="H2234" t="s">
        <v>199</v>
      </c>
      <c r="I2234" t="s">
        <v>781</v>
      </c>
      <c r="J2234" t="s">
        <v>655</v>
      </c>
      <c r="K2234" t="s">
        <v>82</v>
      </c>
      <c r="L2234">
        <v>151.13</v>
      </c>
      <c r="M2234" s="1">
        <v>46012</v>
      </c>
      <c r="N2234" t="s">
        <v>28</v>
      </c>
      <c r="O2234">
        <v>21</v>
      </c>
      <c r="P2234">
        <v>12</v>
      </c>
      <c r="Q2234">
        <v>4</v>
      </c>
      <c r="R2234">
        <v>2025</v>
      </c>
    </row>
    <row r="2235" spans="1:18">
      <c r="A2235">
        <v>65.789999999999992</v>
      </c>
      <c r="B2235">
        <v>3</v>
      </c>
      <c r="C2235">
        <v>2234</v>
      </c>
      <c r="D2235" s="2">
        <v>0.54653935185185187</v>
      </c>
      <c r="E2235" t="s">
        <v>2061</v>
      </c>
      <c r="F2235" t="s">
        <v>2062</v>
      </c>
      <c r="G2235" t="s">
        <v>1754</v>
      </c>
      <c r="H2235" t="s">
        <v>392</v>
      </c>
      <c r="I2235" t="s">
        <v>834</v>
      </c>
      <c r="J2235" t="s">
        <v>445</v>
      </c>
      <c r="K2235" t="s">
        <v>60</v>
      </c>
      <c r="L2235">
        <v>21.93</v>
      </c>
      <c r="M2235" s="1">
        <v>45630</v>
      </c>
      <c r="N2235" t="s">
        <v>34</v>
      </c>
      <c r="O2235">
        <v>4</v>
      </c>
      <c r="P2235">
        <v>12</v>
      </c>
      <c r="Q2235">
        <v>4</v>
      </c>
      <c r="R2235">
        <v>2024</v>
      </c>
    </row>
    <row r="2236" spans="1:18">
      <c r="A2236">
        <v>66.55</v>
      </c>
      <c r="B2236">
        <v>1</v>
      </c>
      <c r="C2236">
        <v>2235</v>
      </c>
      <c r="D2236" s="2">
        <v>0.87673743055555553</v>
      </c>
      <c r="E2236" t="s">
        <v>2439</v>
      </c>
      <c r="F2236" t="s">
        <v>2440</v>
      </c>
      <c r="G2236" t="s">
        <v>1716</v>
      </c>
      <c r="H2236" t="s">
        <v>2441</v>
      </c>
      <c r="I2236" t="s">
        <v>834</v>
      </c>
      <c r="J2236" t="s">
        <v>452</v>
      </c>
      <c r="K2236" t="s">
        <v>69</v>
      </c>
      <c r="L2236">
        <v>66.55</v>
      </c>
      <c r="M2236" s="1">
        <v>46008</v>
      </c>
      <c r="N2236" t="s">
        <v>34</v>
      </c>
      <c r="O2236">
        <v>17</v>
      </c>
      <c r="P2236">
        <v>12</v>
      </c>
      <c r="Q2236">
        <v>4</v>
      </c>
      <c r="R2236">
        <v>2025</v>
      </c>
    </row>
    <row r="2237" spans="1:18">
      <c r="A2237">
        <v>134.9</v>
      </c>
      <c r="B2237">
        <v>5</v>
      </c>
      <c r="C2237">
        <v>2236</v>
      </c>
      <c r="D2237" s="2">
        <v>0.35925151620370371</v>
      </c>
      <c r="E2237" t="s">
        <v>3030</v>
      </c>
      <c r="F2237" t="s">
        <v>3031</v>
      </c>
      <c r="G2237" t="s">
        <v>2341</v>
      </c>
      <c r="H2237" t="s">
        <v>1092</v>
      </c>
      <c r="I2237" t="s">
        <v>763</v>
      </c>
      <c r="J2237" t="s">
        <v>458</v>
      </c>
      <c r="K2237" t="s">
        <v>37</v>
      </c>
      <c r="L2237">
        <v>26.98</v>
      </c>
      <c r="M2237" s="1">
        <v>46258</v>
      </c>
      <c r="N2237" t="s">
        <v>93</v>
      </c>
      <c r="O2237">
        <v>24</v>
      </c>
      <c r="P2237">
        <v>8</v>
      </c>
      <c r="Q2237">
        <v>3</v>
      </c>
      <c r="R2237">
        <v>2026</v>
      </c>
    </row>
    <row r="2238" spans="1:18">
      <c r="A2238">
        <v>237.63</v>
      </c>
      <c r="B2238">
        <v>1</v>
      </c>
      <c r="C2238">
        <v>2237</v>
      </c>
      <c r="D2238" s="2">
        <v>0.25299083333333333</v>
      </c>
      <c r="E2238" t="s">
        <v>1333</v>
      </c>
      <c r="F2238" t="s">
        <v>1334</v>
      </c>
      <c r="G2238" t="s">
        <v>1335</v>
      </c>
      <c r="H2238" t="s">
        <v>1302</v>
      </c>
      <c r="I2238" t="s">
        <v>786</v>
      </c>
      <c r="J2238" t="s">
        <v>375</v>
      </c>
      <c r="K2238" t="s">
        <v>31</v>
      </c>
      <c r="L2238">
        <v>237.63</v>
      </c>
      <c r="M2238" s="1">
        <v>46232</v>
      </c>
      <c r="N2238" t="s">
        <v>34</v>
      </c>
      <c r="O2238">
        <v>29</v>
      </c>
      <c r="P2238">
        <v>7</v>
      </c>
      <c r="Q2238">
        <v>3</v>
      </c>
      <c r="R2238">
        <v>2026</v>
      </c>
    </row>
    <row r="2239" spans="1:18">
      <c r="A2239">
        <v>71.48</v>
      </c>
      <c r="B2239">
        <v>1</v>
      </c>
      <c r="C2239">
        <v>2238</v>
      </c>
      <c r="D2239" s="2">
        <v>0.11915730324074074</v>
      </c>
      <c r="E2239" t="s">
        <v>3009</v>
      </c>
      <c r="F2239" t="s">
        <v>3010</v>
      </c>
      <c r="G2239" t="s">
        <v>1616</v>
      </c>
      <c r="H2239" t="s">
        <v>2489</v>
      </c>
      <c r="I2239" t="s">
        <v>1247</v>
      </c>
      <c r="J2239" t="s">
        <v>610</v>
      </c>
      <c r="K2239" t="s">
        <v>69</v>
      </c>
      <c r="L2239">
        <v>71.48</v>
      </c>
      <c r="M2239" s="1">
        <v>45549</v>
      </c>
      <c r="N2239" t="s">
        <v>14</v>
      </c>
      <c r="O2239">
        <v>14</v>
      </c>
      <c r="P2239">
        <v>9</v>
      </c>
      <c r="Q2239">
        <v>3</v>
      </c>
      <c r="R2239">
        <v>2024</v>
      </c>
    </row>
    <row r="2240" spans="1:18">
      <c r="A2240">
        <v>67.23</v>
      </c>
      <c r="B2240">
        <v>3</v>
      </c>
      <c r="C2240">
        <v>2239</v>
      </c>
      <c r="D2240" s="2">
        <v>7.5458645833333338E-2</v>
      </c>
      <c r="E2240" t="s">
        <v>2163</v>
      </c>
      <c r="F2240" t="s">
        <v>2164</v>
      </c>
      <c r="G2240" t="s">
        <v>2153</v>
      </c>
      <c r="H2240" t="s">
        <v>478</v>
      </c>
      <c r="I2240" t="s">
        <v>781</v>
      </c>
      <c r="J2240" t="s">
        <v>484</v>
      </c>
      <c r="K2240" t="s">
        <v>25</v>
      </c>
      <c r="L2240">
        <v>22.41</v>
      </c>
      <c r="M2240" s="1">
        <v>45660</v>
      </c>
      <c r="N2240" t="s">
        <v>79</v>
      </c>
      <c r="O2240">
        <v>3</v>
      </c>
      <c r="P2240">
        <v>1</v>
      </c>
      <c r="Q2240">
        <v>1</v>
      </c>
      <c r="R2240">
        <v>2025</v>
      </c>
    </row>
    <row r="2241" spans="1:18">
      <c r="A2241">
        <v>895.28</v>
      </c>
      <c r="B2241">
        <v>4</v>
      </c>
      <c r="C2241">
        <v>2240</v>
      </c>
      <c r="D2241" s="2">
        <v>0.96876413194444444</v>
      </c>
      <c r="E2241" t="s">
        <v>2278</v>
      </c>
      <c r="F2241" t="s">
        <v>2279</v>
      </c>
      <c r="G2241" t="s">
        <v>2280</v>
      </c>
      <c r="H2241" t="s">
        <v>1239</v>
      </c>
      <c r="I2241" t="s">
        <v>795</v>
      </c>
      <c r="J2241" t="s">
        <v>588</v>
      </c>
      <c r="K2241" t="s">
        <v>82</v>
      </c>
      <c r="L2241">
        <v>223.82</v>
      </c>
      <c r="M2241" s="1">
        <v>45921</v>
      </c>
      <c r="N2241" t="s">
        <v>28</v>
      </c>
      <c r="O2241">
        <v>21</v>
      </c>
      <c r="P2241">
        <v>9</v>
      </c>
      <c r="Q2241">
        <v>3</v>
      </c>
      <c r="R2241">
        <v>2025</v>
      </c>
    </row>
    <row r="2242" spans="1:18">
      <c r="A2242">
        <v>383.64</v>
      </c>
      <c r="B2242">
        <v>2</v>
      </c>
      <c r="C2242">
        <v>2241</v>
      </c>
      <c r="D2242" s="2">
        <v>0.30348466435185184</v>
      </c>
      <c r="E2242" t="s">
        <v>1023</v>
      </c>
      <c r="F2242" t="s">
        <v>1024</v>
      </c>
      <c r="G2242" t="s">
        <v>1025</v>
      </c>
      <c r="H2242" t="s">
        <v>1026</v>
      </c>
      <c r="I2242" t="s">
        <v>896</v>
      </c>
      <c r="J2242" t="s">
        <v>584</v>
      </c>
      <c r="K2242" t="s">
        <v>19</v>
      </c>
      <c r="L2242">
        <v>191.82</v>
      </c>
      <c r="M2242" s="1">
        <v>45554</v>
      </c>
      <c r="N2242" t="s">
        <v>105</v>
      </c>
      <c r="O2242">
        <v>19</v>
      </c>
      <c r="P2242">
        <v>9</v>
      </c>
      <c r="Q2242">
        <v>3</v>
      </c>
      <c r="R2242">
        <v>2024</v>
      </c>
    </row>
    <row r="2243" spans="1:18">
      <c r="A2243">
        <v>314.52</v>
      </c>
      <c r="B2243">
        <v>2</v>
      </c>
      <c r="C2243">
        <v>2242</v>
      </c>
      <c r="D2243" s="2">
        <v>0.98791196759259259</v>
      </c>
      <c r="E2243" t="s">
        <v>912</v>
      </c>
      <c r="F2243" t="s">
        <v>913</v>
      </c>
      <c r="G2243" t="s">
        <v>914</v>
      </c>
      <c r="H2243" t="s">
        <v>915</v>
      </c>
      <c r="I2243" t="s">
        <v>768</v>
      </c>
      <c r="J2243" t="s">
        <v>68</v>
      </c>
      <c r="K2243" t="s">
        <v>69</v>
      </c>
      <c r="L2243">
        <v>157.26</v>
      </c>
      <c r="M2243" s="1">
        <v>46177</v>
      </c>
      <c r="N2243" t="s">
        <v>105</v>
      </c>
      <c r="O2243">
        <v>4</v>
      </c>
      <c r="P2243">
        <v>6</v>
      </c>
      <c r="Q2243">
        <v>2</v>
      </c>
      <c r="R2243">
        <v>2026</v>
      </c>
    </row>
    <row r="2244" spans="1:18">
      <c r="A2244">
        <v>57.95</v>
      </c>
      <c r="B2244">
        <v>5</v>
      </c>
      <c r="C2244">
        <v>2243</v>
      </c>
      <c r="D2244" s="2">
        <v>0.38216177083333336</v>
      </c>
      <c r="E2244" t="s">
        <v>3242</v>
      </c>
      <c r="F2244" t="s">
        <v>3243</v>
      </c>
      <c r="G2244" t="s">
        <v>861</v>
      </c>
      <c r="H2244" t="s">
        <v>961</v>
      </c>
      <c r="I2244" t="s">
        <v>807</v>
      </c>
      <c r="J2244" t="s">
        <v>579</v>
      </c>
      <c r="K2244" t="s">
        <v>31</v>
      </c>
      <c r="L2244">
        <v>11.59</v>
      </c>
      <c r="M2244" s="1">
        <v>46248</v>
      </c>
      <c r="N2244" t="s">
        <v>79</v>
      </c>
      <c r="O2244">
        <v>14</v>
      </c>
      <c r="P2244">
        <v>8</v>
      </c>
      <c r="Q2244">
        <v>3</v>
      </c>
      <c r="R2244">
        <v>2026</v>
      </c>
    </row>
    <row r="2245" spans="1:18">
      <c r="A2245">
        <v>493.64</v>
      </c>
      <c r="B2245">
        <v>2</v>
      </c>
      <c r="C2245">
        <v>2244</v>
      </c>
      <c r="D2245" s="2">
        <v>0.31083488425925926</v>
      </c>
      <c r="E2245" t="s">
        <v>3119</v>
      </c>
      <c r="F2245" t="s">
        <v>3120</v>
      </c>
      <c r="G2245" t="s">
        <v>1001</v>
      </c>
      <c r="H2245" t="s">
        <v>862</v>
      </c>
      <c r="I2245" t="s">
        <v>807</v>
      </c>
      <c r="J2245" t="s">
        <v>369</v>
      </c>
      <c r="K2245" t="s">
        <v>43</v>
      </c>
      <c r="L2245">
        <v>246.82</v>
      </c>
      <c r="M2245" s="1">
        <v>45898</v>
      </c>
      <c r="N2245" t="s">
        <v>79</v>
      </c>
      <c r="O2245">
        <v>29</v>
      </c>
      <c r="P2245">
        <v>8</v>
      </c>
      <c r="Q2245">
        <v>3</v>
      </c>
      <c r="R2245">
        <v>2025</v>
      </c>
    </row>
    <row r="2246" spans="1:18">
      <c r="A2246">
        <v>112.8</v>
      </c>
      <c r="B2246">
        <v>5</v>
      </c>
      <c r="C2246">
        <v>2245</v>
      </c>
      <c r="D2246" s="2">
        <v>6.1300081018518519E-2</v>
      </c>
      <c r="E2246" t="s">
        <v>923</v>
      </c>
      <c r="F2246" t="s">
        <v>924</v>
      </c>
      <c r="G2246" t="s">
        <v>925</v>
      </c>
      <c r="H2246" t="s">
        <v>772</v>
      </c>
      <c r="I2246" t="s">
        <v>758</v>
      </c>
      <c r="J2246" t="s">
        <v>371</v>
      </c>
      <c r="K2246" t="s">
        <v>21</v>
      </c>
      <c r="L2246">
        <v>22.56</v>
      </c>
      <c r="M2246" s="1">
        <v>46042</v>
      </c>
      <c r="N2246" t="s">
        <v>48</v>
      </c>
      <c r="O2246">
        <v>20</v>
      </c>
      <c r="P2246">
        <v>1</v>
      </c>
      <c r="Q2246">
        <v>1</v>
      </c>
      <c r="R2246">
        <v>2026</v>
      </c>
    </row>
    <row r="2247" spans="1:18">
      <c r="A2247">
        <v>477.94</v>
      </c>
      <c r="B2247">
        <v>2</v>
      </c>
      <c r="C2247">
        <v>2246</v>
      </c>
      <c r="D2247" s="2">
        <v>0.17210854166666667</v>
      </c>
      <c r="E2247" t="s">
        <v>1207</v>
      </c>
      <c r="F2247" t="s">
        <v>1208</v>
      </c>
      <c r="G2247" t="s">
        <v>935</v>
      </c>
      <c r="H2247" t="s">
        <v>1209</v>
      </c>
      <c r="I2247" t="s">
        <v>776</v>
      </c>
      <c r="J2247" t="s">
        <v>180</v>
      </c>
      <c r="K2247" t="s">
        <v>55</v>
      </c>
      <c r="L2247">
        <v>238.97</v>
      </c>
      <c r="M2247" s="1">
        <v>45748</v>
      </c>
      <c r="N2247" t="s">
        <v>48</v>
      </c>
      <c r="O2247">
        <v>1</v>
      </c>
      <c r="P2247">
        <v>4</v>
      </c>
      <c r="Q2247">
        <v>2</v>
      </c>
      <c r="R2247">
        <v>2025</v>
      </c>
    </row>
    <row r="2248" spans="1:18">
      <c r="A2248">
        <v>592.16</v>
      </c>
      <c r="B2248">
        <v>4</v>
      </c>
      <c r="C2248">
        <v>2247</v>
      </c>
      <c r="D2248" s="2">
        <v>0.52969538194444443</v>
      </c>
      <c r="E2248" t="s">
        <v>2066</v>
      </c>
      <c r="F2248" t="s">
        <v>2067</v>
      </c>
      <c r="G2248" t="s">
        <v>1192</v>
      </c>
      <c r="H2248" t="s">
        <v>280</v>
      </c>
      <c r="I2248" t="s">
        <v>786</v>
      </c>
      <c r="J2248" t="s">
        <v>260</v>
      </c>
      <c r="K2248" t="s">
        <v>46</v>
      </c>
      <c r="L2248">
        <v>148.04</v>
      </c>
      <c r="M2248" s="1">
        <v>45948</v>
      </c>
      <c r="N2248" t="s">
        <v>14</v>
      </c>
      <c r="O2248">
        <v>18</v>
      </c>
      <c r="P2248">
        <v>10</v>
      </c>
      <c r="Q2248">
        <v>4</v>
      </c>
      <c r="R2248">
        <v>2025</v>
      </c>
    </row>
    <row r="2249" spans="1:18">
      <c r="A2249">
        <v>520.20000000000005</v>
      </c>
      <c r="B2249">
        <v>5</v>
      </c>
      <c r="C2249">
        <v>2248</v>
      </c>
      <c r="D2249" s="2">
        <v>2.8473842592592591E-3</v>
      </c>
      <c r="E2249" t="s">
        <v>2079</v>
      </c>
      <c r="F2249" t="s">
        <v>2080</v>
      </c>
      <c r="G2249" t="s">
        <v>1698</v>
      </c>
      <c r="H2249" t="s">
        <v>1673</v>
      </c>
      <c r="I2249" t="s">
        <v>821</v>
      </c>
      <c r="J2249" t="s">
        <v>507</v>
      </c>
      <c r="K2249" t="s">
        <v>55</v>
      </c>
      <c r="L2249">
        <v>104.04</v>
      </c>
      <c r="M2249" s="1">
        <v>45724</v>
      </c>
      <c r="N2249" t="s">
        <v>14</v>
      </c>
      <c r="O2249">
        <v>8</v>
      </c>
      <c r="P2249">
        <v>3</v>
      </c>
      <c r="Q2249">
        <v>1</v>
      </c>
      <c r="R2249">
        <v>2025</v>
      </c>
    </row>
    <row r="2250" spans="1:18">
      <c r="A2250">
        <v>219.26</v>
      </c>
      <c r="B2250">
        <v>1</v>
      </c>
      <c r="C2250">
        <v>2249</v>
      </c>
      <c r="D2250" s="2">
        <v>0.48719561342592593</v>
      </c>
      <c r="E2250" t="s">
        <v>3267</v>
      </c>
      <c r="F2250" t="s">
        <v>3268</v>
      </c>
      <c r="G2250" t="s">
        <v>784</v>
      </c>
      <c r="H2250" t="s">
        <v>1600</v>
      </c>
      <c r="I2250" t="s">
        <v>768</v>
      </c>
      <c r="J2250" t="s">
        <v>162</v>
      </c>
      <c r="K2250" t="s">
        <v>51</v>
      </c>
      <c r="L2250">
        <v>219.26</v>
      </c>
      <c r="M2250" s="1">
        <v>46232</v>
      </c>
      <c r="N2250" t="s">
        <v>34</v>
      </c>
      <c r="O2250">
        <v>29</v>
      </c>
      <c r="P2250">
        <v>7</v>
      </c>
      <c r="Q2250">
        <v>3</v>
      </c>
      <c r="R2250">
        <v>2026</v>
      </c>
    </row>
    <row r="2251" spans="1:18">
      <c r="A2251">
        <v>103.69999999999999</v>
      </c>
      <c r="B2251">
        <v>5</v>
      </c>
      <c r="C2251">
        <v>2250</v>
      </c>
      <c r="D2251" s="2">
        <v>0.75915946759259256</v>
      </c>
      <c r="E2251" t="s">
        <v>3440</v>
      </c>
      <c r="F2251" t="s">
        <v>3441</v>
      </c>
      <c r="G2251" t="s">
        <v>1070</v>
      </c>
      <c r="H2251" t="s">
        <v>1107</v>
      </c>
      <c r="I2251" t="s">
        <v>892</v>
      </c>
      <c r="J2251" t="s">
        <v>70</v>
      </c>
      <c r="K2251" t="s">
        <v>27</v>
      </c>
      <c r="L2251">
        <v>20.74</v>
      </c>
      <c r="M2251" s="1">
        <v>45602</v>
      </c>
      <c r="N2251" t="s">
        <v>34</v>
      </c>
      <c r="O2251">
        <v>6</v>
      </c>
      <c r="P2251">
        <v>11</v>
      </c>
      <c r="Q2251">
        <v>4</v>
      </c>
      <c r="R2251">
        <v>2024</v>
      </c>
    </row>
    <row r="2252" spans="1:18">
      <c r="A2252">
        <v>130.52000000000001</v>
      </c>
      <c r="B2252">
        <v>2</v>
      </c>
      <c r="C2252">
        <v>2251</v>
      </c>
      <c r="D2252" s="2">
        <v>0.60743983796296297</v>
      </c>
      <c r="E2252" t="s">
        <v>1516</v>
      </c>
      <c r="F2252" t="s">
        <v>1517</v>
      </c>
      <c r="G2252" t="s">
        <v>1518</v>
      </c>
      <c r="H2252" t="s">
        <v>752</v>
      </c>
      <c r="I2252" t="s">
        <v>753</v>
      </c>
      <c r="J2252" t="s">
        <v>78</v>
      </c>
      <c r="K2252" t="s">
        <v>51</v>
      </c>
      <c r="L2252">
        <v>65.260000000000005</v>
      </c>
      <c r="M2252" s="1">
        <v>45712</v>
      </c>
      <c r="N2252" t="s">
        <v>93</v>
      </c>
      <c r="O2252">
        <v>24</v>
      </c>
      <c r="P2252">
        <v>2</v>
      </c>
      <c r="Q2252">
        <v>1</v>
      </c>
      <c r="R2252">
        <v>2025</v>
      </c>
    </row>
    <row r="2253" spans="1:18">
      <c r="A2253">
        <v>1074.75</v>
      </c>
      <c r="B2253">
        <v>5</v>
      </c>
      <c r="C2253">
        <v>2252</v>
      </c>
      <c r="D2253" s="2">
        <v>0.72266819444444441</v>
      </c>
      <c r="E2253" t="s">
        <v>3140</v>
      </c>
      <c r="F2253" t="s">
        <v>3141</v>
      </c>
      <c r="G2253" t="s">
        <v>2904</v>
      </c>
      <c r="H2253" t="s">
        <v>562</v>
      </c>
      <c r="I2253" t="s">
        <v>753</v>
      </c>
      <c r="J2253" t="s">
        <v>195</v>
      </c>
      <c r="K2253" t="s">
        <v>31</v>
      </c>
      <c r="L2253">
        <v>214.95</v>
      </c>
      <c r="M2253" s="1">
        <v>45938</v>
      </c>
      <c r="N2253" t="s">
        <v>34</v>
      </c>
      <c r="O2253">
        <v>8</v>
      </c>
      <c r="P2253">
        <v>10</v>
      </c>
      <c r="Q2253">
        <v>4</v>
      </c>
      <c r="R2253">
        <v>2025</v>
      </c>
    </row>
    <row r="2254" spans="1:18">
      <c r="A2254">
        <v>821.8</v>
      </c>
      <c r="B2254">
        <v>4</v>
      </c>
      <c r="C2254">
        <v>2253</v>
      </c>
      <c r="D2254" s="2">
        <v>0.6985946643518518</v>
      </c>
      <c r="E2254" t="s">
        <v>1863</v>
      </c>
      <c r="F2254" t="s">
        <v>1864</v>
      </c>
      <c r="G2254" t="s">
        <v>1865</v>
      </c>
      <c r="H2254" t="s">
        <v>1168</v>
      </c>
      <c r="I2254" t="s">
        <v>758</v>
      </c>
      <c r="J2254" t="s">
        <v>107</v>
      </c>
      <c r="K2254" t="s">
        <v>17</v>
      </c>
      <c r="L2254">
        <v>205.45</v>
      </c>
      <c r="M2254" s="1">
        <v>46071</v>
      </c>
      <c r="N2254" t="s">
        <v>34</v>
      </c>
      <c r="O2254">
        <v>18</v>
      </c>
      <c r="P2254">
        <v>2</v>
      </c>
      <c r="Q2254">
        <v>1</v>
      </c>
      <c r="R2254">
        <v>2026</v>
      </c>
    </row>
    <row r="2255" spans="1:18">
      <c r="A2255">
        <v>772.12</v>
      </c>
      <c r="B2255">
        <v>4</v>
      </c>
      <c r="C2255">
        <v>2254</v>
      </c>
      <c r="D2255" s="2">
        <v>1.7832129629629628E-2</v>
      </c>
      <c r="E2255" t="s">
        <v>1396</v>
      </c>
      <c r="F2255" t="s">
        <v>1397</v>
      </c>
      <c r="G2255" t="s">
        <v>1398</v>
      </c>
      <c r="H2255" t="s">
        <v>903</v>
      </c>
      <c r="I2255" t="s">
        <v>786</v>
      </c>
      <c r="J2255" t="s">
        <v>420</v>
      </c>
      <c r="K2255" t="s">
        <v>25</v>
      </c>
      <c r="L2255">
        <v>193.03</v>
      </c>
      <c r="M2255" s="1">
        <v>45987</v>
      </c>
      <c r="N2255" t="s">
        <v>34</v>
      </c>
      <c r="O2255">
        <v>26</v>
      </c>
      <c r="P2255">
        <v>11</v>
      </c>
      <c r="Q2255">
        <v>4</v>
      </c>
      <c r="R2255">
        <v>2025</v>
      </c>
    </row>
    <row r="2256" spans="1:18">
      <c r="A2256">
        <v>556.04999999999995</v>
      </c>
      <c r="B2256">
        <v>5</v>
      </c>
      <c r="C2256">
        <v>2255</v>
      </c>
      <c r="D2256" s="2">
        <v>0.27500370370370369</v>
      </c>
      <c r="E2256" t="s">
        <v>2724</v>
      </c>
      <c r="F2256" t="s">
        <v>2860</v>
      </c>
      <c r="G2256" t="s">
        <v>1698</v>
      </c>
      <c r="H2256" t="s">
        <v>1984</v>
      </c>
      <c r="I2256" t="s">
        <v>768</v>
      </c>
      <c r="J2256" t="s">
        <v>254</v>
      </c>
      <c r="K2256" t="s">
        <v>51</v>
      </c>
      <c r="L2256">
        <v>111.21</v>
      </c>
      <c r="M2256" s="1">
        <v>45725</v>
      </c>
      <c r="N2256" t="s">
        <v>28</v>
      </c>
      <c r="O2256">
        <v>9</v>
      </c>
      <c r="P2256">
        <v>3</v>
      </c>
      <c r="Q2256">
        <v>1</v>
      </c>
      <c r="R2256">
        <v>2025</v>
      </c>
    </row>
    <row r="2257" spans="1:18">
      <c r="A2257">
        <v>532.65</v>
      </c>
      <c r="B2257">
        <v>5</v>
      </c>
      <c r="C2257">
        <v>2256</v>
      </c>
      <c r="D2257" s="2">
        <v>0.11742708333333333</v>
      </c>
      <c r="E2257" t="s">
        <v>2322</v>
      </c>
      <c r="F2257" t="s">
        <v>2323</v>
      </c>
      <c r="G2257" t="s">
        <v>2324</v>
      </c>
      <c r="H2257" t="s">
        <v>862</v>
      </c>
      <c r="I2257" t="s">
        <v>981</v>
      </c>
      <c r="J2257" t="s">
        <v>377</v>
      </c>
      <c r="K2257" t="s">
        <v>27</v>
      </c>
      <c r="L2257">
        <v>106.53</v>
      </c>
      <c r="M2257" s="1">
        <v>45782</v>
      </c>
      <c r="N2257" t="s">
        <v>93</v>
      </c>
      <c r="O2257">
        <v>5</v>
      </c>
      <c r="P2257">
        <v>5</v>
      </c>
      <c r="Q2257">
        <v>2</v>
      </c>
      <c r="R2257">
        <v>2025</v>
      </c>
    </row>
    <row r="2258" spans="1:18">
      <c r="A2258">
        <v>647.67999999999995</v>
      </c>
      <c r="B2258">
        <v>4</v>
      </c>
      <c r="C2258">
        <v>2257</v>
      </c>
      <c r="D2258" s="2">
        <v>0.90814640046296291</v>
      </c>
      <c r="E2258" t="s">
        <v>971</v>
      </c>
      <c r="F2258" t="s">
        <v>972</v>
      </c>
      <c r="G2258" t="s">
        <v>973</v>
      </c>
      <c r="H2258" t="s">
        <v>562</v>
      </c>
      <c r="I2258" t="s">
        <v>753</v>
      </c>
      <c r="J2258" t="s">
        <v>546</v>
      </c>
      <c r="K2258" t="s">
        <v>25</v>
      </c>
      <c r="L2258">
        <v>161.91999999999999</v>
      </c>
      <c r="M2258" s="1">
        <v>45676</v>
      </c>
      <c r="N2258" t="s">
        <v>28</v>
      </c>
      <c r="O2258">
        <v>19</v>
      </c>
      <c r="P2258">
        <v>1</v>
      </c>
      <c r="Q2258">
        <v>1</v>
      </c>
      <c r="R2258">
        <v>2025</v>
      </c>
    </row>
    <row r="2259" spans="1:18">
      <c r="A2259">
        <v>873.85</v>
      </c>
      <c r="B2259">
        <v>5</v>
      </c>
      <c r="C2259">
        <v>2258</v>
      </c>
      <c r="D2259" s="2">
        <v>0.21345534722222223</v>
      </c>
      <c r="E2259" t="s">
        <v>2174</v>
      </c>
      <c r="F2259" t="s">
        <v>2175</v>
      </c>
      <c r="G2259" t="s">
        <v>1539</v>
      </c>
      <c r="H2259" t="s">
        <v>64</v>
      </c>
      <c r="I2259" t="s">
        <v>892</v>
      </c>
      <c r="J2259" t="s">
        <v>483</v>
      </c>
      <c r="K2259" t="s">
        <v>100</v>
      </c>
      <c r="L2259">
        <v>174.77</v>
      </c>
      <c r="M2259" s="1">
        <v>46188</v>
      </c>
      <c r="N2259" t="s">
        <v>93</v>
      </c>
      <c r="O2259">
        <v>15</v>
      </c>
      <c r="P2259">
        <v>6</v>
      </c>
      <c r="Q2259">
        <v>2</v>
      </c>
      <c r="R2259">
        <v>2026</v>
      </c>
    </row>
    <row r="2260" spans="1:18">
      <c r="A2260">
        <v>160.43</v>
      </c>
      <c r="B2260">
        <v>1</v>
      </c>
      <c r="C2260">
        <v>2259</v>
      </c>
      <c r="D2260" s="2">
        <v>0.53680606481481485</v>
      </c>
      <c r="E2260" t="s">
        <v>1393</v>
      </c>
      <c r="F2260" t="s">
        <v>1394</v>
      </c>
      <c r="G2260" t="s">
        <v>1182</v>
      </c>
      <c r="H2260" t="s">
        <v>1395</v>
      </c>
      <c r="I2260" t="s">
        <v>776</v>
      </c>
      <c r="J2260" t="s">
        <v>424</v>
      </c>
      <c r="K2260" t="s">
        <v>69</v>
      </c>
      <c r="L2260">
        <v>160.43</v>
      </c>
      <c r="M2260" s="1">
        <v>45851</v>
      </c>
      <c r="N2260" t="s">
        <v>28</v>
      </c>
      <c r="O2260">
        <v>13</v>
      </c>
      <c r="P2260">
        <v>7</v>
      </c>
      <c r="Q2260">
        <v>3</v>
      </c>
      <c r="R2260">
        <v>2025</v>
      </c>
    </row>
    <row r="2261" spans="1:18">
      <c r="A2261">
        <v>13.600000000000001</v>
      </c>
      <c r="B2261">
        <v>5</v>
      </c>
      <c r="C2261">
        <v>2260</v>
      </c>
      <c r="D2261" s="2">
        <v>0.52254155092592591</v>
      </c>
      <c r="E2261" t="s">
        <v>3314</v>
      </c>
      <c r="F2261" t="s">
        <v>3315</v>
      </c>
      <c r="G2261" t="s">
        <v>1965</v>
      </c>
      <c r="H2261" t="s">
        <v>1061</v>
      </c>
      <c r="I2261" t="s">
        <v>812</v>
      </c>
      <c r="J2261" t="s">
        <v>99</v>
      </c>
      <c r="K2261" t="s">
        <v>100</v>
      </c>
      <c r="L2261">
        <v>2.72</v>
      </c>
      <c r="M2261" s="1">
        <v>45897</v>
      </c>
      <c r="N2261" t="s">
        <v>105</v>
      </c>
      <c r="O2261">
        <v>28</v>
      </c>
      <c r="P2261">
        <v>8</v>
      </c>
      <c r="Q2261">
        <v>3</v>
      </c>
      <c r="R2261">
        <v>2025</v>
      </c>
    </row>
    <row r="2262" spans="1:18">
      <c r="A2262">
        <v>594.41999999999996</v>
      </c>
      <c r="B2262">
        <v>3</v>
      </c>
      <c r="C2262">
        <v>2261</v>
      </c>
      <c r="D2262" s="2">
        <v>0.25622791666666667</v>
      </c>
      <c r="E2262" t="s">
        <v>1043</v>
      </c>
      <c r="F2262" t="s">
        <v>1044</v>
      </c>
      <c r="G2262" t="s">
        <v>1045</v>
      </c>
      <c r="H2262" t="s">
        <v>747</v>
      </c>
      <c r="I2262" t="s">
        <v>748</v>
      </c>
      <c r="J2262" t="s">
        <v>146</v>
      </c>
      <c r="K2262" t="s">
        <v>97</v>
      </c>
      <c r="L2262">
        <v>198.14</v>
      </c>
      <c r="M2262" s="1">
        <v>45985</v>
      </c>
      <c r="N2262" t="s">
        <v>93</v>
      </c>
      <c r="O2262">
        <v>24</v>
      </c>
      <c r="P2262">
        <v>11</v>
      </c>
      <c r="Q2262">
        <v>4</v>
      </c>
      <c r="R2262">
        <v>2025</v>
      </c>
    </row>
    <row r="2263" spans="1:18">
      <c r="A2263">
        <v>699.63</v>
      </c>
      <c r="B2263">
        <v>3</v>
      </c>
      <c r="C2263">
        <v>2262</v>
      </c>
      <c r="D2263" s="2">
        <v>0.79857461805555552</v>
      </c>
      <c r="E2263" t="s">
        <v>996</v>
      </c>
      <c r="F2263" t="s">
        <v>997</v>
      </c>
      <c r="G2263" t="s">
        <v>998</v>
      </c>
      <c r="H2263" t="s">
        <v>762</v>
      </c>
      <c r="I2263" t="s">
        <v>763</v>
      </c>
      <c r="J2263" t="s">
        <v>648</v>
      </c>
      <c r="K2263" t="s">
        <v>57</v>
      </c>
      <c r="L2263">
        <v>233.21</v>
      </c>
      <c r="M2263" s="1">
        <v>45702</v>
      </c>
      <c r="N2263" t="s">
        <v>79</v>
      </c>
      <c r="O2263">
        <v>14</v>
      </c>
      <c r="P2263">
        <v>2</v>
      </c>
      <c r="Q2263">
        <v>1</v>
      </c>
      <c r="R2263">
        <v>2025</v>
      </c>
    </row>
    <row r="2264" spans="1:18">
      <c r="A2264">
        <v>176.04</v>
      </c>
      <c r="B2264">
        <v>4</v>
      </c>
      <c r="C2264">
        <v>2263</v>
      </c>
      <c r="D2264" s="2">
        <v>0.16332346064814815</v>
      </c>
      <c r="E2264" t="s">
        <v>2696</v>
      </c>
      <c r="F2264" t="s">
        <v>2697</v>
      </c>
      <c r="G2264" t="s">
        <v>2365</v>
      </c>
      <c r="H2264" t="s">
        <v>1649</v>
      </c>
      <c r="I2264" t="s">
        <v>790</v>
      </c>
      <c r="J2264" t="s">
        <v>689</v>
      </c>
      <c r="K2264" t="s">
        <v>55</v>
      </c>
      <c r="L2264">
        <v>44.01</v>
      </c>
      <c r="M2264" s="1">
        <v>45763</v>
      </c>
      <c r="N2264" t="s">
        <v>34</v>
      </c>
      <c r="O2264">
        <v>16</v>
      </c>
      <c r="P2264">
        <v>4</v>
      </c>
      <c r="Q2264">
        <v>2</v>
      </c>
      <c r="R2264">
        <v>2025</v>
      </c>
    </row>
    <row r="2265" spans="1:18">
      <c r="A2265">
        <v>113.92</v>
      </c>
      <c r="B2265">
        <v>1</v>
      </c>
      <c r="C2265">
        <v>2264</v>
      </c>
      <c r="D2265" s="2">
        <v>0.57536424768518524</v>
      </c>
      <c r="E2265" t="s">
        <v>2912</v>
      </c>
      <c r="F2265" t="s">
        <v>2913</v>
      </c>
      <c r="G2265" t="s">
        <v>1657</v>
      </c>
      <c r="H2265" t="s">
        <v>907</v>
      </c>
      <c r="I2265" t="s">
        <v>908</v>
      </c>
      <c r="J2265" t="s">
        <v>110</v>
      </c>
      <c r="K2265" t="s">
        <v>51</v>
      </c>
      <c r="L2265">
        <v>113.92</v>
      </c>
      <c r="M2265" s="1">
        <v>45652</v>
      </c>
      <c r="N2265" t="s">
        <v>105</v>
      </c>
      <c r="O2265">
        <v>26</v>
      </c>
      <c r="P2265">
        <v>12</v>
      </c>
      <c r="Q2265">
        <v>4</v>
      </c>
      <c r="R2265">
        <v>2024</v>
      </c>
    </row>
    <row r="2266" spans="1:18">
      <c r="A2266">
        <v>424.7</v>
      </c>
      <c r="B2266">
        <v>5</v>
      </c>
      <c r="C2266">
        <v>2265</v>
      </c>
      <c r="D2266" s="2">
        <v>0.80094188657407406</v>
      </c>
      <c r="E2266" t="s">
        <v>1825</v>
      </c>
      <c r="F2266" t="s">
        <v>1826</v>
      </c>
      <c r="G2266" t="s">
        <v>1098</v>
      </c>
      <c r="H2266" t="s">
        <v>862</v>
      </c>
      <c r="I2266" t="s">
        <v>908</v>
      </c>
      <c r="J2266" t="s">
        <v>554</v>
      </c>
      <c r="K2266" t="s">
        <v>17</v>
      </c>
      <c r="L2266">
        <v>84.94</v>
      </c>
      <c r="M2266" s="1">
        <v>45785</v>
      </c>
      <c r="N2266" t="s">
        <v>105</v>
      </c>
      <c r="O2266">
        <v>8</v>
      </c>
      <c r="P2266">
        <v>5</v>
      </c>
      <c r="Q2266">
        <v>2</v>
      </c>
      <c r="R2266">
        <v>2025</v>
      </c>
    </row>
    <row r="2267" spans="1:18">
      <c r="A2267">
        <v>324.92</v>
      </c>
      <c r="B2267">
        <v>2</v>
      </c>
      <c r="C2267">
        <v>2266</v>
      </c>
      <c r="D2267" s="2">
        <v>0.17304034722222222</v>
      </c>
      <c r="E2267" t="s">
        <v>2539</v>
      </c>
      <c r="F2267" t="s">
        <v>2540</v>
      </c>
      <c r="G2267" t="s">
        <v>946</v>
      </c>
      <c r="H2267" t="s">
        <v>907</v>
      </c>
      <c r="I2267" t="s">
        <v>908</v>
      </c>
      <c r="J2267" t="s">
        <v>218</v>
      </c>
      <c r="K2267" t="s">
        <v>97</v>
      </c>
      <c r="L2267">
        <v>162.46</v>
      </c>
      <c r="M2267" s="1">
        <v>45863</v>
      </c>
      <c r="N2267" t="s">
        <v>79</v>
      </c>
      <c r="O2267">
        <v>25</v>
      </c>
      <c r="P2267">
        <v>7</v>
      </c>
      <c r="Q2267">
        <v>3</v>
      </c>
      <c r="R2267">
        <v>2025</v>
      </c>
    </row>
    <row r="2268" spans="1:18">
      <c r="A2268">
        <v>1011.35</v>
      </c>
      <c r="B2268">
        <v>5</v>
      </c>
      <c r="C2268">
        <v>2267</v>
      </c>
      <c r="D2268" s="2">
        <v>0.9314192361111111</v>
      </c>
      <c r="E2268" t="s">
        <v>893</v>
      </c>
      <c r="F2268" t="s">
        <v>894</v>
      </c>
      <c r="G2268" t="s">
        <v>895</v>
      </c>
      <c r="H2268" t="s">
        <v>106</v>
      </c>
      <c r="I2268" t="s">
        <v>896</v>
      </c>
      <c r="J2268" t="s">
        <v>541</v>
      </c>
      <c r="K2268" t="s">
        <v>43</v>
      </c>
      <c r="L2268">
        <v>202.27</v>
      </c>
      <c r="M2268" s="1">
        <v>46171</v>
      </c>
      <c r="N2268" t="s">
        <v>79</v>
      </c>
      <c r="O2268">
        <v>29</v>
      </c>
      <c r="P2268">
        <v>5</v>
      </c>
      <c r="Q2268">
        <v>2</v>
      </c>
      <c r="R2268">
        <v>2026</v>
      </c>
    </row>
    <row r="2269" spans="1:18">
      <c r="A2269">
        <v>102.62</v>
      </c>
      <c r="B2269">
        <v>1</v>
      </c>
      <c r="C2269">
        <v>2268</v>
      </c>
      <c r="D2269" s="2">
        <v>0.95467289351851847</v>
      </c>
      <c r="E2269" t="s">
        <v>2333</v>
      </c>
      <c r="F2269" t="s">
        <v>2334</v>
      </c>
      <c r="G2269" t="s">
        <v>2335</v>
      </c>
      <c r="H2269" t="s">
        <v>478</v>
      </c>
      <c r="I2269" t="s">
        <v>781</v>
      </c>
      <c r="J2269" t="s">
        <v>348</v>
      </c>
      <c r="K2269" t="s">
        <v>60</v>
      </c>
      <c r="L2269">
        <v>102.62</v>
      </c>
      <c r="M2269" s="1">
        <v>46162</v>
      </c>
      <c r="N2269" t="s">
        <v>34</v>
      </c>
      <c r="O2269">
        <v>20</v>
      </c>
      <c r="P2269">
        <v>5</v>
      </c>
      <c r="Q2269">
        <v>2</v>
      </c>
      <c r="R2269">
        <v>2026</v>
      </c>
    </row>
    <row r="2270" spans="1:18">
      <c r="A2270">
        <v>195.04</v>
      </c>
      <c r="B2270">
        <v>4</v>
      </c>
      <c r="C2270">
        <v>2269</v>
      </c>
      <c r="D2270" s="2">
        <v>0.14433285879629629</v>
      </c>
      <c r="E2270" t="s">
        <v>1958</v>
      </c>
      <c r="F2270" t="s">
        <v>1959</v>
      </c>
      <c r="G2270" t="s">
        <v>1437</v>
      </c>
      <c r="H2270" t="s">
        <v>196</v>
      </c>
      <c r="I2270" t="s">
        <v>1247</v>
      </c>
      <c r="J2270" t="s">
        <v>567</v>
      </c>
      <c r="K2270" t="s">
        <v>100</v>
      </c>
      <c r="L2270">
        <v>48.76</v>
      </c>
      <c r="M2270" s="1">
        <v>46054</v>
      </c>
      <c r="N2270" t="s">
        <v>28</v>
      </c>
      <c r="O2270">
        <v>1</v>
      </c>
      <c r="P2270">
        <v>2</v>
      </c>
      <c r="Q2270">
        <v>1</v>
      </c>
      <c r="R2270">
        <v>2026</v>
      </c>
    </row>
    <row r="2271" spans="1:18">
      <c r="A2271">
        <v>124.14999999999999</v>
      </c>
      <c r="B2271">
        <v>5</v>
      </c>
      <c r="C2271">
        <v>2270</v>
      </c>
      <c r="D2271" s="2">
        <v>0.14409732638888889</v>
      </c>
      <c r="E2271" t="s">
        <v>3093</v>
      </c>
      <c r="F2271" t="s">
        <v>3094</v>
      </c>
      <c r="G2271" t="s">
        <v>2108</v>
      </c>
      <c r="H2271" t="s">
        <v>196</v>
      </c>
      <c r="I2271" t="s">
        <v>830</v>
      </c>
      <c r="J2271" t="s">
        <v>338</v>
      </c>
      <c r="K2271" t="s">
        <v>82</v>
      </c>
      <c r="L2271">
        <v>24.83</v>
      </c>
      <c r="M2271" s="1">
        <v>45765</v>
      </c>
      <c r="N2271" t="s">
        <v>79</v>
      </c>
      <c r="O2271">
        <v>18</v>
      </c>
      <c r="P2271">
        <v>4</v>
      </c>
      <c r="Q2271">
        <v>2</v>
      </c>
      <c r="R2271">
        <v>2025</v>
      </c>
    </row>
    <row r="2272" spans="1:18">
      <c r="A2272">
        <v>511.77</v>
      </c>
      <c r="B2272">
        <v>3</v>
      </c>
      <c r="C2272">
        <v>2271</v>
      </c>
      <c r="D2272" s="2">
        <v>0.68787370370370371</v>
      </c>
      <c r="E2272" t="s">
        <v>1732</v>
      </c>
      <c r="F2272" t="s">
        <v>1733</v>
      </c>
      <c r="G2272" t="s">
        <v>1734</v>
      </c>
      <c r="H2272" t="s">
        <v>15</v>
      </c>
      <c r="I2272" t="s">
        <v>834</v>
      </c>
      <c r="J2272" t="s">
        <v>735</v>
      </c>
      <c r="K2272" t="s">
        <v>51</v>
      </c>
      <c r="L2272">
        <v>170.59</v>
      </c>
      <c r="M2272" s="1">
        <v>45916</v>
      </c>
      <c r="N2272" t="s">
        <v>48</v>
      </c>
      <c r="O2272">
        <v>16</v>
      </c>
      <c r="P2272">
        <v>9</v>
      </c>
      <c r="Q2272">
        <v>3</v>
      </c>
      <c r="R2272">
        <v>2025</v>
      </c>
    </row>
    <row r="2273" spans="1:18">
      <c r="A2273">
        <v>356.08</v>
      </c>
      <c r="B2273">
        <v>4</v>
      </c>
      <c r="C2273">
        <v>2272</v>
      </c>
      <c r="D2273" s="2">
        <v>0.29021577546296295</v>
      </c>
      <c r="E2273" t="s">
        <v>2384</v>
      </c>
      <c r="F2273" t="s">
        <v>2385</v>
      </c>
      <c r="G2273" t="s">
        <v>2386</v>
      </c>
      <c r="H2273" t="s">
        <v>1469</v>
      </c>
      <c r="I2273" t="s">
        <v>908</v>
      </c>
      <c r="J2273" t="s">
        <v>399</v>
      </c>
      <c r="K2273" t="s">
        <v>55</v>
      </c>
      <c r="L2273">
        <v>89.02</v>
      </c>
      <c r="M2273" s="1">
        <v>45774</v>
      </c>
      <c r="N2273" t="s">
        <v>28</v>
      </c>
      <c r="O2273">
        <v>27</v>
      </c>
      <c r="P2273">
        <v>4</v>
      </c>
      <c r="Q2273">
        <v>2</v>
      </c>
      <c r="R2273">
        <v>2025</v>
      </c>
    </row>
    <row r="2274" spans="1:18">
      <c r="A2274">
        <v>188.35</v>
      </c>
      <c r="B2274">
        <v>1</v>
      </c>
      <c r="C2274">
        <v>2273</v>
      </c>
      <c r="D2274" s="2">
        <v>0.73235991898148145</v>
      </c>
      <c r="E2274" t="s">
        <v>2602</v>
      </c>
      <c r="F2274" t="s">
        <v>2603</v>
      </c>
      <c r="G2274" t="s">
        <v>932</v>
      </c>
      <c r="H2274" t="s">
        <v>1199</v>
      </c>
      <c r="I2274" t="s">
        <v>839</v>
      </c>
      <c r="J2274" t="s">
        <v>699</v>
      </c>
      <c r="K2274" t="s">
        <v>100</v>
      </c>
      <c r="L2274">
        <v>188.35</v>
      </c>
      <c r="M2274" s="1">
        <v>45998</v>
      </c>
      <c r="N2274" t="s">
        <v>28</v>
      </c>
      <c r="O2274">
        <v>7</v>
      </c>
      <c r="P2274">
        <v>12</v>
      </c>
      <c r="Q2274">
        <v>4</v>
      </c>
      <c r="R2274">
        <v>2025</v>
      </c>
    </row>
    <row r="2275" spans="1:18">
      <c r="A2275">
        <v>953.05000000000007</v>
      </c>
      <c r="B2275">
        <v>5</v>
      </c>
      <c r="C2275">
        <v>2274</v>
      </c>
      <c r="D2275" s="2">
        <v>5.4327777777777777E-3</v>
      </c>
      <c r="E2275" t="s">
        <v>3310</v>
      </c>
      <c r="F2275" t="s">
        <v>3311</v>
      </c>
      <c r="G2275" t="s">
        <v>1582</v>
      </c>
      <c r="H2275" t="s">
        <v>1550</v>
      </c>
      <c r="I2275" t="s">
        <v>776</v>
      </c>
      <c r="J2275" t="s">
        <v>156</v>
      </c>
      <c r="K2275" t="s">
        <v>57</v>
      </c>
      <c r="L2275">
        <v>190.61</v>
      </c>
      <c r="M2275" s="1">
        <v>46243</v>
      </c>
      <c r="N2275" t="s">
        <v>28</v>
      </c>
      <c r="O2275">
        <v>9</v>
      </c>
      <c r="P2275">
        <v>8</v>
      </c>
      <c r="Q2275">
        <v>3</v>
      </c>
      <c r="R2275">
        <v>2026</v>
      </c>
    </row>
    <row r="2276" spans="1:18">
      <c r="A2276">
        <v>428.12</v>
      </c>
      <c r="B2276">
        <v>4</v>
      </c>
      <c r="C2276">
        <v>2275</v>
      </c>
      <c r="D2276" s="2">
        <v>0.43785249999999998</v>
      </c>
      <c r="E2276" t="s">
        <v>2961</v>
      </c>
      <c r="F2276" t="s">
        <v>2962</v>
      </c>
      <c r="G2276" t="s">
        <v>2522</v>
      </c>
      <c r="H2276" t="s">
        <v>211</v>
      </c>
      <c r="I2276" t="s">
        <v>812</v>
      </c>
      <c r="J2276" t="s">
        <v>529</v>
      </c>
      <c r="K2276" t="s">
        <v>37</v>
      </c>
      <c r="L2276">
        <v>107.03</v>
      </c>
      <c r="M2276" s="1">
        <v>46117</v>
      </c>
      <c r="N2276" t="s">
        <v>28</v>
      </c>
      <c r="O2276">
        <v>5</v>
      </c>
      <c r="P2276">
        <v>4</v>
      </c>
      <c r="Q2276">
        <v>2</v>
      </c>
      <c r="R2276">
        <v>2026</v>
      </c>
    </row>
    <row r="2277" spans="1:18">
      <c r="A2277">
        <v>33.050000000000004</v>
      </c>
      <c r="B2277">
        <v>5</v>
      </c>
      <c r="C2277">
        <v>2276</v>
      </c>
      <c r="D2277" s="2">
        <v>0.89131707175925923</v>
      </c>
      <c r="E2277" t="s">
        <v>1887</v>
      </c>
      <c r="F2277" t="s">
        <v>1888</v>
      </c>
      <c r="G2277" t="s">
        <v>1562</v>
      </c>
      <c r="H2277" t="s">
        <v>1302</v>
      </c>
      <c r="I2277" t="s">
        <v>786</v>
      </c>
      <c r="J2277" t="s">
        <v>447</v>
      </c>
      <c r="K2277" t="s">
        <v>21</v>
      </c>
      <c r="L2277">
        <v>6.61</v>
      </c>
      <c r="M2277" s="1">
        <v>45773</v>
      </c>
      <c r="N2277" t="s">
        <v>14</v>
      </c>
      <c r="O2277">
        <v>26</v>
      </c>
      <c r="P2277">
        <v>4</v>
      </c>
      <c r="Q2277">
        <v>2</v>
      </c>
      <c r="R2277">
        <v>2025</v>
      </c>
    </row>
    <row r="2278" spans="1:18">
      <c r="A2278">
        <v>399.56</v>
      </c>
      <c r="B2278">
        <v>2</v>
      </c>
      <c r="C2278">
        <v>2277</v>
      </c>
      <c r="D2278" s="2">
        <v>0.23487812499999999</v>
      </c>
      <c r="E2278" t="s">
        <v>2256</v>
      </c>
      <c r="F2278" t="s">
        <v>2257</v>
      </c>
      <c r="G2278" t="s">
        <v>2232</v>
      </c>
      <c r="H2278" t="s">
        <v>1649</v>
      </c>
      <c r="I2278" t="s">
        <v>790</v>
      </c>
      <c r="J2278" t="s">
        <v>520</v>
      </c>
      <c r="K2278" t="s">
        <v>122</v>
      </c>
      <c r="L2278">
        <v>199.78</v>
      </c>
      <c r="M2278" s="1">
        <v>45680</v>
      </c>
      <c r="N2278" t="s">
        <v>105</v>
      </c>
      <c r="O2278">
        <v>23</v>
      </c>
      <c r="P2278">
        <v>1</v>
      </c>
      <c r="Q2278">
        <v>1</v>
      </c>
      <c r="R2278">
        <v>2025</v>
      </c>
    </row>
    <row r="2279" spans="1:18">
      <c r="A2279">
        <v>269.76</v>
      </c>
      <c r="B2279">
        <v>2</v>
      </c>
      <c r="C2279">
        <v>2278</v>
      </c>
      <c r="D2279" s="2">
        <v>0.60806700231481481</v>
      </c>
      <c r="E2279" t="s">
        <v>2432</v>
      </c>
      <c r="F2279" t="s">
        <v>2433</v>
      </c>
      <c r="G2279" t="s">
        <v>2434</v>
      </c>
      <c r="H2279" t="s">
        <v>1257</v>
      </c>
      <c r="I2279" t="s">
        <v>839</v>
      </c>
      <c r="J2279" t="s">
        <v>595</v>
      </c>
      <c r="K2279" t="s">
        <v>27</v>
      </c>
      <c r="L2279">
        <v>134.88</v>
      </c>
      <c r="M2279" s="1">
        <v>46003</v>
      </c>
      <c r="N2279" t="s">
        <v>79</v>
      </c>
      <c r="O2279">
        <v>12</v>
      </c>
      <c r="P2279">
        <v>12</v>
      </c>
      <c r="Q2279">
        <v>4</v>
      </c>
      <c r="R2279">
        <v>2025</v>
      </c>
    </row>
    <row r="2280" spans="1:18">
      <c r="A2280">
        <v>68.89</v>
      </c>
      <c r="B2280">
        <v>1</v>
      </c>
      <c r="C2280">
        <v>2279</v>
      </c>
      <c r="D2280" s="2">
        <v>0.75407127314814815</v>
      </c>
      <c r="E2280" t="s">
        <v>847</v>
      </c>
      <c r="F2280" t="s">
        <v>848</v>
      </c>
      <c r="G2280" t="s">
        <v>849</v>
      </c>
      <c r="H2280" t="s">
        <v>387</v>
      </c>
      <c r="I2280" t="s">
        <v>821</v>
      </c>
      <c r="J2280" t="s">
        <v>606</v>
      </c>
      <c r="K2280" t="s">
        <v>82</v>
      </c>
      <c r="L2280">
        <v>68.89</v>
      </c>
      <c r="M2280" s="1">
        <v>46087</v>
      </c>
      <c r="N2280" t="s">
        <v>79</v>
      </c>
      <c r="O2280">
        <v>6</v>
      </c>
      <c r="P2280">
        <v>3</v>
      </c>
      <c r="Q2280">
        <v>1</v>
      </c>
      <c r="R2280">
        <v>2026</v>
      </c>
    </row>
    <row r="2281" spans="1:18">
      <c r="A2281">
        <v>547.11</v>
      </c>
      <c r="B2281">
        <v>3</v>
      </c>
      <c r="C2281">
        <v>2280</v>
      </c>
      <c r="D2281" s="2">
        <v>0.44832679398148151</v>
      </c>
      <c r="E2281" t="s">
        <v>2801</v>
      </c>
      <c r="F2281" t="s">
        <v>2802</v>
      </c>
      <c r="G2281" t="s">
        <v>2535</v>
      </c>
      <c r="H2281" t="s">
        <v>713</v>
      </c>
      <c r="I2281" t="s">
        <v>908</v>
      </c>
      <c r="J2281" t="s">
        <v>661</v>
      </c>
      <c r="K2281" t="s">
        <v>122</v>
      </c>
      <c r="L2281">
        <v>182.37</v>
      </c>
      <c r="M2281" s="1">
        <v>45698</v>
      </c>
      <c r="N2281" t="s">
        <v>93</v>
      </c>
      <c r="O2281">
        <v>10</v>
      </c>
      <c r="P2281">
        <v>2</v>
      </c>
      <c r="Q2281">
        <v>1</v>
      </c>
      <c r="R2281">
        <v>2025</v>
      </c>
    </row>
    <row r="2282" spans="1:18">
      <c r="A2282">
        <v>312.82</v>
      </c>
      <c r="B2282">
        <v>2</v>
      </c>
      <c r="C2282">
        <v>2281</v>
      </c>
      <c r="D2282" s="2">
        <v>0.84680996527777774</v>
      </c>
      <c r="E2282" t="s">
        <v>1914</v>
      </c>
      <c r="F2282" t="s">
        <v>1915</v>
      </c>
      <c r="G2282" t="s">
        <v>976</v>
      </c>
      <c r="H2282" t="s">
        <v>1199</v>
      </c>
      <c r="I2282" t="s">
        <v>839</v>
      </c>
      <c r="J2282" t="s">
        <v>238</v>
      </c>
      <c r="K2282" t="s">
        <v>97</v>
      </c>
      <c r="L2282">
        <v>156.41</v>
      </c>
      <c r="M2282" s="1">
        <v>46027</v>
      </c>
      <c r="N2282" t="s">
        <v>93</v>
      </c>
      <c r="O2282">
        <v>5</v>
      </c>
      <c r="P2282">
        <v>1</v>
      </c>
      <c r="Q2282">
        <v>1</v>
      </c>
      <c r="R2282">
        <v>2026</v>
      </c>
    </row>
    <row r="2283" spans="1:18">
      <c r="A2283">
        <v>906.2</v>
      </c>
      <c r="B2283">
        <v>5</v>
      </c>
      <c r="C2283">
        <v>2282</v>
      </c>
      <c r="D2283" s="2">
        <v>0.52655325231481487</v>
      </c>
      <c r="E2283" t="s">
        <v>2406</v>
      </c>
      <c r="F2283" t="s">
        <v>2407</v>
      </c>
      <c r="G2283" t="s">
        <v>994</v>
      </c>
      <c r="H2283" t="s">
        <v>478</v>
      </c>
      <c r="I2283" t="s">
        <v>781</v>
      </c>
      <c r="J2283" t="s">
        <v>81</v>
      </c>
      <c r="K2283" t="s">
        <v>82</v>
      </c>
      <c r="L2283">
        <v>181.24</v>
      </c>
      <c r="M2283" s="1">
        <v>45644</v>
      </c>
      <c r="N2283" t="s">
        <v>34</v>
      </c>
      <c r="O2283">
        <v>18</v>
      </c>
      <c r="P2283">
        <v>12</v>
      </c>
      <c r="Q2283">
        <v>4</v>
      </c>
      <c r="R2283">
        <v>2024</v>
      </c>
    </row>
    <row r="2284" spans="1:18">
      <c r="A2284">
        <v>921.08</v>
      </c>
      <c r="B2284">
        <v>4</v>
      </c>
      <c r="C2284">
        <v>2283</v>
      </c>
      <c r="D2284" s="2">
        <v>0.8074805439814815</v>
      </c>
      <c r="E2284" t="s">
        <v>1040</v>
      </c>
      <c r="F2284" t="s">
        <v>1041</v>
      </c>
      <c r="G2284" t="s">
        <v>1042</v>
      </c>
      <c r="H2284" t="s">
        <v>942</v>
      </c>
      <c r="I2284" t="s">
        <v>943</v>
      </c>
      <c r="J2284" t="s">
        <v>200</v>
      </c>
      <c r="K2284" t="s">
        <v>17</v>
      </c>
      <c r="L2284">
        <v>230.27</v>
      </c>
      <c r="M2284" s="1">
        <v>46170</v>
      </c>
      <c r="N2284" t="s">
        <v>105</v>
      </c>
      <c r="O2284">
        <v>28</v>
      </c>
      <c r="P2284">
        <v>5</v>
      </c>
      <c r="Q2284">
        <v>2</v>
      </c>
      <c r="R2284">
        <v>2026</v>
      </c>
    </row>
    <row r="2285" spans="1:18">
      <c r="A2285">
        <v>953.8</v>
      </c>
      <c r="B2285">
        <v>5</v>
      </c>
      <c r="C2285">
        <v>2284</v>
      </c>
      <c r="D2285" s="2">
        <v>0.53724341435185186</v>
      </c>
      <c r="E2285" t="s">
        <v>1427</v>
      </c>
      <c r="F2285" t="s">
        <v>1428</v>
      </c>
      <c r="G2285" t="s">
        <v>1429</v>
      </c>
      <c r="H2285" t="s">
        <v>1168</v>
      </c>
      <c r="I2285" t="s">
        <v>758</v>
      </c>
      <c r="J2285" t="s">
        <v>1430</v>
      </c>
      <c r="K2285" t="s">
        <v>60</v>
      </c>
      <c r="L2285">
        <v>190.76</v>
      </c>
      <c r="M2285" s="1">
        <v>45894</v>
      </c>
      <c r="N2285" t="s">
        <v>93</v>
      </c>
      <c r="O2285">
        <v>25</v>
      </c>
      <c r="P2285">
        <v>8</v>
      </c>
      <c r="Q2285">
        <v>3</v>
      </c>
      <c r="R2285">
        <v>2025</v>
      </c>
    </row>
    <row r="2286" spans="1:18">
      <c r="A2286">
        <v>821.35</v>
      </c>
      <c r="B2286">
        <v>5</v>
      </c>
      <c r="C2286">
        <v>2285</v>
      </c>
      <c r="D2286" s="2">
        <v>0.31583092592592593</v>
      </c>
      <c r="E2286" t="s">
        <v>2752</v>
      </c>
      <c r="F2286" t="s">
        <v>2753</v>
      </c>
      <c r="G2286" t="s">
        <v>2754</v>
      </c>
      <c r="H2286" t="s">
        <v>1327</v>
      </c>
      <c r="I2286" t="s">
        <v>795</v>
      </c>
      <c r="J2286" t="s">
        <v>127</v>
      </c>
      <c r="K2286" t="s">
        <v>21</v>
      </c>
      <c r="L2286">
        <v>164.27</v>
      </c>
      <c r="M2286" s="1">
        <v>45816</v>
      </c>
      <c r="N2286" t="s">
        <v>28</v>
      </c>
      <c r="O2286">
        <v>8</v>
      </c>
      <c r="P2286">
        <v>6</v>
      </c>
      <c r="Q2286">
        <v>2</v>
      </c>
      <c r="R2286">
        <v>2025</v>
      </c>
    </row>
    <row r="2287" spans="1:18">
      <c r="A2287">
        <v>742.65</v>
      </c>
      <c r="B2287">
        <v>5</v>
      </c>
      <c r="C2287">
        <v>2286</v>
      </c>
      <c r="D2287" s="2">
        <v>0.90530416666666669</v>
      </c>
      <c r="E2287" t="s">
        <v>1789</v>
      </c>
      <c r="F2287" t="s">
        <v>1790</v>
      </c>
      <c r="G2287" t="s">
        <v>1791</v>
      </c>
      <c r="H2287" t="s">
        <v>1630</v>
      </c>
      <c r="I2287" t="s">
        <v>763</v>
      </c>
      <c r="J2287" t="s">
        <v>104</v>
      </c>
      <c r="K2287" t="s">
        <v>51</v>
      </c>
      <c r="L2287">
        <v>148.53</v>
      </c>
      <c r="M2287" s="1">
        <v>46046</v>
      </c>
      <c r="N2287" t="s">
        <v>14</v>
      </c>
      <c r="O2287">
        <v>24</v>
      </c>
      <c r="P2287">
        <v>1</v>
      </c>
      <c r="Q2287">
        <v>1</v>
      </c>
      <c r="R2287">
        <v>2026</v>
      </c>
    </row>
    <row r="2288" spans="1:18">
      <c r="A2288">
        <v>601.45000000000005</v>
      </c>
      <c r="B2288">
        <v>5</v>
      </c>
      <c r="C2288">
        <v>2287</v>
      </c>
      <c r="D2288" s="2">
        <v>0.19998990740740741</v>
      </c>
      <c r="E2288" t="s">
        <v>2480</v>
      </c>
      <c r="F2288" t="s">
        <v>2308</v>
      </c>
      <c r="G2288" t="s">
        <v>789</v>
      </c>
      <c r="H2288" t="s">
        <v>708</v>
      </c>
      <c r="I2288" t="s">
        <v>834</v>
      </c>
      <c r="J2288" t="s">
        <v>290</v>
      </c>
      <c r="K2288" t="s">
        <v>17</v>
      </c>
      <c r="L2288">
        <v>120.29</v>
      </c>
      <c r="M2288" s="1">
        <v>45898</v>
      </c>
      <c r="N2288" t="s">
        <v>79</v>
      </c>
      <c r="O2288">
        <v>29</v>
      </c>
      <c r="P2288">
        <v>8</v>
      </c>
      <c r="Q2288">
        <v>3</v>
      </c>
      <c r="R2288">
        <v>2025</v>
      </c>
    </row>
    <row r="2289" spans="1:18">
      <c r="A2289">
        <v>210.35</v>
      </c>
      <c r="B2289">
        <v>5</v>
      </c>
      <c r="C2289">
        <v>2288</v>
      </c>
      <c r="D2289" s="2">
        <v>0.69001775462962966</v>
      </c>
      <c r="E2289" t="s">
        <v>3320</v>
      </c>
      <c r="F2289" t="s">
        <v>3321</v>
      </c>
      <c r="G2289" t="s">
        <v>3322</v>
      </c>
      <c r="H2289" t="s">
        <v>199</v>
      </c>
      <c r="I2289" t="s">
        <v>781</v>
      </c>
      <c r="J2289" t="s">
        <v>629</v>
      </c>
      <c r="K2289" t="s">
        <v>43</v>
      </c>
      <c r="L2289">
        <v>42.07</v>
      </c>
      <c r="M2289" s="1">
        <v>45676</v>
      </c>
      <c r="N2289" t="s">
        <v>28</v>
      </c>
      <c r="O2289">
        <v>19</v>
      </c>
      <c r="P2289">
        <v>1</v>
      </c>
      <c r="Q2289">
        <v>1</v>
      </c>
      <c r="R2289">
        <v>2025</v>
      </c>
    </row>
    <row r="2290" spans="1:18">
      <c r="A2290">
        <v>706.80000000000007</v>
      </c>
      <c r="B2290">
        <v>5</v>
      </c>
      <c r="C2290">
        <v>2289</v>
      </c>
      <c r="D2290" s="2">
        <v>0.3165853935185185</v>
      </c>
      <c r="E2290" t="s">
        <v>3163</v>
      </c>
      <c r="F2290" t="s">
        <v>3164</v>
      </c>
      <c r="G2290" t="s">
        <v>2530</v>
      </c>
      <c r="H2290" t="s">
        <v>879</v>
      </c>
      <c r="I2290" t="s">
        <v>748</v>
      </c>
      <c r="J2290" t="s">
        <v>181</v>
      </c>
      <c r="K2290" t="s">
        <v>82</v>
      </c>
      <c r="L2290">
        <v>141.36000000000001</v>
      </c>
      <c r="M2290" s="1">
        <v>45777</v>
      </c>
      <c r="N2290" t="s">
        <v>34</v>
      </c>
      <c r="O2290">
        <v>30</v>
      </c>
      <c r="P2290">
        <v>4</v>
      </c>
      <c r="Q2290">
        <v>2</v>
      </c>
      <c r="R2290">
        <v>2025</v>
      </c>
    </row>
    <row r="2291" spans="1:18">
      <c r="A2291">
        <v>54.02</v>
      </c>
      <c r="B2291">
        <v>2</v>
      </c>
      <c r="C2291">
        <v>2290</v>
      </c>
      <c r="D2291" s="2">
        <v>8.6022534722222224E-2</v>
      </c>
      <c r="E2291" t="s">
        <v>1027</v>
      </c>
      <c r="F2291" t="s">
        <v>1028</v>
      </c>
      <c r="G2291" t="s">
        <v>805</v>
      </c>
      <c r="H2291" t="s">
        <v>825</v>
      </c>
      <c r="I2291" t="s">
        <v>781</v>
      </c>
      <c r="J2291" t="s">
        <v>117</v>
      </c>
      <c r="K2291" t="s">
        <v>55</v>
      </c>
      <c r="L2291">
        <v>27.01</v>
      </c>
      <c r="M2291" s="1">
        <v>45729</v>
      </c>
      <c r="N2291" t="s">
        <v>105</v>
      </c>
      <c r="O2291">
        <v>13</v>
      </c>
      <c r="P2291">
        <v>3</v>
      </c>
      <c r="Q2291">
        <v>1</v>
      </c>
      <c r="R2291">
        <v>2025</v>
      </c>
    </row>
    <row r="2292" spans="1:18">
      <c r="A2292">
        <v>90.13</v>
      </c>
      <c r="B2292">
        <v>1</v>
      </c>
      <c r="C2292">
        <v>2291</v>
      </c>
      <c r="D2292" s="2">
        <v>0.35214694444444444</v>
      </c>
      <c r="E2292" t="s">
        <v>1575</v>
      </c>
      <c r="F2292" t="s">
        <v>1576</v>
      </c>
      <c r="G2292" t="s">
        <v>1577</v>
      </c>
      <c r="H2292" t="s">
        <v>392</v>
      </c>
      <c r="I2292" t="s">
        <v>834</v>
      </c>
      <c r="J2292" t="s">
        <v>304</v>
      </c>
      <c r="K2292" t="s">
        <v>100</v>
      </c>
      <c r="L2292">
        <v>90.13</v>
      </c>
      <c r="M2292" s="1">
        <v>46018</v>
      </c>
      <c r="N2292" t="s">
        <v>14</v>
      </c>
      <c r="O2292">
        <v>27</v>
      </c>
      <c r="P2292">
        <v>12</v>
      </c>
      <c r="Q2292">
        <v>4</v>
      </c>
      <c r="R2292">
        <v>2025</v>
      </c>
    </row>
    <row r="2293" spans="1:18">
      <c r="A2293">
        <v>79.13</v>
      </c>
      <c r="B2293">
        <v>1</v>
      </c>
      <c r="C2293">
        <v>2292</v>
      </c>
      <c r="D2293" s="2">
        <v>0.42896879629629631</v>
      </c>
      <c r="E2293" t="s">
        <v>1275</v>
      </c>
      <c r="F2293" t="s">
        <v>1276</v>
      </c>
      <c r="G2293" t="s">
        <v>1245</v>
      </c>
      <c r="H2293" t="s">
        <v>965</v>
      </c>
      <c r="I2293" t="s">
        <v>839</v>
      </c>
      <c r="J2293" t="s">
        <v>83</v>
      </c>
      <c r="K2293" t="s">
        <v>51</v>
      </c>
      <c r="L2293">
        <v>79.13</v>
      </c>
      <c r="M2293" s="1">
        <v>45868</v>
      </c>
      <c r="N2293" t="s">
        <v>34</v>
      </c>
      <c r="O2293">
        <v>30</v>
      </c>
      <c r="P2293">
        <v>7</v>
      </c>
      <c r="Q2293">
        <v>3</v>
      </c>
      <c r="R2293">
        <v>2025</v>
      </c>
    </row>
    <row r="2294" spans="1:18">
      <c r="A2294">
        <v>346.64</v>
      </c>
      <c r="B2294">
        <v>2</v>
      </c>
      <c r="C2294">
        <v>2293</v>
      </c>
      <c r="D2294" s="2">
        <v>0.39848312499999999</v>
      </c>
      <c r="E2294" t="s">
        <v>2506</v>
      </c>
      <c r="F2294" t="s">
        <v>2507</v>
      </c>
      <c r="G2294" t="s">
        <v>1295</v>
      </c>
      <c r="H2294" t="s">
        <v>74</v>
      </c>
      <c r="I2294" t="s">
        <v>943</v>
      </c>
      <c r="J2294" t="s">
        <v>303</v>
      </c>
      <c r="K2294" t="s">
        <v>19</v>
      </c>
      <c r="L2294">
        <v>173.32</v>
      </c>
      <c r="M2294" s="1">
        <v>45898</v>
      </c>
      <c r="N2294" t="s">
        <v>79</v>
      </c>
      <c r="O2294">
        <v>29</v>
      </c>
      <c r="P2294">
        <v>8</v>
      </c>
      <c r="Q2294">
        <v>3</v>
      </c>
      <c r="R2294">
        <v>2025</v>
      </c>
    </row>
    <row r="2295" spans="1:18">
      <c r="A2295">
        <v>320.86</v>
      </c>
      <c r="B2295">
        <v>2</v>
      </c>
      <c r="C2295">
        <v>2294</v>
      </c>
      <c r="D2295" s="2">
        <v>0.95551751157407405</v>
      </c>
      <c r="E2295" t="s">
        <v>3492</v>
      </c>
      <c r="F2295" t="s">
        <v>3493</v>
      </c>
      <c r="G2295" t="s">
        <v>1452</v>
      </c>
      <c r="H2295" t="s">
        <v>1342</v>
      </c>
      <c r="I2295" t="s">
        <v>776</v>
      </c>
      <c r="J2295" t="s">
        <v>424</v>
      </c>
      <c r="K2295" t="s">
        <v>69</v>
      </c>
      <c r="L2295">
        <v>160.43</v>
      </c>
      <c r="M2295" s="1">
        <v>46100</v>
      </c>
      <c r="N2295" t="s">
        <v>105</v>
      </c>
      <c r="O2295">
        <v>19</v>
      </c>
      <c r="P2295">
        <v>3</v>
      </c>
      <c r="Q2295">
        <v>1</v>
      </c>
      <c r="R2295">
        <v>2026</v>
      </c>
    </row>
    <row r="2296" spans="1:18">
      <c r="A2296">
        <v>293.85000000000002</v>
      </c>
      <c r="B2296">
        <v>5</v>
      </c>
      <c r="C2296">
        <v>2295</v>
      </c>
      <c r="D2296" s="2">
        <v>0.90110597222222222</v>
      </c>
      <c r="E2296" t="s">
        <v>2159</v>
      </c>
      <c r="F2296" t="s">
        <v>2160</v>
      </c>
      <c r="G2296" t="s">
        <v>1559</v>
      </c>
      <c r="H2296" t="s">
        <v>919</v>
      </c>
      <c r="I2296" t="s">
        <v>786</v>
      </c>
      <c r="J2296" t="s">
        <v>262</v>
      </c>
      <c r="K2296" t="s">
        <v>21</v>
      </c>
      <c r="L2296">
        <v>58.77</v>
      </c>
      <c r="M2296" s="1">
        <v>46077</v>
      </c>
      <c r="N2296" t="s">
        <v>48</v>
      </c>
      <c r="O2296">
        <v>24</v>
      </c>
      <c r="P2296">
        <v>2</v>
      </c>
      <c r="Q2296">
        <v>1</v>
      </c>
      <c r="R2296">
        <v>2026</v>
      </c>
    </row>
    <row r="2297" spans="1:18">
      <c r="A2297">
        <v>725.93999999999994</v>
      </c>
      <c r="B2297">
        <v>3</v>
      </c>
      <c r="C2297">
        <v>2296</v>
      </c>
      <c r="D2297" s="2">
        <v>0.55739228009259256</v>
      </c>
      <c r="E2297" t="s">
        <v>840</v>
      </c>
      <c r="F2297" t="s">
        <v>841</v>
      </c>
      <c r="G2297" t="s">
        <v>842</v>
      </c>
      <c r="H2297" t="s">
        <v>843</v>
      </c>
      <c r="I2297" t="s">
        <v>753</v>
      </c>
      <c r="J2297" t="s">
        <v>203</v>
      </c>
      <c r="K2297" t="s">
        <v>100</v>
      </c>
      <c r="L2297">
        <v>241.98</v>
      </c>
      <c r="M2297" s="1">
        <v>45699</v>
      </c>
      <c r="N2297" t="s">
        <v>48</v>
      </c>
      <c r="O2297">
        <v>11</v>
      </c>
      <c r="P2297">
        <v>2</v>
      </c>
      <c r="Q2297">
        <v>1</v>
      </c>
      <c r="R2297">
        <v>2025</v>
      </c>
    </row>
    <row r="2298" spans="1:18">
      <c r="A2298">
        <v>22.48</v>
      </c>
      <c r="B2298">
        <v>1</v>
      </c>
      <c r="C2298">
        <v>2297</v>
      </c>
      <c r="D2298" s="2">
        <v>0.89308663194444449</v>
      </c>
      <c r="E2298" t="s">
        <v>870</v>
      </c>
      <c r="F2298" t="s">
        <v>871</v>
      </c>
      <c r="G2298" t="s">
        <v>872</v>
      </c>
      <c r="H2298" t="s">
        <v>869</v>
      </c>
      <c r="I2298" t="s">
        <v>807</v>
      </c>
      <c r="J2298" t="s">
        <v>41</v>
      </c>
      <c r="K2298" t="s">
        <v>39</v>
      </c>
      <c r="L2298">
        <v>22.48</v>
      </c>
      <c r="M2298" s="1">
        <v>45656</v>
      </c>
      <c r="N2298" t="s">
        <v>93</v>
      </c>
      <c r="O2298">
        <v>30</v>
      </c>
      <c r="P2298">
        <v>12</v>
      </c>
      <c r="Q2298">
        <v>4</v>
      </c>
      <c r="R2298">
        <v>2024</v>
      </c>
    </row>
    <row r="2299" spans="1:18">
      <c r="A2299">
        <v>205.24</v>
      </c>
      <c r="B2299">
        <v>2</v>
      </c>
      <c r="C2299">
        <v>2298</v>
      </c>
      <c r="D2299" s="2">
        <v>0.60189508101851852</v>
      </c>
      <c r="E2299" t="s">
        <v>909</v>
      </c>
      <c r="F2299" t="s">
        <v>910</v>
      </c>
      <c r="G2299" t="s">
        <v>911</v>
      </c>
      <c r="H2299" t="s">
        <v>29</v>
      </c>
      <c r="I2299" t="s">
        <v>763</v>
      </c>
      <c r="J2299" t="s">
        <v>348</v>
      </c>
      <c r="K2299" t="s">
        <v>60</v>
      </c>
      <c r="L2299">
        <v>102.62</v>
      </c>
      <c r="M2299" s="1">
        <v>45925</v>
      </c>
      <c r="N2299" t="s">
        <v>105</v>
      </c>
      <c r="O2299">
        <v>25</v>
      </c>
      <c r="P2299">
        <v>9</v>
      </c>
      <c r="Q2299">
        <v>3</v>
      </c>
      <c r="R2299">
        <v>2025</v>
      </c>
    </row>
    <row r="2300" spans="1:18">
      <c r="A2300">
        <v>437.40000000000003</v>
      </c>
      <c r="B2300">
        <v>5</v>
      </c>
      <c r="C2300">
        <v>2299</v>
      </c>
      <c r="D2300" s="2">
        <v>0.80441609953703708</v>
      </c>
      <c r="E2300" t="s">
        <v>1491</v>
      </c>
      <c r="F2300" t="s">
        <v>1492</v>
      </c>
      <c r="G2300" t="s">
        <v>1493</v>
      </c>
      <c r="H2300" t="s">
        <v>1401</v>
      </c>
      <c r="I2300" t="s">
        <v>943</v>
      </c>
      <c r="J2300" t="s">
        <v>604</v>
      </c>
      <c r="K2300" t="s">
        <v>69</v>
      </c>
      <c r="L2300">
        <v>87.48</v>
      </c>
      <c r="M2300" s="1">
        <v>45639</v>
      </c>
      <c r="N2300" t="s">
        <v>79</v>
      </c>
      <c r="O2300">
        <v>13</v>
      </c>
      <c r="P2300">
        <v>12</v>
      </c>
      <c r="Q2300">
        <v>4</v>
      </c>
      <c r="R2300">
        <v>2024</v>
      </c>
    </row>
    <row r="2301" spans="1:18">
      <c r="A2301">
        <v>155.13</v>
      </c>
      <c r="B2301">
        <v>3</v>
      </c>
      <c r="C2301">
        <v>2300</v>
      </c>
      <c r="D2301" s="2">
        <v>0.58778991898148147</v>
      </c>
      <c r="E2301" t="s">
        <v>3473</v>
      </c>
      <c r="F2301" t="s">
        <v>3474</v>
      </c>
      <c r="G2301" t="s">
        <v>1074</v>
      </c>
      <c r="H2301" t="s">
        <v>160</v>
      </c>
      <c r="I2301" t="s">
        <v>790</v>
      </c>
      <c r="J2301" t="s">
        <v>26</v>
      </c>
      <c r="K2301" t="s">
        <v>27</v>
      </c>
      <c r="L2301">
        <v>51.71</v>
      </c>
      <c r="M2301" s="1">
        <v>46118</v>
      </c>
      <c r="N2301" t="s">
        <v>93</v>
      </c>
      <c r="O2301">
        <v>6</v>
      </c>
      <c r="P2301">
        <v>4</v>
      </c>
      <c r="Q2301">
        <v>2</v>
      </c>
      <c r="R2301">
        <v>2026</v>
      </c>
    </row>
    <row r="2302" spans="1:18">
      <c r="A2302">
        <v>93.88</v>
      </c>
      <c r="B2302">
        <v>4</v>
      </c>
      <c r="C2302">
        <v>2301</v>
      </c>
      <c r="D2302" s="2">
        <v>0.47159403935185185</v>
      </c>
      <c r="E2302" t="s">
        <v>3201</v>
      </c>
      <c r="F2302" t="s">
        <v>3202</v>
      </c>
      <c r="G2302" t="s">
        <v>2848</v>
      </c>
      <c r="H2302" t="s">
        <v>1061</v>
      </c>
      <c r="I2302" t="s">
        <v>834</v>
      </c>
      <c r="J2302" t="s">
        <v>492</v>
      </c>
      <c r="K2302" t="s">
        <v>21</v>
      </c>
      <c r="L2302">
        <v>23.47</v>
      </c>
      <c r="M2302" s="1">
        <v>45749</v>
      </c>
      <c r="N2302" t="s">
        <v>34</v>
      </c>
      <c r="O2302">
        <v>2</v>
      </c>
      <c r="P2302">
        <v>4</v>
      </c>
      <c r="Q2302">
        <v>2</v>
      </c>
      <c r="R2302">
        <v>2025</v>
      </c>
    </row>
    <row r="2303" spans="1:18">
      <c r="A2303">
        <v>297.8</v>
      </c>
      <c r="B2303">
        <v>5</v>
      </c>
      <c r="C2303">
        <v>2302</v>
      </c>
      <c r="D2303" s="2">
        <v>0.94071513888888891</v>
      </c>
      <c r="E2303" t="s">
        <v>1898</v>
      </c>
      <c r="F2303" t="s">
        <v>1899</v>
      </c>
      <c r="G2303" t="s">
        <v>824</v>
      </c>
      <c r="H2303" t="s">
        <v>762</v>
      </c>
      <c r="I2303" t="s">
        <v>763</v>
      </c>
      <c r="J2303" t="s">
        <v>573</v>
      </c>
      <c r="K2303" t="s">
        <v>55</v>
      </c>
      <c r="L2303">
        <v>59.56</v>
      </c>
      <c r="M2303" s="1">
        <v>46117</v>
      </c>
      <c r="N2303" t="s">
        <v>28</v>
      </c>
      <c r="O2303">
        <v>5</v>
      </c>
      <c r="P2303">
        <v>4</v>
      </c>
      <c r="Q2303">
        <v>2</v>
      </c>
      <c r="R2303">
        <v>2026</v>
      </c>
    </row>
    <row r="2304" spans="1:18">
      <c r="A2304">
        <v>27.119999999999997</v>
      </c>
      <c r="B2304">
        <v>3</v>
      </c>
      <c r="C2304">
        <v>2303</v>
      </c>
      <c r="D2304" s="2">
        <v>0.84200369212962967</v>
      </c>
      <c r="E2304" t="s">
        <v>3095</v>
      </c>
      <c r="F2304" t="s">
        <v>3096</v>
      </c>
      <c r="G2304" t="s">
        <v>3097</v>
      </c>
      <c r="H2304" t="s">
        <v>1092</v>
      </c>
      <c r="I2304" t="s">
        <v>763</v>
      </c>
      <c r="J2304" t="s">
        <v>278</v>
      </c>
      <c r="K2304" t="s">
        <v>39</v>
      </c>
      <c r="L2304">
        <v>9.0399999999999991</v>
      </c>
      <c r="M2304" s="1">
        <v>46170</v>
      </c>
      <c r="N2304" t="s">
        <v>105</v>
      </c>
      <c r="O2304">
        <v>28</v>
      </c>
      <c r="P2304">
        <v>5</v>
      </c>
      <c r="Q2304">
        <v>2</v>
      </c>
      <c r="R2304">
        <v>2026</v>
      </c>
    </row>
    <row r="2305" spans="1:18">
      <c r="A2305">
        <v>25.25</v>
      </c>
      <c r="B2305">
        <v>5</v>
      </c>
      <c r="C2305">
        <v>2304</v>
      </c>
      <c r="D2305" s="2">
        <v>0.76590165509259256</v>
      </c>
      <c r="E2305" t="s">
        <v>1857</v>
      </c>
      <c r="F2305" t="s">
        <v>1858</v>
      </c>
      <c r="G2305" t="s">
        <v>1859</v>
      </c>
      <c r="H2305" t="s">
        <v>15</v>
      </c>
      <c r="I2305" t="s">
        <v>834</v>
      </c>
      <c r="J2305" t="s">
        <v>182</v>
      </c>
      <c r="K2305" t="s">
        <v>39</v>
      </c>
      <c r="L2305">
        <v>5.05</v>
      </c>
      <c r="M2305" s="1">
        <v>46029</v>
      </c>
      <c r="N2305" t="s">
        <v>34</v>
      </c>
      <c r="O2305">
        <v>7</v>
      </c>
      <c r="P2305">
        <v>1</v>
      </c>
      <c r="Q2305">
        <v>1</v>
      </c>
      <c r="R2305">
        <v>2026</v>
      </c>
    </row>
    <row r="2306" spans="1:18">
      <c r="A2306">
        <v>258.55</v>
      </c>
      <c r="B2306">
        <v>5</v>
      </c>
      <c r="C2306">
        <v>2305</v>
      </c>
      <c r="D2306" s="2">
        <v>8.0196180555555552E-2</v>
      </c>
      <c r="E2306" t="s">
        <v>2387</v>
      </c>
      <c r="F2306" t="s">
        <v>2388</v>
      </c>
      <c r="G2306" t="s">
        <v>1590</v>
      </c>
      <c r="H2306" t="s">
        <v>113</v>
      </c>
      <c r="I2306" t="s">
        <v>854</v>
      </c>
      <c r="J2306" t="s">
        <v>26</v>
      </c>
      <c r="K2306" t="s">
        <v>27</v>
      </c>
      <c r="L2306">
        <v>51.71</v>
      </c>
      <c r="M2306" s="1">
        <v>45908</v>
      </c>
      <c r="N2306" t="s">
        <v>93</v>
      </c>
      <c r="O2306">
        <v>8</v>
      </c>
      <c r="P2306">
        <v>9</v>
      </c>
      <c r="Q2306">
        <v>3</v>
      </c>
      <c r="R2306">
        <v>2025</v>
      </c>
    </row>
    <row r="2307" spans="1:18">
      <c r="A2307">
        <v>29.55</v>
      </c>
      <c r="B2307">
        <v>5</v>
      </c>
      <c r="C2307">
        <v>2306</v>
      </c>
      <c r="D2307" s="2">
        <v>0.22672814814814815</v>
      </c>
      <c r="E2307" t="s">
        <v>2472</v>
      </c>
      <c r="F2307" t="s">
        <v>2473</v>
      </c>
      <c r="G2307" t="s">
        <v>2253</v>
      </c>
      <c r="H2307" t="s">
        <v>767</v>
      </c>
      <c r="I2307" t="s">
        <v>768</v>
      </c>
      <c r="J2307" t="s">
        <v>590</v>
      </c>
      <c r="K2307" t="s">
        <v>51</v>
      </c>
      <c r="L2307">
        <v>5.91</v>
      </c>
      <c r="M2307" s="1">
        <v>45827</v>
      </c>
      <c r="N2307" t="s">
        <v>105</v>
      </c>
      <c r="O2307">
        <v>19</v>
      </c>
      <c r="P2307">
        <v>6</v>
      </c>
      <c r="Q2307">
        <v>2</v>
      </c>
      <c r="R2307">
        <v>2025</v>
      </c>
    </row>
    <row r="2308" spans="1:18">
      <c r="A2308">
        <v>1104.25</v>
      </c>
      <c r="B2308">
        <v>5</v>
      </c>
      <c r="C2308">
        <v>2307</v>
      </c>
      <c r="D2308" s="2">
        <v>5.7145266203703707E-2</v>
      </c>
      <c r="E2308" t="s">
        <v>1655</v>
      </c>
      <c r="F2308" t="s">
        <v>1656</v>
      </c>
      <c r="G2308" t="s">
        <v>1657</v>
      </c>
      <c r="H2308" t="s">
        <v>199</v>
      </c>
      <c r="I2308" t="s">
        <v>781</v>
      </c>
      <c r="J2308" t="s">
        <v>309</v>
      </c>
      <c r="K2308" t="s">
        <v>100</v>
      </c>
      <c r="L2308">
        <v>220.85</v>
      </c>
      <c r="M2308" s="1">
        <v>45806</v>
      </c>
      <c r="N2308" t="s">
        <v>105</v>
      </c>
      <c r="O2308">
        <v>29</v>
      </c>
      <c r="P2308">
        <v>5</v>
      </c>
      <c r="Q2308">
        <v>2</v>
      </c>
      <c r="R2308">
        <v>2025</v>
      </c>
    </row>
    <row r="2309" spans="1:18">
      <c r="A2309">
        <v>111.06</v>
      </c>
      <c r="B2309">
        <v>1</v>
      </c>
      <c r="C2309">
        <v>2308</v>
      </c>
      <c r="D2309" s="2">
        <v>0.90643273148148151</v>
      </c>
      <c r="E2309" t="s">
        <v>1735</v>
      </c>
      <c r="F2309" t="s">
        <v>1736</v>
      </c>
      <c r="G2309" t="s">
        <v>857</v>
      </c>
      <c r="H2309" t="s">
        <v>980</v>
      </c>
      <c r="I2309" t="s">
        <v>981</v>
      </c>
      <c r="J2309" t="s">
        <v>89</v>
      </c>
      <c r="K2309" t="s">
        <v>69</v>
      </c>
      <c r="L2309">
        <v>111.06</v>
      </c>
      <c r="M2309" s="1">
        <v>46136</v>
      </c>
      <c r="N2309" t="s">
        <v>79</v>
      </c>
      <c r="O2309">
        <v>24</v>
      </c>
      <c r="P2309">
        <v>4</v>
      </c>
      <c r="Q2309">
        <v>2</v>
      </c>
      <c r="R2309">
        <v>2026</v>
      </c>
    </row>
    <row r="2310" spans="1:18">
      <c r="A2310">
        <v>79.83</v>
      </c>
      <c r="B2310">
        <v>1</v>
      </c>
      <c r="C2310">
        <v>2309</v>
      </c>
      <c r="D2310" s="2">
        <v>0.21060724537037037</v>
      </c>
      <c r="E2310" t="s">
        <v>840</v>
      </c>
      <c r="F2310" t="s">
        <v>841</v>
      </c>
      <c r="G2310" t="s">
        <v>842</v>
      </c>
      <c r="H2310" t="s">
        <v>843</v>
      </c>
      <c r="I2310" t="s">
        <v>753</v>
      </c>
      <c r="J2310" t="s">
        <v>234</v>
      </c>
      <c r="K2310" t="s">
        <v>82</v>
      </c>
      <c r="L2310">
        <v>79.83</v>
      </c>
      <c r="M2310" s="1">
        <v>46260</v>
      </c>
      <c r="N2310" t="s">
        <v>34</v>
      </c>
      <c r="O2310">
        <v>26</v>
      </c>
      <c r="P2310">
        <v>8</v>
      </c>
      <c r="Q2310">
        <v>3</v>
      </c>
      <c r="R2310">
        <v>2026</v>
      </c>
    </row>
    <row r="2311" spans="1:18">
      <c r="A2311">
        <v>122.18</v>
      </c>
      <c r="B2311">
        <v>1</v>
      </c>
      <c r="C2311">
        <v>2310</v>
      </c>
      <c r="D2311" s="2">
        <v>0.89853358796296301</v>
      </c>
      <c r="E2311" t="s">
        <v>1839</v>
      </c>
      <c r="F2311" t="s">
        <v>1840</v>
      </c>
      <c r="G2311" t="s">
        <v>902</v>
      </c>
      <c r="H2311" t="s">
        <v>1841</v>
      </c>
      <c r="I2311" t="s">
        <v>753</v>
      </c>
      <c r="J2311" t="s">
        <v>433</v>
      </c>
      <c r="K2311" t="s">
        <v>100</v>
      </c>
      <c r="L2311">
        <v>122.18</v>
      </c>
      <c r="M2311" s="1">
        <v>45816</v>
      </c>
      <c r="N2311" t="s">
        <v>28</v>
      </c>
      <c r="O2311">
        <v>8</v>
      </c>
      <c r="P2311">
        <v>6</v>
      </c>
      <c r="Q2311">
        <v>2</v>
      </c>
      <c r="R2311">
        <v>2025</v>
      </c>
    </row>
    <row r="2312" spans="1:18">
      <c r="A2312">
        <v>41.24</v>
      </c>
      <c r="B2312">
        <v>2</v>
      </c>
      <c r="C2312">
        <v>2311</v>
      </c>
      <c r="D2312" s="2">
        <v>0.34574837962962962</v>
      </c>
      <c r="E2312" t="s">
        <v>1325</v>
      </c>
      <c r="F2312" t="s">
        <v>778</v>
      </c>
      <c r="G2312" t="s">
        <v>1326</v>
      </c>
      <c r="H2312" t="s">
        <v>1327</v>
      </c>
      <c r="I2312" t="s">
        <v>795</v>
      </c>
      <c r="J2312" t="s">
        <v>96</v>
      </c>
      <c r="K2312" t="s">
        <v>97</v>
      </c>
      <c r="L2312">
        <v>20.62</v>
      </c>
      <c r="M2312" s="1">
        <v>46001</v>
      </c>
      <c r="N2312" t="s">
        <v>34</v>
      </c>
      <c r="O2312">
        <v>10</v>
      </c>
      <c r="P2312">
        <v>12</v>
      </c>
      <c r="Q2312">
        <v>4</v>
      </c>
      <c r="R2312">
        <v>2025</v>
      </c>
    </row>
    <row r="2313" spans="1:18">
      <c r="A2313">
        <v>161.56</v>
      </c>
      <c r="B2313">
        <v>1</v>
      </c>
      <c r="C2313">
        <v>2312</v>
      </c>
      <c r="D2313" s="2">
        <v>0.64696421296296291</v>
      </c>
      <c r="E2313" t="s">
        <v>933</v>
      </c>
      <c r="F2313" t="s">
        <v>934</v>
      </c>
      <c r="G2313" t="s">
        <v>935</v>
      </c>
      <c r="H2313" t="s">
        <v>322</v>
      </c>
      <c r="I2313" t="s">
        <v>795</v>
      </c>
      <c r="J2313" t="s">
        <v>422</v>
      </c>
      <c r="K2313" t="s">
        <v>122</v>
      </c>
      <c r="L2313">
        <v>161.56</v>
      </c>
      <c r="M2313" s="1">
        <v>46065</v>
      </c>
      <c r="N2313" t="s">
        <v>105</v>
      </c>
      <c r="O2313">
        <v>12</v>
      </c>
      <c r="P2313">
        <v>2</v>
      </c>
      <c r="Q2313">
        <v>1</v>
      </c>
      <c r="R2313">
        <v>2026</v>
      </c>
    </row>
    <row r="2314" spans="1:18">
      <c r="A2314">
        <v>215.48</v>
      </c>
      <c r="B2314">
        <v>4</v>
      </c>
      <c r="C2314">
        <v>2313</v>
      </c>
      <c r="D2314" s="2">
        <v>0.5698196527777778</v>
      </c>
      <c r="E2314" t="s">
        <v>2176</v>
      </c>
      <c r="F2314" t="s">
        <v>2177</v>
      </c>
      <c r="G2314" t="s">
        <v>1768</v>
      </c>
      <c r="H2314" t="s">
        <v>1359</v>
      </c>
      <c r="I2314" t="s">
        <v>768</v>
      </c>
      <c r="J2314" t="s">
        <v>2034</v>
      </c>
      <c r="K2314" t="s">
        <v>100</v>
      </c>
      <c r="L2314">
        <v>53.87</v>
      </c>
      <c r="M2314" s="1">
        <v>45801</v>
      </c>
      <c r="N2314" t="s">
        <v>14</v>
      </c>
      <c r="O2314">
        <v>24</v>
      </c>
      <c r="P2314">
        <v>5</v>
      </c>
      <c r="Q2314">
        <v>2</v>
      </c>
      <c r="R2314">
        <v>2025</v>
      </c>
    </row>
    <row r="2315" spans="1:18">
      <c r="A2315">
        <v>23.26</v>
      </c>
      <c r="B2315">
        <v>2</v>
      </c>
      <c r="C2315">
        <v>2314</v>
      </c>
      <c r="D2315" s="2">
        <v>0.60766696759259264</v>
      </c>
      <c r="E2315" t="s">
        <v>3232</v>
      </c>
      <c r="F2315" t="s">
        <v>3233</v>
      </c>
      <c r="G2315" t="s">
        <v>2331</v>
      </c>
      <c r="H2315" t="s">
        <v>907</v>
      </c>
      <c r="I2315" t="s">
        <v>908</v>
      </c>
      <c r="J2315" t="s">
        <v>301</v>
      </c>
      <c r="K2315" t="s">
        <v>69</v>
      </c>
      <c r="L2315">
        <v>11.63</v>
      </c>
      <c r="M2315" s="1">
        <v>46162</v>
      </c>
      <c r="N2315" t="s">
        <v>34</v>
      </c>
      <c r="O2315">
        <v>20</v>
      </c>
      <c r="P2315">
        <v>5</v>
      </c>
      <c r="Q2315">
        <v>2</v>
      </c>
      <c r="R2315">
        <v>2026</v>
      </c>
    </row>
    <row r="2316" spans="1:18">
      <c r="A2316">
        <v>122.08</v>
      </c>
      <c r="B2316">
        <v>1</v>
      </c>
      <c r="C2316">
        <v>2315</v>
      </c>
      <c r="D2316" s="2">
        <v>0.88713305555555555</v>
      </c>
      <c r="E2316" t="s">
        <v>1153</v>
      </c>
      <c r="F2316" t="s">
        <v>1154</v>
      </c>
      <c r="G2316" t="s">
        <v>1155</v>
      </c>
      <c r="H2316" t="s">
        <v>1156</v>
      </c>
      <c r="I2316" t="s">
        <v>821</v>
      </c>
      <c r="J2316" t="s">
        <v>646</v>
      </c>
      <c r="K2316" t="s">
        <v>21</v>
      </c>
      <c r="L2316">
        <v>122.08</v>
      </c>
      <c r="M2316" s="1">
        <v>45711</v>
      </c>
      <c r="N2316" t="s">
        <v>28</v>
      </c>
      <c r="O2316">
        <v>23</v>
      </c>
      <c r="P2316">
        <v>2</v>
      </c>
      <c r="Q2316">
        <v>1</v>
      </c>
      <c r="R2316">
        <v>2025</v>
      </c>
    </row>
    <row r="2317" spans="1:18">
      <c r="A2317">
        <v>667.53</v>
      </c>
      <c r="B2317">
        <v>3</v>
      </c>
      <c r="C2317">
        <v>2316</v>
      </c>
      <c r="D2317" s="2">
        <v>0.89709702546296299</v>
      </c>
      <c r="E2317" t="s">
        <v>1011</v>
      </c>
      <c r="F2317" t="s">
        <v>1012</v>
      </c>
      <c r="G2317" t="s">
        <v>1013</v>
      </c>
      <c r="H2317" t="s">
        <v>883</v>
      </c>
      <c r="I2317" t="s">
        <v>807</v>
      </c>
      <c r="J2317" t="s">
        <v>142</v>
      </c>
      <c r="K2317" t="s">
        <v>60</v>
      </c>
      <c r="L2317">
        <v>222.51</v>
      </c>
      <c r="M2317" s="1">
        <v>45675</v>
      </c>
      <c r="N2317" t="s">
        <v>14</v>
      </c>
      <c r="O2317">
        <v>18</v>
      </c>
      <c r="P2317">
        <v>1</v>
      </c>
      <c r="Q2317">
        <v>1</v>
      </c>
      <c r="R2317">
        <v>2025</v>
      </c>
    </row>
    <row r="2318" spans="1:18">
      <c r="A2318">
        <v>168.56</v>
      </c>
      <c r="B2318">
        <v>1</v>
      </c>
      <c r="C2318">
        <v>2317</v>
      </c>
      <c r="D2318" s="2">
        <v>0.28804028935185183</v>
      </c>
      <c r="E2318" t="s">
        <v>1782</v>
      </c>
      <c r="F2318" t="s">
        <v>1783</v>
      </c>
      <c r="G2318" t="s">
        <v>1085</v>
      </c>
      <c r="H2318" t="s">
        <v>1002</v>
      </c>
      <c r="I2318" t="s">
        <v>892</v>
      </c>
      <c r="J2318" t="s">
        <v>688</v>
      </c>
      <c r="K2318" t="s">
        <v>17</v>
      </c>
      <c r="L2318">
        <v>168.56</v>
      </c>
      <c r="M2318" s="1">
        <v>45661</v>
      </c>
      <c r="N2318" t="s">
        <v>14</v>
      </c>
      <c r="O2318">
        <v>4</v>
      </c>
      <c r="P2318">
        <v>1</v>
      </c>
      <c r="Q2318">
        <v>1</v>
      </c>
      <c r="R2318">
        <v>2025</v>
      </c>
    </row>
    <row r="2319" spans="1:18">
      <c r="A2319">
        <v>483.06000000000006</v>
      </c>
      <c r="B2319">
        <v>3</v>
      </c>
      <c r="C2319">
        <v>2318</v>
      </c>
      <c r="D2319" s="2">
        <v>0.72949666666666668</v>
      </c>
      <c r="E2319" t="s">
        <v>2230</v>
      </c>
      <c r="F2319" t="s">
        <v>2231</v>
      </c>
      <c r="G2319" t="s">
        <v>2232</v>
      </c>
      <c r="H2319" t="s">
        <v>1002</v>
      </c>
      <c r="I2319" t="s">
        <v>892</v>
      </c>
      <c r="J2319" t="s">
        <v>544</v>
      </c>
      <c r="K2319" t="s">
        <v>46</v>
      </c>
      <c r="L2319">
        <v>161.02000000000001</v>
      </c>
      <c r="M2319" s="1">
        <v>45587</v>
      </c>
      <c r="N2319" t="s">
        <v>48</v>
      </c>
      <c r="O2319">
        <v>22</v>
      </c>
      <c r="P2319">
        <v>10</v>
      </c>
      <c r="Q2319">
        <v>4</v>
      </c>
      <c r="R2319">
        <v>2024</v>
      </c>
    </row>
    <row r="2320" spans="1:18">
      <c r="A2320">
        <v>157.80000000000001</v>
      </c>
      <c r="B2320">
        <v>4</v>
      </c>
      <c r="C2320">
        <v>2319</v>
      </c>
      <c r="D2320" s="2">
        <v>0.44814461805555555</v>
      </c>
      <c r="E2320" t="s">
        <v>1787</v>
      </c>
      <c r="F2320" t="s">
        <v>1788</v>
      </c>
      <c r="G2320" t="s">
        <v>1162</v>
      </c>
      <c r="H2320" t="s">
        <v>767</v>
      </c>
      <c r="I2320" t="s">
        <v>768</v>
      </c>
      <c r="J2320" t="s">
        <v>668</v>
      </c>
      <c r="K2320" t="s">
        <v>46</v>
      </c>
      <c r="L2320">
        <v>39.450000000000003</v>
      </c>
      <c r="M2320" s="1">
        <v>45929</v>
      </c>
      <c r="N2320" t="s">
        <v>93</v>
      </c>
      <c r="O2320">
        <v>29</v>
      </c>
      <c r="P2320">
        <v>9</v>
      </c>
      <c r="Q2320">
        <v>3</v>
      </c>
      <c r="R2320">
        <v>2025</v>
      </c>
    </row>
    <row r="2321" spans="1:18">
      <c r="A2321">
        <v>1228.95</v>
      </c>
      <c r="B2321">
        <v>5</v>
      </c>
      <c r="C2321">
        <v>2320</v>
      </c>
      <c r="D2321" s="2">
        <v>0.65969006944444442</v>
      </c>
      <c r="E2321" t="s">
        <v>2983</v>
      </c>
      <c r="F2321" t="s">
        <v>2570</v>
      </c>
      <c r="G2321" t="s">
        <v>1965</v>
      </c>
      <c r="H2321" t="s">
        <v>869</v>
      </c>
      <c r="I2321" t="s">
        <v>812</v>
      </c>
      <c r="J2321" t="s">
        <v>344</v>
      </c>
      <c r="K2321" t="s">
        <v>19</v>
      </c>
      <c r="L2321">
        <v>245.79</v>
      </c>
      <c r="M2321" s="1">
        <v>46090</v>
      </c>
      <c r="N2321" t="s">
        <v>93</v>
      </c>
      <c r="O2321">
        <v>9</v>
      </c>
      <c r="P2321">
        <v>3</v>
      </c>
      <c r="Q2321">
        <v>1</v>
      </c>
      <c r="R2321">
        <v>2026</v>
      </c>
    </row>
    <row r="2322" spans="1:18">
      <c r="A2322">
        <v>248.72</v>
      </c>
      <c r="B2322">
        <v>4</v>
      </c>
      <c r="C2322">
        <v>2321</v>
      </c>
      <c r="D2322" s="2">
        <v>0.68552999999999997</v>
      </c>
      <c r="E2322" t="s">
        <v>1756</v>
      </c>
      <c r="F2322" t="s">
        <v>1757</v>
      </c>
      <c r="G2322" t="s">
        <v>1679</v>
      </c>
      <c r="H2322" t="s">
        <v>802</v>
      </c>
      <c r="I2322" t="s">
        <v>748</v>
      </c>
      <c r="J2322" t="s">
        <v>276</v>
      </c>
      <c r="K2322" t="s">
        <v>57</v>
      </c>
      <c r="L2322">
        <v>62.18</v>
      </c>
      <c r="M2322" s="1">
        <v>46072</v>
      </c>
      <c r="N2322" t="s">
        <v>105</v>
      </c>
      <c r="O2322">
        <v>19</v>
      </c>
      <c r="P2322">
        <v>2</v>
      </c>
      <c r="Q2322">
        <v>1</v>
      </c>
      <c r="R2322">
        <v>2026</v>
      </c>
    </row>
    <row r="2323" spans="1:18">
      <c r="A2323">
        <v>1211.8000000000002</v>
      </c>
      <c r="B2323">
        <v>5</v>
      </c>
      <c r="C2323">
        <v>2322</v>
      </c>
      <c r="D2323" s="2">
        <v>0.1081025925925926</v>
      </c>
      <c r="E2323" t="s">
        <v>3173</v>
      </c>
      <c r="F2323" t="s">
        <v>3174</v>
      </c>
      <c r="G2323" t="s">
        <v>1906</v>
      </c>
      <c r="H2323" t="s">
        <v>113</v>
      </c>
      <c r="I2323" t="s">
        <v>854</v>
      </c>
      <c r="J2323" t="s">
        <v>115</v>
      </c>
      <c r="K2323" t="s">
        <v>55</v>
      </c>
      <c r="L2323">
        <v>242.36</v>
      </c>
      <c r="M2323" s="1">
        <v>46075</v>
      </c>
      <c r="N2323" t="s">
        <v>28</v>
      </c>
      <c r="O2323">
        <v>22</v>
      </c>
      <c r="P2323">
        <v>2</v>
      </c>
      <c r="Q2323">
        <v>1</v>
      </c>
      <c r="R2323">
        <v>2026</v>
      </c>
    </row>
    <row r="2324" spans="1:18">
      <c r="A2324">
        <v>246.82</v>
      </c>
      <c r="B2324">
        <v>1</v>
      </c>
      <c r="C2324">
        <v>2323</v>
      </c>
      <c r="D2324" s="2">
        <v>0.5537767939814815</v>
      </c>
      <c r="E2324" t="s">
        <v>1480</v>
      </c>
      <c r="F2324" t="s">
        <v>1481</v>
      </c>
      <c r="G2324" t="s">
        <v>1482</v>
      </c>
      <c r="H2324" t="s">
        <v>15</v>
      </c>
      <c r="I2324" t="s">
        <v>834</v>
      </c>
      <c r="J2324" t="s">
        <v>369</v>
      </c>
      <c r="K2324" t="s">
        <v>43</v>
      </c>
      <c r="L2324">
        <v>246.82</v>
      </c>
      <c r="M2324" s="1">
        <v>45860</v>
      </c>
      <c r="N2324" t="s">
        <v>48</v>
      </c>
      <c r="O2324">
        <v>22</v>
      </c>
      <c r="P2324">
        <v>7</v>
      </c>
      <c r="Q2324">
        <v>3</v>
      </c>
      <c r="R2324">
        <v>2025</v>
      </c>
    </row>
    <row r="2325" spans="1:18">
      <c r="A2325">
        <v>14.54</v>
      </c>
      <c r="B2325">
        <v>1</v>
      </c>
      <c r="C2325">
        <v>2324</v>
      </c>
      <c r="D2325" s="2">
        <v>7.9161805555555548E-3</v>
      </c>
      <c r="E2325" t="s">
        <v>1346</v>
      </c>
      <c r="F2325" t="s">
        <v>1347</v>
      </c>
      <c r="G2325" t="s">
        <v>1348</v>
      </c>
      <c r="H2325" t="s">
        <v>548</v>
      </c>
      <c r="I2325" t="s">
        <v>790</v>
      </c>
      <c r="J2325" t="s">
        <v>1349</v>
      </c>
      <c r="K2325" t="s">
        <v>97</v>
      </c>
      <c r="L2325">
        <v>14.54</v>
      </c>
      <c r="M2325" s="1">
        <v>45994</v>
      </c>
      <c r="N2325" t="s">
        <v>34</v>
      </c>
      <c r="O2325">
        <v>3</v>
      </c>
      <c r="P2325">
        <v>12</v>
      </c>
      <c r="Q2325">
        <v>4</v>
      </c>
      <c r="R2325">
        <v>2025</v>
      </c>
    </row>
    <row r="2326" spans="1:18">
      <c r="A2326">
        <v>94.27</v>
      </c>
      <c r="B2326">
        <v>1</v>
      </c>
      <c r="C2326">
        <v>2325</v>
      </c>
      <c r="D2326" s="2">
        <v>0.91593462962962968</v>
      </c>
      <c r="E2326" t="s">
        <v>835</v>
      </c>
      <c r="F2326" t="s">
        <v>836</v>
      </c>
      <c r="G2326" t="s">
        <v>837</v>
      </c>
      <c r="H2326" t="s">
        <v>838</v>
      </c>
      <c r="I2326" t="s">
        <v>839</v>
      </c>
      <c r="J2326" t="s">
        <v>506</v>
      </c>
      <c r="K2326" t="s">
        <v>97</v>
      </c>
      <c r="L2326">
        <v>94.27</v>
      </c>
      <c r="M2326" s="1">
        <v>46188</v>
      </c>
      <c r="N2326" t="s">
        <v>93</v>
      </c>
      <c r="O2326">
        <v>15</v>
      </c>
      <c r="P2326">
        <v>6</v>
      </c>
      <c r="Q2326">
        <v>2</v>
      </c>
      <c r="R2326">
        <v>2026</v>
      </c>
    </row>
    <row r="2327" spans="1:18">
      <c r="A2327">
        <v>68.760000000000005</v>
      </c>
      <c r="B2327">
        <v>3</v>
      </c>
      <c r="C2327">
        <v>2326</v>
      </c>
      <c r="D2327" s="2">
        <v>0.99074523148148153</v>
      </c>
      <c r="E2327" t="s">
        <v>3417</v>
      </c>
      <c r="F2327" t="s">
        <v>3418</v>
      </c>
      <c r="G2327" t="s">
        <v>2721</v>
      </c>
      <c r="H2327" t="s">
        <v>562</v>
      </c>
      <c r="I2327" t="s">
        <v>753</v>
      </c>
      <c r="J2327" t="s">
        <v>167</v>
      </c>
      <c r="K2327" t="s">
        <v>23</v>
      </c>
      <c r="L2327">
        <v>22.92</v>
      </c>
      <c r="M2327" s="1">
        <v>46054</v>
      </c>
      <c r="N2327" t="s">
        <v>28</v>
      </c>
      <c r="O2327">
        <v>1</v>
      </c>
      <c r="P2327">
        <v>2</v>
      </c>
      <c r="Q2327">
        <v>1</v>
      </c>
      <c r="R2327">
        <v>2026</v>
      </c>
    </row>
    <row r="2328" spans="1:18">
      <c r="A2328">
        <v>7.9</v>
      </c>
      <c r="B2328">
        <v>2</v>
      </c>
      <c r="C2328">
        <v>2327</v>
      </c>
      <c r="D2328" s="2">
        <v>0.75170395833333337</v>
      </c>
      <c r="E2328" t="s">
        <v>3070</v>
      </c>
      <c r="F2328" t="s">
        <v>3071</v>
      </c>
      <c r="G2328" t="s">
        <v>798</v>
      </c>
      <c r="H2328" t="s">
        <v>980</v>
      </c>
      <c r="I2328" t="s">
        <v>981</v>
      </c>
      <c r="J2328" t="s">
        <v>187</v>
      </c>
      <c r="K2328" t="s">
        <v>60</v>
      </c>
      <c r="L2328">
        <v>3.95</v>
      </c>
      <c r="M2328" s="1">
        <v>45913</v>
      </c>
      <c r="N2328" t="s">
        <v>14</v>
      </c>
      <c r="O2328">
        <v>13</v>
      </c>
      <c r="P2328">
        <v>9</v>
      </c>
      <c r="Q2328">
        <v>3</v>
      </c>
      <c r="R2328">
        <v>2025</v>
      </c>
    </row>
    <row r="2329" spans="1:18">
      <c r="A2329">
        <v>679.08</v>
      </c>
      <c r="B2329">
        <v>4</v>
      </c>
      <c r="C2329">
        <v>2328</v>
      </c>
      <c r="D2329" s="2">
        <v>0.79127337962962963</v>
      </c>
      <c r="E2329" t="s">
        <v>2363</v>
      </c>
      <c r="F2329" t="s">
        <v>2364</v>
      </c>
      <c r="G2329" t="s">
        <v>2365</v>
      </c>
      <c r="H2329" t="s">
        <v>903</v>
      </c>
      <c r="I2329" t="s">
        <v>786</v>
      </c>
      <c r="J2329" t="s">
        <v>300</v>
      </c>
      <c r="K2329" t="s">
        <v>55</v>
      </c>
      <c r="L2329">
        <v>169.77</v>
      </c>
      <c r="M2329" s="1">
        <v>46022</v>
      </c>
      <c r="N2329" t="s">
        <v>34</v>
      </c>
      <c r="O2329">
        <v>31</v>
      </c>
      <c r="P2329">
        <v>12</v>
      </c>
      <c r="Q2329">
        <v>4</v>
      </c>
      <c r="R2329">
        <v>2025</v>
      </c>
    </row>
    <row r="2330" spans="1:18">
      <c r="A2330">
        <v>105.33</v>
      </c>
      <c r="B2330">
        <v>3</v>
      </c>
      <c r="C2330">
        <v>2329</v>
      </c>
      <c r="D2330" s="2">
        <v>0.32014462962962964</v>
      </c>
      <c r="E2330" t="s">
        <v>2329</v>
      </c>
      <c r="F2330" t="s">
        <v>2330</v>
      </c>
      <c r="G2330" t="s">
        <v>2331</v>
      </c>
      <c r="H2330" t="s">
        <v>2332</v>
      </c>
      <c r="I2330" t="s">
        <v>1003</v>
      </c>
      <c r="J2330" t="s">
        <v>400</v>
      </c>
      <c r="K2330" t="s">
        <v>57</v>
      </c>
      <c r="L2330">
        <v>35.11</v>
      </c>
      <c r="M2330" s="1">
        <v>45550</v>
      </c>
      <c r="N2330" t="s">
        <v>28</v>
      </c>
      <c r="O2330">
        <v>15</v>
      </c>
      <c r="P2330">
        <v>9</v>
      </c>
      <c r="Q2330">
        <v>3</v>
      </c>
      <c r="R2330">
        <v>2024</v>
      </c>
    </row>
    <row r="2331" spans="1:18">
      <c r="A2331">
        <v>640.84999999999991</v>
      </c>
      <c r="B2331">
        <v>5</v>
      </c>
      <c r="C2331">
        <v>2330</v>
      </c>
      <c r="D2331" s="2">
        <v>0.61295251157407404</v>
      </c>
      <c r="E2331" t="s">
        <v>3001</v>
      </c>
      <c r="F2331" t="s">
        <v>3002</v>
      </c>
      <c r="G2331" t="s">
        <v>1231</v>
      </c>
      <c r="H2331" t="s">
        <v>1302</v>
      </c>
      <c r="I2331" t="s">
        <v>786</v>
      </c>
      <c r="J2331" t="s">
        <v>487</v>
      </c>
      <c r="K2331" t="s">
        <v>19</v>
      </c>
      <c r="L2331">
        <v>128.16999999999999</v>
      </c>
      <c r="M2331" s="1">
        <v>45935</v>
      </c>
      <c r="N2331" t="s">
        <v>28</v>
      </c>
      <c r="O2331">
        <v>5</v>
      </c>
      <c r="P2331">
        <v>10</v>
      </c>
      <c r="Q2331">
        <v>4</v>
      </c>
      <c r="R2331">
        <v>2025</v>
      </c>
    </row>
    <row r="2332" spans="1:18">
      <c r="A2332">
        <v>43.81</v>
      </c>
      <c r="B2332">
        <v>1</v>
      </c>
      <c r="C2332">
        <v>2331</v>
      </c>
      <c r="D2332" s="2">
        <v>4.5085196759259261E-2</v>
      </c>
      <c r="E2332" t="s">
        <v>3187</v>
      </c>
      <c r="F2332" t="s">
        <v>3188</v>
      </c>
      <c r="G2332" t="s">
        <v>1501</v>
      </c>
      <c r="H2332" t="s">
        <v>1189</v>
      </c>
      <c r="I2332" t="s">
        <v>892</v>
      </c>
      <c r="J2332" t="s">
        <v>354</v>
      </c>
      <c r="K2332" t="s">
        <v>31</v>
      </c>
      <c r="L2332">
        <v>43.81</v>
      </c>
      <c r="M2332" s="1">
        <v>45702</v>
      </c>
      <c r="N2332" t="s">
        <v>79</v>
      </c>
      <c r="O2332">
        <v>14</v>
      </c>
      <c r="P2332">
        <v>2</v>
      </c>
      <c r="Q2332">
        <v>1</v>
      </c>
      <c r="R2332">
        <v>2025</v>
      </c>
    </row>
    <row r="2333" spans="1:18">
      <c r="A2333">
        <v>215.25</v>
      </c>
      <c r="B2333">
        <v>1</v>
      </c>
      <c r="C2333">
        <v>2332</v>
      </c>
      <c r="D2333" s="2">
        <v>0.73906103009259261</v>
      </c>
      <c r="E2333" t="s">
        <v>3369</v>
      </c>
      <c r="F2333" t="s">
        <v>3370</v>
      </c>
      <c r="G2333" t="s">
        <v>2657</v>
      </c>
      <c r="H2333" t="s">
        <v>1280</v>
      </c>
      <c r="I2333" t="s">
        <v>908</v>
      </c>
      <c r="J2333" t="s">
        <v>148</v>
      </c>
      <c r="K2333" t="s">
        <v>51</v>
      </c>
      <c r="L2333">
        <v>215.25</v>
      </c>
      <c r="M2333" s="1">
        <v>45581</v>
      </c>
      <c r="N2333" t="s">
        <v>34</v>
      </c>
      <c r="O2333">
        <v>16</v>
      </c>
      <c r="P2333">
        <v>10</v>
      </c>
      <c r="Q2333">
        <v>4</v>
      </c>
      <c r="R2333">
        <v>2024</v>
      </c>
    </row>
    <row r="2334" spans="1:18">
      <c r="A2334">
        <v>270.92</v>
      </c>
      <c r="B2334">
        <v>2</v>
      </c>
      <c r="C2334">
        <v>2333</v>
      </c>
      <c r="D2334" s="2">
        <v>0.72637266203703699</v>
      </c>
      <c r="E2334" t="s">
        <v>3349</v>
      </c>
      <c r="F2334" t="s">
        <v>3350</v>
      </c>
      <c r="G2334" t="s">
        <v>2013</v>
      </c>
      <c r="H2334" t="s">
        <v>1206</v>
      </c>
      <c r="I2334" t="s">
        <v>943</v>
      </c>
      <c r="J2334" t="s">
        <v>503</v>
      </c>
      <c r="K2334" t="s">
        <v>43</v>
      </c>
      <c r="L2334">
        <v>135.46</v>
      </c>
      <c r="M2334" s="1">
        <v>45746</v>
      </c>
      <c r="N2334" t="s">
        <v>28</v>
      </c>
      <c r="O2334">
        <v>30</v>
      </c>
      <c r="P2334">
        <v>3</v>
      </c>
      <c r="Q2334">
        <v>1</v>
      </c>
      <c r="R2334">
        <v>2025</v>
      </c>
    </row>
    <row r="2335" spans="1:18">
      <c r="A2335">
        <v>459.7</v>
      </c>
      <c r="B2335">
        <v>2</v>
      </c>
      <c r="C2335">
        <v>2334</v>
      </c>
      <c r="D2335" s="2">
        <v>0.10039210648148149</v>
      </c>
      <c r="E2335" t="s">
        <v>1346</v>
      </c>
      <c r="F2335" t="s">
        <v>1347</v>
      </c>
      <c r="G2335" t="s">
        <v>1348</v>
      </c>
      <c r="H2335" t="s">
        <v>548</v>
      </c>
      <c r="I2335" t="s">
        <v>790</v>
      </c>
      <c r="J2335" t="s">
        <v>63</v>
      </c>
      <c r="K2335" t="s">
        <v>25</v>
      </c>
      <c r="L2335">
        <v>229.85</v>
      </c>
      <c r="M2335" s="1">
        <v>45589</v>
      </c>
      <c r="N2335" t="s">
        <v>105</v>
      </c>
      <c r="O2335">
        <v>24</v>
      </c>
      <c r="P2335">
        <v>10</v>
      </c>
      <c r="Q2335">
        <v>4</v>
      </c>
      <c r="R2335">
        <v>2024</v>
      </c>
    </row>
    <row r="2336" spans="1:18">
      <c r="A2336">
        <v>226.12</v>
      </c>
      <c r="B2336">
        <v>4</v>
      </c>
      <c r="C2336">
        <v>2335</v>
      </c>
      <c r="D2336" s="2">
        <v>0.98810295138888893</v>
      </c>
      <c r="E2336" t="s">
        <v>1186</v>
      </c>
      <c r="F2336" t="s">
        <v>1187</v>
      </c>
      <c r="G2336" t="s">
        <v>1188</v>
      </c>
      <c r="H2336" t="s">
        <v>1189</v>
      </c>
      <c r="I2336" t="s">
        <v>892</v>
      </c>
      <c r="J2336" t="s">
        <v>123</v>
      </c>
      <c r="K2336" t="s">
        <v>43</v>
      </c>
      <c r="L2336">
        <v>56.53</v>
      </c>
      <c r="M2336" s="1">
        <v>45772</v>
      </c>
      <c r="N2336" t="s">
        <v>79</v>
      </c>
      <c r="O2336">
        <v>25</v>
      </c>
      <c r="P2336">
        <v>4</v>
      </c>
      <c r="Q2336">
        <v>2</v>
      </c>
      <c r="R2336">
        <v>2025</v>
      </c>
    </row>
    <row r="2337" spans="1:18">
      <c r="A2337">
        <v>461.08</v>
      </c>
      <c r="B2337">
        <v>4</v>
      </c>
      <c r="C2337">
        <v>2336</v>
      </c>
      <c r="D2337" s="2">
        <v>0.23259986111111111</v>
      </c>
      <c r="E2337" t="s">
        <v>1760</v>
      </c>
      <c r="F2337" t="s">
        <v>1761</v>
      </c>
      <c r="G2337" t="s">
        <v>1603</v>
      </c>
      <c r="H2337" t="s">
        <v>380</v>
      </c>
      <c r="I2337" t="s">
        <v>896</v>
      </c>
      <c r="J2337" t="s">
        <v>198</v>
      </c>
      <c r="K2337" t="s">
        <v>43</v>
      </c>
      <c r="L2337">
        <v>115.27</v>
      </c>
      <c r="M2337" s="1">
        <v>46026</v>
      </c>
      <c r="N2337" t="s">
        <v>28</v>
      </c>
      <c r="O2337">
        <v>4</v>
      </c>
      <c r="P2337">
        <v>1</v>
      </c>
      <c r="Q2337">
        <v>1</v>
      </c>
      <c r="R2337">
        <v>2026</v>
      </c>
    </row>
    <row r="2338" spans="1:18">
      <c r="A2338">
        <v>1194.8499999999999</v>
      </c>
      <c r="B2338">
        <v>5</v>
      </c>
      <c r="C2338">
        <v>2337</v>
      </c>
      <c r="D2338" s="2">
        <v>0.26809519675925925</v>
      </c>
      <c r="E2338" t="s">
        <v>904</v>
      </c>
      <c r="F2338" t="s">
        <v>905</v>
      </c>
      <c r="G2338" t="s">
        <v>906</v>
      </c>
      <c r="H2338" t="s">
        <v>907</v>
      </c>
      <c r="I2338" t="s">
        <v>908</v>
      </c>
      <c r="J2338" t="s">
        <v>180</v>
      </c>
      <c r="K2338" t="s">
        <v>55</v>
      </c>
      <c r="L2338">
        <v>238.97</v>
      </c>
      <c r="M2338" s="1">
        <v>46166</v>
      </c>
      <c r="N2338" t="s">
        <v>28</v>
      </c>
      <c r="O2338">
        <v>24</v>
      </c>
      <c r="P2338">
        <v>5</v>
      </c>
      <c r="Q2338">
        <v>2</v>
      </c>
      <c r="R2338">
        <v>2026</v>
      </c>
    </row>
    <row r="2339" spans="1:18">
      <c r="A2339">
        <v>133.03</v>
      </c>
      <c r="B2339">
        <v>1</v>
      </c>
      <c r="C2339">
        <v>2338</v>
      </c>
      <c r="D2339" s="2">
        <v>0.56357819444444446</v>
      </c>
      <c r="E2339" t="s">
        <v>1522</v>
      </c>
      <c r="F2339" t="s">
        <v>1523</v>
      </c>
      <c r="G2339" t="s">
        <v>1524</v>
      </c>
      <c r="H2339" t="s">
        <v>1525</v>
      </c>
      <c r="I2339" t="s">
        <v>763</v>
      </c>
      <c r="J2339" t="s">
        <v>112</v>
      </c>
      <c r="K2339" t="s">
        <v>21</v>
      </c>
      <c r="L2339">
        <v>133.03</v>
      </c>
      <c r="M2339" s="1">
        <v>45688</v>
      </c>
      <c r="N2339" t="s">
        <v>79</v>
      </c>
      <c r="O2339">
        <v>31</v>
      </c>
      <c r="P2339">
        <v>1</v>
      </c>
      <c r="Q2339">
        <v>1</v>
      </c>
      <c r="R2339">
        <v>2025</v>
      </c>
    </row>
    <row r="2340" spans="1:18">
      <c r="A2340">
        <v>362.48</v>
      </c>
      <c r="B2340">
        <v>2</v>
      </c>
      <c r="C2340">
        <v>2339</v>
      </c>
      <c r="D2340" s="2">
        <v>0.58903429398148144</v>
      </c>
      <c r="E2340" t="s">
        <v>1891</v>
      </c>
      <c r="F2340" t="s">
        <v>1892</v>
      </c>
      <c r="G2340" t="s">
        <v>1893</v>
      </c>
      <c r="H2340" t="s">
        <v>806</v>
      </c>
      <c r="I2340" t="s">
        <v>807</v>
      </c>
      <c r="J2340" t="s">
        <v>81</v>
      </c>
      <c r="K2340" t="s">
        <v>82</v>
      </c>
      <c r="L2340">
        <v>181.24</v>
      </c>
      <c r="M2340" s="1">
        <v>45952</v>
      </c>
      <c r="N2340" t="s">
        <v>34</v>
      </c>
      <c r="O2340">
        <v>22</v>
      </c>
      <c r="P2340">
        <v>10</v>
      </c>
      <c r="Q2340">
        <v>4</v>
      </c>
      <c r="R2340">
        <v>2025</v>
      </c>
    </row>
    <row r="2341" spans="1:18">
      <c r="A2341">
        <v>732.72</v>
      </c>
      <c r="B2341">
        <v>3</v>
      </c>
      <c r="C2341">
        <v>2340</v>
      </c>
      <c r="D2341" s="2">
        <v>0.44664476851851853</v>
      </c>
      <c r="E2341" t="s">
        <v>2087</v>
      </c>
      <c r="F2341" t="s">
        <v>2088</v>
      </c>
      <c r="G2341" t="s">
        <v>820</v>
      </c>
      <c r="H2341" t="s">
        <v>995</v>
      </c>
      <c r="I2341" t="s">
        <v>781</v>
      </c>
      <c r="J2341" t="s">
        <v>61</v>
      </c>
      <c r="K2341" t="s">
        <v>55</v>
      </c>
      <c r="L2341">
        <v>244.24</v>
      </c>
      <c r="M2341" s="1">
        <v>45676</v>
      </c>
      <c r="N2341" t="s">
        <v>28</v>
      </c>
      <c r="O2341">
        <v>19</v>
      </c>
      <c r="P2341">
        <v>1</v>
      </c>
      <c r="Q2341">
        <v>1</v>
      </c>
      <c r="R2341">
        <v>2025</v>
      </c>
    </row>
    <row r="2342" spans="1:18">
      <c r="A2342">
        <v>109.84</v>
      </c>
      <c r="B2342">
        <v>1</v>
      </c>
      <c r="C2342">
        <v>2341</v>
      </c>
      <c r="D2342" s="2">
        <v>0.56301236111111108</v>
      </c>
      <c r="E2342" t="s">
        <v>3177</v>
      </c>
      <c r="F2342" t="s">
        <v>3178</v>
      </c>
      <c r="G2342" t="s">
        <v>1162</v>
      </c>
      <c r="H2342" t="s">
        <v>1359</v>
      </c>
      <c r="I2342" t="s">
        <v>768</v>
      </c>
      <c r="J2342" t="s">
        <v>663</v>
      </c>
      <c r="K2342" t="s">
        <v>27</v>
      </c>
      <c r="L2342">
        <v>109.84</v>
      </c>
      <c r="M2342" s="1">
        <v>45979</v>
      </c>
      <c r="N2342" t="s">
        <v>48</v>
      </c>
      <c r="O2342">
        <v>18</v>
      </c>
      <c r="P2342">
        <v>11</v>
      </c>
      <c r="Q2342">
        <v>4</v>
      </c>
      <c r="R2342">
        <v>2025</v>
      </c>
    </row>
    <row r="2343" spans="1:18">
      <c r="A2343">
        <v>206.84</v>
      </c>
      <c r="B2343">
        <v>1</v>
      </c>
      <c r="C2343">
        <v>2342</v>
      </c>
      <c r="D2343" s="2">
        <v>0.15049076388888888</v>
      </c>
      <c r="E2343" t="s">
        <v>1530</v>
      </c>
      <c r="F2343" t="s">
        <v>1531</v>
      </c>
      <c r="G2343" t="s">
        <v>1532</v>
      </c>
      <c r="H2343" t="s">
        <v>1533</v>
      </c>
      <c r="I2343" t="s">
        <v>781</v>
      </c>
      <c r="J2343" t="s">
        <v>192</v>
      </c>
      <c r="K2343" t="s">
        <v>46</v>
      </c>
      <c r="L2343">
        <v>206.84</v>
      </c>
      <c r="M2343" s="1">
        <v>45676</v>
      </c>
      <c r="N2343" t="s">
        <v>28</v>
      </c>
      <c r="O2343">
        <v>19</v>
      </c>
      <c r="P2343">
        <v>1</v>
      </c>
      <c r="Q2343">
        <v>1</v>
      </c>
      <c r="R2343">
        <v>2025</v>
      </c>
    </row>
    <row r="2344" spans="1:18">
      <c r="A2344">
        <v>524.79999999999995</v>
      </c>
      <c r="B2344">
        <v>5</v>
      </c>
      <c r="C2344">
        <v>2343</v>
      </c>
      <c r="D2344" s="2">
        <v>0.92095560185185188</v>
      </c>
      <c r="E2344" t="s">
        <v>2995</v>
      </c>
      <c r="F2344" t="s">
        <v>2996</v>
      </c>
      <c r="G2344" t="s">
        <v>2108</v>
      </c>
      <c r="H2344" t="s">
        <v>1039</v>
      </c>
      <c r="I2344" t="s">
        <v>758</v>
      </c>
      <c r="J2344" t="s">
        <v>225</v>
      </c>
      <c r="K2344" t="s">
        <v>21</v>
      </c>
      <c r="L2344">
        <v>104.96</v>
      </c>
      <c r="M2344" s="1">
        <v>46176</v>
      </c>
      <c r="N2344" t="s">
        <v>34</v>
      </c>
      <c r="O2344">
        <v>3</v>
      </c>
      <c r="P2344">
        <v>6</v>
      </c>
      <c r="Q2344">
        <v>2</v>
      </c>
      <c r="R2344">
        <v>2026</v>
      </c>
    </row>
    <row r="2345" spans="1:18">
      <c r="A2345">
        <v>99.390000000000015</v>
      </c>
      <c r="B2345">
        <v>3</v>
      </c>
      <c r="C2345">
        <v>2344</v>
      </c>
      <c r="D2345" s="2">
        <v>0.18087945601851851</v>
      </c>
      <c r="E2345" t="s">
        <v>2632</v>
      </c>
      <c r="F2345" t="s">
        <v>2633</v>
      </c>
      <c r="G2345" t="s">
        <v>1965</v>
      </c>
      <c r="H2345" t="s">
        <v>869</v>
      </c>
      <c r="I2345" t="s">
        <v>1247</v>
      </c>
      <c r="J2345" t="s">
        <v>164</v>
      </c>
      <c r="K2345" t="s">
        <v>46</v>
      </c>
      <c r="L2345">
        <v>33.130000000000003</v>
      </c>
      <c r="M2345" s="1">
        <v>45789</v>
      </c>
      <c r="N2345" t="s">
        <v>93</v>
      </c>
      <c r="O2345">
        <v>12</v>
      </c>
      <c r="P2345">
        <v>5</v>
      </c>
      <c r="Q2345">
        <v>2</v>
      </c>
      <c r="R2345">
        <v>2025</v>
      </c>
    </row>
    <row r="2346" spans="1:18">
      <c r="A2346">
        <v>314.52</v>
      </c>
      <c r="B2346">
        <v>2</v>
      </c>
      <c r="C2346">
        <v>2345</v>
      </c>
      <c r="D2346" s="2">
        <v>0.18640056712962963</v>
      </c>
      <c r="E2346" t="s">
        <v>1650</v>
      </c>
      <c r="F2346" t="s">
        <v>1651</v>
      </c>
      <c r="G2346" t="s">
        <v>1652</v>
      </c>
      <c r="H2346" t="s">
        <v>1239</v>
      </c>
      <c r="I2346" t="s">
        <v>795</v>
      </c>
      <c r="J2346" t="s">
        <v>68</v>
      </c>
      <c r="K2346" t="s">
        <v>69</v>
      </c>
      <c r="L2346">
        <v>157.26</v>
      </c>
      <c r="M2346" s="1">
        <v>45984</v>
      </c>
      <c r="N2346" t="s">
        <v>28</v>
      </c>
      <c r="O2346">
        <v>23</v>
      </c>
      <c r="P2346">
        <v>11</v>
      </c>
      <c r="Q2346">
        <v>4</v>
      </c>
      <c r="R2346">
        <v>2025</v>
      </c>
    </row>
    <row r="2347" spans="1:18">
      <c r="A2347">
        <v>801.92</v>
      </c>
      <c r="B2347">
        <v>4</v>
      </c>
      <c r="C2347">
        <v>2346</v>
      </c>
      <c r="D2347" s="2">
        <v>0.8934690856481482</v>
      </c>
      <c r="E2347" t="s">
        <v>2251</v>
      </c>
      <c r="F2347" t="s">
        <v>2252</v>
      </c>
      <c r="G2347" t="s">
        <v>2253</v>
      </c>
      <c r="H2347" t="s">
        <v>1882</v>
      </c>
      <c r="I2347" t="s">
        <v>795</v>
      </c>
      <c r="J2347" t="s">
        <v>2254</v>
      </c>
      <c r="K2347" t="s">
        <v>43</v>
      </c>
      <c r="L2347">
        <v>200.48</v>
      </c>
      <c r="M2347" s="1">
        <v>45859</v>
      </c>
      <c r="N2347" t="s">
        <v>93</v>
      </c>
      <c r="O2347">
        <v>21</v>
      </c>
      <c r="P2347">
        <v>7</v>
      </c>
      <c r="Q2347">
        <v>3</v>
      </c>
      <c r="R2347">
        <v>2025</v>
      </c>
    </row>
    <row r="2348" spans="1:18">
      <c r="A2348">
        <v>71.72</v>
      </c>
      <c r="B2348">
        <v>1</v>
      </c>
      <c r="C2348">
        <v>2347</v>
      </c>
      <c r="D2348" s="2">
        <v>0.55137449074074074</v>
      </c>
      <c r="E2348" t="s">
        <v>2702</v>
      </c>
      <c r="F2348" t="s">
        <v>2703</v>
      </c>
      <c r="G2348" t="s">
        <v>2383</v>
      </c>
      <c r="H2348" t="s">
        <v>942</v>
      </c>
      <c r="I2348" t="s">
        <v>943</v>
      </c>
      <c r="J2348" t="s">
        <v>141</v>
      </c>
      <c r="K2348" t="s">
        <v>46</v>
      </c>
      <c r="L2348">
        <v>71.72</v>
      </c>
      <c r="M2348" s="1">
        <v>45953</v>
      </c>
      <c r="N2348" t="s">
        <v>105</v>
      </c>
      <c r="O2348">
        <v>23</v>
      </c>
      <c r="P2348">
        <v>10</v>
      </c>
      <c r="Q2348">
        <v>4</v>
      </c>
      <c r="R2348">
        <v>2025</v>
      </c>
    </row>
    <row r="2349" spans="1:18">
      <c r="A2349">
        <v>46.48</v>
      </c>
      <c r="B2349">
        <v>2</v>
      </c>
      <c r="C2349">
        <v>2348</v>
      </c>
      <c r="D2349" s="2">
        <v>0.35319203703703705</v>
      </c>
      <c r="E2349" t="s">
        <v>876</v>
      </c>
      <c r="F2349" t="s">
        <v>877</v>
      </c>
      <c r="G2349" t="s">
        <v>878</v>
      </c>
      <c r="H2349" t="s">
        <v>879</v>
      </c>
      <c r="I2349" t="s">
        <v>748</v>
      </c>
      <c r="J2349" t="s">
        <v>738</v>
      </c>
      <c r="K2349" t="s">
        <v>27</v>
      </c>
      <c r="L2349">
        <v>23.24</v>
      </c>
      <c r="M2349" s="1">
        <v>46233</v>
      </c>
      <c r="N2349" t="s">
        <v>105</v>
      </c>
      <c r="O2349">
        <v>30</v>
      </c>
      <c r="P2349">
        <v>7</v>
      </c>
      <c r="Q2349">
        <v>3</v>
      </c>
      <c r="R2349">
        <v>2026</v>
      </c>
    </row>
    <row r="2350" spans="1:18">
      <c r="A2350">
        <v>674.95</v>
      </c>
      <c r="B2350">
        <v>5</v>
      </c>
      <c r="C2350">
        <v>2349</v>
      </c>
      <c r="D2350" s="2">
        <v>0.31468810185185186</v>
      </c>
      <c r="E2350" t="s">
        <v>2437</v>
      </c>
      <c r="F2350" t="s">
        <v>2438</v>
      </c>
      <c r="G2350" t="s">
        <v>1025</v>
      </c>
      <c r="H2350" t="s">
        <v>1111</v>
      </c>
      <c r="I2350" t="s">
        <v>981</v>
      </c>
      <c r="J2350" t="s">
        <v>428</v>
      </c>
      <c r="K2350" t="s">
        <v>31</v>
      </c>
      <c r="L2350">
        <v>134.99</v>
      </c>
      <c r="M2350" s="1">
        <v>45787</v>
      </c>
      <c r="N2350" t="s">
        <v>14</v>
      </c>
      <c r="O2350">
        <v>10</v>
      </c>
      <c r="P2350">
        <v>5</v>
      </c>
      <c r="Q2350">
        <v>2</v>
      </c>
      <c r="R2350">
        <v>2025</v>
      </c>
    </row>
    <row r="2351" spans="1:18">
      <c r="A2351">
        <v>194.04</v>
      </c>
      <c r="B2351">
        <v>4</v>
      </c>
      <c r="C2351">
        <v>2350</v>
      </c>
      <c r="D2351" s="2">
        <v>0.96293125000000002</v>
      </c>
      <c r="E2351" t="s">
        <v>3437</v>
      </c>
      <c r="F2351" t="s">
        <v>3438</v>
      </c>
      <c r="G2351" t="s">
        <v>3439</v>
      </c>
      <c r="H2351" t="s">
        <v>942</v>
      </c>
      <c r="I2351" t="s">
        <v>943</v>
      </c>
      <c r="J2351" t="s">
        <v>243</v>
      </c>
      <c r="K2351" t="s">
        <v>57</v>
      </c>
      <c r="L2351">
        <v>48.51</v>
      </c>
      <c r="M2351" s="1">
        <v>45574</v>
      </c>
      <c r="N2351" t="s">
        <v>34</v>
      </c>
      <c r="O2351">
        <v>9</v>
      </c>
      <c r="P2351">
        <v>10</v>
      </c>
      <c r="Q2351">
        <v>4</v>
      </c>
      <c r="R2351">
        <v>2024</v>
      </c>
    </row>
    <row r="2352" spans="1:18">
      <c r="A2352">
        <v>131.52000000000001</v>
      </c>
      <c r="B2352">
        <v>3</v>
      </c>
      <c r="C2352">
        <v>2351</v>
      </c>
      <c r="D2352" s="2">
        <v>0.79556951388888886</v>
      </c>
      <c r="E2352" t="s">
        <v>1934</v>
      </c>
      <c r="F2352" t="s">
        <v>1935</v>
      </c>
      <c r="G2352" t="s">
        <v>1648</v>
      </c>
      <c r="H2352" t="s">
        <v>1362</v>
      </c>
      <c r="I2352" t="s">
        <v>896</v>
      </c>
      <c r="J2352" t="s">
        <v>335</v>
      </c>
      <c r="K2352" t="s">
        <v>37</v>
      </c>
      <c r="L2352">
        <v>43.84</v>
      </c>
      <c r="M2352" s="1">
        <v>45738</v>
      </c>
      <c r="N2352" t="s">
        <v>14</v>
      </c>
      <c r="O2352">
        <v>22</v>
      </c>
      <c r="P2352">
        <v>3</v>
      </c>
      <c r="Q2352">
        <v>1</v>
      </c>
      <c r="R2352">
        <v>2025</v>
      </c>
    </row>
    <row r="2353" spans="1:18">
      <c r="A2353">
        <v>512.67999999999995</v>
      </c>
      <c r="B2353">
        <v>4</v>
      </c>
      <c r="C2353">
        <v>2352</v>
      </c>
      <c r="D2353" s="2">
        <v>0.82404752314814811</v>
      </c>
      <c r="E2353" t="s">
        <v>1046</v>
      </c>
      <c r="F2353" t="s">
        <v>1047</v>
      </c>
      <c r="G2353" t="s">
        <v>746</v>
      </c>
      <c r="H2353" t="s">
        <v>29</v>
      </c>
      <c r="I2353" t="s">
        <v>821</v>
      </c>
      <c r="J2353" t="s">
        <v>487</v>
      </c>
      <c r="K2353" t="s">
        <v>19</v>
      </c>
      <c r="L2353">
        <v>128.16999999999999</v>
      </c>
      <c r="M2353" s="1">
        <v>45723</v>
      </c>
      <c r="N2353" t="s">
        <v>79</v>
      </c>
      <c r="O2353">
        <v>7</v>
      </c>
      <c r="P2353">
        <v>3</v>
      </c>
      <c r="Q2353">
        <v>1</v>
      </c>
      <c r="R2353">
        <v>2025</v>
      </c>
    </row>
    <row r="2354" spans="1:18">
      <c r="A2354">
        <v>1137.3499999999999</v>
      </c>
      <c r="B2354">
        <v>5</v>
      </c>
      <c r="C2354">
        <v>2353</v>
      </c>
      <c r="D2354" s="2">
        <v>0.29968938657407407</v>
      </c>
      <c r="E2354" t="s">
        <v>2374</v>
      </c>
      <c r="F2354" t="s">
        <v>2375</v>
      </c>
      <c r="G2354" t="s">
        <v>2120</v>
      </c>
      <c r="H2354" t="s">
        <v>1740</v>
      </c>
      <c r="I2354" t="s">
        <v>954</v>
      </c>
      <c r="J2354" t="s">
        <v>116</v>
      </c>
      <c r="K2354" t="s">
        <v>57</v>
      </c>
      <c r="L2354">
        <v>227.47</v>
      </c>
      <c r="M2354" s="1">
        <v>45779</v>
      </c>
      <c r="N2354" t="s">
        <v>79</v>
      </c>
      <c r="O2354">
        <v>2</v>
      </c>
      <c r="P2354">
        <v>5</v>
      </c>
      <c r="Q2354">
        <v>2</v>
      </c>
      <c r="R2354">
        <v>2025</v>
      </c>
    </row>
    <row r="2355" spans="1:18">
      <c r="A2355">
        <v>470.58000000000004</v>
      </c>
      <c r="B2355">
        <v>3</v>
      </c>
      <c r="C2355">
        <v>2354</v>
      </c>
      <c r="D2355" s="2">
        <v>0.49867592592592591</v>
      </c>
      <c r="E2355" t="s">
        <v>3061</v>
      </c>
      <c r="F2355" t="s">
        <v>3062</v>
      </c>
      <c r="G2355" t="s">
        <v>2629</v>
      </c>
      <c r="H2355" t="s">
        <v>1168</v>
      </c>
      <c r="I2355" t="s">
        <v>758</v>
      </c>
      <c r="J2355" t="s">
        <v>602</v>
      </c>
      <c r="K2355" t="s">
        <v>17</v>
      </c>
      <c r="L2355">
        <v>156.86000000000001</v>
      </c>
      <c r="M2355" s="1">
        <v>46188</v>
      </c>
      <c r="N2355" t="s">
        <v>93</v>
      </c>
      <c r="O2355">
        <v>15</v>
      </c>
      <c r="P2355">
        <v>6</v>
      </c>
      <c r="Q2355">
        <v>2</v>
      </c>
      <c r="R2355">
        <v>2026</v>
      </c>
    </row>
    <row r="2356" spans="1:18">
      <c r="A2356">
        <v>683</v>
      </c>
      <c r="B2356">
        <v>4</v>
      </c>
      <c r="C2356">
        <v>2355</v>
      </c>
      <c r="D2356" s="2">
        <v>0.11104274305555556</v>
      </c>
      <c r="E2356" t="s">
        <v>2531</v>
      </c>
      <c r="F2356" t="s">
        <v>2532</v>
      </c>
      <c r="G2356" t="s">
        <v>756</v>
      </c>
      <c r="H2356" t="s">
        <v>29</v>
      </c>
      <c r="I2356" t="s">
        <v>821</v>
      </c>
      <c r="J2356" t="s">
        <v>652</v>
      </c>
      <c r="K2356" t="s">
        <v>37</v>
      </c>
      <c r="L2356">
        <v>170.75</v>
      </c>
      <c r="M2356" s="1">
        <v>46077</v>
      </c>
      <c r="N2356" t="s">
        <v>48</v>
      </c>
      <c r="O2356">
        <v>24</v>
      </c>
      <c r="P2356">
        <v>2</v>
      </c>
      <c r="Q2356">
        <v>1</v>
      </c>
      <c r="R2356">
        <v>2026</v>
      </c>
    </row>
    <row r="2357" spans="1:18">
      <c r="A2357">
        <v>433.43999999999994</v>
      </c>
      <c r="B2357">
        <v>3</v>
      </c>
      <c r="C2357">
        <v>2356</v>
      </c>
      <c r="D2357" s="2">
        <v>0.33105326388888889</v>
      </c>
      <c r="E2357" t="s">
        <v>2779</v>
      </c>
      <c r="F2357" t="s">
        <v>2780</v>
      </c>
      <c r="G2357" t="s">
        <v>1020</v>
      </c>
      <c r="H2357" t="s">
        <v>883</v>
      </c>
      <c r="I2357" t="s">
        <v>807</v>
      </c>
      <c r="J2357" t="s">
        <v>1441</v>
      </c>
      <c r="K2357" t="s">
        <v>19</v>
      </c>
      <c r="L2357">
        <v>144.47999999999999</v>
      </c>
      <c r="M2357" s="1">
        <v>46073</v>
      </c>
      <c r="N2357" t="s">
        <v>79</v>
      </c>
      <c r="O2357">
        <v>20</v>
      </c>
      <c r="P2357">
        <v>2</v>
      </c>
      <c r="Q2357">
        <v>1</v>
      </c>
      <c r="R2357">
        <v>2026</v>
      </c>
    </row>
    <row r="2358" spans="1:18">
      <c r="A2358">
        <v>20.02</v>
      </c>
      <c r="B2358">
        <v>2</v>
      </c>
      <c r="C2358">
        <v>2357</v>
      </c>
      <c r="D2358" s="2">
        <v>0.42047408564814814</v>
      </c>
      <c r="E2358" t="s">
        <v>3067</v>
      </c>
      <c r="F2358" t="s">
        <v>3068</v>
      </c>
      <c r="G2358" t="s">
        <v>3069</v>
      </c>
      <c r="H2358" t="s">
        <v>1600</v>
      </c>
      <c r="I2358" t="s">
        <v>768</v>
      </c>
      <c r="J2358" t="s">
        <v>163</v>
      </c>
      <c r="K2358" t="s">
        <v>97</v>
      </c>
      <c r="L2358">
        <v>10.01</v>
      </c>
      <c r="M2358" s="1">
        <v>45846</v>
      </c>
      <c r="N2358" t="s">
        <v>48</v>
      </c>
      <c r="O2358">
        <v>8</v>
      </c>
      <c r="P2358">
        <v>7</v>
      </c>
      <c r="Q2358">
        <v>3</v>
      </c>
      <c r="R2358">
        <v>2025</v>
      </c>
    </row>
    <row r="2359" spans="1:18">
      <c r="A2359">
        <v>616.75</v>
      </c>
      <c r="B2359">
        <v>5</v>
      </c>
      <c r="C2359">
        <v>2358</v>
      </c>
      <c r="D2359" s="2">
        <v>4.6098148148148145E-2</v>
      </c>
      <c r="E2359" t="s">
        <v>3265</v>
      </c>
      <c r="F2359" t="s">
        <v>3266</v>
      </c>
      <c r="G2359" t="s">
        <v>1324</v>
      </c>
      <c r="H2359" t="s">
        <v>980</v>
      </c>
      <c r="I2359" t="s">
        <v>981</v>
      </c>
      <c r="J2359" t="s">
        <v>630</v>
      </c>
      <c r="K2359" t="s">
        <v>69</v>
      </c>
      <c r="L2359">
        <v>123.35</v>
      </c>
      <c r="M2359" s="1">
        <v>45947</v>
      </c>
      <c r="N2359" t="s">
        <v>79</v>
      </c>
      <c r="O2359">
        <v>17</v>
      </c>
      <c r="P2359">
        <v>10</v>
      </c>
      <c r="Q2359">
        <v>4</v>
      </c>
      <c r="R2359">
        <v>2025</v>
      </c>
    </row>
    <row r="2360" spans="1:18">
      <c r="A2360">
        <v>40.04</v>
      </c>
      <c r="B2360">
        <v>4</v>
      </c>
      <c r="C2360">
        <v>2359</v>
      </c>
      <c r="D2360" s="2">
        <v>0.90161223379629629</v>
      </c>
      <c r="E2360" t="s">
        <v>2342</v>
      </c>
      <c r="F2360" t="s">
        <v>2343</v>
      </c>
      <c r="G2360" t="s">
        <v>211</v>
      </c>
      <c r="H2360" t="s">
        <v>1206</v>
      </c>
      <c r="I2360" t="s">
        <v>943</v>
      </c>
      <c r="J2360" t="s">
        <v>163</v>
      </c>
      <c r="K2360" t="s">
        <v>97</v>
      </c>
      <c r="L2360">
        <v>10.01</v>
      </c>
      <c r="M2360" s="1">
        <v>45720</v>
      </c>
      <c r="N2360" t="s">
        <v>48</v>
      </c>
      <c r="O2360">
        <v>4</v>
      </c>
      <c r="P2360">
        <v>3</v>
      </c>
      <c r="Q2360">
        <v>1</v>
      </c>
      <c r="R2360">
        <v>2025</v>
      </c>
    </row>
    <row r="2361" spans="1:18">
      <c r="A2361">
        <v>84.76</v>
      </c>
      <c r="B2361">
        <v>1</v>
      </c>
      <c r="C2361">
        <v>2360</v>
      </c>
      <c r="D2361" s="2">
        <v>0.20524273148148148</v>
      </c>
      <c r="E2361" t="s">
        <v>2217</v>
      </c>
      <c r="F2361" t="s">
        <v>2218</v>
      </c>
      <c r="G2361" t="s">
        <v>1771</v>
      </c>
      <c r="H2361" t="s">
        <v>380</v>
      </c>
      <c r="I2361" t="s">
        <v>954</v>
      </c>
      <c r="J2361" t="s">
        <v>363</v>
      </c>
      <c r="K2361" t="s">
        <v>100</v>
      </c>
      <c r="L2361">
        <v>84.76</v>
      </c>
      <c r="M2361" s="1">
        <v>45917</v>
      </c>
      <c r="N2361" t="s">
        <v>34</v>
      </c>
      <c r="O2361">
        <v>17</v>
      </c>
      <c r="P2361">
        <v>9</v>
      </c>
      <c r="Q2361">
        <v>3</v>
      </c>
      <c r="R2361">
        <v>2025</v>
      </c>
    </row>
    <row r="2362" spans="1:18">
      <c r="A2362">
        <v>287.56</v>
      </c>
      <c r="B2362">
        <v>2</v>
      </c>
      <c r="C2362">
        <v>2361</v>
      </c>
      <c r="D2362" s="2">
        <v>0.54871094907407403</v>
      </c>
      <c r="E2362" t="s">
        <v>2089</v>
      </c>
      <c r="F2362" t="s">
        <v>2090</v>
      </c>
      <c r="G2362" t="s">
        <v>2091</v>
      </c>
      <c r="H2362" t="s">
        <v>1017</v>
      </c>
      <c r="I2362" t="s">
        <v>966</v>
      </c>
      <c r="J2362" t="s">
        <v>346</v>
      </c>
      <c r="K2362" t="s">
        <v>23</v>
      </c>
      <c r="L2362">
        <v>143.78</v>
      </c>
      <c r="M2362" s="1">
        <v>45588</v>
      </c>
      <c r="N2362" t="s">
        <v>34</v>
      </c>
      <c r="O2362">
        <v>23</v>
      </c>
      <c r="P2362">
        <v>10</v>
      </c>
      <c r="Q2362">
        <v>4</v>
      </c>
      <c r="R2362">
        <v>2024</v>
      </c>
    </row>
    <row r="2363" spans="1:18">
      <c r="A2363">
        <v>267.06</v>
      </c>
      <c r="B2363">
        <v>3</v>
      </c>
      <c r="C2363">
        <v>2362</v>
      </c>
      <c r="D2363" s="2">
        <v>0.52514461805555557</v>
      </c>
      <c r="E2363" t="s">
        <v>2134</v>
      </c>
      <c r="F2363" t="s">
        <v>2135</v>
      </c>
      <c r="G2363" t="s">
        <v>1559</v>
      </c>
      <c r="H2363" t="s">
        <v>619</v>
      </c>
      <c r="I2363" t="s">
        <v>758</v>
      </c>
      <c r="J2363" t="s">
        <v>399</v>
      </c>
      <c r="K2363" t="s">
        <v>55</v>
      </c>
      <c r="L2363">
        <v>89.02</v>
      </c>
      <c r="M2363" s="1">
        <v>46240</v>
      </c>
      <c r="N2363" t="s">
        <v>105</v>
      </c>
      <c r="O2363">
        <v>6</v>
      </c>
      <c r="P2363">
        <v>8</v>
      </c>
      <c r="Q2363">
        <v>3</v>
      </c>
      <c r="R2363">
        <v>2026</v>
      </c>
    </row>
    <row r="2364" spans="1:18">
      <c r="A2364">
        <v>67.679999999999993</v>
      </c>
      <c r="B2364">
        <v>3</v>
      </c>
      <c r="C2364">
        <v>2363</v>
      </c>
      <c r="D2364" s="2">
        <v>0.37804628472222224</v>
      </c>
      <c r="E2364" t="s">
        <v>1900</v>
      </c>
      <c r="F2364" t="s">
        <v>1901</v>
      </c>
      <c r="G2364" t="s">
        <v>1477</v>
      </c>
      <c r="H2364" t="s">
        <v>961</v>
      </c>
      <c r="I2364" t="s">
        <v>753</v>
      </c>
      <c r="J2364" t="s">
        <v>371</v>
      </c>
      <c r="K2364" t="s">
        <v>21</v>
      </c>
      <c r="L2364">
        <v>22.56</v>
      </c>
      <c r="M2364" s="1">
        <v>45589</v>
      </c>
      <c r="N2364" t="s">
        <v>105</v>
      </c>
      <c r="O2364">
        <v>24</v>
      </c>
      <c r="P2364">
        <v>10</v>
      </c>
      <c r="Q2364">
        <v>4</v>
      </c>
      <c r="R2364">
        <v>2024</v>
      </c>
    </row>
    <row r="2365" spans="1:18">
      <c r="A2365">
        <v>72.23</v>
      </c>
      <c r="B2365">
        <v>1</v>
      </c>
      <c r="C2365">
        <v>2364</v>
      </c>
      <c r="D2365" s="2">
        <v>9.3918865740740737E-2</v>
      </c>
      <c r="E2365" t="s">
        <v>2492</v>
      </c>
      <c r="F2365" t="s">
        <v>2493</v>
      </c>
      <c r="G2365" t="s">
        <v>960</v>
      </c>
      <c r="H2365" t="s">
        <v>869</v>
      </c>
      <c r="I2365" t="s">
        <v>1247</v>
      </c>
      <c r="J2365" t="s">
        <v>616</v>
      </c>
      <c r="K2365" t="s">
        <v>37</v>
      </c>
      <c r="L2365">
        <v>72.23</v>
      </c>
      <c r="M2365" s="1">
        <v>45572</v>
      </c>
      <c r="N2365" t="s">
        <v>93</v>
      </c>
      <c r="O2365">
        <v>7</v>
      </c>
      <c r="P2365">
        <v>10</v>
      </c>
      <c r="Q2365">
        <v>4</v>
      </c>
      <c r="R2365">
        <v>2024</v>
      </c>
    </row>
    <row r="2366" spans="1:18">
      <c r="A2366">
        <v>945.15</v>
      </c>
      <c r="B2366">
        <v>5</v>
      </c>
      <c r="C2366">
        <v>2365</v>
      </c>
      <c r="D2366" s="2">
        <v>0.99244885416666662</v>
      </c>
      <c r="E2366" t="s">
        <v>2196</v>
      </c>
      <c r="F2366" t="s">
        <v>2197</v>
      </c>
      <c r="G2366" t="s">
        <v>1777</v>
      </c>
      <c r="H2366" t="s">
        <v>953</v>
      </c>
      <c r="I2366" t="s">
        <v>954</v>
      </c>
      <c r="J2366" t="s">
        <v>654</v>
      </c>
      <c r="K2366" t="s">
        <v>60</v>
      </c>
      <c r="L2366">
        <v>189.03</v>
      </c>
      <c r="M2366" s="1">
        <v>46173</v>
      </c>
      <c r="N2366" t="s">
        <v>28</v>
      </c>
      <c r="O2366">
        <v>31</v>
      </c>
      <c r="P2366">
        <v>5</v>
      </c>
      <c r="Q2366">
        <v>2</v>
      </c>
      <c r="R2366">
        <v>2026</v>
      </c>
    </row>
    <row r="2367" spans="1:18">
      <c r="A2367">
        <v>1194.8499999999999</v>
      </c>
      <c r="B2367">
        <v>5</v>
      </c>
      <c r="C2367">
        <v>2366</v>
      </c>
      <c r="D2367" s="2">
        <v>0.2320927662037037</v>
      </c>
      <c r="E2367" t="s">
        <v>3007</v>
      </c>
      <c r="F2367" t="s">
        <v>3008</v>
      </c>
      <c r="G2367" t="s">
        <v>1053</v>
      </c>
      <c r="H2367" t="s">
        <v>113</v>
      </c>
      <c r="I2367" t="s">
        <v>854</v>
      </c>
      <c r="J2367" t="s">
        <v>180</v>
      </c>
      <c r="K2367" t="s">
        <v>55</v>
      </c>
      <c r="L2367">
        <v>238.97</v>
      </c>
      <c r="M2367" s="1">
        <v>45599</v>
      </c>
      <c r="N2367" t="s">
        <v>28</v>
      </c>
      <c r="O2367">
        <v>3</v>
      </c>
      <c r="P2367">
        <v>11</v>
      </c>
      <c r="Q2367">
        <v>4</v>
      </c>
      <c r="R2367">
        <v>2024</v>
      </c>
    </row>
    <row r="2368" spans="1:18">
      <c r="A2368">
        <v>512.67999999999995</v>
      </c>
      <c r="B2368">
        <v>4</v>
      </c>
      <c r="C2368">
        <v>2367</v>
      </c>
      <c r="D2368" s="2">
        <v>0.70591478009259256</v>
      </c>
      <c r="E2368" t="s">
        <v>1419</v>
      </c>
      <c r="F2368" t="s">
        <v>1420</v>
      </c>
      <c r="G2368" t="s">
        <v>891</v>
      </c>
      <c r="H2368" t="s">
        <v>1421</v>
      </c>
      <c r="I2368" t="s">
        <v>776</v>
      </c>
      <c r="J2368" t="s">
        <v>487</v>
      </c>
      <c r="K2368" t="s">
        <v>19</v>
      </c>
      <c r="L2368">
        <v>128.16999999999999</v>
      </c>
      <c r="M2368" s="1">
        <v>45980</v>
      </c>
      <c r="N2368" t="s">
        <v>34</v>
      </c>
      <c r="O2368">
        <v>19</v>
      </c>
      <c r="P2368">
        <v>11</v>
      </c>
      <c r="Q2368">
        <v>4</v>
      </c>
      <c r="R2368">
        <v>2025</v>
      </c>
    </row>
    <row r="2369" spans="1:18">
      <c r="A2369">
        <v>103.9</v>
      </c>
      <c r="B2369">
        <v>2</v>
      </c>
      <c r="C2369">
        <v>2368</v>
      </c>
      <c r="D2369" s="2">
        <v>0.4786401388888889</v>
      </c>
      <c r="E2369" t="s">
        <v>2014</v>
      </c>
      <c r="F2369" t="s">
        <v>2015</v>
      </c>
      <c r="G2369" t="s">
        <v>1585</v>
      </c>
      <c r="H2369" t="s">
        <v>862</v>
      </c>
      <c r="I2369" t="s">
        <v>908</v>
      </c>
      <c r="J2369" t="s">
        <v>315</v>
      </c>
      <c r="K2369" t="s">
        <v>27</v>
      </c>
      <c r="L2369">
        <v>51.95</v>
      </c>
      <c r="M2369" s="1">
        <v>45949</v>
      </c>
      <c r="N2369" t="s">
        <v>28</v>
      </c>
      <c r="O2369">
        <v>19</v>
      </c>
      <c r="P2369">
        <v>10</v>
      </c>
      <c r="Q2369">
        <v>4</v>
      </c>
      <c r="R2369">
        <v>2025</v>
      </c>
    </row>
    <row r="2370" spans="1:18">
      <c r="A2370">
        <v>371.84</v>
      </c>
      <c r="B2370">
        <v>2</v>
      </c>
      <c r="C2370">
        <v>2369</v>
      </c>
      <c r="D2370" s="2">
        <v>0.46039863425925925</v>
      </c>
      <c r="E2370" t="s">
        <v>2606</v>
      </c>
      <c r="F2370" t="s">
        <v>2607</v>
      </c>
      <c r="G2370" t="s">
        <v>2078</v>
      </c>
      <c r="H2370" t="s">
        <v>1032</v>
      </c>
      <c r="I2370" t="s">
        <v>839</v>
      </c>
      <c r="J2370" t="s">
        <v>683</v>
      </c>
      <c r="K2370" t="s">
        <v>55</v>
      </c>
      <c r="L2370">
        <v>185.92</v>
      </c>
      <c r="M2370" s="1">
        <v>45685</v>
      </c>
      <c r="N2370" t="s">
        <v>48</v>
      </c>
      <c r="O2370">
        <v>28</v>
      </c>
      <c r="P2370">
        <v>1</v>
      </c>
      <c r="Q2370">
        <v>1</v>
      </c>
      <c r="R2370">
        <v>2025</v>
      </c>
    </row>
    <row r="2371" spans="1:18">
      <c r="A2371">
        <v>95.95</v>
      </c>
      <c r="B2371">
        <v>5</v>
      </c>
      <c r="C2371">
        <v>2370</v>
      </c>
      <c r="D2371" s="2">
        <v>0.81300809027777776</v>
      </c>
      <c r="E2371" t="s">
        <v>1104</v>
      </c>
      <c r="F2371" t="s">
        <v>1105</v>
      </c>
      <c r="G2371" t="s">
        <v>1106</v>
      </c>
      <c r="H2371" t="s">
        <v>1107</v>
      </c>
      <c r="I2371" t="s">
        <v>892</v>
      </c>
      <c r="J2371" t="s">
        <v>71</v>
      </c>
      <c r="K2371" t="s">
        <v>23</v>
      </c>
      <c r="L2371">
        <v>19.190000000000001</v>
      </c>
      <c r="M2371" s="1">
        <v>45828</v>
      </c>
      <c r="N2371" t="s">
        <v>79</v>
      </c>
      <c r="O2371">
        <v>20</v>
      </c>
      <c r="P2371">
        <v>6</v>
      </c>
      <c r="Q2371">
        <v>2</v>
      </c>
      <c r="R2371">
        <v>2025</v>
      </c>
    </row>
    <row r="2372" spans="1:18">
      <c r="A2372">
        <v>710.76</v>
      </c>
      <c r="B2372">
        <v>4</v>
      </c>
      <c r="C2372">
        <v>2371</v>
      </c>
      <c r="D2372" s="2">
        <v>0.64831802083333334</v>
      </c>
      <c r="E2372" t="s">
        <v>2000</v>
      </c>
      <c r="F2372" t="s">
        <v>2001</v>
      </c>
      <c r="G2372" t="s">
        <v>1793</v>
      </c>
      <c r="H2372" t="s">
        <v>64</v>
      </c>
      <c r="I2372" t="s">
        <v>892</v>
      </c>
      <c r="J2372" t="s">
        <v>52</v>
      </c>
      <c r="K2372" t="s">
        <v>21</v>
      </c>
      <c r="L2372">
        <v>177.69</v>
      </c>
      <c r="M2372" s="1">
        <v>46171</v>
      </c>
      <c r="N2372" t="s">
        <v>79</v>
      </c>
      <c r="O2372">
        <v>29</v>
      </c>
      <c r="P2372">
        <v>5</v>
      </c>
      <c r="Q2372">
        <v>2</v>
      </c>
      <c r="R2372">
        <v>2026</v>
      </c>
    </row>
    <row r="2373" spans="1:18">
      <c r="A2373">
        <v>834.7</v>
      </c>
      <c r="B2373">
        <v>5</v>
      </c>
      <c r="C2373">
        <v>2372</v>
      </c>
      <c r="D2373" s="2">
        <v>6.8316851851851851E-2</v>
      </c>
      <c r="E2373" t="s">
        <v>1125</v>
      </c>
      <c r="F2373" t="s">
        <v>1126</v>
      </c>
      <c r="G2373" t="s">
        <v>1127</v>
      </c>
      <c r="H2373" t="s">
        <v>1128</v>
      </c>
      <c r="I2373" t="s">
        <v>954</v>
      </c>
      <c r="J2373" t="s">
        <v>3404</v>
      </c>
      <c r="K2373" t="s">
        <v>100</v>
      </c>
      <c r="L2373">
        <v>166.94</v>
      </c>
      <c r="M2373" s="1">
        <v>45916</v>
      </c>
      <c r="N2373" t="s">
        <v>48</v>
      </c>
      <c r="O2373">
        <v>16</v>
      </c>
      <c r="P2373">
        <v>9</v>
      </c>
      <c r="Q2373">
        <v>3</v>
      </c>
      <c r="R2373">
        <v>2025</v>
      </c>
    </row>
    <row r="2374" spans="1:18">
      <c r="A2374">
        <v>1.37</v>
      </c>
      <c r="B2374">
        <v>1</v>
      </c>
      <c r="C2374">
        <v>2373</v>
      </c>
      <c r="D2374" s="2">
        <v>0.9185074305555555</v>
      </c>
      <c r="E2374" t="s">
        <v>1442</v>
      </c>
      <c r="F2374" t="s">
        <v>1443</v>
      </c>
      <c r="G2374" t="s">
        <v>1444</v>
      </c>
      <c r="H2374" t="s">
        <v>380</v>
      </c>
      <c r="I2374" t="s">
        <v>896</v>
      </c>
      <c r="J2374" t="s">
        <v>85</v>
      </c>
      <c r="K2374" t="s">
        <v>37</v>
      </c>
      <c r="L2374">
        <v>1.37</v>
      </c>
      <c r="M2374" s="1">
        <v>45960</v>
      </c>
      <c r="N2374" t="s">
        <v>105</v>
      </c>
      <c r="O2374">
        <v>30</v>
      </c>
      <c r="P2374">
        <v>10</v>
      </c>
      <c r="Q2374">
        <v>4</v>
      </c>
      <c r="R2374">
        <v>2025</v>
      </c>
    </row>
    <row r="2375" spans="1:18">
      <c r="A2375">
        <v>736.47</v>
      </c>
      <c r="B2375">
        <v>3</v>
      </c>
      <c r="C2375">
        <v>2374</v>
      </c>
      <c r="D2375" s="2">
        <v>0.5906314583333333</v>
      </c>
      <c r="E2375" t="s">
        <v>1125</v>
      </c>
      <c r="F2375" t="s">
        <v>1126</v>
      </c>
      <c r="G2375" t="s">
        <v>1127</v>
      </c>
      <c r="H2375" t="s">
        <v>1128</v>
      </c>
      <c r="I2375" t="s">
        <v>954</v>
      </c>
      <c r="J2375" t="s">
        <v>330</v>
      </c>
      <c r="K2375" t="s">
        <v>60</v>
      </c>
      <c r="L2375">
        <v>245.49</v>
      </c>
      <c r="M2375" s="1">
        <v>45928</v>
      </c>
      <c r="N2375" t="s">
        <v>28</v>
      </c>
      <c r="O2375">
        <v>28</v>
      </c>
      <c r="P2375">
        <v>9</v>
      </c>
      <c r="Q2375">
        <v>3</v>
      </c>
      <c r="R2375">
        <v>2025</v>
      </c>
    </row>
    <row r="2376" spans="1:18">
      <c r="A2376">
        <v>430.71</v>
      </c>
      <c r="B2376">
        <v>3</v>
      </c>
      <c r="C2376">
        <v>2375</v>
      </c>
      <c r="D2376" s="2">
        <v>0.4226891435185185</v>
      </c>
      <c r="E2376" t="s">
        <v>787</v>
      </c>
      <c r="F2376" t="s">
        <v>788</v>
      </c>
      <c r="G2376" t="s">
        <v>789</v>
      </c>
      <c r="H2376" t="s">
        <v>160</v>
      </c>
      <c r="I2376" t="s">
        <v>790</v>
      </c>
      <c r="J2376" t="s">
        <v>514</v>
      </c>
      <c r="K2376" t="s">
        <v>23</v>
      </c>
      <c r="L2376">
        <v>143.57</v>
      </c>
      <c r="M2376" s="1">
        <v>46029</v>
      </c>
      <c r="N2376" t="s">
        <v>34</v>
      </c>
      <c r="O2376">
        <v>7</v>
      </c>
      <c r="P2376">
        <v>1</v>
      </c>
      <c r="Q2376">
        <v>1</v>
      </c>
      <c r="R2376">
        <v>2026</v>
      </c>
    </row>
    <row r="2377" spans="1:18">
      <c r="A2377">
        <v>203.64</v>
      </c>
      <c r="B2377">
        <v>4</v>
      </c>
      <c r="C2377">
        <v>2376</v>
      </c>
      <c r="D2377" s="2">
        <v>0.97478056712962968</v>
      </c>
      <c r="E2377" t="s">
        <v>989</v>
      </c>
      <c r="F2377" t="s">
        <v>990</v>
      </c>
      <c r="G2377" t="s">
        <v>991</v>
      </c>
      <c r="H2377" t="s">
        <v>915</v>
      </c>
      <c r="I2377" t="s">
        <v>768</v>
      </c>
      <c r="J2377" t="s">
        <v>197</v>
      </c>
      <c r="K2377" t="s">
        <v>19</v>
      </c>
      <c r="L2377">
        <v>50.91</v>
      </c>
      <c r="M2377" s="1">
        <v>45602</v>
      </c>
      <c r="N2377" t="s">
        <v>34</v>
      </c>
      <c r="O2377">
        <v>6</v>
      </c>
      <c r="P2377">
        <v>11</v>
      </c>
      <c r="Q2377">
        <v>4</v>
      </c>
      <c r="R2377">
        <v>2024</v>
      </c>
    </row>
    <row r="2378" spans="1:18">
      <c r="A2378">
        <v>332.79</v>
      </c>
      <c r="B2378">
        <v>3</v>
      </c>
      <c r="C2378">
        <v>2377</v>
      </c>
      <c r="D2378" s="2">
        <v>0.64986260416666664</v>
      </c>
      <c r="E2378" t="s">
        <v>2805</v>
      </c>
      <c r="F2378" t="s">
        <v>2806</v>
      </c>
      <c r="G2378" t="s">
        <v>2141</v>
      </c>
      <c r="H2378" t="s">
        <v>995</v>
      </c>
      <c r="I2378" t="s">
        <v>781</v>
      </c>
      <c r="J2378" t="s">
        <v>457</v>
      </c>
      <c r="K2378" t="s">
        <v>25</v>
      </c>
      <c r="L2378">
        <v>110.93</v>
      </c>
      <c r="M2378" s="1">
        <v>45870</v>
      </c>
      <c r="N2378" t="s">
        <v>79</v>
      </c>
      <c r="O2378">
        <v>1</v>
      </c>
      <c r="P2378">
        <v>8</v>
      </c>
      <c r="Q2378">
        <v>3</v>
      </c>
      <c r="R2378">
        <v>2025</v>
      </c>
    </row>
    <row r="2379" spans="1:18">
      <c r="A2379">
        <v>867.4</v>
      </c>
      <c r="B2379">
        <v>5</v>
      </c>
      <c r="C2379">
        <v>2378</v>
      </c>
      <c r="D2379" s="2">
        <v>0.91773733796296297</v>
      </c>
      <c r="E2379" t="s">
        <v>1663</v>
      </c>
      <c r="F2379" t="s">
        <v>1664</v>
      </c>
      <c r="G2379" t="s">
        <v>1665</v>
      </c>
      <c r="H2379" t="s">
        <v>1666</v>
      </c>
      <c r="I2379" t="s">
        <v>830</v>
      </c>
      <c r="J2379" t="s">
        <v>728</v>
      </c>
      <c r="K2379" t="s">
        <v>46</v>
      </c>
      <c r="L2379">
        <v>173.48</v>
      </c>
      <c r="M2379" s="1">
        <v>46211</v>
      </c>
      <c r="N2379" t="s">
        <v>34</v>
      </c>
      <c r="O2379">
        <v>8</v>
      </c>
      <c r="P2379">
        <v>7</v>
      </c>
      <c r="Q2379">
        <v>3</v>
      </c>
      <c r="R2379">
        <v>2026</v>
      </c>
    </row>
    <row r="2380" spans="1:18">
      <c r="A2380">
        <v>7.42</v>
      </c>
      <c r="B2380">
        <v>1</v>
      </c>
      <c r="C2380">
        <v>2379</v>
      </c>
      <c r="D2380" s="2">
        <v>0.53478254629629629</v>
      </c>
      <c r="E2380" t="s">
        <v>2322</v>
      </c>
      <c r="F2380" t="s">
        <v>2323</v>
      </c>
      <c r="G2380" t="s">
        <v>2324</v>
      </c>
      <c r="H2380" t="s">
        <v>862</v>
      </c>
      <c r="I2380" t="s">
        <v>981</v>
      </c>
      <c r="J2380" t="s">
        <v>194</v>
      </c>
      <c r="K2380" t="s">
        <v>39</v>
      </c>
      <c r="L2380">
        <v>7.42</v>
      </c>
      <c r="M2380" s="1">
        <v>45817</v>
      </c>
      <c r="N2380" t="s">
        <v>93</v>
      </c>
      <c r="O2380">
        <v>9</v>
      </c>
      <c r="P2380">
        <v>6</v>
      </c>
      <c r="Q2380">
        <v>2</v>
      </c>
      <c r="R2380">
        <v>2025</v>
      </c>
    </row>
    <row r="2381" spans="1:18">
      <c r="A2381">
        <v>812.92</v>
      </c>
      <c r="B2381">
        <v>4</v>
      </c>
      <c r="C2381">
        <v>2380</v>
      </c>
      <c r="D2381" s="2">
        <v>0.90785866898148149</v>
      </c>
      <c r="E2381" t="s">
        <v>2815</v>
      </c>
      <c r="F2381" t="s">
        <v>2816</v>
      </c>
      <c r="G2381" t="s">
        <v>1909</v>
      </c>
      <c r="H2381" t="s">
        <v>802</v>
      </c>
      <c r="I2381" t="s">
        <v>748</v>
      </c>
      <c r="J2381" t="s">
        <v>417</v>
      </c>
      <c r="K2381" t="s">
        <v>51</v>
      </c>
      <c r="L2381">
        <v>203.23</v>
      </c>
      <c r="M2381" s="1">
        <v>46063</v>
      </c>
      <c r="N2381" t="s">
        <v>48</v>
      </c>
      <c r="O2381">
        <v>10</v>
      </c>
      <c r="P2381">
        <v>2</v>
      </c>
      <c r="Q2381">
        <v>1</v>
      </c>
      <c r="R2381">
        <v>2026</v>
      </c>
    </row>
    <row r="2382" spans="1:18">
      <c r="A2382">
        <v>106.32</v>
      </c>
      <c r="B2382">
        <v>3</v>
      </c>
      <c r="C2382">
        <v>2381</v>
      </c>
      <c r="D2382" s="2">
        <v>0.51554119212962968</v>
      </c>
      <c r="E2382" t="s">
        <v>1065</v>
      </c>
      <c r="F2382" t="s">
        <v>1066</v>
      </c>
      <c r="G2382" t="s">
        <v>984</v>
      </c>
      <c r="H2382" t="s">
        <v>1067</v>
      </c>
      <c r="I2382" t="s">
        <v>854</v>
      </c>
      <c r="J2382" t="s">
        <v>173</v>
      </c>
      <c r="K2382" t="s">
        <v>55</v>
      </c>
      <c r="L2382">
        <v>35.44</v>
      </c>
      <c r="M2382" s="1">
        <v>45874</v>
      </c>
      <c r="N2382" t="s">
        <v>48</v>
      </c>
      <c r="O2382">
        <v>5</v>
      </c>
      <c r="P2382">
        <v>8</v>
      </c>
      <c r="Q2382">
        <v>3</v>
      </c>
      <c r="R2382">
        <v>2025</v>
      </c>
    </row>
    <row r="2383" spans="1:18">
      <c r="A2383">
        <v>928.56</v>
      </c>
      <c r="B2383">
        <v>4</v>
      </c>
      <c r="C2383">
        <v>2382</v>
      </c>
      <c r="D2383" s="2">
        <v>0.46515283564814813</v>
      </c>
      <c r="E2383" t="s">
        <v>2256</v>
      </c>
      <c r="F2383" t="s">
        <v>2257</v>
      </c>
      <c r="G2383" t="s">
        <v>2232</v>
      </c>
      <c r="H2383" t="s">
        <v>1649</v>
      </c>
      <c r="I2383" t="s">
        <v>790</v>
      </c>
      <c r="J2383" t="s">
        <v>439</v>
      </c>
      <c r="K2383" t="s">
        <v>21</v>
      </c>
      <c r="L2383">
        <v>232.14</v>
      </c>
      <c r="M2383" s="1">
        <v>46270</v>
      </c>
      <c r="N2383" t="s">
        <v>14</v>
      </c>
      <c r="O2383">
        <v>5</v>
      </c>
      <c r="P2383">
        <v>9</v>
      </c>
      <c r="Q2383">
        <v>3</v>
      </c>
      <c r="R2383">
        <v>2026</v>
      </c>
    </row>
    <row r="2384" spans="1:18">
      <c r="A2384">
        <v>106.53</v>
      </c>
      <c r="B2384">
        <v>1</v>
      </c>
      <c r="C2384">
        <v>2383</v>
      </c>
      <c r="D2384" s="2">
        <v>0.9842296064814815</v>
      </c>
      <c r="E2384" t="s">
        <v>1567</v>
      </c>
      <c r="F2384" t="s">
        <v>1568</v>
      </c>
      <c r="G2384" t="s">
        <v>1569</v>
      </c>
      <c r="H2384" t="s">
        <v>322</v>
      </c>
      <c r="I2384" t="s">
        <v>795</v>
      </c>
      <c r="J2384" t="s">
        <v>377</v>
      </c>
      <c r="K2384" t="s">
        <v>27</v>
      </c>
      <c r="L2384">
        <v>106.53</v>
      </c>
      <c r="M2384" s="1">
        <v>45987</v>
      </c>
      <c r="N2384" t="s">
        <v>34</v>
      </c>
      <c r="O2384">
        <v>26</v>
      </c>
      <c r="P2384">
        <v>11</v>
      </c>
      <c r="Q2384">
        <v>4</v>
      </c>
      <c r="R2384">
        <v>2025</v>
      </c>
    </row>
    <row r="2385" spans="1:18">
      <c r="A2385">
        <v>90.13</v>
      </c>
      <c r="B2385">
        <v>1</v>
      </c>
      <c r="C2385">
        <v>2384</v>
      </c>
      <c r="D2385" s="2">
        <v>0.22769917824074073</v>
      </c>
      <c r="E2385" t="s">
        <v>876</v>
      </c>
      <c r="F2385" t="s">
        <v>877</v>
      </c>
      <c r="G2385" t="s">
        <v>878</v>
      </c>
      <c r="H2385" t="s">
        <v>879</v>
      </c>
      <c r="I2385" t="s">
        <v>748</v>
      </c>
      <c r="J2385" t="s">
        <v>304</v>
      </c>
      <c r="K2385" t="s">
        <v>100</v>
      </c>
      <c r="L2385">
        <v>90.13</v>
      </c>
      <c r="M2385" s="1">
        <v>45797</v>
      </c>
      <c r="N2385" t="s">
        <v>48</v>
      </c>
      <c r="O2385">
        <v>20</v>
      </c>
      <c r="P2385">
        <v>5</v>
      </c>
      <c r="Q2385">
        <v>2</v>
      </c>
      <c r="R2385">
        <v>2025</v>
      </c>
    </row>
    <row r="2386" spans="1:18">
      <c r="A2386">
        <v>67.56</v>
      </c>
      <c r="B2386">
        <v>2</v>
      </c>
      <c r="C2386">
        <v>2385</v>
      </c>
      <c r="D2386" s="2">
        <v>0.62948179398148152</v>
      </c>
      <c r="E2386" t="s">
        <v>1746</v>
      </c>
      <c r="F2386" t="s">
        <v>1747</v>
      </c>
      <c r="G2386" t="s">
        <v>1050</v>
      </c>
      <c r="H2386" t="s">
        <v>1469</v>
      </c>
      <c r="I2386" t="s">
        <v>908</v>
      </c>
      <c r="J2386" t="s">
        <v>625</v>
      </c>
      <c r="K2386" t="s">
        <v>43</v>
      </c>
      <c r="L2386">
        <v>33.78</v>
      </c>
      <c r="M2386" s="1">
        <v>45671</v>
      </c>
      <c r="N2386" t="s">
        <v>48</v>
      </c>
      <c r="O2386">
        <v>14</v>
      </c>
      <c r="P2386">
        <v>1</v>
      </c>
      <c r="Q2386">
        <v>1</v>
      </c>
      <c r="R2386">
        <v>2025</v>
      </c>
    </row>
    <row r="2387" spans="1:18">
      <c r="A2387">
        <v>635.48</v>
      </c>
      <c r="B2387">
        <v>4</v>
      </c>
      <c r="C2387">
        <v>2386</v>
      </c>
      <c r="D2387" s="2">
        <v>0.17301236111111112</v>
      </c>
      <c r="E2387" t="s">
        <v>1707</v>
      </c>
      <c r="F2387" t="s">
        <v>1708</v>
      </c>
      <c r="G2387" t="s">
        <v>1709</v>
      </c>
      <c r="H2387" t="s">
        <v>1246</v>
      </c>
      <c r="I2387" t="s">
        <v>1247</v>
      </c>
      <c r="J2387" t="s">
        <v>332</v>
      </c>
      <c r="K2387" t="s">
        <v>55</v>
      </c>
      <c r="L2387">
        <v>158.87</v>
      </c>
      <c r="M2387" s="1">
        <v>45691</v>
      </c>
      <c r="N2387" t="s">
        <v>93</v>
      </c>
      <c r="O2387">
        <v>3</v>
      </c>
      <c r="P2387">
        <v>2</v>
      </c>
      <c r="Q2387">
        <v>1</v>
      </c>
      <c r="R2387">
        <v>2025</v>
      </c>
    </row>
    <row r="2388" spans="1:18">
      <c r="A2388">
        <v>1174.8999999999999</v>
      </c>
      <c r="B2388">
        <v>5</v>
      </c>
      <c r="C2388">
        <v>2387</v>
      </c>
      <c r="D2388" s="2">
        <v>8.6295081018518516E-2</v>
      </c>
      <c r="E2388" t="s">
        <v>2293</v>
      </c>
      <c r="F2388" t="s">
        <v>2294</v>
      </c>
      <c r="G2388" t="s">
        <v>2103</v>
      </c>
      <c r="H2388" t="s">
        <v>879</v>
      </c>
      <c r="I2388" t="s">
        <v>748</v>
      </c>
      <c r="J2388" t="s">
        <v>333</v>
      </c>
      <c r="K2388" t="s">
        <v>37</v>
      </c>
      <c r="L2388">
        <v>234.98</v>
      </c>
      <c r="M2388" s="1">
        <v>46224</v>
      </c>
      <c r="N2388" t="s">
        <v>48</v>
      </c>
      <c r="O2388">
        <v>21</v>
      </c>
      <c r="P2388">
        <v>7</v>
      </c>
      <c r="Q2388">
        <v>3</v>
      </c>
      <c r="R2388">
        <v>2026</v>
      </c>
    </row>
    <row r="2389" spans="1:18">
      <c r="A2389">
        <v>9.42</v>
      </c>
      <c r="B2389">
        <v>2</v>
      </c>
      <c r="C2389">
        <v>2388</v>
      </c>
      <c r="D2389" s="2">
        <v>0.68140042824074076</v>
      </c>
      <c r="E2389" t="s">
        <v>2207</v>
      </c>
      <c r="F2389" t="s">
        <v>2208</v>
      </c>
      <c r="G2389" t="s">
        <v>1854</v>
      </c>
      <c r="H2389" t="s">
        <v>1920</v>
      </c>
      <c r="I2389" t="s">
        <v>807</v>
      </c>
      <c r="J2389" t="s">
        <v>454</v>
      </c>
      <c r="K2389" t="s">
        <v>23</v>
      </c>
      <c r="L2389">
        <v>4.71</v>
      </c>
      <c r="M2389" s="1">
        <v>45982</v>
      </c>
      <c r="N2389" t="s">
        <v>79</v>
      </c>
      <c r="O2389">
        <v>21</v>
      </c>
      <c r="P2389">
        <v>11</v>
      </c>
      <c r="Q2389">
        <v>4</v>
      </c>
      <c r="R2389">
        <v>2025</v>
      </c>
    </row>
    <row r="2390" spans="1:18">
      <c r="A2390">
        <v>16.830000000000002</v>
      </c>
      <c r="B2390">
        <v>3</v>
      </c>
      <c r="C2390">
        <v>2389</v>
      </c>
      <c r="D2390" s="2">
        <v>0.58425333333333329</v>
      </c>
      <c r="E2390" t="s">
        <v>2028</v>
      </c>
      <c r="F2390" t="s">
        <v>2029</v>
      </c>
      <c r="G2390" t="s">
        <v>2030</v>
      </c>
      <c r="H2390" t="s">
        <v>1002</v>
      </c>
      <c r="I2390" t="s">
        <v>892</v>
      </c>
      <c r="J2390" t="s">
        <v>352</v>
      </c>
      <c r="K2390" t="s">
        <v>82</v>
      </c>
      <c r="L2390">
        <v>5.61</v>
      </c>
      <c r="M2390" s="1">
        <v>45815</v>
      </c>
      <c r="N2390" t="s">
        <v>14</v>
      </c>
      <c r="O2390">
        <v>7</v>
      </c>
      <c r="P2390">
        <v>6</v>
      </c>
      <c r="Q2390">
        <v>2</v>
      </c>
      <c r="R2390">
        <v>2025</v>
      </c>
    </row>
    <row r="2391" spans="1:18">
      <c r="A2391">
        <v>177.08</v>
      </c>
      <c r="B2391">
        <v>4</v>
      </c>
      <c r="C2391">
        <v>2390</v>
      </c>
      <c r="D2391" s="2">
        <v>0.50727927083333335</v>
      </c>
      <c r="E2391" t="s">
        <v>3234</v>
      </c>
      <c r="F2391" t="s">
        <v>3235</v>
      </c>
      <c r="G2391" t="s">
        <v>1317</v>
      </c>
      <c r="H2391" t="s">
        <v>919</v>
      </c>
      <c r="I2391" t="s">
        <v>786</v>
      </c>
      <c r="J2391" t="s">
        <v>296</v>
      </c>
      <c r="K2391" t="s">
        <v>122</v>
      </c>
      <c r="L2391">
        <v>44.27</v>
      </c>
      <c r="M2391" s="1">
        <v>46069</v>
      </c>
      <c r="N2391" t="s">
        <v>93</v>
      </c>
      <c r="O2391">
        <v>16</v>
      </c>
      <c r="P2391">
        <v>2</v>
      </c>
      <c r="Q2391">
        <v>1</v>
      </c>
      <c r="R2391">
        <v>2026</v>
      </c>
    </row>
    <row r="2392" spans="1:18">
      <c r="A2392">
        <v>478.1</v>
      </c>
      <c r="B2392">
        <v>5</v>
      </c>
      <c r="C2392">
        <v>2391</v>
      </c>
      <c r="D2392" s="2">
        <v>0.10321755787037037</v>
      </c>
      <c r="E2392" t="s">
        <v>3076</v>
      </c>
      <c r="F2392" t="s">
        <v>3077</v>
      </c>
      <c r="G2392" t="s">
        <v>2666</v>
      </c>
      <c r="H2392" t="s">
        <v>1156</v>
      </c>
      <c r="I2392" t="s">
        <v>839</v>
      </c>
      <c r="J2392" t="s">
        <v>153</v>
      </c>
      <c r="K2392" t="s">
        <v>37</v>
      </c>
      <c r="L2392">
        <v>95.62</v>
      </c>
      <c r="M2392" s="1">
        <v>45763</v>
      </c>
      <c r="N2392" t="s">
        <v>34</v>
      </c>
      <c r="O2392">
        <v>16</v>
      </c>
      <c r="P2392">
        <v>4</v>
      </c>
      <c r="Q2392">
        <v>2</v>
      </c>
      <c r="R2392">
        <v>2025</v>
      </c>
    </row>
    <row r="2393" spans="1:18">
      <c r="A2393">
        <v>987.28</v>
      </c>
      <c r="B2393">
        <v>4</v>
      </c>
      <c r="C2393">
        <v>2392</v>
      </c>
      <c r="D2393" s="2">
        <v>0.8170282523148148</v>
      </c>
      <c r="E2393" t="s">
        <v>1847</v>
      </c>
      <c r="F2393" t="s">
        <v>1848</v>
      </c>
      <c r="G2393" t="s">
        <v>1849</v>
      </c>
      <c r="H2393" t="s">
        <v>825</v>
      </c>
      <c r="I2393" t="s">
        <v>781</v>
      </c>
      <c r="J2393" t="s">
        <v>369</v>
      </c>
      <c r="K2393" t="s">
        <v>43</v>
      </c>
      <c r="L2393">
        <v>246.82</v>
      </c>
      <c r="M2393" s="1">
        <v>46225</v>
      </c>
      <c r="N2393" t="s">
        <v>34</v>
      </c>
      <c r="O2393">
        <v>22</v>
      </c>
      <c r="P2393">
        <v>7</v>
      </c>
      <c r="Q2393">
        <v>3</v>
      </c>
      <c r="R2393">
        <v>2026</v>
      </c>
    </row>
    <row r="2394" spans="1:18">
      <c r="A2394">
        <v>641.46</v>
      </c>
      <c r="B2394">
        <v>3</v>
      </c>
      <c r="C2394">
        <v>2393</v>
      </c>
      <c r="D2394" s="2">
        <v>0.49950386574074074</v>
      </c>
      <c r="E2394" t="s">
        <v>1900</v>
      </c>
      <c r="F2394" t="s">
        <v>1901</v>
      </c>
      <c r="G2394" t="s">
        <v>1477</v>
      </c>
      <c r="H2394" t="s">
        <v>961</v>
      </c>
      <c r="I2394" t="s">
        <v>753</v>
      </c>
      <c r="J2394" t="s">
        <v>266</v>
      </c>
      <c r="K2394" t="s">
        <v>19</v>
      </c>
      <c r="L2394">
        <v>213.82</v>
      </c>
      <c r="M2394" s="1">
        <v>45934</v>
      </c>
      <c r="N2394" t="s">
        <v>14</v>
      </c>
      <c r="O2394">
        <v>4</v>
      </c>
      <c r="P2394">
        <v>10</v>
      </c>
      <c r="Q2394">
        <v>4</v>
      </c>
      <c r="R2394">
        <v>2025</v>
      </c>
    </row>
    <row r="2395" spans="1:18">
      <c r="A2395">
        <v>398.65000000000003</v>
      </c>
      <c r="B2395">
        <v>5</v>
      </c>
      <c r="C2395">
        <v>2394</v>
      </c>
      <c r="D2395" s="2">
        <v>0.64504275462962968</v>
      </c>
      <c r="E2395" t="s">
        <v>889</v>
      </c>
      <c r="F2395" t="s">
        <v>890</v>
      </c>
      <c r="G2395" t="s">
        <v>891</v>
      </c>
      <c r="H2395" t="s">
        <v>64</v>
      </c>
      <c r="I2395" t="s">
        <v>892</v>
      </c>
      <c r="J2395" t="s">
        <v>621</v>
      </c>
      <c r="K2395" t="s">
        <v>19</v>
      </c>
      <c r="L2395">
        <v>79.73</v>
      </c>
      <c r="M2395" s="1">
        <v>45619</v>
      </c>
      <c r="N2395" t="s">
        <v>14</v>
      </c>
      <c r="O2395">
        <v>23</v>
      </c>
      <c r="P2395">
        <v>11</v>
      </c>
      <c r="Q2395">
        <v>4</v>
      </c>
      <c r="R2395">
        <v>2024</v>
      </c>
    </row>
    <row r="2396" spans="1:18">
      <c r="A2396">
        <v>520.53</v>
      </c>
      <c r="B2396">
        <v>3</v>
      </c>
      <c r="C2396">
        <v>2395</v>
      </c>
      <c r="D2396" s="2">
        <v>0.35359038194444442</v>
      </c>
      <c r="E2396" t="s">
        <v>2834</v>
      </c>
      <c r="F2396" t="s">
        <v>2835</v>
      </c>
      <c r="G2396" t="s">
        <v>1335</v>
      </c>
      <c r="H2396" t="s">
        <v>1071</v>
      </c>
      <c r="I2396" t="s">
        <v>817</v>
      </c>
      <c r="J2396" t="s">
        <v>734</v>
      </c>
      <c r="K2396" t="s">
        <v>51</v>
      </c>
      <c r="L2396">
        <v>173.51</v>
      </c>
      <c r="M2396" s="1">
        <v>45938</v>
      </c>
      <c r="N2396" t="s">
        <v>34</v>
      </c>
      <c r="O2396">
        <v>8</v>
      </c>
      <c r="P2396">
        <v>10</v>
      </c>
      <c r="Q2396">
        <v>4</v>
      </c>
      <c r="R2396">
        <v>2025</v>
      </c>
    </row>
    <row r="2397" spans="1:18">
      <c r="A2397">
        <v>453.1</v>
      </c>
      <c r="B2397">
        <v>5</v>
      </c>
      <c r="C2397">
        <v>2396</v>
      </c>
      <c r="D2397" s="2">
        <v>0.35680974537037036</v>
      </c>
      <c r="E2397" t="s">
        <v>3351</v>
      </c>
      <c r="F2397" t="s">
        <v>3352</v>
      </c>
      <c r="G2397" t="s">
        <v>3353</v>
      </c>
      <c r="H2397" t="s">
        <v>980</v>
      </c>
      <c r="I2397" t="s">
        <v>981</v>
      </c>
      <c r="J2397" t="s">
        <v>686</v>
      </c>
      <c r="K2397" t="s">
        <v>82</v>
      </c>
      <c r="L2397">
        <v>90.62</v>
      </c>
      <c r="M2397" s="1">
        <v>45936</v>
      </c>
      <c r="N2397" t="s">
        <v>93</v>
      </c>
      <c r="O2397">
        <v>6</v>
      </c>
      <c r="P2397">
        <v>10</v>
      </c>
      <c r="Q2397">
        <v>4</v>
      </c>
      <c r="R2397">
        <v>2025</v>
      </c>
    </row>
    <row r="2398" spans="1:18">
      <c r="A2398">
        <v>71.62</v>
      </c>
      <c r="B2398">
        <v>1</v>
      </c>
      <c r="C2398">
        <v>2397</v>
      </c>
      <c r="D2398" s="2">
        <v>0.69706271990740742</v>
      </c>
      <c r="E2398" t="s">
        <v>3371</v>
      </c>
      <c r="F2398" t="s">
        <v>3372</v>
      </c>
      <c r="G2398" t="s">
        <v>1050</v>
      </c>
      <c r="H2398" t="s">
        <v>74</v>
      </c>
      <c r="I2398" t="s">
        <v>943</v>
      </c>
      <c r="J2398" t="s">
        <v>680</v>
      </c>
      <c r="K2398" t="s">
        <v>69</v>
      </c>
      <c r="L2398">
        <v>71.62</v>
      </c>
      <c r="M2398" s="1">
        <v>46114</v>
      </c>
      <c r="N2398" t="s">
        <v>105</v>
      </c>
      <c r="O2398">
        <v>2</v>
      </c>
      <c r="P2398">
        <v>4</v>
      </c>
      <c r="Q2398">
        <v>2</v>
      </c>
      <c r="R2398">
        <v>2026</v>
      </c>
    </row>
    <row r="2399" spans="1:18">
      <c r="A2399">
        <v>64.290000000000006</v>
      </c>
      <c r="B2399">
        <v>1</v>
      </c>
      <c r="C2399">
        <v>2398</v>
      </c>
      <c r="D2399" s="2">
        <v>0.24264393518518518</v>
      </c>
      <c r="E2399" t="s">
        <v>2217</v>
      </c>
      <c r="F2399" t="s">
        <v>2218</v>
      </c>
      <c r="G2399" t="s">
        <v>1771</v>
      </c>
      <c r="H2399" t="s">
        <v>380</v>
      </c>
      <c r="I2399" t="s">
        <v>954</v>
      </c>
      <c r="J2399" t="s">
        <v>461</v>
      </c>
      <c r="K2399" t="s">
        <v>60</v>
      </c>
      <c r="L2399">
        <v>64.290000000000006</v>
      </c>
      <c r="M2399" s="1">
        <v>45717</v>
      </c>
      <c r="N2399" t="s">
        <v>14</v>
      </c>
      <c r="O2399">
        <v>1</v>
      </c>
      <c r="P2399">
        <v>3</v>
      </c>
      <c r="Q2399">
        <v>1</v>
      </c>
      <c r="R2399">
        <v>2025</v>
      </c>
    </row>
    <row r="2400" spans="1:18">
      <c r="A2400">
        <v>401.42</v>
      </c>
      <c r="B2400">
        <v>2</v>
      </c>
      <c r="C2400">
        <v>2399</v>
      </c>
      <c r="D2400" s="2">
        <v>0.98869400462962964</v>
      </c>
      <c r="E2400" t="s">
        <v>930</v>
      </c>
      <c r="F2400" t="s">
        <v>931</v>
      </c>
      <c r="G2400" t="s">
        <v>932</v>
      </c>
      <c r="H2400" t="s">
        <v>280</v>
      </c>
      <c r="I2400" t="s">
        <v>812</v>
      </c>
      <c r="J2400" t="s">
        <v>298</v>
      </c>
      <c r="K2400" t="s">
        <v>31</v>
      </c>
      <c r="L2400">
        <v>200.71</v>
      </c>
      <c r="M2400" s="1">
        <v>46151</v>
      </c>
      <c r="N2400" t="s">
        <v>14</v>
      </c>
      <c r="O2400">
        <v>9</v>
      </c>
      <c r="P2400">
        <v>5</v>
      </c>
      <c r="Q2400">
        <v>2</v>
      </c>
      <c r="R2400">
        <v>2026</v>
      </c>
    </row>
    <row r="2401" spans="1:18">
      <c r="A2401">
        <v>861.8</v>
      </c>
      <c r="B2401">
        <v>4</v>
      </c>
      <c r="C2401">
        <v>2400</v>
      </c>
      <c r="D2401" s="2">
        <v>8.3877719907407403E-2</v>
      </c>
      <c r="E2401" t="s">
        <v>2094</v>
      </c>
      <c r="F2401" t="s">
        <v>2095</v>
      </c>
      <c r="G2401" t="s">
        <v>1038</v>
      </c>
      <c r="H2401" t="s">
        <v>1107</v>
      </c>
      <c r="I2401" t="s">
        <v>892</v>
      </c>
      <c r="J2401" t="s">
        <v>395</v>
      </c>
      <c r="K2401" t="s">
        <v>19</v>
      </c>
      <c r="L2401">
        <v>215.45</v>
      </c>
      <c r="M2401" s="1">
        <v>45790</v>
      </c>
      <c r="N2401" t="s">
        <v>48</v>
      </c>
      <c r="O2401">
        <v>13</v>
      </c>
      <c r="P2401">
        <v>5</v>
      </c>
      <c r="Q2401">
        <v>2</v>
      </c>
      <c r="R2401">
        <v>2025</v>
      </c>
    </row>
    <row r="2402" spans="1:18">
      <c r="A2402">
        <v>338.52</v>
      </c>
      <c r="B2402">
        <v>4</v>
      </c>
      <c r="C2402">
        <v>2401</v>
      </c>
      <c r="D2402" s="2">
        <v>6.8733159722222228E-2</v>
      </c>
      <c r="E2402" t="s">
        <v>958</v>
      </c>
      <c r="F2402" t="s">
        <v>2368</v>
      </c>
      <c r="G2402" t="s">
        <v>2369</v>
      </c>
      <c r="H2402" t="s">
        <v>691</v>
      </c>
      <c r="I2402" t="s">
        <v>776</v>
      </c>
      <c r="J2402" t="s">
        <v>528</v>
      </c>
      <c r="K2402" t="s">
        <v>69</v>
      </c>
      <c r="L2402">
        <v>84.63</v>
      </c>
      <c r="M2402" s="1">
        <v>46087</v>
      </c>
      <c r="N2402" t="s">
        <v>79</v>
      </c>
      <c r="O2402">
        <v>6</v>
      </c>
      <c r="P2402">
        <v>3</v>
      </c>
      <c r="Q2402">
        <v>1</v>
      </c>
      <c r="R2402">
        <v>2026</v>
      </c>
    </row>
    <row r="2403" spans="1:18">
      <c r="A2403">
        <v>135.05000000000001</v>
      </c>
      <c r="B2403">
        <v>5</v>
      </c>
      <c r="C2403">
        <v>2402</v>
      </c>
      <c r="D2403" s="2">
        <v>0.14240934027777777</v>
      </c>
      <c r="E2403" t="s">
        <v>2819</v>
      </c>
      <c r="F2403" t="s">
        <v>2820</v>
      </c>
      <c r="G2403" t="s">
        <v>1619</v>
      </c>
      <c r="H2403" t="s">
        <v>1032</v>
      </c>
      <c r="I2403" t="s">
        <v>839</v>
      </c>
      <c r="J2403" t="s">
        <v>117</v>
      </c>
      <c r="K2403" t="s">
        <v>55</v>
      </c>
      <c r="L2403">
        <v>27.01</v>
      </c>
      <c r="M2403" s="1">
        <v>45839</v>
      </c>
      <c r="N2403" t="s">
        <v>48</v>
      </c>
      <c r="O2403">
        <v>1</v>
      </c>
      <c r="P2403">
        <v>7</v>
      </c>
      <c r="Q2403">
        <v>3</v>
      </c>
      <c r="R2403">
        <v>2025</v>
      </c>
    </row>
    <row r="2404" spans="1:18">
      <c r="A2404">
        <v>935.64</v>
      </c>
      <c r="B2404">
        <v>4</v>
      </c>
      <c r="C2404">
        <v>2403</v>
      </c>
      <c r="D2404" s="2">
        <v>0.52223170138888886</v>
      </c>
      <c r="E2404" t="s">
        <v>2547</v>
      </c>
      <c r="F2404" t="s">
        <v>2548</v>
      </c>
      <c r="G2404" t="s">
        <v>1938</v>
      </c>
      <c r="H2404" t="s">
        <v>1670</v>
      </c>
      <c r="I2404" t="s">
        <v>1247</v>
      </c>
      <c r="J2404" t="s">
        <v>272</v>
      </c>
      <c r="K2404" t="s">
        <v>55</v>
      </c>
      <c r="L2404">
        <v>233.91</v>
      </c>
      <c r="M2404" s="1">
        <v>45650</v>
      </c>
      <c r="N2404" t="s">
        <v>48</v>
      </c>
      <c r="O2404">
        <v>24</v>
      </c>
      <c r="P2404">
        <v>12</v>
      </c>
      <c r="Q2404">
        <v>4</v>
      </c>
      <c r="R2404">
        <v>2024</v>
      </c>
    </row>
    <row r="2405" spans="1:18">
      <c r="A2405">
        <v>104.12</v>
      </c>
      <c r="B2405">
        <v>1</v>
      </c>
      <c r="C2405">
        <v>2404</v>
      </c>
      <c r="D2405" s="2">
        <v>0.91719473379629635</v>
      </c>
      <c r="E2405" t="s">
        <v>813</v>
      </c>
      <c r="F2405" t="s">
        <v>814</v>
      </c>
      <c r="G2405" t="s">
        <v>815</v>
      </c>
      <c r="H2405" t="s">
        <v>816</v>
      </c>
      <c r="I2405" t="s">
        <v>817</v>
      </c>
      <c r="J2405" t="s">
        <v>620</v>
      </c>
      <c r="K2405" t="s">
        <v>21</v>
      </c>
      <c r="L2405">
        <v>104.12</v>
      </c>
      <c r="M2405" s="1">
        <v>45642</v>
      </c>
      <c r="N2405" t="s">
        <v>93</v>
      </c>
      <c r="O2405">
        <v>16</v>
      </c>
      <c r="P2405">
        <v>12</v>
      </c>
      <c r="Q2405">
        <v>4</v>
      </c>
      <c r="R2405">
        <v>2024</v>
      </c>
    </row>
    <row r="2406" spans="1:18">
      <c r="A2406">
        <v>293.85000000000002</v>
      </c>
      <c r="B2406">
        <v>5</v>
      </c>
      <c r="C2406">
        <v>2405</v>
      </c>
      <c r="D2406" s="2">
        <v>0.18817037037037038</v>
      </c>
      <c r="E2406" t="s">
        <v>2477</v>
      </c>
      <c r="F2406" t="s">
        <v>2478</v>
      </c>
      <c r="G2406" t="s">
        <v>2479</v>
      </c>
      <c r="H2406" t="s">
        <v>196</v>
      </c>
      <c r="I2406" t="s">
        <v>1247</v>
      </c>
      <c r="J2406" t="s">
        <v>262</v>
      </c>
      <c r="K2406" t="s">
        <v>21</v>
      </c>
      <c r="L2406">
        <v>58.77</v>
      </c>
      <c r="M2406" s="1">
        <v>45739</v>
      </c>
      <c r="N2406" t="s">
        <v>28</v>
      </c>
      <c r="O2406">
        <v>23</v>
      </c>
      <c r="P2406">
        <v>3</v>
      </c>
      <c r="Q2406">
        <v>1</v>
      </c>
      <c r="R2406">
        <v>2025</v>
      </c>
    </row>
    <row r="2407" spans="1:18">
      <c r="A2407">
        <v>464.64</v>
      </c>
      <c r="B2407">
        <v>3</v>
      </c>
      <c r="C2407">
        <v>2406</v>
      </c>
      <c r="D2407" s="2">
        <v>5.236934027777778E-2</v>
      </c>
      <c r="E2407" t="s">
        <v>2384</v>
      </c>
      <c r="F2407" t="s">
        <v>2385</v>
      </c>
      <c r="G2407" t="s">
        <v>2386</v>
      </c>
      <c r="H2407" t="s">
        <v>1469</v>
      </c>
      <c r="I2407" t="s">
        <v>908</v>
      </c>
      <c r="J2407" t="s">
        <v>704</v>
      </c>
      <c r="K2407" t="s">
        <v>51</v>
      </c>
      <c r="L2407">
        <v>154.88</v>
      </c>
      <c r="M2407" s="1">
        <v>45938</v>
      </c>
      <c r="N2407" t="s">
        <v>34</v>
      </c>
      <c r="O2407">
        <v>8</v>
      </c>
      <c r="P2407">
        <v>10</v>
      </c>
      <c r="Q2407">
        <v>4</v>
      </c>
      <c r="R2407">
        <v>2025</v>
      </c>
    </row>
    <row r="2408" spans="1:18">
      <c r="A2408">
        <v>701.73</v>
      </c>
      <c r="B2408">
        <v>3</v>
      </c>
      <c r="C2408">
        <v>2407</v>
      </c>
      <c r="D2408" s="2">
        <v>0.98808833333333335</v>
      </c>
      <c r="E2408" t="s">
        <v>2146</v>
      </c>
      <c r="F2408" t="s">
        <v>2147</v>
      </c>
      <c r="G2408" t="s">
        <v>2148</v>
      </c>
      <c r="H2408" t="s">
        <v>1525</v>
      </c>
      <c r="I2408" t="s">
        <v>763</v>
      </c>
      <c r="J2408" t="s">
        <v>272</v>
      </c>
      <c r="K2408" t="s">
        <v>55</v>
      </c>
      <c r="L2408">
        <v>233.91</v>
      </c>
      <c r="M2408" s="1">
        <v>45971</v>
      </c>
      <c r="N2408" t="s">
        <v>93</v>
      </c>
      <c r="O2408">
        <v>10</v>
      </c>
      <c r="P2408">
        <v>11</v>
      </c>
      <c r="Q2408">
        <v>4</v>
      </c>
      <c r="R2408">
        <v>2025</v>
      </c>
    </row>
    <row r="2409" spans="1:18">
      <c r="A2409">
        <v>9.01</v>
      </c>
      <c r="B2409">
        <v>1</v>
      </c>
      <c r="C2409">
        <v>2408</v>
      </c>
      <c r="D2409" s="2">
        <v>0.6958991898148148</v>
      </c>
      <c r="E2409" t="s">
        <v>2902</v>
      </c>
      <c r="F2409" t="s">
        <v>2903</v>
      </c>
      <c r="G2409" t="s">
        <v>2904</v>
      </c>
      <c r="H2409" t="s">
        <v>160</v>
      </c>
      <c r="I2409" t="s">
        <v>790</v>
      </c>
      <c r="J2409" t="s">
        <v>455</v>
      </c>
      <c r="K2409" t="s">
        <v>69</v>
      </c>
      <c r="L2409">
        <v>9.01</v>
      </c>
      <c r="M2409" s="1">
        <v>45889</v>
      </c>
      <c r="N2409" t="s">
        <v>34</v>
      </c>
      <c r="O2409">
        <v>20</v>
      </c>
      <c r="P2409">
        <v>8</v>
      </c>
      <c r="Q2409">
        <v>3</v>
      </c>
      <c r="R2409">
        <v>2025</v>
      </c>
    </row>
    <row r="2410" spans="1:18">
      <c r="A2410">
        <v>662.55</v>
      </c>
      <c r="B2410">
        <v>3</v>
      </c>
      <c r="C2410">
        <v>2409</v>
      </c>
      <c r="D2410" s="2">
        <v>0.62568999999999997</v>
      </c>
      <c r="E2410" t="s">
        <v>3258</v>
      </c>
      <c r="F2410" t="s">
        <v>3259</v>
      </c>
      <c r="G2410" t="s">
        <v>820</v>
      </c>
      <c r="H2410" t="s">
        <v>794</v>
      </c>
      <c r="I2410" t="s">
        <v>795</v>
      </c>
      <c r="J2410" t="s">
        <v>309</v>
      </c>
      <c r="K2410" t="s">
        <v>100</v>
      </c>
      <c r="L2410">
        <v>220.85</v>
      </c>
      <c r="M2410" s="1">
        <v>46097</v>
      </c>
      <c r="N2410" t="s">
        <v>93</v>
      </c>
      <c r="O2410">
        <v>16</v>
      </c>
      <c r="P2410">
        <v>3</v>
      </c>
      <c r="Q2410">
        <v>1</v>
      </c>
      <c r="R2410">
        <v>2026</v>
      </c>
    </row>
    <row r="2411" spans="1:18">
      <c r="A2411">
        <v>467.82</v>
      </c>
      <c r="B2411">
        <v>2</v>
      </c>
      <c r="C2411">
        <v>2410</v>
      </c>
      <c r="D2411" s="2">
        <v>0.3725362615740741</v>
      </c>
      <c r="E2411" t="s">
        <v>2733</v>
      </c>
      <c r="F2411" t="s">
        <v>2734</v>
      </c>
      <c r="G2411" t="s">
        <v>1212</v>
      </c>
      <c r="H2411" t="s">
        <v>1600</v>
      </c>
      <c r="I2411" t="s">
        <v>768</v>
      </c>
      <c r="J2411" t="s">
        <v>272</v>
      </c>
      <c r="K2411" t="s">
        <v>55</v>
      </c>
      <c r="L2411">
        <v>233.91</v>
      </c>
      <c r="M2411" s="1">
        <v>46068</v>
      </c>
      <c r="N2411" t="s">
        <v>28</v>
      </c>
      <c r="O2411">
        <v>15</v>
      </c>
      <c r="P2411">
        <v>2</v>
      </c>
      <c r="Q2411">
        <v>1</v>
      </c>
      <c r="R2411">
        <v>2026</v>
      </c>
    </row>
    <row r="2412" spans="1:18">
      <c r="A2412">
        <v>169.26</v>
      </c>
      <c r="B2412">
        <v>2</v>
      </c>
      <c r="C2412">
        <v>2411</v>
      </c>
      <c r="D2412" s="2">
        <v>0.83381828703703709</v>
      </c>
      <c r="E2412" t="s">
        <v>1792</v>
      </c>
      <c r="F2412" t="s">
        <v>1178</v>
      </c>
      <c r="G2412" t="s">
        <v>1793</v>
      </c>
      <c r="H2412" t="s">
        <v>862</v>
      </c>
      <c r="I2412" t="s">
        <v>908</v>
      </c>
      <c r="J2412" t="s">
        <v>495</v>
      </c>
      <c r="K2412" t="s">
        <v>39</v>
      </c>
      <c r="L2412">
        <v>84.63</v>
      </c>
      <c r="M2412" s="1">
        <v>46045</v>
      </c>
      <c r="N2412" t="s">
        <v>79</v>
      </c>
      <c r="O2412">
        <v>23</v>
      </c>
      <c r="P2412">
        <v>1</v>
      </c>
      <c r="Q2412">
        <v>1</v>
      </c>
      <c r="R2412">
        <v>2026</v>
      </c>
    </row>
    <row r="2413" spans="1:18">
      <c r="A2413">
        <v>545.64</v>
      </c>
      <c r="B2413">
        <v>3</v>
      </c>
      <c r="C2413">
        <v>2412</v>
      </c>
      <c r="D2413" s="2">
        <v>0.25309274305555557</v>
      </c>
      <c r="E2413" t="s">
        <v>2404</v>
      </c>
      <c r="F2413" t="s">
        <v>2405</v>
      </c>
      <c r="G2413" t="s">
        <v>779</v>
      </c>
      <c r="H2413" t="s">
        <v>2044</v>
      </c>
      <c r="I2413" t="s">
        <v>748</v>
      </c>
      <c r="J2413" t="s">
        <v>549</v>
      </c>
      <c r="K2413" t="s">
        <v>82</v>
      </c>
      <c r="L2413">
        <v>181.88</v>
      </c>
      <c r="M2413" s="1">
        <v>46063</v>
      </c>
      <c r="N2413" t="s">
        <v>48</v>
      </c>
      <c r="O2413">
        <v>10</v>
      </c>
      <c r="P2413">
        <v>2</v>
      </c>
      <c r="Q2413">
        <v>1</v>
      </c>
      <c r="R2413">
        <v>2026</v>
      </c>
    </row>
    <row r="2414" spans="1:18">
      <c r="A2414">
        <v>7.62</v>
      </c>
      <c r="B2414">
        <v>3</v>
      </c>
      <c r="C2414">
        <v>2413</v>
      </c>
      <c r="D2414" s="2">
        <v>0.61334099537037035</v>
      </c>
      <c r="E2414" t="s">
        <v>1667</v>
      </c>
      <c r="F2414" t="s">
        <v>1668</v>
      </c>
      <c r="G2414" t="s">
        <v>1669</v>
      </c>
      <c r="H2414" t="s">
        <v>1670</v>
      </c>
      <c r="I2414" t="s">
        <v>1247</v>
      </c>
      <c r="J2414" t="s">
        <v>409</v>
      </c>
      <c r="K2414" t="s">
        <v>39</v>
      </c>
      <c r="L2414">
        <v>2.54</v>
      </c>
      <c r="M2414" s="1">
        <v>46210</v>
      </c>
      <c r="N2414" t="s">
        <v>48</v>
      </c>
      <c r="O2414">
        <v>7</v>
      </c>
      <c r="P2414">
        <v>7</v>
      </c>
      <c r="Q2414">
        <v>3</v>
      </c>
      <c r="R2414">
        <v>2026</v>
      </c>
    </row>
    <row r="2415" spans="1:18">
      <c r="A2415">
        <v>51.72</v>
      </c>
      <c r="B2415">
        <v>2</v>
      </c>
      <c r="C2415">
        <v>2414</v>
      </c>
      <c r="D2415" s="2">
        <v>0.4212065162037037</v>
      </c>
      <c r="E2415" t="s">
        <v>2916</v>
      </c>
      <c r="F2415" t="s">
        <v>2917</v>
      </c>
      <c r="G2415" t="s">
        <v>2173</v>
      </c>
      <c r="H2415" t="s">
        <v>328</v>
      </c>
      <c r="I2415" t="s">
        <v>1003</v>
      </c>
      <c r="J2415" t="s">
        <v>282</v>
      </c>
      <c r="K2415" t="s">
        <v>21</v>
      </c>
      <c r="L2415">
        <v>25.86</v>
      </c>
      <c r="M2415" s="1">
        <v>46028</v>
      </c>
      <c r="N2415" t="s">
        <v>48</v>
      </c>
      <c r="O2415">
        <v>6</v>
      </c>
      <c r="P2415">
        <v>1</v>
      </c>
      <c r="Q2415">
        <v>1</v>
      </c>
      <c r="R2415">
        <v>2026</v>
      </c>
    </row>
    <row r="2416" spans="1:18">
      <c r="A2416">
        <v>5.15</v>
      </c>
      <c r="B2416">
        <v>5</v>
      </c>
      <c r="C2416">
        <v>2415</v>
      </c>
      <c r="D2416" s="2">
        <v>0.66039468749999997</v>
      </c>
      <c r="E2416" t="s">
        <v>2690</v>
      </c>
      <c r="F2416" t="s">
        <v>2691</v>
      </c>
      <c r="G2416" t="s">
        <v>2692</v>
      </c>
      <c r="H2416" t="s">
        <v>2489</v>
      </c>
      <c r="I2416" t="s">
        <v>1247</v>
      </c>
      <c r="J2416" t="s">
        <v>711</v>
      </c>
      <c r="K2416" t="s">
        <v>122</v>
      </c>
      <c r="L2416">
        <v>1.03</v>
      </c>
      <c r="M2416" s="1">
        <v>45895</v>
      </c>
      <c r="N2416" t="s">
        <v>48</v>
      </c>
      <c r="O2416">
        <v>26</v>
      </c>
      <c r="P2416">
        <v>8</v>
      </c>
      <c r="Q2416">
        <v>3</v>
      </c>
      <c r="R2416">
        <v>2025</v>
      </c>
    </row>
    <row r="2417" spans="1:18">
      <c r="A2417">
        <v>168.64999999999998</v>
      </c>
      <c r="B2417">
        <v>5</v>
      </c>
      <c r="C2417">
        <v>2416</v>
      </c>
      <c r="D2417" s="2">
        <v>0.25902446759259257</v>
      </c>
      <c r="E2417" t="s">
        <v>2213</v>
      </c>
      <c r="F2417" t="s">
        <v>2214</v>
      </c>
      <c r="G2417" t="s">
        <v>1556</v>
      </c>
      <c r="H2417" t="s">
        <v>691</v>
      </c>
      <c r="I2417" t="s">
        <v>776</v>
      </c>
      <c r="J2417" t="s">
        <v>527</v>
      </c>
      <c r="K2417" t="s">
        <v>27</v>
      </c>
      <c r="L2417">
        <v>33.729999999999997</v>
      </c>
      <c r="M2417" s="1">
        <v>45601</v>
      </c>
      <c r="N2417" t="s">
        <v>48</v>
      </c>
      <c r="O2417">
        <v>5</v>
      </c>
      <c r="P2417">
        <v>11</v>
      </c>
      <c r="Q2417">
        <v>4</v>
      </c>
      <c r="R2417">
        <v>2024</v>
      </c>
    </row>
    <row r="2418" spans="1:18">
      <c r="A2418">
        <v>449.18999999999994</v>
      </c>
      <c r="B2418">
        <v>3</v>
      </c>
      <c r="C2418">
        <v>2417</v>
      </c>
      <c r="D2418" s="2">
        <v>5.0371620370370372E-2</v>
      </c>
      <c r="E2418" t="s">
        <v>920</v>
      </c>
      <c r="F2418" t="s">
        <v>921</v>
      </c>
      <c r="G2418" t="s">
        <v>922</v>
      </c>
      <c r="H2418" t="s">
        <v>380</v>
      </c>
      <c r="I2418" t="s">
        <v>776</v>
      </c>
      <c r="J2418" t="s">
        <v>425</v>
      </c>
      <c r="K2418" t="s">
        <v>51</v>
      </c>
      <c r="L2418">
        <v>149.72999999999999</v>
      </c>
      <c r="M2418" s="1">
        <v>46087</v>
      </c>
      <c r="N2418" t="s">
        <v>79</v>
      </c>
      <c r="O2418">
        <v>6</v>
      </c>
      <c r="P2418">
        <v>3</v>
      </c>
      <c r="Q2418">
        <v>1</v>
      </c>
      <c r="R2418">
        <v>2026</v>
      </c>
    </row>
    <row r="2419" spans="1:18">
      <c r="A2419">
        <v>939.56</v>
      </c>
      <c r="B2419">
        <v>4</v>
      </c>
      <c r="C2419">
        <v>2418</v>
      </c>
      <c r="D2419" s="2">
        <v>0.52196871527777777</v>
      </c>
      <c r="E2419" t="s">
        <v>3325</v>
      </c>
      <c r="F2419" t="s">
        <v>3326</v>
      </c>
      <c r="G2419" t="s">
        <v>1462</v>
      </c>
      <c r="H2419" t="s">
        <v>903</v>
      </c>
      <c r="I2419" t="s">
        <v>786</v>
      </c>
      <c r="J2419" t="s">
        <v>255</v>
      </c>
      <c r="K2419" t="s">
        <v>39</v>
      </c>
      <c r="L2419">
        <v>234.89</v>
      </c>
      <c r="M2419" s="1">
        <v>45933</v>
      </c>
      <c r="N2419" t="s">
        <v>79</v>
      </c>
      <c r="O2419">
        <v>3</v>
      </c>
      <c r="P2419">
        <v>10</v>
      </c>
      <c r="Q2419">
        <v>4</v>
      </c>
      <c r="R2419">
        <v>2025</v>
      </c>
    </row>
    <row r="2420" spans="1:18">
      <c r="A2420">
        <v>519.70000000000005</v>
      </c>
      <c r="B2420">
        <v>5</v>
      </c>
      <c r="C2420">
        <v>2419</v>
      </c>
      <c r="D2420" s="2">
        <v>8.9202581018518523E-2</v>
      </c>
      <c r="E2420" t="s">
        <v>2002</v>
      </c>
      <c r="F2420" t="s">
        <v>2003</v>
      </c>
      <c r="G2420" t="s">
        <v>2004</v>
      </c>
      <c r="H2420" t="s">
        <v>794</v>
      </c>
      <c r="I2420" t="s">
        <v>821</v>
      </c>
      <c r="J2420" t="s">
        <v>210</v>
      </c>
      <c r="K2420" t="s">
        <v>55</v>
      </c>
      <c r="L2420">
        <v>103.94</v>
      </c>
      <c r="M2420" s="1">
        <v>45817</v>
      </c>
      <c r="N2420" t="s">
        <v>93</v>
      </c>
      <c r="O2420">
        <v>9</v>
      </c>
      <c r="P2420">
        <v>6</v>
      </c>
      <c r="Q2420">
        <v>2</v>
      </c>
      <c r="R2420">
        <v>2025</v>
      </c>
    </row>
    <row r="2421" spans="1:18">
      <c r="A2421">
        <v>649.44999999999993</v>
      </c>
      <c r="B2421">
        <v>5</v>
      </c>
      <c r="C2421">
        <v>2420</v>
      </c>
      <c r="D2421" s="2">
        <v>0.74525996527777782</v>
      </c>
      <c r="E2421" t="s">
        <v>3137</v>
      </c>
      <c r="F2421" t="s">
        <v>3138</v>
      </c>
      <c r="G2421" t="s">
        <v>2383</v>
      </c>
      <c r="H2421" t="s">
        <v>3139</v>
      </c>
      <c r="I2421" t="s">
        <v>908</v>
      </c>
      <c r="J2421" t="s">
        <v>271</v>
      </c>
      <c r="K2421" t="s">
        <v>25</v>
      </c>
      <c r="L2421">
        <v>129.88999999999999</v>
      </c>
      <c r="M2421" s="1">
        <v>45810</v>
      </c>
      <c r="N2421" t="s">
        <v>93</v>
      </c>
      <c r="O2421">
        <v>2</v>
      </c>
      <c r="P2421">
        <v>6</v>
      </c>
      <c r="Q2421">
        <v>2</v>
      </c>
      <c r="R2421">
        <v>2025</v>
      </c>
    </row>
    <row r="2422" spans="1:18">
      <c r="A2422">
        <v>932.32</v>
      </c>
      <c r="B2422">
        <v>4</v>
      </c>
      <c r="C2422">
        <v>2421</v>
      </c>
      <c r="D2422" s="2">
        <v>1.0581655092592592E-2</v>
      </c>
      <c r="E2422" t="s">
        <v>1315</v>
      </c>
      <c r="F2422" t="s">
        <v>1316</v>
      </c>
      <c r="G2422" t="s">
        <v>1317</v>
      </c>
      <c r="H2422" t="s">
        <v>1318</v>
      </c>
      <c r="I2422" t="s">
        <v>807</v>
      </c>
      <c r="J2422" t="s">
        <v>213</v>
      </c>
      <c r="K2422" t="s">
        <v>69</v>
      </c>
      <c r="L2422">
        <v>233.08</v>
      </c>
      <c r="M2422" s="1">
        <v>45720</v>
      </c>
      <c r="N2422" t="s">
        <v>48</v>
      </c>
      <c r="O2422">
        <v>4</v>
      </c>
      <c r="P2422">
        <v>3</v>
      </c>
      <c r="Q2422">
        <v>1</v>
      </c>
      <c r="R2422">
        <v>2025</v>
      </c>
    </row>
    <row r="2423" spans="1:18">
      <c r="A2423">
        <v>1074.75</v>
      </c>
      <c r="B2423">
        <v>5</v>
      </c>
      <c r="C2423">
        <v>2422</v>
      </c>
      <c r="D2423" s="2">
        <v>0.85562074074074079</v>
      </c>
      <c r="E2423" t="s">
        <v>2347</v>
      </c>
      <c r="F2423" t="s">
        <v>2348</v>
      </c>
      <c r="G2423" t="s">
        <v>891</v>
      </c>
      <c r="H2423" t="s">
        <v>965</v>
      </c>
      <c r="I2423" t="s">
        <v>966</v>
      </c>
      <c r="J2423" t="s">
        <v>195</v>
      </c>
      <c r="K2423" t="s">
        <v>31</v>
      </c>
      <c r="L2423">
        <v>214.95</v>
      </c>
      <c r="M2423" s="1">
        <v>45741</v>
      </c>
      <c r="N2423" t="s">
        <v>48</v>
      </c>
      <c r="O2423">
        <v>25</v>
      </c>
      <c r="P2423">
        <v>3</v>
      </c>
      <c r="Q2423">
        <v>1</v>
      </c>
      <c r="R2423">
        <v>2025</v>
      </c>
    </row>
    <row r="2424" spans="1:18">
      <c r="A2424">
        <v>407.48</v>
      </c>
      <c r="B2424">
        <v>2</v>
      </c>
      <c r="C2424">
        <v>2423</v>
      </c>
      <c r="D2424" s="2">
        <v>0.15694081018518519</v>
      </c>
      <c r="E2424" t="s">
        <v>2129</v>
      </c>
      <c r="F2424" t="s">
        <v>2130</v>
      </c>
      <c r="G2424" t="s">
        <v>998</v>
      </c>
      <c r="H2424" t="s">
        <v>380</v>
      </c>
      <c r="I2424" t="s">
        <v>776</v>
      </c>
      <c r="J2424" t="s">
        <v>552</v>
      </c>
      <c r="K2424" t="s">
        <v>31</v>
      </c>
      <c r="L2424">
        <v>203.74</v>
      </c>
      <c r="M2424" s="1">
        <v>46107</v>
      </c>
      <c r="N2424" t="s">
        <v>105</v>
      </c>
      <c r="O2424">
        <v>26</v>
      </c>
      <c r="P2424">
        <v>3</v>
      </c>
      <c r="Q2424">
        <v>1</v>
      </c>
      <c r="R2424">
        <v>2026</v>
      </c>
    </row>
    <row r="2425" spans="1:18">
      <c r="A2425">
        <v>574.48</v>
      </c>
      <c r="B2425">
        <v>4</v>
      </c>
      <c r="C2425">
        <v>2424</v>
      </c>
      <c r="D2425" s="2">
        <v>0.33662840277777778</v>
      </c>
      <c r="E2425" t="s">
        <v>1072</v>
      </c>
      <c r="F2425" t="s">
        <v>1073</v>
      </c>
      <c r="G2425" t="s">
        <v>1074</v>
      </c>
      <c r="H2425" t="s">
        <v>1002</v>
      </c>
      <c r="I2425" t="s">
        <v>1003</v>
      </c>
      <c r="J2425" t="s">
        <v>326</v>
      </c>
      <c r="K2425" t="s">
        <v>97</v>
      </c>
      <c r="L2425">
        <v>143.62</v>
      </c>
      <c r="M2425" s="1">
        <v>45720</v>
      </c>
      <c r="N2425" t="s">
        <v>48</v>
      </c>
      <c r="O2425">
        <v>4</v>
      </c>
      <c r="P2425">
        <v>3</v>
      </c>
      <c r="Q2425">
        <v>1</v>
      </c>
      <c r="R2425">
        <v>2025</v>
      </c>
    </row>
    <row r="2426" spans="1:18">
      <c r="A2426">
        <v>179.55</v>
      </c>
      <c r="B2426">
        <v>1</v>
      </c>
      <c r="C2426">
        <v>2425</v>
      </c>
      <c r="D2426" s="2">
        <v>0.35139207175925924</v>
      </c>
      <c r="E2426" t="s">
        <v>2357</v>
      </c>
      <c r="F2426" t="s">
        <v>2358</v>
      </c>
      <c r="G2426" t="s">
        <v>2359</v>
      </c>
      <c r="H2426" t="s">
        <v>869</v>
      </c>
      <c r="I2426" t="s">
        <v>807</v>
      </c>
      <c r="J2426" t="s">
        <v>614</v>
      </c>
      <c r="K2426" t="s">
        <v>21</v>
      </c>
      <c r="L2426">
        <v>179.55</v>
      </c>
      <c r="M2426" s="1">
        <v>46020</v>
      </c>
      <c r="N2426" t="s">
        <v>93</v>
      </c>
      <c r="O2426">
        <v>29</v>
      </c>
      <c r="P2426">
        <v>12</v>
      </c>
      <c r="Q2426">
        <v>4</v>
      </c>
      <c r="R2426">
        <v>2025</v>
      </c>
    </row>
    <row r="2427" spans="1:18">
      <c r="A2427">
        <v>651.12</v>
      </c>
      <c r="B2427">
        <v>4</v>
      </c>
      <c r="C2427">
        <v>2426</v>
      </c>
      <c r="D2427" s="2">
        <v>0.47477806712962961</v>
      </c>
      <c r="E2427" t="s">
        <v>2068</v>
      </c>
      <c r="F2427" t="s">
        <v>2069</v>
      </c>
      <c r="G2427" t="s">
        <v>1468</v>
      </c>
      <c r="H2427" t="s">
        <v>762</v>
      </c>
      <c r="I2427" t="s">
        <v>763</v>
      </c>
      <c r="J2427" t="s">
        <v>229</v>
      </c>
      <c r="K2427" t="s">
        <v>97</v>
      </c>
      <c r="L2427">
        <v>162.78</v>
      </c>
      <c r="M2427" s="1">
        <v>46278</v>
      </c>
      <c r="N2427" t="s">
        <v>28</v>
      </c>
      <c r="O2427">
        <v>13</v>
      </c>
      <c r="P2427">
        <v>9</v>
      </c>
      <c r="Q2427">
        <v>3</v>
      </c>
      <c r="R2427">
        <v>2026</v>
      </c>
    </row>
    <row r="2428" spans="1:18">
      <c r="A2428">
        <v>478.1</v>
      </c>
      <c r="B2428">
        <v>5</v>
      </c>
      <c r="C2428">
        <v>2427</v>
      </c>
      <c r="D2428" s="2">
        <v>0.49478591435185187</v>
      </c>
      <c r="E2428" t="s">
        <v>1014</v>
      </c>
      <c r="F2428" t="s">
        <v>1015</v>
      </c>
      <c r="G2428" t="s">
        <v>1016</v>
      </c>
      <c r="H2428" t="s">
        <v>1017</v>
      </c>
      <c r="I2428" t="s">
        <v>966</v>
      </c>
      <c r="J2428" t="s">
        <v>153</v>
      </c>
      <c r="K2428" t="s">
        <v>37</v>
      </c>
      <c r="L2428">
        <v>95.62</v>
      </c>
      <c r="M2428" s="1">
        <v>46156</v>
      </c>
      <c r="N2428" t="s">
        <v>105</v>
      </c>
      <c r="O2428">
        <v>14</v>
      </c>
      <c r="P2428">
        <v>5</v>
      </c>
      <c r="Q2428">
        <v>2</v>
      </c>
      <c r="R2428">
        <v>2026</v>
      </c>
    </row>
    <row r="2429" spans="1:18">
      <c r="A2429">
        <v>33.869999999999997</v>
      </c>
      <c r="B2429">
        <v>3</v>
      </c>
      <c r="C2429">
        <v>2428</v>
      </c>
      <c r="D2429" s="2">
        <v>4.6293750000000002E-2</v>
      </c>
      <c r="E2429" t="s">
        <v>1661</v>
      </c>
      <c r="F2429" t="s">
        <v>1662</v>
      </c>
      <c r="G2429" t="s">
        <v>1515</v>
      </c>
      <c r="H2429" t="s">
        <v>883</v>
      </c>
      <c r="I2429" t="s">
        <v>807</v>
      </c>
      <c r="J2429" t="s">
        <v>596</v>
      </c>
      <c r="K2429" t="s">
        <v>39</v>
      </c>
      <c r="L2429">
        <v>11.29</v>
      </c>
      <c r="M2429" s="1">
        <v>45640</v>
      </c>
      <c r="N2429" t="s">
        <v>14</v>
      </c>
      <c r="O2429">
        <v>14</v>
      </c>
      <c r="P2429">
        <v>12</v>
      </c>
      <c r="Q2429">
        <v>4</v>
      </c>
      <c r="R2429">
        <v>2024</v>
      </c>
    </row>
    <row r="2430" spans="1:18">
      <c r="A2430">
        <v>600.36</v>
      </c>
      <c r="B2430">
        <v>3</v>
      </c>
      <c r="C2430">
        <v>2429</v>
      </c>
      <c r="D2430" s="2">
        <v>0.63268304398148145</v>
      </c>
      <c r="E2430" t="s">
        <v>1438</v>
      </c>
      <c r="F2430" t="s">
        <v>1439</v>
      </c>
      <c r="G2430" t="s">
        <v>1440</v>
      </c>
      <c r="H2430" t="s">
        <v>29</v>
      </c>
      <c r="I2430" t="s">
        <v>763</v>
      </c>
      <c r="J2430" t="s">
        <v>239</v>
      </c>
      <c r="K2430" t="s">
        <v>23</v>
      </c>
      <c r="L2430">
        <v>200.12</v>
      </c>
      <c r="M2430" s="1">
        <v>45988</v>
      </c>
      <c r="N2430" t="s">
        <v>105</v>
      </c>
      <c r="O2430">
        <v>27</v>
      </c>
      <c r="P2430">
        <v>11</v>
      </c>
      <c r="Q2430">
        <v>4</v>
      </c>
      <c r="R2430">
        <v>2025</v>
      </c>
    </row>
    <row r="2431" spans="1:18">
      <c r="A2431">
        <v>140.82</v>
      </c>
      <c r="B2431">
        <v>3</v>
      </c>
      <c r="C2431">
        <v>2430</v>
      </c>
      <c r="D2431" s="2">
        <v>0.82409163194444446</v>
      </c>
      <c r="E2431" t="s">
        <v>2569</v>
      </c>
      <c r="F2431" t="s">
        <v>2570</v>
      </c>
      <c r="G2431" t="s">
        <v>2571</v>
      </c>
      <c r="H2431" t="s">
        <v>1026</v>
      </c>
      <c r="I2431" t="s">
        <v>896</v>
      </c>
      <c r="J2431" t="s">
        <v>365</v>
      </c>
      <c r="K2431" t="s">
        <v>51</v>
      </c>
      <c r="L2431">
        <v>46.94</v>
      </c>
      <c r="M2431" s="1">
        <v>46041</v>
      </c>
      <c r="N2431" t="s">
        <v>93</v>
      </c>
      <c r="O2431">
        <v>19</v>
      </c>
      <c r="P2431">
        <v>1</v>
      </c>
      <c r="Q2431">
        <v>1</v>
      </c>
      <c r="R2431">
        <v>2026</v>
      </c>
    </row>
    <row r="2432" spans="1:18">
      <c r="A2432">
        <v>819.80000000000007</v>
      </c>
      <c r="B2432">
        <v>5</v>
      </c>
      <c r="C2432">
        <v>2431</v>
      </c>
      <c r="D2432" s="2">
        <v>0.68073569444444448</v>
      </c>
      <c r="E2432" t="s">
        <v>782</v>
      </c>
      <c r="F2432" t="s">
        <v>783</v>
      </c>
      <c r="G2432" t="s">
        <v>784</v>
      </c>
      <c r="H2432" t="s">
        <v>785</v>
      </c>
      <c r="I2432" t="s">
        <v>786</v>
      </c>
      <c r="J2432" t="s">
        <v>731</v>
      </c>
      <c r="K2432" t="s">
        <v>21</v>
      </c>
      <c r="L2432">
        <v>163.96</v>
      </c>
      <c r="M2432" s="1">
        <v>46156</v>
      </c>
      <c r="N2432" t="s">
        <v>105</v>
      </c>
      <c r="O2432">
        <v>14</v>
      </c>
      <c r="P2432">
        <v>5</v>
      </c>
      <c r="Q2432">
        <v>2</v>
      </c>
      <c r="R2432">
        <v>2026</v>
      </c>
    </row>
    <row r="2433" spans="1:18">
      <c r="A2433">
        <v>338.52</v>
      </c>
      <c r="B2433">
        <v>4</v>
      </c>
      <c r="C2433">
        <v>2432</v>
      </c>
      <c r="D2433" s="2">
        <v>0.35777005787037036</v>
      </c>
      <c r="E2433" t="s">
        <v>2810</v>
      </c>
      <c r="F2433" t="s">
        <v>2811</v>
      </c>
      <c r="G2433" t="s">
        <v>2775</v>
      </c>
      <c r="H2433" t="s">
        <v>199</v>
      </c>
      <c r="I2433" t="s">
        <v>781</v>
      </c>
      <c r="J2433" t="s">
        <v>495</v>
      </c>
      <c r="K2433" t="s">
        <v>39</v>
      </c>
      <c r="L2433">
        <v>84.63</v>
      </c>
      <c r="M2433" s="1">
        <v>46014</v>
      </c>
      <c r="N2433" t="s">
        <v>48</v>
      </c>
      <c r="O2433">
        <v>23</v>
      </c>
      <c r="P2433">
        <v>12</v>
      </c>
      <c r="Q2433">
        <v>4</v>
      </c>
      <c r="R2433">
        <v>2025</v>
      </c>
    </row>
    <row r="2434" spans="1:18">
      <c r="A2434">
        <v>575.88</v>
      </c>
      <c r="B2434">
        <v>3</v>
      </c>
      <c r="C2434">
        <v>2433</v>
      </c>
      <c r="D2434" s="2">
        <v>0.29475983796296296</v>
      </c>
      <c r="E2434" t="s">
        <v>2690</v>
      </c>
      <c r="F2434" t="s">
        <v>2691</v>
      </c>
      <c r="G2434" t="s">
        <v>2692</v>
      </c>
      <c r="H2434" t="s">
        <v>2489</v>
      </c>
      <c r="I2434" t="s">
        <v>1247</v>
      </c>
      <c r="J2434" t="s">
        <v>231</v>
      </c>
      <c r="K2434" t="s">
        <v>37</v>
      </c>
      <c r="L2434">
        <v>191.96</v>
      </c>
      <c r="M2434" s="1">
        <v>45926</v>
      </c>
      <c r="N2434" t="s">
        <v>79</v>
      </c>
      <c r="O2434">
        <v>26</v>
      </c>
      <c r="P2434">
        <v>9</v>
      </c>
      <c r="Q2434">
        <v>3</v>
      </c>
      <c r="R2434">
        <v>2025</v>
      </c>
    </row>
    <row r="2435" spans="1:18">
      <c r="A2435">
        <v>50.28</v>
      </c>
      <c r="B2435">
        <v>1</v>
      </c>
      <c r="C2435">
        <v>2434</v>
      </c>
      <c r="D2435" s="2">
        <v>5.9961863425925924E-2</v>
      </c>
      <c r="E2435" t="s">
        <v>1193</v>
      </c>
      <c r="F2435" t="s">
        <v>1194</v>
      </c>
      <c r="G2435" t="s">
        <v>1195</v>
      </c>
      <c r="H2435" t="s">
        <v>199</v>
      </c>
      <c r="I2435" t="s">
        <v>781</v>
      </c>
      <c r="J2435" t="s">
        <v>519</v>
      </c>
      <c r="K2435" t="s">
        <v>51</v>
      </c>
      <c r="L2435">
        <v>50.28</v>
      </c>
      <c r="M2435" s="1">
        <v>46191</v>
      </c>
      <c r="N2435" t="s">
        <v>105</v>
      </c>
      <c r="O2435">
        <v>18</v>
      </c>
      <c r="P2435">
        <v>6</v>
      </c>
      <c r="Q2435">
        <v>2</v>
      </c>
      <c r="R2435">
        <v>2026</v>
      </c>
    </row>
    <row r="2436" spans="1:18">
      <c r="A2436">
        <v>906.2</v>
      </c>
      <c r="B2436">
        <v>5</v>
      </c>
      <c r="C2436">
        <v>2435</v>
      </c>
      <c r="D2436" s="2">
        <v>0.4904775578703704</v>
      </c>
      <c r="E2436" t="s">
        <v>2061</v>
      </c>
      <c r="F2436" t="s">
        <v>2062</v>
      </c>
      <c r="G2436" t="s">
        <v>1754</v>
      </c>
      <c r="H2436" t="s">
        <v>392</v>
      </c>
      <c r="I2436" t="s">
        <v>834</v>
      </c>
      <c r="J2436" t="s">
        <v>81</v>
      </c>
      <c r="K2436" t="s">
        <v>82</v>
      </c>
      <c r="L2436">
        <v>181.24</v>
      </c>
      <c r="M2436" s="1">
        <v>46042</v>
      </c>
      <c r="N2436" t="s">
        <v>48</v>
      </c>
      <c r="O2436">
        <v>20</v>
      </c>
      <c r="P2436">
        <v>1</v>
      </c>
      <c r="Q2436">
        <v>1</v>
      </c>
      <c r="R2436">
        <v>2026</v>
      </c>
    </row>
    <row r="2437" spans="1:18">
      <c r="A2437">
        <v>181.24</v>
      </c>
      <c r="B2437">
        <v>4</v>
      </c>
      <c r="C2437">
        <v>2436</v>
      </c>
      <c r="D2437" s="2">
        <v>0.65560546296296296</v>
      </c>
      <c r="E2437" t="s">
        <v>2430</v>
      </c>
      <c r="F2437" t="s">
        <v>2431</v>
      </c>
      <c r="G2437" t="s">
        <v>1893</v>
      </c>
      <c r="H2437" t="s">
        <v>762</v>
      </c>
      <c r="I2437" t="s">
        <v>763</v>
      </c>
      <c r="J2437" t="s">
        <v>537</v>
      </c>
      <c r="K2437" t="s">
        <v>31</v>
      </c>
      <c r="L2437">
        <v>45.31</v>
      </c>
      <c r="M2437" s="1">
        <v>45795</v>
      </c>
      <c r="N2437" t="s">
        <v>28</v>
      </c>
      <c r="O2437">
        <v>18</v>
      </c>
      <c r="P2437">
        <v>5</v>
      </c>
      <c r="Q2437">
        <v>2</v>
      </c>
      <c r="R2437">
        <v>2025</v>
      </c>
    </row>
    <row r="2438" spans="1:18">
      <c r="A2438">
        <v>261.27999999999997</v>
      </c>
      <c r="B2438">
        <v>2</v>
      </c>
      <c r="C2438">
        <v>2437</v>
      </c>
      <c r="D2438" s="2">
        <v>0.21797915509259258</v>
      </c>
      <c r="E2438" t="s">
        <v>1548</v>
      </c>
      <c r="F2438" t="s">
        <v>1549</v>
      </c>
      <c r="G2438" t="s">
        <v>1057</v>
      </c>
      <c r="H2438" t="s">
        <v>1550</v>
      </c>
      <c r="I2438" t="s">
        <v>776</v>
      </c>
      <c r="J2438" t="s">
        <v>553</v>
      </c>
      <c r="K2438" t="s">
        <v>100</v>
      </c>
      <c r="L2438">
        <v>130.63999999999999</v>
      </c>
      <c r="M2438" s="1">
        <v>45989</v>
      </c>
      <c r="N2438" t="s">
        <v>79</v>
      </c>
      <c r="O2438">
        <v>28</v>
      </c>
      <c r="P2438">
        <v>11</v>
      </c>
      <c r="Q2438">
        <v>4</v>
      </c>
      <c r="R2438">
        <v>2025</v>
      </c>
    </row>
    <row r="2439" spans="1:18">
      <c r="A2439">
        <v>215.25</v>
      </c>
      <c r="B2439">
        <v>3</v>
      </c>
      <c r="C2439">
        <v>2438</v>
      </c>
      <c r="D2439" s="2">
        <v>0.23899725694444443</v>
      </c>
      <c r="E2439" t="s">
        <v>1586</v>
      </c>
      <c r="F2439" t="s">
        <v>1587</v>
      </c>
      <c r="G2439" t="s">
        <v>1577</v>
      </c>
      <c r="H2439" t="s">
        <v>961</v>
      </c>
      <c r="I2439" t="s">
        <v>753</v>
      </c>
      <c r="J2439" t="s">
        <v>645</v>
      </c>
      <c r="K2439" t="s">
        <v>51</v>
      </c>
      <c r="L2439">
        <v>71.75</v>
      </c>
      <c r="M2439" s="1">
        <v>45607</v>
      </c>
      <c r="N2439" t="s">
        <v>93</v>
      </c>
      <c r="O2439">
        <v>11</v>
      </c>
      <c r="P2439">
        <v>11</v>
      </c>
      <c r="Q2439">
        <v>4</v>
      </c>
      <c r="R2439">
        <v>2024</v>
      </c>
    </row>
    <row r="2440" spans="1:18">
      <c r="A2440">
        <v>386.15999999999997</v>
      </c>
      <c r="B2440">
        <v>3</v>
      </c>
      <c r="C2440">
        <v>2439</v>
      </c>
      <c r="D2440" s="2">
        <v>0.64451015046296301</v>
      </c>
      <c r="E2440" t="s">
        <v>1055</v>
      </c>
      <c r="F2440" t="s">
        <v>1056</v>
      </c>
      <c r="G2440" t="s">
        <v>1057</v>
      </c>
      <c r="H2440" t="s">
        <v>380</v>
      </c>
      <c r="I2440" t="s">
        <v>776</v>
      </c>
      <c r="J2440" t="s">
        <v>693</v>
      </c>
      <c r="K2440" t="s">
        <v>46</v>
      </c>
      <c r="L2440">
        <v>128.72</v>
      </c>
      <c r="M2440" s="1">
        <v>45679</v>
      </c>
      <c r="N2440" t="s">
        <v>34</v>
      </c>
      <c r="O2440">
        <v>22</v>
      </c>
      <c r="P2440">
        <v>1</v>
      </c>
      <c r="Q2440">
        <v>1</v>
      </c>
      <c r="R2440">
        <v>2025</v>
      </c>
    </row>
    <row r="2441" spans="1:18">
      <c r="A2441">
        <v>272.7</v>
      </c>
      <c r="B2441">
        <v>5</v>
      </c>
      <c r="C2441">
        <v>2440</v>
      </c>
      <c r="D2441" s="2">
        <v>0.98049972222222226</v>
      </c>
      <c r="E2441" t="s">
        <v>3100</v>
      </c>
      <c r="F2441" t="s">
        <v>3101</v>
      </c>
      <c r="G2441" t="s">
        <v>1791</v>
      </c>
      <c r="H2441" t="s">
        <v>392</v>
      </c>
      <c r="I2441" t="s">
        <v>943</v>
      </c>
      <c r="J2441" t="s">
        <v>292</v>
      </c>
      <c r="K2441" t="s">
        <v>97</v>
      </c>
      <c r="L2441">
        <v>54.54</v>
      </c>
      <c r="M2441" s="1">
        <v>45641</v>
      </c>
      <c r="N2441" t="s">
        <v>28</v>
      </c>
      <c r="O2441">
        <v>15</v>
      </c>
      <c r="P2441">
        <v>12</v>
      </c>
      <c r="Q2441">
        <v>4</v>
      </c>
      <c r="R2441">
        <v>2024</v>
      </c>
    </row>
    <row r="2442" spans="1:18">
      <c r="A2442">
        <v>285.92</v>
      </c>
      <c r="B2442">
        <v>4</v>
      </c>
      <c r="C2442">
        <v>2441</v>
      </c>
      <c r="D2442" s="2">
        <v>0.64970853009259255</v>
      </c>
      <c r="E2442" t="s">
        <v>2752</v>
      </c>
      <c r="F2442" t="s">
        <v>2753</v>
      </c>
      <c r="G2442" t="s">
        <v>2754</v>
      </c>
      <c r="H2442" t="s">
        <v>1327</v>
      </c>
      <c r="I2442" t="s">
        <v>795</v>
      </c>
      <c r="J2442" t="s">
        <v>610</v>
      </c>
      <c r="K2442" t="s">
        <v>69</v>
      </c>
      <c r="L2442">
        <v>71.48</v>
      </c>
      <c r="M2442" s="1">
        <v>45771</v>
      </c>
      <c r="N2442" t="s">
        <v>105</v>
      </c>
      <c r="O2442">
        <v>24</v>
      </c>
      <c r="P2442">
        <v>4</v>
      </c>
      <c r="Q2442">
        <v>2</v>
      </c>
      <c r="R2442">
        <v>2025</v>
      </c>
    </row>
    <row r="2443" spans="1:18">
      <c r="A2443">
        <v>411.9</v>
      </c>
      <c r="B2443">
        <v>2</v>
      </c>
      <c r="C2443">
        <v>2442</v>
      </c>
      <c r="D2443" s="2">
        <v>0.9048179282407407</v>
      </c>
      <c r="E2443" t="s">
        <v>1583</v>
      </c>
      <c r="F2443" t="s">
        <v>1584</v>
      </c>
      <c r="G2443" t="s">
        <v>1585</v>
      </c>
      <c r="H2443" t="s">
        <v>113</v>
      </c>
      <c r="I2443" t="s">
        <v>1247</v>
      </c>
      <c r="J2443" t="s">
        <v>705</v>
      </c>
      <c r="K2443" t="s">
        <v>60</v>
      </c>
      <c r="L2443">
        <v>205.95</v>
      </c>
      <c r="M2443" s="1">
        <v>45816</v>
      </c>
      <c r="N2443" t="s">
        <v>28</v>
      </c>
      <c r="O2443">
        <v>8</v>
      </c>
      <c r="P2443">
        <v>6</v>
      </c>
      <c r="Q2443">
        <v>2</v>
      </c>
      <c r="R2443">
        <v>2025</v>
      </c>
    </row>
    <row r="2444" spans="1:18">
      <c r="A2444">
        <v>275.56</v>
      </c>
      <c r="B2444">
        <v>4</v>
      </c>
      <c r="C2444">
        <v>2443</v>
      </c>
      <c r="D2444" s="2">
        <v>0.22255326388888888</v>
      </c>
      <c r="E2444" t="s">
        <v>1923</v>
      </c>
      <c r="F2444" t="s">
        <v>1924</v>
      </c>
      <c r="G2444" t="s">
        <v>1925</v>
      </c>
      <c r="H2444" t="s">
        <v>29</v>
      </c>
      <c r="I2444" t="s">
        <v>821</v>
      </c>
      <c r="J2444" t="s">
        <v>606</v>
      </c>
      <c r="K2444" t="s">
        <v>82</v>
      </c>
      <c r="L2444">
        <v>68.89</v>
      </c>
      <c r="M2444" s="1">
        <v>45959</v>
      </c>
      <c r="N2444" t="s">
        <v>34</v>
      </c>
      <c r="O2444">
        <v>29</v>
      </c>
      <c r="P2444">
        <v>10</v>
      </c>
      <c r="Q2444">
        <v>4</v>
      </c>
      <c r="R2444">
        <v>2025</v>
      </c>
    </row>
    <row r="2445" spans="1:18">
      <c r="A2445">
        <v>831.3</v>
      </c>
      <c r="B2445">
        <v>5</v>
      </c>
      <c r="C2445">
        <v>2444</v>
      </c>
      <c r="D2445" s="2">
        <v>0.51555799768518518</v>
      </c>
      <c r="E2445" t="s">
        <v>2309</v>
      </c>
      <c r="F2445" t="s">
        <v>2310</v>
      </c>
      <c r="G2445" t="s">
        <v>1660</v>
      </c>
      <c r="H2445" t="s">
        <v>1421</v>
      </c>
      <c r="I2445" t="s">
        <v>776</v>
      </c>
      <c r="J2445" t="s">
        <v>72</v>
      </c>
      <c r="K2445" t="s">
        <v>37</v>
      </c>
      <c r="L2445">
        <v>166.26</v>
      </c>
      <c r="M2445" s="1">
        <v>45885</v>
      </c>
      <c r="N2445" t="s">
        <v>14</v>
      </c>
      <c r="O2445">
        <v>16</v>
      </c>
      <c r="P2445">
        <v>8</v>
      </c>
      <c r="Q2445">
        <v>3</v>
      </c>
      <c r="R2445">
        <v>2025</v>
      </c>
    </row>
    <row r="2446" spans="1:18">
      <c r="A2446">
        <v>172.89</v>
      </c>
      <c r="B2446">
        <v>1</v>
      </c>
      <c r="C2446">
        <v>2445</v>
      </c>
      <c r="D2446" s="2">
        <v>0.83606765046296294</v>
      </c>
      <c r="E2446" t="s">
        <v>2641</v>
      </c>
      <c r="F2446" t="s">
        <v>2642</v>
      </c>
      <c r="G2446" t="s">
        <v>2643</v>
      </c>
      <c r="H2446" t="s">
        <v>785</v>
      </c>
      <c r="I2446" t="s">
        <v>786</v>
      </c>
      <c r="J2446" t="s">
        <v>2166</v>
      </c>
      <c r="K2446" t="s">
        <v>21</v>
      </c>
      <c r="L2446">
        <v>172.89</v>
      </c>
      <c r="M2446" s="1">
        <v>45562</v>
      </c>
      <c r="N2446" t="s">
        <v>79</v>
      </c>
      <c r="O2446">
        <v>27</v>
      </c>
      <c r="P2446">
        <v>9</v>
      </c>
      <c r="Q2446">
        <v>3</v>
      </c>
      <c r="R2446">
        <v>2024</v>
      </c>
    </row>
    <row r="2447" spans="1:18">
      <c r="A2447">
        <v>135.32</v>
      </c>
      <c r="B2447">
        <v>2</v>
      </c>
      <c r="C2447">
        <v>2446</v>
      </c>
      <c r="D2447" s="2">
        <v>0.6661638310185185</v>
      </c>
      <c r="E2447" t="s">
        <v>1378</v>
      </c>
      <c r="F2447" t="s">
        <v>1379</v>
      </c>
      <c r="G2447" t="s">
        <v>1380</v>
      </c>
      <c r="H2447" t="s">
        <v>757</v>
      </c>
      <c r="I2447" t="s">
        <v>758</v>
      </c>
      <c r="J2447" t="s">
        <v>2624</v>
      </c>
      <c r="K2447" t="s">
        <v>82</v>
      </c>
      <c r="L2447">
        <v>67.66</v>
      </c>
      <c r="M2447" s="1">
        <v>46275</v>
      </c>
      <c r="N2447" t="s">
        <v>105</v>
      </c>
      <c r="O2447">
        <v>10</v>
      </c>
      <c r="P2447">
        <v>9</v>
      </c>
      <c r="Q2447">
        <v>3</v>
      </c>
      <c r="R2447">
        <v>2026</v>
      </c>
    </row>
    <row r="2448" spans="1:18">
      <c r="A2448">
        <v>839.52</v>
      </c>
      <c r="B2448">
        <v>4</v>
      </c>
      <c r="C2448">
        <v>2447</v>
      </c>
      <c r="D2448" s="2">
        <v>0.9590592361111111</v>
      </c>
      <c r="E2448" t="s">
        <v>2300</v>
      </c>
      <c r="F2448" t="s">
        <v>2301</v>
      </c>
      <c r="G2448" t="s">
        <v>1962</v>
      </c>
      <c r="H2448" t="s">
        <v>1600</v>
      </c>
      <c r="I2448" t="s">
        <v>768</v>
      </c>
      <c r="J2448" t="s">
        <v>724</v>
      </c>
      <c r="K2448" t="s">
        <v>55</v>
      </c>
      <c r="L2448">
        <v>209.88</v>
      </c>
      <c r="M2448" s="1">
        <v>45794</v>
      </c>
      <c r="N2448" t="s">
        <v>14</v>
      </c>
      <c r="O2448">
        <v>17</v>
      </c>
      <c r="P2448">
        <v>5</v>
      </c>
      <c r="Q2448">
        <v>2</v>
      </c>
      <c r="R2448">
        <v>2025</v>
      </c>
    </row>
    <row r="2449" spans="1:18">
      <c r="A2449">
        <v>394.52</v>
      </c>
      <c r="B2449">
        <v>2</v>
      </c>
      <c r="C2449">
        <v>2448</v>
      </c>
      <c r="D2449" s="2">
        <v>0.47736417824074073</v>
      </c>
      <c r="E2449" t="s">
        <v>2325</v>
      </c>
      <c r="F2449" t="s">
        <v>2326</v>
      </c>
      <c r="G2449" t="s">
        <v>2117</v>
      </c>
      <c r="H2449" t="s">
        <v>548</v>
      </c>
      <c r="I2449" t="s">
        <v>790</v>
      </c>
      <c r="J2449" t="s">
        <v>293</v>
      </c>
      <c r="K2449" t="s">
        <v>100</v>
      </c>
      <c r="L2449">
        <v>197.26</v>
      </c>
      <c r="M2449" s="1">
        <v>45585</v>
      </c>
      <c r="N2449" t="s">
        <v>28</v>
      </c>
      <c r="O2449">
        <v>20</v>
      </c>
      <c r="P2449">
        <v>10</v>
      </c>
      <c r="Q2449">
        <v>4</v>
      </c>
      <c r="R2449">
        <v>2024</v>
      </c>
    </row>
    <row r="2450" spans="1:18">
      <c r="A2450">
        <v>105.9</v>
      </c>
      <c r="B2450">
        <v>5</v>
      </c>
      <c r="C2450">
        <v>2449</v>
      </c>
      <c r="D2450" s="2">
        <v>0.49914506944444442</v>
      </c>
      <c r="E2450" t="s">
        <v>1671</v>
      </c>
      <c r="F2450" t="s">
        <v>1672</v>
      </c>
      <c r="G2450" t="s">
        <v>1013</v>
      </c>
      <c r="H2450" t="s">
        <v>1673</v>
      </c>
      <c r="I2450" t="s">
        <v>821</v>
      </c>
      <c r="J2450" t="s">
        <v>712</v>
      </c>
      <c r="K2450" t="s">
        <v>60</v>
      </c>
      <c r="L2450">
        <v>21.18</v>
      </c>
      <c r="M2450" s="1">
        <v>45605</v>
      </c>
      <c r="N2450" t="s">
        <v>14</v>
      </c>
      <c r="O2450">
        <v>9</v>
      </c>
      <c r="P2450">
        <v>11</v>
      </c>
      <c r="Q2450">
        <v>4</v>
      </c>
      <c r="R2450">
        <v>2024</v>
      </c>
    </row>
    <row r="2451" spans="1:18">
      <c r="A2451">
        <v>46.36</v>
      </c>
      <c r="B2451">
        <v>4</v>
      </c>
      <c r="C2451">
        <v>2450</v>
      </c>
      <c r="D2451" s="2">
        <v>0.15108912037037037</v>
      </c>
      <c r="E2451" t="s">
        <v>2620</v>
      </c>
      <c r="F2451" t="s">
        <v>2621</v>
      </c>
      <c r="G2451" t="s">
        <v>1182</v>
      </c>
      <c r="H2451" t="s">
        <v>2574</v>
      </c>
      <c r="I2451" t="s">
        <v>839</v>
      </c>
      <c r="J2451" t="s">
        <v>579</v>
      </c>
      <c r="K2451" t="s">
        <v>31</v>
      </c>
      <c r="L2451">
        <v>11.59</v>
      </c>
      <c r="M2451" s="1">
        <v>46252</v>
      </c>
      <c r="N2451" t="s">
        <v>48</v>
      </c>
      <c r="O2451">
        <v>18</v>
      </c>
      <c r="P2451">
        <v>8</v>
      </c>
      <c r="Q2451">
        <v>3</v>
      </c>
      <c r="R2451">
        <v>2026</v>
      </c>
    </row>
    <row r="2452" spans="1:18">
      <c r="A2452">
        <v>624.94999999999993</v>
      </c>
      <c r="B2452">
        <v>5</v>
      </c>
      <c r="C2452">
        <v>2451</v>
      </c>
      <c r="D2452" s="2">
        <v>0.8944999768518519</v>
      </c>
      <c r="E2452" t="s">
        <v>2893</v>
      </c>
      <c r="F2452" t="s">
        <v>2894</v>
      </c>
      <c r="G2452" t="s">
        <v>2141</v>
      </c>
      <c r="H2452" t="s">
        <v>1302</v>
      </c>
      <c r="I2452" t="s">
        <v>786</v>
      </c>
      <c r="J2452" t="s">
        <v>512</v>
      </c>
      <c r="K2452" t="s">
        <v>27</v>
      </c>
      <c r="L2452">
        <v>124.99</v>
      </c>
      <c r="M2452" s="1">
        <v>45726</v>
      </c>
      <c r="N2452" t="s">
        <v>93</v>
      </c>
      <c r="O2452">
        <v>10</v>
      </c>
      <c r="P2452">
        <v>3</v>
      </c>
      <c r="Q2452">
        <v>1</v>
      </c>
      <c r="R2452">
        <v>2025</v>
      </c>
    </row>
    <row r="2453" spans="1:18">
      <c r="A2453">
        <v>28.58</v>
      </c>
      <c r="B2453">
        <v>2</v>
      </c>
      <c r="C2453">
        <v>2452</v>
      </c>
      <c r="D2453" s="2">
        <v>0.45791163194444445</v>
      </c>
      <c r="E2453" t="s">
        <v>3154</v>
      </c>
      <c r="F2453" t="s">
        <v>3155</v>
      </c>
      <c r="G2453" t="s">
        <v>3156</v>
      </c>
      <c r="H2453" t="s">
        <v>3139</v>
      </c>
      <c r="I2453" t="s">
        <v>908</v>
      </c>
      <c r="J2453" t="s">
        <v>685</v>
      </c>
      <c r="K2453" t="s">
        <v>69</v>
      </c>
      <c r="L2453">
        <v>14.29</v>
      </c>
      <c r="M2453" s="1">
        <v>45598</v>
      </c>
      <c r="N2453" t="s">
        <v>14</v>
      </c>
      <c r="O2453">
        <v>2</v>
      </c>
      <c r="P2453">
        <v>11</v>
      </c>
      <c r="Q2453">
        <v>4</v>
      </c>
      <c r="R2453">
        <v>2024</v>
      </c>
    </row>
    <row r="2454" spans="1:18">
      <c r="A2454">
        <v>226.05</v>
      </c>
      <c r="B2454">
        <v>5</v>
      </c>
      <c r="C2454">
        <v>2453</v>
      </c>
      <c r="D2454" s="2">
        <v>0.34863392361111112</v>
      </c>
      <c r="E2454" t="s">
        <v>1583</v>
      </c>
      <c r="F2454" t="s">
        <v>1584</v>
      </c>
      <c r="G2454" t="s">
        <v>1585</v>
      </c>
      <c r="H2454" t="s">
        <v>113</v>
      </c>
      <c r="I2454" t="s">
        <v>1247</v>
      </c>
      <c r="J2454" t="s">
        <v>542</v>
      </c>
      <c r="K2454" t="s">
        <v>46</v>
      </c>
      <c r="L2454">
        <v>45.21</v>
      </c>
      <c r="M2454" s="1">
        <v>46014</v>
      </c>
      <c r="N2454" t="s">
        <v>48</v>
      </c>
      <c r="O2454">
        <v>23</v>
      </c>
      <c r="P2454">
        <v>12</v>
      </c>
      <c r="Q2454">
        <v>4</v>
      </c>
      <c r="R2454">
        <v>2025</v>
      </c>
    </row>
    <row r="2455" spans="1:18">
      <c r="A2455">
        <v>378.06</v>
      </c>
      <c r="B2455">
        <v>2</v>
      </c>
      <c r="C2455">
        <v>2454</v>
      </c>
      <c r="D2455" s="2">
        <v>0.31553312500000003</v>
      </c>
      <c r="E2455" t="s">
        <v>967</v>
      </c>
      <c r="F2455" t="s">
        <v>968</v>
      </c>
      <c r="G2455" t="s">
        <v>969</v>
      </c>
      <c r="H2455" t="s">
        <v>970</v>
      </c>
      <c r="I2455" t="s">
        <v>790</v>
      </c>
      <c r="J2455" t="s">
        <v>654</v>
      </c>
      <c r="K2455" t="s">
        <v>60</v>
      </c>
      <c r="L2455">
        <v>189.03</v>
      </c>
      <c r="M2455" s="1">
        <v>46206</v>
      </c>
      <c r="N2455" t="s">
        <v>79</v>
      </c>
      <c r="O2455">
        <v>3</v>
      </c>
      <c r="P2455">
        <v>7</v>
      </c>
      <c r="Q2455">
        <v>3</v>
      </c>
      <c r="R2455">
        <v>2026</v>
      </c>
    </row>
    <row r="2456" spans="1:18">
      <c r="A2456">
        <v>100.46</v>
      </c>
      <c r="B2456">
        <v>1</v>
      </c>
      <c r="C2456">
        <v>2455</v>
      </c>
      <c r="D2456" s="2">
        <v>1.8397615740740742E-2</v>
      </c>
      <c r="E2456" t="s">
        <v>2205</v>
      </c>
      <c r="F2456" t="s">
        <v>2206</v>
      </c>
      <c r="G2456" t="s">
        <v>1114</v>
      </c>
      <c r="H2456" t="s">
        <v>635</v>
      </c>
      <c r="I2456" t="s">
        <v>768</v>
      </c>
      <c r="J2456" t="s">
        <v>703</v>
      </c>
      <c r="K2456" t="s">
        <v>60</v>
      </c>
      <c r="L2456">
        <v>100.46</v>
      </c>
      <c r="M2456" s="1">
        <v>46157</v>
      </c>
      <c r="N2456" t="s">
        <v>79</v>
      </c>
      <c r="O2456">
        <v>15</v>
      </c>
      <c r="P2456">
        <v>5</v>
      </c>
      <c r="Q2456">
        <v>2</v>
      </c>
      <c r="R2456">
        <v>2026</v>
      </c>
    </row>
    <row r="2457" spans="1:18">
      <c r="A2457">
        <v>400.24</v>
      </c>
      <c r="B2457">
        <v>2</v>
      </c>
      <c r="C2457">
        <v>2456</v>
      </c>
      <c r="D2457" s="2">
        <v>0.50150898148148149</v>
      </c>
      <c r="E2457" t="s">
        <v>1093</v>
      </c>
      <c r="F2457" t="s">
        <v>1094</v>
      </c>
      <c r="G2457" t="s">
        <v>1095</v>
      </c>
      <c r="H2457" t="s">
        <v>862</v>
      </c>
      <c r="I2457" t="s">
        <v>758</v>
      </c>
      <c r="J2457" t="s">
        <v>239</v>
      </c>
      <c r="K2457" t="s">
        <v>23</v>
      </c>
      <c r="L2457">
        <v>200.12</v>
      </c>
      <c r="M2457" s="1">
        <v>45992</v>
      </c>
      <c r="N2457" t="s">
        <v>93</v>
      </c>
      <c r="O2457">
        <v>1</v>
      </c>
      <c r="P2457">
        <v>12</v>
      </c>
      <c r="Q2457">
        <v>4</v>
      </c>
      <c r="R2457">
        <v>2025</v>
      </c>
    </row>
    <row r="2458" spans="1:18">
      <c r="A2458">
        <v>49.25</v>
      </c>
      <c r="B2458">
        <v>1</v>
      </c>
      <c r="C2458">
        <v>2457</v>
      </c>
      <c r="D2458" s="2">
        <v>0.10249310185185186</v>
      </c>
      <c r="E2458" t="s">
        <v>3046</v>
      </c>
      <c r="F2458" t="s">
        <v>3047</v>
      </c>
      <c r="G2458" t="s">
        <v>2513</v>
      </c>
      <c r="H2458" t="s">
        <v>829</v>
      </c>
      <c r="I2458" t="s">
        <v>830</v>
      </c>
      <c r="J2458" t="s">
        <v>518</v>
      </c>
      <c r="K2458" t="s">
        <v>17</v>
      </c>
      <c r="L2458">
        <v>49.25</v>
      </c>
      <c r="M2458" s="1">
        <v>45818</v>
      </c>
      <c r="N2458" t="s">
        <v>48</v>
      </c>
      <c r="O2458">
        <v>10</v>
      </c>
      <c r="P2458">
        <v>6</v>
      </c>
      <c r="Q2458">
        <v>2</v>
      </c>
      <c r="R2458">
        <v>2025</v>
      </c>
    </row>
    <row r="2459" spans="1:18">
      <c r="A2459">
        <v>63.25</v>
      </c>
      <c r="B2459">
        <v>1</v>
      </c>
      <c r="C2459">
        <v>2458</v>
      </c>
      <c r="D2459" s="2">
        <v>0.31436045138888891</v>
      </c>
      <c r="E2459" t="s">
        <v>2575</v>
      </c>
      <c r="F2459" t="s">
        <v>2576</v>
      </c>
      <c r="G2459" t="s">
        <v>875</v>
      </c>
      <c r="H2459" t="s">
        <v>907</v>
      </c>
      <c r="I2459" t="s">
        <v>908</v>
      </c>
      <c r="J2459" t="s">
        <v>740</v>
      </c>
      <c r="K2459" t="s">
        <v>46</v>
      </c>
      <c r="L2459">
        <v>63.25</v>
      </c>
      <c r="M2459" s="1">
        <v>45989</v>
      </c>
      <c r="N2459" t="s">
        <v>79</v>
      </c>
      <c r="O2459">
        <v>28</v>
      </c>
      <c r="P2459">
        <v>11</v>
      </c>
      <c r="Q2459">
        <v>4</v>
      </c>
      <c r="R2459">
        <v>2025</v>
      </c>
    </row>
    <row r="2460" spans="1:18">
      <c r="A2460">
        <v>256.70000000000005</v>
      </c>
      <c r="B2460">
        <v>5</v>
      </c>
      <c r="C2460">
        <v>2459</v>
      </c>
      <c r="D2460" s="2">
        <v>0.96170660879629633</v>
      </c>
      <c r="E2460" t="s">
        <v>1229</v>
      </c>
      <c r="F2460" t="s">
        <v>1230</v>
      </c>
      <c r="G2460" t="s">
        <v>1231</v>
      </c>
      <c r="H2460" t="s">
        <v>1232</v>
      </c>
      <c r="I2460" t="s">
        <v>817</v>
      </c>
      <c r="J2460" t="s">
        <v>376</v>
      </c>
      <c r="K2460" t="s">
        <v>51</v>
      </c>
      <c r="L2460">
        <v>51.34</v>
      </c>
      <c r="M2460" s="1">
        <v>45609</v>
      </c>
      <c r="N2460" t="s">
        <v>34</v>
      </c>
      <c r="O2460">
        <v>13</v>
      </c>
      <c r="P2460">
        <v>11</v>
      </c>
      <c r="Q2460">
        <v>4</v>
      </c>
      <c r="R2460">
        <v>2024</v>
      </c>
    </row>
    <row r="2461" spans="1:18">
      <c r="A2461">
        <v>1188.1500000000001</v>
      </c>
      <c r="B2461">
        <v>5</v>
      </c>
      <c r="C2461">
        <v>2460</v>
      </c>
      <c r="D2461" s="2">
        <v>3.6701365740740739E-2</v>
      </c>
      <c r="E2461" t="s">
        <v>2076</v>
      </c>
      <c r="F2461" t="s">
        <v>2077</v>
      </c>
      <c r="G2461" t="s">
        <v>2078</v>
      </c>
      <c r="H2461" t="s">
        <v>1920</v>
      </c>
      <c r="I2461" t="s">
        <v>807</v>
      </c>
      <c r="J2461" t="s">
        <v>202</v>
      </c>
      <c r="K2461" t="s">
        <v>17</v>
      </c>
      <c r="L2461">
        <v>237.63</v>
      </c>
      <c r="M2461" s="1">
        <v>45577</v>
      </c>
      <c r="N2461" t="s">
        <v>14</v>
      </c>
      <c r="O2461">
        <v>12</v>
      </c>
      <c r="P2461">
        <v>10</v>
      </c>
      <c r="Q2461">
        <v>4</v>
      </c>
      <c r="R2461">
        <v>2024</v>
      </c>
    </row>
    <row r="2462" spans="1:18">
      <c r="A2462">
        <v>227.94</v>
      </c>
      <c r="B2462">
        <v>3</v>
      </c>
      <c r="C2462">
        <v>2461</v>
      </c>
      <c r="D2462" s="2">
        <v>3.7604618055555553E-2</v>
      </c>
      <c r="E2462" t="s">
        <v>1425</v>
      </c>
      <c r="F2462" t="s">
        <v>1426</v>
      </c>
      <c r="G2462" t="s">
        <v>1358</v>
      </c>
      <c r="H2462" t="s">
        <v>74</v>
      </c>
      <c r="I2462" t="s">
        <v>943</v>
      </c>
      <c r="J2462" t="s">
        <v>313</v>
      </c>
      <c r="K2462" t="s">
        <v>31</v>
      </c>
      <c r="L2462">
        <v>75.98</v>
      </c>
      <c r="M2462" s="1">
        <v>46079</v>
      </c>
      <c r="N2462" t="s">
        <v>105</v>
      </c>
      <c r="O2462">
        <v>26</v>
      </c>
      <c r="P2462">
        <v>2</v>
      </c>
      <c r="Q2462">
        <v>1</v>
      </c>
      <c r="R2462">
        <v>2026</v>
      </c>
    </row>
    <row r="2463" spans="1:18">
      <c r="A2463">
        <v>227.94</v>
      </c>
      <c r="B2463">
        <v>3</v>
      </c>
      <c r="C2463">
        <v>2462</v>
      </c>
      <c r="D2463" s="2">
        <v>0.55657027777777779</v>
      </c>
      <c r="E2463" t="s">
        <v>1214</v>
      </c>
      <c r="F2463" t="s">
        <v>1215</v>
      </c>
      <c r="G2463" t="s">
        <v>1216</v>
      </c>
      <c r="H2463" t="s">
        <v>199</v>
      </c>
      <c r="I2463" t="s">
        <v>781</v>
      </c>
      <c r="J2463" t="s">
        <v>313</v>
      </c>
      <c r="K2463" t="s">
        <v>31</v>
      </c>
      <c r="L2463">
        <v>75.98</v>
      </c>
      <c r="M2463" s="1">
        <v>45979</v>
      </c>
      <c r="N2463" t="s">
        <v>48</v>
      </c>
      <c r="O2463">
        <v>18</v>
      </c>
      <c r="P2463">
        <v>11</v>
      </c>
      <c r="Q2463">
        <v>4</v>
      </c>
      <c r="R2463">
        <v>2025</v>
      </c>
    </row>
    <row r="2464" spans="1:18">
      <c r="A2464">
        <v>105.39000000000001</v>
      </c>
      <c r="B2464">
        <v>3</v>
      </c>
      <c r="C2464">
        <v>2463</v>
      </c>
      <c r="D2464" s="2">
        <v>0.89433508101851855</v>
      </c>
      <c r="E2464" t="s">
        <v>2595</v>
      </c>
      <c r="F2464" t="s">
        <v>2596</v>
      </c>
      <c r="G2464" t="s">
        <v>1556</v>
      </c>
      <c r="H2464" t="s">
        <v>1199</v>
      </c>
      <c r="I2464" t="s">
        <v>839</v>
      </c>
      <c r="J2464" t="s">
        <v>559</v>
      </c>
      <c r="K2464" t="s">
        <v>97</v>
      </c>
      <c r="L2464">
        <v>35.130000000000003</v>
      </c>
      <c r="M2464" s="1">
        <v>45660</v>
      </c>
      <c r="N2464" t="s">
        <v>79</v>
      </c>
      <c r="O2464">
        <v>3</v>
      </c>
      <c r="P2464">
        <v>1</v>
      </c>
      <c r="Q2464">
        <v>1</v>
      </c>
      <c r="R2464">
        <v>2025</v>
      </c>
    </row>
    <row r="2465" spans="1:18">
      <c r="A2465">
        <v>7.9</v>
      </c>
      <c r="B2465">
        <v>2</v>
      </c>
      <c r="C2465">
        <v>2464</v>
      </c>
      <c r="D2465" s="2">
        <v>0.53731927083333331</v>
      </c>
      <c r="E2465" t="s">
        <v>1360</v>
      </c>
      <c r="F2465" t="s">
        <v>1361</v>
      </c>
      <c r="G2465" t="s">
        <v>932</v>
      </c>
      <c r="H2465" t="s">
        <v>1362</v>
      </c>
      <c r="I2465" t="s">
        <v>896</v>
      </c>
      <c r="J2465" t="s">
        <v>187</v>
      </c>
      <c r="K2465" t="s">
        <v>60</v>
      </c>
      <c r="L2465">
        <v>3.95</v>
      </c>
      <c r="M2465" s="1">
        <v>45988</v>
      </c>
      <c r="N2465" t="s">
        <v>105</v>
      </c>
      <c r="O2465">
        <v>27</v>
      </c>
      <c r="P2465">
        <v>11</v>
      </c>
      <c r="Q2465">
        <v>4</v>
      </c>
      <c r="R2465">
        <v>2025</v>
      </c>
    </row>
    <row r="2466" spans="1:18">
      <c r="A2466">
        <v>59.15</v>
      </c>
      <c r="B2466">
        <v>5</v>
      </c>
      <c r="C2466">
        <v>2465</v>
      </c>
      <c r="D2466" s="2">
        <v>0.49273280092592592</v>
      </c>
      <c r="E2466" t="s">
        <v>2533</v>
      </c>
      <c r="F2466" t="s">
        <v>2534</v>
      </c>
      <c r="G2466" t="s">
        <v>2535</v>
      </c>
      <c r="H2466" t="s">
        <v>1232</v>
      </c>
      <c r="I2466" t="s">
        <v>817</v>
      </c>
      <c r="J2466" t="s">
        <v>220</v>
      </c>
      <c r="K2466" t="s">
        <v>97</v>
      </c>
      <c r="L2466">
        <v>11.83</v>
      </c>
      <c r="M2466" s="1">
        <v>45680</v>
      </c>
      <c r="N2466" t="s">
        <v>105</v>
      </c>
      <c r="O2466">
        <v>23</v>
      </c>
      <c r="P2466">
        <v>1</v>
      </c>
      <c r="Q2466">
        <v>1</v>
      </c>
      <c r="R2466">
        <v>2025</v>
      </c>
    </row>
    <row r="2467" spans="1:18">
      <c r="A2467">
        <v>947.8</v>
      </c>
      <c r="B2467">
        <v>4</v>
      </c>
      <c r="C2467">
        <v>2466</v>
      </c>
      <c r="D2467" s="2">
        <v>0.50858458333333334</v>
      </c>
      <c r="E2467" t="s">
        <v>1407</v>
      </c>
      <c r="F2467" t="s">
        <v>1408</v>
      </c>
      <c r="G2467" t="s">
        <v>1409</v>
      </c>
      <c r="H2467" t="s">
        <v>1410</v>
      </c>
      <c r="I2467" t="s">
        <v>812</v>
      </c>
      <c r="J2467" t="s">
        <v>50</v>
      </c>
      <c r="K2467" t="s">
        <v>51</v>
      </c>
      <c r="L2467">
        <v>236.95</v>
      </c>
      <c r="M2467" s="1">
        <v>46002</v>
      </c>
      <c r="N2467" t="s">
        <v>105</v>
      </c>
      <c r="O2467">
        <v>11</v>
      </c>
      <c r="P2467">
        <v>12</v>
      </c>
      <c r="Q2467">
        <v>4</v>
      </c>
      <c r="R2467">
        <v>2025</v>
      </c>
    </row>
    <row r="2468" spans="1:18">
      <c r="A2468">
        <v>233.52</v>
      </c>
      <c r="B2468">
        <v>1</v>
      </c>
      <c r="C2468">
        <v>2467</v>
      </c>
      <c r="D2468" s="2">
        <v>0.10750251157407407</v>
      </c>
      <c r="E2468" t="s">
        <v>2169</v>
      </c>
      <c r="F2468" t="s">
        <v>2170</v>
      </c>
      <c r="G2468" t="s">
        <v>1279</v>
      </c>
      <c r="H2468" t="s">
        <v>64</v>
      </c>
      <c r="I2468" t="s">
        <v>892</v>
      </c>
      <c r="J2468" t="s">
        <v>676</v>
      </c>
      <c r="K2468" t="s">
        <v>69</v>
      </c>
      <c r="L2468">
        <v>233.52</v>
      </c>
      <c r="M2468" s="1">
        <v>46059</v>
      </c>
      <c r="N2468" t="s">
        <v>79</v>
      </c>
      <c r="O2468">
        <v>6</v>
      </c>
      <c r="P2468">
        <v>2</v>
      </c>
      <c r="Q2468">
        <v>1</v>
      </c>
      <c r="R2468">
        <v>2026</v>
      </c>
    </row>
    <row r="2469" spans="1:18">
      <c r="A2469">
        <v>59.56</v>
      </c>
      <c r="B2469">
        <v>1</v>
      </c>
      <c r="C2469">
        <v>2468</v>
      </c>
      <c r="D2469" s="2">
        <v>1.101011574074074E-2</v>
      </c>
      <c r="E2469" t="s">
        <v>3224</v>
      </c>
      <c r="F2469" t="s">
        <v>3225</v>
      </c>
      <c r="G2469" t="s">
        <v>1031</v>
      </c>
      <c r="H2469" t="s">
        <v>1236</v>
      </c>
      <c r="I2469" t="s">
        <v>807</v>
      </c>
      <c r="J2469" t="s">
        <v>573</v>
      </c>
      <c r="K2469" t="s">
        <v>55</v>
      </c>
      <c r="L2469">
        <v>59.56</v>
      </c>
      <c r="M2469" s="1">
        <v>46004</v>
      </c>
      <c r="N2469" t="s">
        <v>14</v>
      </c>
      <c r="O2469">
        <v>13</v>
      </c>
      <c r="P2469">
        <v>12</v>
      </c>
      <c r="Q2469">
        <v>4</v>
      </c>
      <c r="R2469">
        <v>2025</v>
      </c>
    </row>
    <row r="2470" spans="1:18">
      <c r="A2470">
        <v>813.9</v>
      </c>
      <c r="B2470">
        <v>5</v>
      </c>
      <c r="C2470">
        <v>2469</v>
      </c>
      <c r="D2470" s="2">
        <v>0.80652114583333334</v>
      </c>
      <c r="E2470" t="s">
        <v>2983</v>
      </c>
      <c r="F2470" t="s">
        <v>2570</v>
      </c>
      <c r="G2470" t="s">
        <v>1965</v>
      </c>
      <c r="H2470" t="s">
        <v>869</v>
      </c>
      <c r="I2470" t="s">
        <v>812</v>
      </c>
      <c r="J2470" t="s">
        <v>229</v>
      </c>
      <c r="K2470" t="s">
        <v>97</v>
      </c>
      <c r="L2470">
        <v>162.78</v>
      </c>
      <c r="M2470" s="1">
        <v>45640</v>
      </c>
      <c r="N2470" t="s">
        <v>14</v>
      </c>
      <c r="O2470">
        <v>14</v>
      </c>
      <c r="P2470">
        <v>12</v>
      </c>
      <c r="Q2470">
        <v>4</v>
      </c>
      <c r="R2470">
        <v>2024</v>
      </c>
    </row>
    <row r="2471" spans="1:18">
      <c r="A2471">
        <v>92.49</v>
      </c>
      <c r="B2471">
        <v>1</v>
      </c>
      <c r="C2471">
        <v>2470</v>
      </c>
      <c r="D2471" s="2">
        <v>0.18298314814814814</v>
      </c>
      <c r="E2471" t="s">
        <v>2430</v>
      </c>
      <c r="F2471" t="s">
        <v>2431</v>
      </c>
      <c r="G2471" t="s">
        <v>1893</v>
      </c>
      <c r="H2471" t="s">
        <v>762</v>
      </c>
      <c r="I2471" t="s">
        <v>763</v>
      </c>
      <c r="J2471" t="s">
        <v>36</v>
      </c>
      <c r="K2471" t="s">
        <v>37</v>
      </c>
      <c r="L2471">
        <v>92.49</v>
      </c>
      <c r="M2471" s="1">
        <v>45787</v>
      </c>
      <c r="N2471" t="s">
        <v>14</v>
      </c>
      <c r="O2471">
        <v>10</v>
      </c>
      <c r="P2471">
        <v>5</v>
      </c>
      <c r="Q2471">
        <v>2</v>
      </c>
      <c r="R2471">
        <v>2025</v>
      </c>
    </row>
    <row r="2472" spans="1:18">
      <c r="A2472">
        <v>183.22</v>
      </c>
      <c r="B2472">
        <v>1</v>
      </c>
      <c r="C2472">
        <v>2471</v>
      </c>
      <c r="D2472" s="2">
        <v>0.43593979166666669</v>
      </c>
      <c r="E2472" t="s">
        <v>2384</v>
      </c>
      <c r="F2472" t="s">
        <v>2385</v>
      </c>
      <c r="G2472" t="s">
        <v>2386</v>
      </c>
      <c r="H2472" t="s">
        <v>1469</v>
      </c>
      <c r="I2472" t="s">
        <v>908</v>
      </c>
      <c r="J2472" t="s">
        <v>491</v>
      </c>
      <c r="K2472" t="s">
        <v>25</v>
      </c>
      <c r="L2472">
        <v>183.22</v>
      </c>
      <c r="M2472" s="1">
        <v>45888</v>
      </c>
      <c r="N2472" t="s">
        <v>48</v>
      </c>
      <c r="O2472">
        <v>19</v>
      </c>
      <c r="P2472">
        <v>8</v>
      </c>
      <c r="Q2472">
        <v>3</v>
      </c>
      <c r="R2472">
        <v>2025</v>
      </c>
    </row>
    <row r="2473" spans="1:18">
      <c r="A2473">
        <v>518.91999999999996</v>
      </c>
      <c r="B2473">
        <v>4</v>
      </c>
      <c r="C2473">
        <v>2472</v>
      </c>
      <c r="D2473" s="2">
        <v>0.95972405092592594</v>
      </c>
      <c r="E2473" t="s">
        <v>1058</v>
      </c>
      <c r="F2473" t="s">
        <v>1059</v>
      </c>
      <c r="G2473" t="s">
        <v>1060</v>
      </c>
      <c r="H2473" t="s">
        <v>1061</v>
      </c>
      <c r="I2473" t="s">
        <v>821</v>
      </c>
      <c r="J2473" t="s">
        <v>20</v>
      </c>
      <c r="K2473" t="s">
        <v>21</v>
      </c>
      <c r="L2473">
        <v>129.72999999999999</v>
      </c>
      <c r="M2473" s="1">
        <v>45614</v>
      </c>
      <c r="N2473" t="s">
        <v>93</v>
      </c>
      <c r="O2473">
        <v>18</v>
      </c>
      <c r="P2473">
        <v>11</v>
      </c>
      <c r="Q2473">
        <v>4</v>
      </c>
      <c r="R2473">
        <v>2024</v>
      </c>
    </row>
    <row r="2474" spans="1:18">
      <c r="A2474">
        <v>569.6</v>
      </c>
      <c r="B2474">
        <v>5</v>
      </c>
      <c r="C2474">
        <v>2473</v>
      </c>
      <c r="D2474" s="2">
        <v>0.54718555555555559</v>
      </c>
      <c r="E2474" t="s">
        <v>1737</v>
      </c>
      <c r="F2474" t="s">
        <v>1738</v>
      </c>
      <c r="G2474" t="s">
        <v>1739</v>
      </c>
      <c r="H2474" t="s">
        <v>1740</v>
      </c>
      <c r="I2474" t="s">
        <v>954</v>
      </c>
      <c r="J2474" t="s">
        <v>110</v>
      </c>
      <c r="K2474" t="s">
        <v>51</v>
      </c>
      <c r="L2474">
        <v>113.92</v>
      </c>
      <c r="M2474" s="1">
        <v>46130</v>
      </c>
      <c r="N2474" t="s">
        <v>14</v>
      </c>
      <c r="O2474">
        <v>18</v>
      </c>
      <c r="P2474">
        <v>4</v>
      </c>
      <c r="Q2474">
        <v>2</v>
      </c>
      <c r="R2474">
        <v>2026</v>
      </c>
    </row>
    <row r="2475" spans="1:18">
      <c r="A2475">
        <v>601.59</v>
      </c>
      <c r="B2475">
        <v>3</v>
      </c>
      <c r="C2475">
        <v>2474</v>
      </c>
      <c r="D2475" s="2">
        <v>0.30968040509259259</v>
      </c>
      <c r="E2475" t="s">
        <v>1229</v>
      </c>
      <c r="F2475" t="s">
        <v>1230</v>
      </c>
      <c r="G2475" t="s">
        <v>1231</v>
      </c>
      <c r="H2475" t="s">
        <v>1232</v>
      </c>
      <c r="I2475" t="s">
        <v>817</v>
      </c>
      <c r="J2475" t="s">
        <v>429</v>
      </c>
      <c r="K2475" t="s">
        <v>19</v>
      </c>
      <c r="L2475">
        <v>200.53</v>
      </c>
      <c r="M2475" s="1">
        <v>45582</v>
      </c>
      <c r="N2475" t="s">
        <v>105</v>
      </c>
      <c r="O2475">
        <v>17</v>
      </c>
      <c r="P2475">
        <v>10</v>
      </c>
      <c r="Q2475">
        <v>4</v>
      </c>
      <c r="R2475">
        <v>2024</v>
      </c>
    </row>
    <row r="2476" spans="1:18">
      <c r="A2476">
        <v>475.14</v>
      </c>
      <c r="B2476">
        <v>3</v>
      </c>
      <c r="C2476">
        <v>2475</v>
      </c>
      <c r="D2476" s="2">
        <v>9.2002500000000001E-2</v>
      </c>
      <c r="E2476" t="s">
        <v>2667</v>
      </c>
      <c r="F2476" t="s">
        <v>2668</v>
      </c>
      <c r="G2476" t="s">
        <v>1127</v>
      </c>
      <c r="H2476" t="s">
        <v>619</v>
      </c>
      <c r="I2476" t="s">
        <v>758</v>
      </c>
      <c r="J2476" t="s">
        <v>172</v>
      </c>
      <c r="K2476" t="s">
        <v>46</v>
      </c>
      <c r="L2476">
        <v>158.38</v>
      </c>
      <c r="M2476" s="1">
        <v>45610</v>
      </c>
      <c r="N2476" t="s">
        <v>105</v>
      </c>
      <c r="O2476">
        <v>14</v>
      </c>
      <c r="P2476">
        <v>11</v>
      </c>
      <c r="Q2476">
        <v>4</v>
      </c>
      <c r="R2476">
        <v>2024</v>
      </c>
    </row>
    <row r="2477" spans="1:18">
      <c r="A2477">
        <v>27.44</v>
      </c>
      <c r="B2477">
        <v>1</v>
      </c>
      <c r="C2477">
        <v>2476</v>
      </c>
      <c r="D2477" s="2">
        <v>0.55362681712962958</v>
      </c>
      <c r="E2477" t="s">
        <v>1055</v>
      </c>
      <c r="F2477" t="s">
        <v>1056</v>
      </c>
      <c r="G2477" t="s">
        <v>1057</v>
      </c>
      <c r="H2477" t="s">
        <v>380</v>
      </c>
      <c r="I2477" t="s">
        <v>776</v>
      </c>
      <c r="J2477" t="s">
        <v>722</v>
      </c>
      <c r="K2477" t="s">
        <v>37</v>
      </c>
      <c r="L2477">
        <v>27.44</v>
      </c>
      <c r="M2477" s="1">
        <v>46145</v>
      </c>
      <c r="N2477" t="s">
        <v>28</v>
      </c>
      <c r="O2477">
        <v>3</v>
      </c>
      <c r="P2477">
        <v>5</v>
      </c>
      <c r="Q2477">
        <v>2</v>
      </c>
      <c r="R2477">
        <v>2026</v>
      </c>
    </row>
    <row r="2478" spans="1:18">
      <c r="A2478">
        <v>447.64</v>
      </c>
      <c r="B2478">
        <v>2</v>
      </c>
      <c r="C2478">
        <v>2477</v>
      </c>
      <c r="D2478" s="2">
        <v>0.89341675925925923</v>
      </c>
      <c r="E2478" t="s">
        <v>2398</v>
      </c>
      <c r="F2478" t="s">
        <v>2399</v>
      </c>
      <c r="G2478" t="s">
        <v>1452</v>
      </c>
      <c r="H2478" t="s">
        <v>816</v>
      </c>
      <c r="I2478" t="s">
        <v>817</v>
      </c>
      <c r="J2478" t="s">
        <v>588</v>
      </c>
      <c r="K2478" t="s">
        <v>82</v>
      </c>
      <c r="L2478">
        <v>223.82</v>
      </c>
      <c r="M2478" s="1">
        <v>46131</v>
      </c>
      <c r="N2478" t="s">
        <v>28</v>
      </c>
      <c r="O2478">
        <v>19</v>
      </c>
      <c r="P2478">
        <v>4</v>
      </c>
      <c r="Q2478">
        <v>2</v>
      </c>
      <c r="R2478">
        <v>2026</v>
      </c>
    </row>
    <row r="2479" spans="1:18">
      <c r="A2479">
        <v>209.92</v>
      </c>
      <c r="B2479">
        <v>2</v>
      </c>
      <c r="C2479">
        <v>2478</v>
      </c>
      <c r="D2479" s="2">
        <v>0.76222100694444439</v>
      </c>
      <c r="E2479" t="s">
        <v>992</v>
      </c>
      <c r="F2479" t="s">
        <v>993</v>
      </c>
      <c r="G2479" t="s">
        <v>994</v>
      </c>
      <c r="H2479" t="s">
        <v>995</v>
      </c>
      <c r="I2479" t="s">
        <v>781</v>
      </c>
      <c r="J2479" t="s">
        <v>225</v>
      </c>
      <c r="K2479" t="s">
        <v>21</v>
      </c>
      <c r="L2479">
        <v>104.96</v>
      </c>
      <c r="M2479" s="1">
        <v>45908</v>
      </c>
      <c r="N2479" t="s">
        <v>93</v>
      </c>
      <c r="O2479">
        <v>8</v>
      </c>
      <c r="P2479">
        <v>9</v>
      </c>
      <c r="Q2479">
        <v>3</v>
      </c>
      <c r="R2479">
        <v>2025</v>
      </c>
    </row>
    <row r="2480" spans="1:18">
      <c r="A2480">
        <v>400.96</v>
      </c>
      <c r="B2480">
        <v>2</v>
      </c>
      <c r="C2480">
        <v>2479</v>
      </c>
      <c r="D2480" s="2">
        <v>0.73738788194444449</v>
      </c>
      <c r="E2480" t="s">
        <v>1699</v>
      </c>
      <c r="F2480" t="s">
        <v>1700</v>
      </c>
      <c r="G2480" t="s">
        <v>1701</v>
      </c>
      <c r="H2480" t="s">
        <v>929</v>
      </c>
      <c r="I2480" t="s">
        <v>1247</v>
      </c>
      <c r="J2480" t="s">
        <v>2254</v>
      </c>
      <c r="K2480" t="s">
        <v>43</v>
      </c>
      <c r="L2480">
        <v>200.48</v>
      </c>
      <c r="M2480" s="1">
        <v>45587</v>
      </c>
      <c r="N2480" t="s">
        <v>48</v>
      </c>
      <c r="O2480">
        <v>22</v>
      </c>
      <c r="P2480">
        <v>10</v>
      </c>
      <c r="Q2480">
        <v>4</v>
      </c>
      <c r="R2480">
        <v>2024</v>
      </c>
    </row>
    <row r="2481" spans="1:18">
      <c r="A2481">
        <v>493.92</v>
      </c>
      <c r="B2481">
        <v>4</v>
      </c>
      <c r="C2481">
        <v>2480</v>
      </c>
      <c r="D2481" s="2">
        <v>0.92896667824074075</v>
      </c>
      <c r="E2481" t="s">
        <v>2949</v>
      </c>
      <c r="F2481" t="s">
        <v>2950</v>
      </c>
      <c r="G2481" t="s">
        <v>1562</v>
      </c>
      <c r="H2481" t="s">
        <v>862</v>
      </c>
      <c r="I2481" t="s">
        <v>758</v>
      </c>
      <c r="J2481" t="s">
        <v>575</v>
      </c>
      <c r="K2481" t="s">
        <v>37</v>
      </c>
      <c r="L2481">
        <v>123.48</v>
      </c>
      <c r="M2481" s="1">
        <v>45952</v>
      </c>
      <c r="N2481" t="s">
        <v>34</v>
      </c>
      <c r="O2481">
        <v>22</v>
      </c>
      <c r="P2481">
        <v>10</v>
      </c>
      <c r="Q2481">
        <v>4</v>
      </c>
      <c r="R2481">
        <v>2025</v>
      </c>
    </row>
    <row r="2482" spans="1:18">
      <c r="A2482">
        <v>5.05</v>
      </c>
      <c r="B2482">
        <v>1</v>
      </c>
      <c r="C2482">
        <v>2481</v>
      </c>
      <c r="D2482" s="2">
        <v>0.1353916087962963</v>
      </c>
      <c r="E2482" t="s">
        <v>1620</v>
      </c>
      <c r="F2482" t="s">
        <v>1621</v>
      </c>
      <c r="G2482" t="s">
        <v>1622</v>
      </c>
      <c r="H2482" t="s">
        <v>1566</v>
      </c>
      <c r="I2482" t="s">
        <v>763</v>
      </c>
      <c r="J2482" t="s">
        <v>182</v>
      </c>
      <c r="K2482" t="s">
        <v>39</v>
      </c>
      <c r="L2482">
        <v>5.05</v>
      </c>
      <c r="M2482" s="1">
        <v>45904</v>
      </c>
      <c r="N2482" t="s">
        <v>105</v>
      </c>
      <c r="O2482">
        <v>4</v>
      </c>
      <c r="P2482">
        <v>9</v>
      </c>
      <c r="Q2482">
        <v>3</v>
      </c>
      <c r="R2482">
        <v>2025</v>
      </c>
    </row>
    <row r="2483" spans="1:18">
      <c r="A2483">
        <v>6.28</v>
      </c>
      <c r="B2483">
        <v>1</v>
      </c>
      <c r="C2483">
        <v>2482</v>
      </c>
      <c r="D2483" s="2">
        <v>0.54382284722222218</v>
      </c>
      <c r="E2483" t="s">
        <v>2352</v>
      </c>
      <c r="F2483" t="s">
        <v>2353</v>
      </c>
      <c r="G2483" t="s">
        <v>2354</v>
      </c>
      <c r="H2483" t="s">
        <v>635</v>
      </c>
      <c r="I2483" t="s">
        <v>768</v>
      </c>
      <c r="J2483" t="s">
        <v>601</v>
      </c>
      <c r="K2483" t="s">
        <v>19</v>
      </c>
      <c r="L2483">
        <v>6.28</v>
      </c>
      <c r="M2483" s="1">
        <v>45952</v>
      </c>
      <c r="N2483" t="s">
        <v>34</v>
      </c>
      <c r="O2483">
        <v>22</v>
      </c>
      <c r="P2483">
        <v>10</v>
      </c>
      <c r="Q2483">
        <v>4</v>
      </c>
      <c r="R2483">
        <v>2025</v>
      </c>
    </row>
    <row r="2484" spans="1:18">
      <c r="A2484">
        <v>115.83</v>
      </c>
      <c r="B2484">
        <v>3</v>
      </c>
      <c r="C2484">
        <v>2483</v>
      </c>
      <c r="D2484" s="2">
        <v>0.71254428240740741</v>
      </c>
      <c r="E2484" t="s">
        <v>3203</v>
      </c>
      <c r="F2484" t="s">
        <v>3204</v>
      </c>
      <c r="G2484" t="s">
        <v>1050</v>
      </c>
      <c r="H2484" t="s">
        <v>961</v>
      </c>
      <c r="I2484" t="s">
        <v>807</v>
      </c>
      <c r="J2484" t="s">
        <v>58</v>
      </c>
      <c r="K2484" t="s">
        <v>25</v>
      </c>
      <c r="L2484">
        <v>38.61</v>
      </c>
      <c r="M2484" s="1">
        <v>46142</v>
      </c>
      <c r="N2484" t="s">
        <v>105</v>
      </c>
      <c r="O2484">
        <v>30</v>
      </c>
      <c r="P2484">
        <v>4</v>
      </c>
      <c r="Q2484">
        <v>2</v>
      </c>
      <c r="R2484">
        <v>2026</v>
      </c>
    </row>
    <row r="2485" spans="1:18">
      <c r="A2485">
        <v>933.68</v>
      </c>
      <c r="B2485">
        <v>4</v>
      </c>
      <c r="C2485">
        <v>2484</v>
      </c>
      <c r="D2485" s="2">
        <v>0.75102574074074069</v>
      </c>
      <c r="E2485" t="s">
        <v>1627</v>
      </c>
      <c r="F2485" t="s">
        <v>1628</v>
      </c>
      <c r="G2485" t="s">
        <v>1629</v>
      </c>
      <c r="H2485" t="s">
        <v>1630</v>
      </c>
      <c r="I2485" t="s">
        <v>763</v>
      </c>
      <c r="J2485" t="s">
        <v>632</v>
      </c>
      <c r="K2485" t="s">
        <v>57</v>
      </c>
      <c r="L2485">
        <v>233.42</v>
      </c>
      <c r="M2485" s="1">
        <v>45860</v>
      </c>
      <c r="N2485" t="s">
        <v>48</v>
      </c>
      <c r="O2485">
        <v>22</v>
      </c>
      <c r="P2485">
        <v>7</v>
      </c>
      <c r="Q2485">
        <v>3</v>
      </c>
      <c r="R2485">
        <v>2025</v>
      </c>
    </row>
    <row r="2486" spans="1:18">
      <c r="A2486">
        <v>349.45</v>
      </c>
      <c r="B2486">
        <v>5</v>
      </c>
      <c r="C2486">
        <v>2485</v>
      </c>
      <c r="D2486" s="2">
        <v>0.29894033564814815</v>
      </c>
      <c r="E2486" t="s">
        <v>1723</v>
      </c>
      <c r="F2486" t="s">
        <v>1724</v>
      </c>
      <c r="G2486" t="s">
        <v>1725</v>
      </c>
      <c r="H2486" t="s">
        <v>915</v>
      </c>
      <c r="I2486" t="s">
        <v>908</v>
      </c>
      <c r="J2486" t="s">
        <v>366</v>
      </c>
      <c r="K2486" t="s">
        <v>19</v>
      </c>
      <c r="L2486">
        <v>69.89</v>
      </c>
      <c r="M2486" s="1">
        <v>45559</v>
      </c>
      <c r="N2486" t="s">
        <v>48</v>
      </c>
      <c r="O2486">
        <v>24</v>
      </c>
      <c r="P2486">
        <v>9</v>
      </c>
      <c r="Q2486">
        <v>3</v>
      </c>
      <c r="R2486">
        <v>2024</v>
      </c>
    </row>
    <row r="2487" spans="1:18">
      <c r="A2487">
        <v>119.58</v>
      </c>
      <c r="B2487">
        <v>1</v>
      </c>
      <c r="C2487">
        <v>2486</v>
      </c>
      <c r="D2487" s="2">
        <v>0.47804421296296296</v>
      </c>
      <c r="E2487" t="s">
        <v>1764</v>
      </c>
      <c r="F2487" t="s">
        <v>1765</v>
      </c>
      <c r="G2487" t="s">
        <v>1311</v>
      </c>
      <c r="H2487" t="s">
        <v>903</v>
      </c>
      <c r="I2487" t="s">
        <v>786</v>
      </c>
      <c r="J2487" t="s">
        <v>143</v>
      </c>
      <c r="K2487" t="s">
        <v>69</v>
      </c>
      <c r="L2487">
        <v>119.58</v>
      </c>
      <c r="M2487" s="1">
        <v>45903</v>
      </c>
      <c r="N2487" t="s">
        <v>34</v>
      </c>
      <c r="O2487">
        <v>3</v>
      </c>
      <c r="P2487">
        <v>9</v>
      </c>
      <c r="Q2487">
        <v>3</v>
      </c>
      <c r="R2487">
        <v>2025</v>
      </c>
    </row>
    <row r="2488" spans="1:18">
      <c r="A2488">
        <v>9.73</v>
      </c>
      <c r="B2488">
        <v>1</v>
      </c>
      <c r="C2488">
        <v>2487</v>
      </c>
      <c r="D2488" s="2">
        <v>0.94697023148148152</v>
      </c>
      <c r="E2488" t="s">
        <v>2448</v>
      </c>
      <c r="F2488" t="s">
        <v>2449</v>
      </c>
      <c r="G2488" t="s">
        <v>1070</v>
      </c>
      <c r="H2488" t="s">
        <v>961</v>
      </c>
      <c r="I2488" t="s">
        <v>807</v>
      </c>
      <c r="J2488" t="s">
        <v>716</v>
      </c>
      <c r="K2488" t="s">
        <v>19</v>
      </c>
      <c r="L2488">
        <v>9.73</v>
      </c>
      <c r="M2488" s="1">
        <v>46245</v>
      </c>
      <c r="N2488" t="s">
        <v>48</v>
      </c>
      <c r="O2488">
        <v>11</v>
      </c>
      <c r="P2488">
        <v>8</v>
      </c>
      <c r="Q2488">
        <v>3</v>
      </c>
      <c r="R2488">
        <v>2026</v>
      </c>
    </row>
    <row r="2489" spans="1:18">
      <c r="A2489">
        <v>123.48</v>
      </c>
      <c r="B2489">
        <v>1</v>
      </c>
      <c r="C2489">
        <v>2488</v>
      </c>
      <c r="D2489" s="2">
        <v>7.3455462962962959E-2</v>
      </c>
      <c r="E2489" t="s">
        <v>3030</v>
      </c>
      <c r="F2489" t="s">
        <v>3031</v>
      </c>
      <c r="G2489" t="s">
        <v>2341</v>
      </c>
      <c r="H2489" t="s">
        <v>1092</v>
      </c>
      <c r="I2489" t="s">
        <v>763</v>
      </c>
      <c r="J2489" t="s">
        <v>575</v>
      </c>
      <c r="K2489" t="s">
        <v>37</v>
      </c>
      <c r="L2489">
        <v>123.48</v>
      </c>
      <c r="M2489" s="1">
        <v>46044</v>
      </c>
      <c r="N2489" t="s">
        <v>105</v>
      </c>
      <c r="O2489">
        <v>22</v>
      </c>
      <c r="P2489">
        <v>1</v>
      </c>
      <c r="Q2489">
        <v>1</v>
      </c>
      <c r="R2489">
        <v>2026</v>
      </c>
    </row>
    <row r="2490" spans="1:18">
      <c r="A2490">
        <v>226.55</v>
      </c>
      <c r="B2490">
        <v>5</v>
      </c>
      <c r="C2490">
        <v>2489</v>
      </c>
      <c r="D2490" s="2">
        <v>0.82128872685185184</v>
      </c>
      <c r="E2490" t="s">
        <v>886</v>
      </c>
      <c r="F2490" t="s">
        <v>887</v>
      </c>
      <c r="G2490" t="s">
        <v>888</v>
      </c>
      <c r="H2490" t="s">
        <v>806</v>
      </c>
      <c r="I2490" t="s">
        <v>807</v>
      </c>
      <c r="J2490" t="s">
        <v>537</v>
      </c>
      <c r="K2490" t="s">
        <v>31</v>
      </c>
      <c r="L2490">
        <v>45.31</v>
      </c>
      <c r="M2490" s="1">
        <v>46049</v>
      </c>
      <c r="N2490" t="s">
        <v>48</v>
      </c>
      <c r="O2490">
        <v>27</v>
      </c>
      <c r="P2490">
        <v>1</v>
      </c>
      <c r="Q2490">
        <v>1</v>
      </c>
      <c r="R2490">
        <v>2026</v>
      </c>
    </row>
    <row r="2491" spans="1:18">
      <c r="A2491">
        <v>220.47</v>
      </c>
      <c r="B2491">
        <v>1</v>
      </c>
      <c r="C2491">
        <v>2490</v>
      </c>
      <c r="D2491" s="2">
        <v>0.41768950231481483</v>
      </c>
      <c r="E2491" t="s">
        <v>1936</v>
      </c>
      <c r="F2491" t="s">
        <v>1937</v>
      </c>
      <c r="G2491" t="s">
        <v>1938</v>
      </c>
      <c r="H2491" t="s">
        <v>1039</v>
      </c>
      <c r="I2491" t="s">
        <v>758</v>
      </c>
      <c r="J2491" t="s">
        <v>496</v>
      </c>
      <c r="K2491" t="s">
        <v>17</v>
      </c>
      <c r="L2491">
        <v>220.47</v>
      </c>
      <c r="M2491" s="1">
        <v>46075</v>
      </c>
      <c r="N2491" t="s">
        <v>28</v>
      </c>
      <c r="O2491">
        <v>22</v>
      </c>
      <c r="P2491">
        <v>2</v>
      </c>
      <c r="Q2491">
        <v>1</v>
      </c>
      <c r="R2491">
        <v>2026</v>
      </c>
    </row>
    <row r="2492" spans="1:18">
      <c r="A2492">
        <v>655.23</v>
      </c>
      <c r="B2492">
        <v>3</v>
      </c>
      <c r="C2492">
        <v>2491</v>
      </c>
      <c r="D2492" s="2">
        <v>0.89337664351851853</v>
      </c>
      <c r="E2492" t="s">
        <v>1141</v>
      </c>
      <c r="F2492" t="s">
        <v>1142</v>
      </c>
      <c r="G2492" t="s">
        <v>1143</v>
      </c>
      <c r="H2492" t="s">
        <v>862</v>
      </c>
      <c r="I2492" t="s">
        <v>908</v>
      </c>
      <c r="J2492" t="s">
        <v>411</v>
      </c>
      <c r="K2492" t="s">
        <v>82</v>
      </c>
      <c r="L2492">
        <v>218.41</v>
      </c>
      <c r="M2492" s="1">
        <v>45575</v>
      </c>
      <c r="N2492" t="s">
        <v>105</v>
      </c>
      <c r="O2492">
        <v>10</v>
      </c>
      <c r="P2492">
        <v>10</v>
      </c>
      <c r="Q2492">
        <v>4</v>
      </c>
      <c r="R2492">
        <v>2024</v>
      </c>
    </row>
    <row r="2493" spans="1:18">
      <c r="A2493">
        <v>990.08</v>
      </c>
      <c r="B2493">
        <v>4</v>
      </c>
      <c r="C2493">
        <v>2492</v>
      </c>
      <c r="D2493" s="2">
        <v>0.58884510416666669</v>
      </c>
      <c r="E2493" t="s">
        <v>855</v>
      </c>
      <c r="F2493" t="s">
        <v>856</v>
      </c>
      <c r="G2493" t="s">
        <v>857</v>
      </c>
      <c r="H2493" t="s">
        <v>858</v>
      </c>
      <c r="I2493" t="s">
        <v>753</v>
      </c>
      <c r="J2493" t="s">
        <v>372</v>
      </c>
      <c r="K2493" t="s">
        <v>23</v>
      </c>
      <c r="L2493">
        <v>247.52</v>
      </c>
      <c r="M2493" s="1">
        <v>45888</v>
      </c>
      <c r="N2493" t="s">
        <v>48</v>
      </c>
      <c r="O2493">
        <v>19</v>
      </c>
      <c r="P2493">
        <v>8</v>
      </c>
      <c r="Q2493">
        <v>3</v>
      </c>
      <c r="R2493">
        <v>2025</v>
      </c>
    </row>
    <row r="2494" spans="1:18">
      <c r="A2494">
        <v>859.05</v>
      </c>
      <c r="B2494">
        <v>5</v>
      </c>
      <c r="C2494">
        <v>2493</v>
      </c>
      <c r="D2494" s="2">
        <v>0.32525083333333332</v>
      </c>
      <c r="E2494" t="s">
        <v>3440</v>
      </c>
      <c r="F2494" t="s">
        <v>3441</v>
      </c>
      <c r="G2494" t="s">
        <v>1070</v>
      </c>
      <c r="H2494" t="s">
        <v>1107</v>
      </c>
      <c r="I2494" t="s">
        <v>892</v>
      </c>
      <c r="J2494" t="s">
        <v>129</v>
      </c>
      <c r="K2494" t="s">
        <v>25</v>
      </c>
      <c r="L2494">
        <v>171.81</v>
      </c>
      <c r="M2494" s="1">
        <v>45978</v>
      </c>
      <c r="N2494" t="s">
        <v>93</v>
      </c>
      <c r="O2494">
        <v>17</v>
      </c>
      <c r="P2494">
        <v>11</v>
      </c>
      <c r="Q2494">
        <v>4</v>
      </c>
      <c r="R2494">
        <v>2025</v>
      </c>
    </row>
    <row r="2495" spans="1:18">
      <c r="A2495">
        <v>681.66</v>
      </c>
      <c r="B2495">
        <v>3</v>
      </c>
      <c r="C2495">
        <v>2494</v>
      </c>
      <c r="D2495" s="2">
        <v>0.68750797453703705</v>
      </c>
      <c r="E2495" t="s">
        <v>3038</v>
      </c>
      <c r="F2495" t="s">
        <v>3039</v>
      </c>
      <c r="G2495" t="s">
        <v>878</v>
      </c>
      <c r="H2495" t="s">
        <v>862</v>
      </c>
      <c r="I2495" t="s">
        <v>807</v>
      </c>
      <c r="J2495" t="s">
        <v>1314</v>
      </c>
      <c r="K2495" t="s">
        <v>55</v>
      </c>
      <c r="L2495">
        <v>227.22</v>
      </c>
      <c r="M2495" s="1">
        <v>46209</v>
      </c>
      <c r="N2495" t="s">
        <v>93</v>
      </c>
      <c r="O2495">
        <v>6</v>
      </c>
      <c r="P2495">
        <v>7</v>
      </c>
      <c r="Q2495">
        <v>3</v>
      </c>
      <c r="R2495">
        <v>2026</v>
      </c>
    </row>
    <row r="2496" spans="1:18">
      <c r="A2496">
        <v>137.78</v>
      </c>
      <c r="B2496">
        <v>2</v>
      </c>
      <c r="C2496">
        <v>2495</v>
      </c>
      <c r="D2496" s="2">
        <v>0.71469873842592591</v>
      </c>
      <c r="E2496" t="s">
        <v>962</v>
      </c>
      <c r="F2496" t="s">
        <v>3468</v>
      </c>
      <c r="G2496" t="s">
        <v>2881</v>
      </c>
      <c r="H2496" t="s">
        <v>196</v>
      </c>
      <c r="I2496" t="s">
        <v>830</v>
      </c>
      <c r="J2496" t="s">
        <v>606</v>
      </c>
      <c r="K2496" t="s">
        <v>82</v>
      </c>
      <c r="L2496">
        <v>68.89</v>
      </c>
      <c r="M2496" s="1">
        <v>45593</v>
      </c>
      <c r="N2496" t="s">
        <v>93</v>
      </c>
      <c r="O2496">
        <v>28</v>
      </c>
      <c r="P2496">
        <v>10</v>
      </c>
      <c r="Q2496">
        <v>4</v>
      </c>
      <c r="R2496">
        <v>2024</v>
      </c>
    </row>
    <row r="2497" spans="1:18">
      <c r="A2497">
        <v>410.48</v>
      </c>
      <c r="B2497">
        <v>4</v>
      </c>
      <c r="C2497">
        <v>2496</v>
      </c>
      <c r="D2497" s="2">
        <v>0.40895982638888889</v>
      </c>
      <c r="E2497" t="s">
        <v>1796</v>
      </c>
      <c r="F2497" t="s">
        <v>1797</v>
      </c>
      <c r="G2497" t="s">
        <v>1798</v>
      </c>
      <c r="H2497" t="s">
        <v>806</v>
      </c>
      <c r="I2497" t="s">
        <v>807</v>
      </c>
      <c r="J2497" t="s">
        <v>348</v>
      </c>
      <c r="K2497" t="s">
        <v>60</v>
      </c>
      <c r="L2497">
        <v>102.62</v>
      </c>
      <c r="M2497" s="1">
        <v>46200</v>
      </c>
      <c r="N2497" t="s">
        <v>14</v>
      </c>
      <c r="O2497">
        <v>27</v>
      </c>
      <c r="P2497">
        <v>6</v>
      </c>
      <c r="Q2497">
        <v>2</v>
      </c>
      <c r="R2497">
        <v>2026</v>
      </c>
    </row>
    <row r="2498" spans="1:18">
      <c r="A2498">
        <v>227.47</v>
      </c>
      <c r="B2498">
        <v>1</v>
      </c>
      <c r="C2498">
        <v>2497</v>
      </c>
      <c r="D2498" s="2">
        <v>0.66002318287037032</v>
      </c>
      <c r="E2498" t="s">
        <v>1743</v>
      </c>
      <c r="F2498" t="s">
        <v>1744</v>
      </c>
      <c r="G2498" t="s">
        <v>1745</v>
      </c>
      <c r="H2498" t="s">
        <v>666</v>
      </c>
      <c r="I2498" t="s">
        <v>954</v>
      </c>
      <c r="J2498" t="s">
        <v>116</v>
      </c>
      <c r="K2498" t="s">
        <v>57</v>
      </c>
      <c r="L2498">
        <v>227.47</v>
      </c>
      <c r="M2498" s="1">
        <v>45981</v>
      </c>
      <c r="N2498" t="s">
        <v>105</v>
      </c>
      <c r="O2498">
        <v>20</v>
      </c>
      <c r="P2498">
        <v>11</v>
      </c>
      <c r="Q2498">
        <v>4</v>
      </c>
      <c r="R2498">
        <v>2025</v>
      </c>
    </row>
    <row r="2499" spans="1:18">
      <c r="A2499">
        <v>360.12</v>
      </c>
      <c r="B2499">
        <v>4</v>
      </c>
      <c r="C2499">
        <v>2498</v>
      </c>
      <c r="D2499" s="2">
        <v>0.28248959490740738</v>
      </c>
      <c r="E2499" t="s">
        <v>930</v>
      </c>
      <c r="F2499" t="s">
        <v>931</v>
      </c>
      <c r="G2499" t="s">
        <v>932</v>
      </c>
      <c r="H2499" t="s">
        <v>280</v>
      </c>
      <c r="I2499" t="s">
        <v>812</v>
      </c>
      <c r="J2499" t="s">
        <v>442</v>
      </c>
      <c r="K2499" t="s">
        <v>100</v>
      </c>
      <c r="L2499">
        <v>90.03</v>
      </c>
      <c r="M2499" s="1">
        <v>45655</v>
      </c>
      <c r="N2499" t="s">
        <v>28</v>
      </c>
      <c r="O2499">
        <v>29</v>
      </c>
      <c r="P2499">
        <v>12</v>
      </c>
      <c r="Q2499">
        <v>4</v>
      </c>
      <c r="R2499">
        <v>2024</v>
      </c>
    </row>
    <row r="2500" spans="1:18">
      <c r="A2500">
        <v>609.68999999999994</v>
      </c>
      <c r="B2500">
        <v>3</v>
      </c>
      <c r="C2500">
        <v>2499</v>
      </c>
      <c r="D2500" s="2">
        <v>0.79220072916666662</v>
      </c>
      <c r="E2500" t="s">
        <v>2226</v>
      </c>
      <c r="F2500" t="s">
        <v>2227</v>
      </c>
      <c r="G2500" t="s">
        <v>1188</v>
      </c>
      <c r="H2500" t="s">
        <v>1089</v>
      </c>
      <c r="I2500" t="s">
        <v>812</v>
      </c>
      <c r="J2500" t="s">
        <v>417</v>
      </c>
      <c r="K2500" t="s">
        <v>51</v>
      </c>
      <c r="L2500">
        <v>203.23</v>
      </c>
      <c r="M2500" s="1">
        <v>46125</v>
      </c>
      <c r="N2500" t="s">
        <v>93</v>
      </c>
      <c r="O2500">
        <v>13</v>
      </c>
      <c r="P2500">
        <v>4</v>
      </c>
      <c r="Q2500">
        <v>2</v>
      </c>
      <c r="R2500">
        <v>2026</v>
      </c>
    </row>
    <row r="2501" spans="1:18">
      <c r="A2501">
        <v>313.72000000000003</v>
      </c>
      <c r="B2501">
        <v>2</v>
      </c>
      <c r="C2501">
        <v>2500</v>
      </c>
      <c r="D2501" s="2">
        <v>0.79932681712962961</v>
      </c>
      <c r="E2501" t="s">
        <v>2066</v>
      </c>
      <c r="F2501" t="s">
        <v>2067</v>
      </c>
      <c r="G2501" t="s">
        <v>1192</v>
      </c>
      <c r="H2501" t="s">
        <v>280</v>
      </c>
      <c r="I2501" t="s">
        <v>786</v>
      </c>
      <c r="J2501" t="s">
        <v>602</v>
      </c>
      <c r="K2501" t="s">
        <v>17</v>
      </c>
      <c r="L2501">
        <v>156.86000000000001</v>
      </c>
      <c r="M2501" s="1">
        <v>45720</v>
      </c>
      <c r="N2501" t="s">
        <v>48</v>
      </c>
      <c r="O2501">
        <v>4</v>
      </c>
      <c r="P2501">
        <v>3</v>
      </c>
      <c r="Q2501">
        <v>1</v>
      </c>
      <c r="R2501">
        <v>2025</v>
      </c>
    </row>
    <row r="2502" spans="1:18">
      <c r="A2502">
        <v>767.84</v>
      </c>
      <c r="B2502">
        <v>4</v>
      </c>
      <c r="C2502">
        <v>2501</v>
      </c>
      <c r="D2502" s="2">
        <v>0.70919013888888893</v>
      </c>
      <c r="E2502" t="s">
        <v>787</v>
      </c>
      <c r="F2502" t="s">
        <v>788</v>
      </c>
      <c r="G2502" t="s">
        <v>789</v>
      </c>
      <c r="H2502" t="s">
        <v>160</v>
      </c>
      <c r="I2502" t="s">
        <v>790</v>
      </c>
      <c r="J2502" t="s">
        <v>231</v>
      </c>
      <c r="K2502" t="s">
        <v>37</v>
      </c>
      <c r="L2502">
        <v>191.96</v>
      </c>
      <c r="M2502" s="1">
        <v>45675</v>
      </c>
      <c r="N2502" t="s">
        <v>14</v>
      </c>
      <c r="O2502">
        <v>18</v>
      </c>
      <c r="P2502">
        <v>1</v>
      </c>
      <c r="Q2502">
        <v>1</v>
      </c>
      <c r="R2502">
        <v>2025</v>
      </c>
    </row>
    <row r="2503" spans="1:18">
      <c r="A2503">
        <v>679.08</v>
      </c>
      <c r="B2503">
        <v>4</v>
      </c>
      <c r="C2503">
        <v>2502</v>
      </c>
      <c r="D2503" s="2">
        <v>0.40342356481481484</v>
      </c>
      <c r="E2503" t="s">
        <v>2536</v>
      </c>
      <c r="F2503" t="s">
        <v>2537</v>
      </c>
      <c r="G2503" t="s">
        <v>2538</v>
      </c>
      <c r="H2503" t="s">
        <v>767</v>
      </c>
      <c r="I2503" t="s">
        <v>768</v>
      </c>
      <c r="J2503" t="s">
        <v>300</v>
      </c>
      <c r="K2503" t="s">
        <v>55</v>
      </c>
      <c r="L2503">
        <v>169.77</v>
      </c>
      <c r="M2503" s="1">
        <v>46225</v>
      </c>
      <c r="N2503" t="s">
        <v>34</v>
      </c>
      <c r="O2503">
        <v>22</v>
      </c>
      <c r="P2503">
        <v>7</v>
      </c>
      <c r="Q2503">
        <v>3</v>
      </c>
      <c r="R2503">
        <v>2026</v>
      </c>
    </row>
    <row r="2504" spans="1:18">
      <c r="A2504">
        <v>49.41</v>
      </c>
      <c r="B2504">
        <v>1</v>
      </c>
      <c r="C2504">
        <v>2503</v>
      </c>
      <c r="D2504" s="2">
        <v>0.9514523032407407</v>
      </c>
      <c r="E2504" t="s">
        <v>1894</v>
      </c>
      <c r="F2504" t="s">
        <v>1895</v>
      </c>
      <c r="G2504" t="s">
        <v>1387</v>
      </c>
      <c r="H2504" t="s">
        <v>1213</v>
      </c>
      <c r="I2504" t="s">
        <v>839</v>
      </c>
      <c r="J2504" t="s">
        <v>144</v>
      </c>
      <c r="K2504" t="s">
        <v>97</v>
      </c>
      <c r="L2504">
        <v>49.41</v>
      </c>
      <c r="M2504" s="1">
        <v>45655</v>
      </c>
      <c r="N2504" t="s">
        <v>28</v>
      </c>
      <c r="O2504">
        <v>29</v>
      </c>
      <c r="P2504">
        <v>12</v>
      </c>
      <c r="Q2504">
        <v>4</v>
      </c>
      <c r="R2504">
        <v>2024</v>
      </c>
    </row>
    <row r="2505" spans="1:18">
      <c r="A2505">
        <v>321.09000000000003</v>
      </c>
      <c r="B2505">
        <v>3</v>
      </c>
      <c r="C2505">
        <v>2504</v>
      </c>
      <c r="D2505" s="2">
        <v>0.22302171296296297</v>
      </c>
      <c r="E2505" t="s">
        <v>1478</v>
      </c>
      <c r="F2505" t="s">
        <v>1479</v>
      </c>
      <c r="G2505" t="s">
        <v>1263</v>
      </c>
      <c r="H2505" t="s">
        <v>1395</v>
      </c>
      <c r="I2505" t="s">
        <v>776</v>
      </c>
      <c r="J2505" t="s">
        <v>529</v>
      </c>
      <c r="K2505" t="s">
        <v>37</v>
      </c>
      <c r="L2505">
        <v>107.03</v>
      </c>
      <c r="M2505" s="1">
        <v>46122</v>
      </c>
      <c r="N2505" t="s">
        <v>79</v>
      </c>
      <c r="O2505">
        <v>10</v>
      </c>
      <c r="P2505">
        <v>4</v>
      </c>
      <c r="Q2505">
        <v>2</v>
      </c>
      <c r="R2505">
        <v>2026</v>
      </c>
    </row>
    <row r="2506" spans="1:18">
      <c r="A2506">
        <v>41.24</v>
      </c>
      <c r="B2506">
        <v>2</v>
      </c>
      <c r="C2506">
        <v>2505</v>
      </c>
      <c r="D2506" s="2">
        <v>0.82252958333333337</v>
      </c>
      <c r="E2506" t="s">
        <v>2506</v>
      </c>
      <c r="F2506" t="s">
        <v>2507</v>
      </c>
      <c r="G2506" t="s">
        <v>1295</v>
      </c>
      <c r="H2506" t="s">
        <v>74</v>
      </c>
      <c r="I2506" t="s">
        <v>943</v>
      </c>
      <c r="J2506" t="s">
        <v>96</v>
      </c>
      <c r="K2506" t="s">
        <v>97</v>
      </c>
      <c r="L2506">
        <v>20.62</v>
      </c>
      <c r="M2506" s="1">
        <v>45948</v>
      </c>
      <c r="N2506" t="s">
        <v>14</v>
      </c>
      <c r="O2506">
        <v>18</v>
      </c>
      <c r="P2506">
        <v>10</v>
      </c>
      <c r="Q2506">
        <v>4</v>
      </c>
      <c r="R2506">
        <v>2025</v>
      </c>
    </row>
    <row r="2507" spans="1:18">
      <c r="A2507">
        <v>579.66</v>
      </c>
      <c r="B2507">
        <v>3</v>
      </c>
      <c r="C2507">
        <v>2506</v>
      </c>
      <c r="D2507" s="2">
        <v>0.57741659722222227</v>
      </c>
      <c r="E2507" t="s">
        <v>2263</v>
      </c>
      <c r="F2507" t="s">
        <v>2264</v>
      </c>
      <c r="G2507" t="s">
        <v>957</v>
      </c>
      <c r="H2507" t="s">
        <v>2265</v>
      </c>
      <c r="I2507" t="s">
        <v>830</v>
      </c>
      <c r="J2507" t="s">
        <v>430</v>
      </c>
      <c r="K2507" t="s">
        <v>27</v>
      </c>
      <c r="L2507">
        <v>193.22</v>
      </c>
      <c r="M2507" s="1">
        <v>45746</v>
      </c>
      <c r="N2507" t="s">
        <v>28</v>
      </c>
      <c r="O2507">
        <v>30</v>
      </c>
      <c r="P2507">
        <v>3</v>
      </c>
      <c r="Q2507">
        <v>1</v>
      </c>
      <c r="R2507">
        <v>2025</v>
      </c>
    </row>
    <row r="2508" spans="1:18">
      <c r="A2508">
        <v>67.44</v>
      </c>
      <c r="B2508">
        <v>3</v>
      </c>
      <c r="C2508">
        <v>2507</v>
      </c>
      <c r="D2508" s="2">
        <v>0.3217361689814815</v>
      </c>
      <c r="E2508" t="s">
        <v>2675</v>
      </c>
      <c r="F2508" t="s">
        <v>2676</v>
      </c>
      <c r="G2508" t="s">
        <v>2677</v>
      </c>
      <c r="H2508" t="s">
        <v>843</v>
      </c>
      <c r="I2508" t="s">
        <v>753</v>
      </c>
      <c r="J2508" t="s">
        <v>41</v>
      </c>
      <c r="K2508" t="s">
        <v>39</v>
      </c>
      <c r="L2508">
        <v>22.48</v>
      </c>
      <c r="M2508" s="1">
        <v>45997</v>
      </c>
      <c r="N2508" t="s">
        <v>14</v>
      </c>
      <c r="O2508">
        <v>6</v>
      </c>
      <c r="P2508">
        <v>12</v>
      </c>
      <c r="Q2508">
        <v>4</v>
      </c>
      <c r="R2508">
        <v>2025</v>
      </c>
    </row>
    <row r="2509" spans="1:18">
      <c r="A2509">
        <v>78.28</v>
      </c>
      <c r="B2509">
        <v>1</v>
      </c>
      <c r="C2509">
        <v>2508</v>
      </c>
      <c r="D2509" s="2">
        <v>1.8099756944444444E-2</v>
      </c>
      <c r="E2509" t="s">
        <v>1354</v>
      </c>
      <c r="F2509" t="s">
        <v>1355</v>
      </c>
      <c r="G2509" t="s">
        <v>1324</v>
      </c>
      <c r="H2509" t="s">
        <v>196</v>
      </c>
      <c r="I2509" t="s">
        <v>1247</v>
      </c>
      <c r="J2509" t="s">
        <v>441</v>
      </c>
      <c r="K2509" t="s">
        <v>37</v>
      </c>
      <c r="L2509">
        <v>78.28</v>
      </c>
      <c r="M2509" s="1">
        <v>46132</v>
      </c>
      <c r="N2509" t="s">
        <v>93</v>
      </c>
      <c r="O2509">
        <v>20</v>
      </c>
      <c r="P2509">
        <v>4</v>
      </c>
      <c r="Q2509">
        <v>2</v>
      </c>
      <c r="R2509">
        <v>2026</v>
      </c>
    </row>
    <row r="2510" spans="1:18">
      <c r="A2510">
        <v>1102.3499999999999</v>
      </c>
      <c r="B2510">
        <v>5</v>
      </c>
      <c r="C2510">
        <v>2509</v>
      </c>
      <c r="D2510" s="2">
        <v>0.97722587962962959</v>
      </c>
      <c r="E2510" t="s">
        <v>2008</v>
      </c>
      <c r="F2510" t="s">
        <v>2009</v>
      </c>
      <c r="G2510" t="s">
        <v>2010</v>
      </c>
      <c r="H2510" t="s">
        <v>794</v>
      </c>
      <c r="I2510" t="s">
        <v>821</v>
      </c>
      <c r="J2510" t="s">
        <v>496</v>
      </c>
      <c r="K2510" t="s">
        <v>17</v>
      </c>
      <c r="L2510">
        <v>220.47</v>
      </c>
      <c r="M2510" s="1">
        <v>46232</v>
      </c>
      <c r="N2510" t="s">
        <v>34</v>
      </c>
      <c r="O2510">
        <v>29</v>
      </c>
      <c r="P2510">
        <v>7</v>
      </c>
      <c r="Q2510">
        <v>3</v>
      </c>
      <c r="R2510">
        <v>2026</v>
      </c>
    </row>
    <row r="2511" spans="1:18">
      <c r="A2511">
        <v>21.51</v>
      </c>
      <c r="B2511">
        <v>1</v>
      </c>
      <c r="C2511">
        <v>2510</v>
      </c>
      <c r="D2511" s="2">
        <v>0.3050689236111111</v>
      </c>
      <c r="E2511" t="s">
        <v>2381</v>
      </c>
      <c r="F2511" t="s">
        <v>2382</v>
      </c>
      <c r="G2511" t="s">
        <v>2383</v>
      </c>
      <c r="H2511" t="s">
        <v>1359</v>
      </c>
      <c r="I2511" t="s">
        <v>768</v>
      </c>
      <c r="J2511" t="s">
        <v>1939</v>
      </c>
      <c r="K2511" t="s">
        <v>57</v>
      </c>
      <c r="L2511">
        <v>21.51</v>
      </c>
      <c r="M2511" s="1">
        <v>45926</v>
      </c>
      <c r="N2511" t="s">
        <v>79</v>
      </c>
      <c r="O2511">
        <v>26</v>
      </c>
      <c r="P2511">
        <v>9</v>
      </c>
      <c r="Q2511">
        <v>3</v>
      </c>
      <c r="R2511">
        <v>2025</v>
      </c>
    </row>
    <row r="2512" spans="1:18">
      <c r="A2512">
        <v>136.12</v>
      </c>
      <c r="B2512">
        <v>4</v>
      </c>
      <c r="C2512">
        <v>2511</v>
      </c>
      <c r="D2512" s="2">
        <v>0.7136034722222222</v>
      </c>
      <c r="E2512" t="s">
        <v>2005</v>
      </c>
      <c r="F2512" t="s">
        <v>2006</v>
      </c>
      <c r="G2512" t="s">
        <v>2007</v>
      </c>
      <c r="H2512" t="s">
        <v>1156</v>
      </c>
      <c r="I2512" t="s">
        <v>821</v>
      </c>
      <c r="J2512" t="s">
        <v>678</v>
      </c>
      <c r="K2512" t="s">
        <v>100</v>
      </c>
      <c r="L2512">
        <v>34.03</v>
      </c>
      <c r="M2512" s="1">
        <v>45975</v>
      </c>
      <c r="N2512" t="s">
        <v>79</v>
      </c>
      <c r="O2512">
        <v>14</v>
      </c>
      <c r="P2512">
        <v>11</v>
      </c>
      <c r="Q2512">
        <v>4</v>
      </c>
      <c r="R2512">
        <v>2025</v>
      </c>
    </row>
    <row r="2513" spans="1:18">
      <c r="A2513">
        <v>182.84</v>
      </c>
      <c r="B2513">
        <v>2</v>
      </c>
      <c r="C2513">
        <v>2512</v>
      </c>
      <c r="D2513" s="2">
        <v>0.13553251157407406</v>
      </c>
      <c r="E2513" t="s">
        <v>1438</v>
      </c>
      <c r="F2513" t="s">
        <v>1439</v>
      </c>
      <c r="G2513" t="s">
        <v>1440</v>
      </c>
      <c r="H2513" t="s">
        <v>29</v>
      </c>
      <c r="I2513" t="s">
        <v>763</v>
      </c>
      <c r="J2513" t="s">
        <v>479</v>
      </c>
      <c r="K2513" t="s">
        <v>17</v>
      </c>
      <c r="L2513">
        <v>91.42</v>
      </c>
      <c r="M2513" s="1">
        <v>46112</v>
      </c>
      <c r="N2513" t="s">
        <v>48</v>
      </c>
      <c r="O2513">
        <v>31</v>
      </c>
      <c r="P2513">
        <v>3</v>
      </c>
      <c r="Q2513">
        <v>1</v>
      </c>
      <c r="R2513">
        <v>2026</v>
      </c>
    </row>
    <row r="2514" spans="1:18">
      <c r="A2514">
        <v>41.55</v>
      </c>
      <c r="B2514">
        <v>3</v>
      </c>
      <c r="C2514">
        <v>2513</v>
      </c>
      <c r="D2514" s="2">
        <v>3.0319780092592591E-2</v>
      </c>
      <c r="E2514" t="s">
        <v>1910</v>
      </c>
      <c r="F2514" t="s">
        <v>1911</v>
      </c>
      <c r="G2514" t="s">
        <v>846</v>
      </c>
      <c r="H2514" t="s">
        <v>883</v>
      </c>
      <c r="I2514" t="s">
        <v>807</v>
      </c>
      <c r="J2514" t="s">
        <v>233</v>
      </c>
      <c r="K2514" t="s">
        <v>122</v>
      </c>
      <c r="L2514">
        <v>13.85</v>
      </c>
      <c r="M2514" s="1">
        <v>46216</v>
      </c>
      <c r="N2514" t="s">
        <v>93</v>
      </c>
      <c r="O2514">
        <v>13</v>
      </c>
      <c r="P2514">
        <v>7</v>
      </c>
      <c r="Q2514">
        <v>3</v>
      </c>
      <c r="R2514">
        <v>2026</v>
      </c>
    </row>
    <row r="2515" spans="1:18">
      <c r="A2515">
        <v>839.52</v>
      </c>
      <c r="B2515">
        <v>4</v>
      </c>
      <c r="C2515">
        <v>2514</v>
      </c>
      <c r="D2515" s="2">
        <v>8.7263472222222221E-2</v>
      </c>
      <c r="E2515" t="s">
        <v>2760</v>
      </c>
      <c r="F2515" t="s">
        <v>2761</v>
      </c>
      <c r="G2515" t="s">
        <v>935</v>
      </c>
      <c r="H2515" t="s">
        <v>869</v>
      </c>
      <c r="I2515" t="s">
        <v>807</v>
      </c>
      <c r="J2515" t="s">
        <v>724</v>
      </c>
      <c r="K2515" t="s">
        <v>55</v>
      </c>
      <c r="L2515">
        <v>209.88</v>
      </c>
      <c r="M2515" s="1">
        <v>45728</v>
      </c>
      <c r="N2515" t="s">
        <v>34</v>
      </c>
      <c r="O2515">
        <v>12</v>
      </c>
      <c r="P2515">
        <v>3</v>
      </c>
      <c r="Q2515">
        <v>1</v>
      </c>
      <c r="R2515">
        <v>2025</v>
      </c>
    </row>
    <row r="2516" spans="1:18">
      <c r="A2516">
        <v>406.86</v>
      </c>
      <c r="B2516">
        <v>2</v>
      </c>
      <c r="C2516">
        <v>2515</v>
      </c>
      <c r="D2516" s="2">
        <v>0.31216480324074075</v>
      </c>
      <c r="E2516" t="s">
        <v>3137</v>
      </c>
      <c r="F2516" t="s">
        <v>3138</v>
      </c>
      <c r="G2516" t="s">
        <v>2383</v>
      </c>
      <c r="H2516" t="s">
        <v>3139</v>
      </c>
      <c r="I2516" t="s">
        <v>908</v>
      </c>
      <c r="J2516" t="s">
        <v>128</v>
      </c>
      <c r="K2516" t="s">
        <v>55</v>
      </c>
      <c r="L2516">
        <v>203.43</v>
      </c>
      <c r="M2516" s="1">
        <v>45923</v>
      </c>
      <c r="N2516" t="s">
        <v>48</v>
      </c>
      <c r="O2516">
        <v>23</v>
      </c>
      <c r="P2516">
        <v>9</v>
      </c>
      <c r="Q2516">
        <v>3</v>
      </c>
      <c r="R2516">
        <v>2025</v>
      </c>
    </row>
    <row r="2517" spans="1:18">
      <c r="A2517">
        <v>43.86</v>
      </c>
      <c r="B2517">
        <v>2</v>
      </c>
      <c r="C2517">
        <v>2516</v>
      </c>
      <c r="D2517" s="2">
        <v>0.27904217592592595</v>
      </c>
      <c r="E2517" t="s">
        <v>2028</v>
      </c>
      <c r="F2517" t="s">
        <v>2029</v>
      </c>
      <c r="G2517" t="s">
        <v>2030</v>
      </c>
      <c r="H2517" t="s">
        <v>1002</v>
      </c>
      <c r="I2517" t="s">
        <v>892</v>
      </c>
      <c r="J2517" t="s">
        <v>445</v>
      </c>
      <c r="K2517" t="s">
        <v>60</v>
      </c>
      <c r="L2517">
        <v>21.93</v>
      </c>
      <c r="M2517" s="1">
        <v>46152</v>
      </c>
      <c r="N2517" t="s">
        <v>28</v>
      </c>
      <c r="O2517">
        <v>10</v>
      </c>
      <c r="P2517">
        <v>5</v>
      </c>
      <c r="Q2517">
        <v>2</v>
      </c>
      <c r="R2517">
        <v>2026</v>
      </c>
    </row>
    <row r="2518" spans="1:18">
      <c r="A2518">
        <v>162.15</v>
      </c>
      <c r="B2518">
        <v>5</v>
      </c>
      <c r="C2518">
        <v>2517</v>
      </c>
      <c r="D2518" s="2">
        <v>0.66505765046296295</v>
      </c>
      <c r="E2518" t="s">
        <v>2819</v>
      </c>
      <c r="F2518" t="s">
        <v>2820</v>
      </c>
      <c r="G2518" t="s">
        <v>1619</v>
      </c>
      <c r="H2518" t="s">
        <v>1032</v>
      </c>
      <c r="I2518" t="s">
        <v>839</v>
      </c>
      <c r="J2518" t="s">
        <v>77</v>
      </c>
      <c r="K2518" t="s">
        <v>17</v>
      </c>
      <c r="L2518">
        <v>32.43</v>
      </c>
      <c r="M2518" s="1">
        <v>45667</v>
      </c>
      <c r="N2518" t="s">
        <v>79</v>
      </c>
      <c r="O2518">
        <v>10</v>
      </c>
      <c r="P2518">
        <v>1</v>
      </c>
      <c r="Q2518">
        <v>1</v>
      </c>
      <c r="R2518">
        <v>2025</v>
      </c>
    </row>
    <row r="2519" spans="1:18">
      <c r="A2519">
        <v>1119.0999999999999</v>
      </c>
      <c r="B2519">
        <v>5</v>
      </c>
      <c r="C2519">
        <v>2518</v>
      </c>
      <c r="D2519" s="2">
        <v>1.0954513888888889E-2</v>
      </c>
      <c r="E2519" t="s">
        <v>1748</v>
      </c>
      <c r="F2519" t="s">
        <v>1749</v>
      </c>
      <c r="G2519" t="s">
        <v>766</v>
      </c>
      <c r="H2519" t="s">
        <v>980</v>
      </c>
      <c r="I2519" t="s">
        <v>981</v>
      </c>
      <c r="J2519" t="s">
        <v>588</v>
      </c>
      <c r="K2519" t="s">
        <v>82</v>
      </c>
      <c r="L2519">
        <v>223.82</v>
      </c>
      <c r="M2519" s="1">
        <v>46164</v>
      </c>
      <c r="N2519" t="s">
        <v>79</v>
      </c>
      <c r="O2519">
        <v>22</v>
      </c>
      <c r="P2519">
        <v>5</v>
      </c>
      <c r="Q2519">
        <v>2</v>
      </c>
      <c r="R2519">
        <v>2026</v>
      </c>
    </row>
    <row r="2520" spans="1:18">
      <c r="A2520">
        <v>104.12</v>
      </c>
      <c r="B2520">
        <v>1</v>
      </c>
      <c r="C2520">
        <v>2519</v>
      </c>
      <c r="D2520" s="2">
        <v>0.35348587962962963</v>
      </c>
      <c r="E2520" t="s">
        <v>1863</v>
      </c>
      <c r="F2520" t="s">
        <v>1864</v>
      </c>
      <c r="G2520" t="s">
        <v>1865</v>
      </c>
      <c r="H2520" t="s">
        <v>1168</v>
      </c>
      <c r="I2520" t="s">
        <v>758</v>
      </c>
      <c r="J2520" t="s">
        <v>620</v>
      </c>
      <c r="K2520" t="s">
        <v>21</v>
      </c>
      <c r="L2520">
        <v>104.12</v>
      </c>
      <c r="M2520" s="1">
        <v>45849</v>
      </c>
      <c r="N2520" t="s">
        <v>79</v>
      </c>
      <c r="O2520">
        <v>11</v>
      </c>
      <c r="P2520">
        <v>7</v>
      </c>
      <c r="Q2520">
        <v>3</v>
      </c>
      <c r="R2520">
        <v>2025</v>
      </c>
    </row>
    <row r="2521" spans="1:18">
      <c r="A2521">
        <v>105.39999999999999</v>
      </c>
      <c r="B2521">
        <v>5</v>
      </c>
      <c r="C2521">
        <v>2520</v>
      </c>
      <c r="D2521" s="2">
        <v>0.52992809027777776</v>
      </c>
      <c r="E2521" t="s">
        <v>3104</v>
      </c>
      <c r="F2521" t="s">
        <v>3105</v>
      </c>
      <c r="G2521" t="s">
        <v>1791</v>
      </c>
      <c r="H2521" t="s">
        <v>1342</v>
      </c>
      <c r="I2521" t="s">
        <v>776</v>
      </c>
      <c r="J2521" t="s">
        <v>223</v>
      </c>
      <c r="K2521" t="s">
        <v>19</v>
      </c>
      <c r="L2521">
        <v>21.08</v>
      </c>
      <c r="M2521" s="1">
        <v>45801</v>
      </c>
      <c r="N2521" t="s">
        <v>14</v>
      </c>
      <c r="O2521">
        <v>24</v>
      </c>
      <c r="P2521">
        <v>5</v>
      </c>
      <c r="Q2521">
        <v>2</v>
      </c>
      <c r="R2521">
        <v>2025</v>
      </c>
    </row>
    <row r="2522" spans="1:18">
      <c r="A2522">
        <v>28.01</v>
      </c>
      <c r="B2522">
        <v>1</v>
      </c>
      <c r="C2522">
        <v>2521</v>
      </c>
      <c r="D2522" s="2">
        <v>0.38657319444444443</v>
      </c>
      <c r="E2522" t="s">
        <v>3246</v>
      </c>
      <c r="F2522" t="s">
        <v>3247</v>
      </c>
      <c r="G2522" t="s">
        <v>1192</v>
      </c>
      <c r="H2522" t="s">
        <v>29</v>
      </c>
      <c r="I2522" t="s">
        <v>821</v>
      </c>
      <c r="J2522" t="s">
        <v>463</v>
      </c>
      <c r="K2522" t="s">
        <v>43</v>
      </c>
      <c r="L2522">
        <v>28.01</v>
      </c>
      <c r="M2522" s="1">
        <v>45819</v>
      </c>
      <c r="N2522" t="s">
        <v>34</v>
      </c>
      <c r="O2522">
        <v>11</v>
      </c>
      <c r="P2522">
        <v>6</v>
      </c>
      <c r="Q2522">
        <v>2</v>
      </c>
      <c r="R2522">
        <v>2025</v>
      </c>
    </row>
    <row r="2523" spans="1:18">
      <c r="A2523">
        <v>1188.1500000000001</v>
      </c>
      <c r="B2523">
        <v>5</v>
      </c>
      <c r="C2523">
        <v>2522</v>
      </c>
      <c r="D2523" s="2">
        <v>0.5207279398148148</v>
      </c>
      <c r="E2523" t="s">
        <v>3036</v>
      </c>
      <c r="F2523" t="s">
        <v>3037</v>
      </c>
      <c r="G2523" t="s">
        <v>1110</v>
      </c>
      <c r="H2523" t="s">
        <v>1061</v>
      </c>
      <c r="I2523" t="s">
        <v>834</v>
      </c>
      <c r="J2523" t="s">
        <v>375</v>
      </c>
      <c r="K2523" t="s">
        <v>31</v>
      </c>
      <c r="L2523">
        <v>237.63</v>
      </c>
      <c r="M2523" s="1">
        <v>45588</v>
      </c>
      <c r="N2523" t="s">
        <v>34</v>
      </c>
      <c r="O2523">
        <v>23</v>
      </c>
      <c r="P2523">
        <v>10</v>
      </c>
      <c r="Q2523">
        <v>4</v>
      </c>
      <c r="R2523">
        <v>2024</v>
      </c>
    </row>
    <row r="2524" spans="1:18">
      <c r="A2524">
        <v>232.41</v>
      </c>
      <c r="B2524">
        <v>3</v>
      </c>
      <c r="C2524">
        <v>2523</v>
      </c>
      <c r="D2524" s="2">
        <v>0.31047505787037039</v>
      </c>
      <c r="E2524" t="s">
        <v>2329</v>
      </c>
      <c r="F2524" t="s">
        <v>2330</v>
      </c>
      <c r="G2524" t="s">
        <v>2331</v>
      </c>
      <c r="H2524" t="s">
        <v>2332</v>
      </c>
      <c r="I2524" t="s">
        <v>1003</v>
      </c>
      <c r="J2524" t="s">
        <v>638</v>
      </c>
      <c r="K2524" t="s">
        <v>100</v>
      </c>
      <c r="L2524">
        <v>77.47</v>
      </c>
      <c r="M2524" s="1">
        <v>46005</v>
      </c>
      <c r="N2524" t="s">
        <v>28</v>
      </c>
      <c r="O2524">
        <v>14</v>
      </c>
      <c r="P2524">
        <v>12</v>
      </c>
      <c r="Q2524">
        <v>4</v>
      </c>
      <c r="R2524">
        <v>2025</v>
      </c>
    </row>
    <row r="2525" spans="1:18">
      <c r="A2525">
        <v>476.61</v>
      </c>
      <c r="B2525">
        <v>3</v>
      </c>
      <c r="C2525">
        <v>2524</v>
      </c>
      <c r="D2525" s="2">
        <v>0.68575589120370373</v>
      </c>
      <c r="E2525" t="s">
        <v>1141</v>
      </c>
      <c r="F2525" t="s">
        <v>1142</v>
      </c>
      <c r="G2525" t="s">
        <v>1143</v>
      </c>
      <c r="H2525" t="s">
        <v>862</v>
      </c>
      <c r="I2525" t="s">
        <v>908</v>
      </c>
      <c r="J2525" t="s">
        <v>332</v>
      </c>
      <c r="K2525" t="s">
        <v>55</v>
      </c>
      <c r="L2525">
        <v>158.87</v>
      </c>
      <c r="M2525" s="1">
        <v>45906</v>
      </c>
      <c r="N2525" t="s">
        <v>14</v>
      </c>
      <c r="O2525">
        <v>6</v>
      </c>
      <c r="P2525">
        <v>9</v>
      </c>
      <c r="Q2525">
        <v>3</v>
      </c>
      <c r="R2525">
        <v>2025</v>
      </c>
    </row>
    <row r="2526" spans="1:18">
      <c r="A2526">
        <v>130.28</v>
      </c>
      <c r="B2526">
        <v>4</v>
      </c>
      <c r="C2526">
        <v>2525</v>
      </c>
      <c r="D2526" s="2">
        <v>0.75498759259259263</v>
      </c>
      <c r="E2526" t="s">
        <v>1804</v>
      </c>
      <c r="F2526" t="s">
        <v>1805</v>
      </c>
      <c r="G2526" t="s">
        <v>1127</v>
      </c>
      <c r="H2526" t="s">
        <v>15</v>
      </c>
      <c r="I2526" t="s">
        <v>834</v>
      </c>
      <c r="J2526" t="s">
        <v>258</v>
      </c>
      <c r="K2526" t="s">
        <v>57</v>
      </c>
      <c r="L2526">
        <v>32.57</v>
      </c>
      <c r="M2526" s="1">
        <v>46162</v>
      </c>
      <c r="N2526" t="s">
        <v>34</v>
      </c>
      <c r="O2526">
        <v>20</v>
      </c>
      <c r="P2526">
        <v>5</v>
      </c>
      <c r="Q2526">
        <v>2</v>
      </c>
      <c r="R2526">
        <v>2026</v>
      </c>
    </row>
    <row r="2527" spans="1:18">
      <c r="A2527">
        <v>202.98</v>
      </c>
      <c r="B2527">
        <v>3</v>
      </c>
      <c r="C2527">
        <v>2526</v>
      </c>
      <c r="D2527" s="2">
        <v>0.92787410879629628</v>
      </c>
      <c r="E2527" t="s">
        <v>2435</v>
      </c>
      <c r="F2527" t="s">
        <v>2436</v>
      </c>
      <c r="G2527" t="s">
        <v>1295</v>
      </c>
      <c r="H2527" t="s">
        <v>280</v>
      </c>
      <c r="I2527" t="s">
        <v>786</v>
      </c>
      <c r="J2527" t="s">
        <v>2624</v>
      </c>
      <c r="K2527" t="s">
        <v>82</v>
      </c>
      <c r="L2527">
        <v>67.66</v>
      </c>
      <c r="M2527" s="1">
        <v>45774</v>
      </c>
      <c r="N2527" t="s">
        <v>28</v>
      </c>
      <c r="O2527">
        <v>27</v>
      </c>
      <c r="P2527">
        <v>4</v>
      </c>
      <c r="Q2527">
        <v>2</v>
      </c>
      <c r="R2527">
        <v>2025</v>
      </c>
    </row>
    <row r="2528" spans="1:18">
      <c r="A2528">
        <v>632.84999999999991</v>
      </c>
      <c r="B2528">
        <v>5</v>
      </c>
      <c r="C2528">
        <v>2527</v>
      </c>
      <c r="D2528" s="2">
        <v>0.92560734953703705</v>
      </c>
      <c r="E2528" t="s">
        <v>1150</v>
      </c>
      <c r="F2528" t="s">
        <v>1151</v>
      </c>
      <c r="G2528" t="s">
        <v>1152</v>
      </c>
      <c r="H2528" t="s">
        <v>843</v>
      </c>
      <c r="I2528" t="s">
        <v>753</v>
      </c>
      <c r="J2528" t="s">
        <v>367</v>
      </c>
      <c r="K2528" t="s">
        <v>31</v>
      </c>
      <c r="L2528">
        <v>126.57</v>
      </c>
      <c r="M2528" s="1">
        <v>46272</v>
      </c>
      <c r="N2528" t="s">
        <v>93</v>
      </c>
      <c r="O2528">
        <v>7</v>
      </c>
      <c r="P2528">
        <v>9</v>
      </c>
      <c r="Q2528">
        <v>3</v>
      </c>
      <c r="R2528">
        <v>2026</v>
      </c>
    </row>
    <row r="2529" spans="1:18">
      <c r="A2529">
        <v>980.04</v>
      </c>
      <c r="B2529">
        <v>4</v>
      </c>
      <c r="C2529">
        <v>2528</v>
      </c>
      <c r="D2529" s="2">
        <v>0.96271245370370373</v>
      </c>
      <c r="E2529" t="s">
        <v>1787</v>
      </c>
      <c r="F2529" t="s">
        <v>1788</v>
      </c>
      <c r="G2529" t="s">
        <v>1162</v>
      </c>
      <c r="H2529" t="s">
        <v>767</v>
      </c>
      <c r="I2529" t="s">
        <v>768</v>
      </c>
      <c r="J2529" t="s">
        <v>53</v>
      </c>
      <c r="K2529" t="s">
        <v>43</v>
      </c>
      <c r="L2529">
        <v>245.01</v>
      </c>
      <c r="M2529" s="1">
        <v>45840</v>
      </c>
      <c r="N2529" t="s">
        <v>34</v>
      </c>
      <c r="O2529">
        <v>2</v>
      </c>
      <c r="P2529">
        <v>7</v>
      </c>
      <c r="Q2529">
        <v>3</v>
      </c>
      <c r="R2529">
        <v>2025</v>
      </c>
    </row>
    <row r="2530" spans="1:18">
      <c r="A2530">
        <v>263.09999999999997</v>
      </c>
      <c r="B2530">
        <v>5</v>
      </c>
      <c r="C2530">
        <v>2529</v>
      </c>
      <c r="D2530" s="2">
        <v>0.46115100694444444</v>
      </c>
      <c r="E2530" t="s">
        <v>2727</v>
      </c>
      <c r="F2530" t="s">
        <v>2728</v>
      </c>
      <c r="G2530" t="s">
        <v>1619</v>
      </c>
      <c r="H2530" t="s">
        <v>816</v>
      </c>
      <c r="I2530" t="s">
        <v>817</v>
      </c>
      <c r="J2530" t="s">
        <v>270</v>
      </c>
      <c r="K2530" t="s">
        <v>55</v>
      </c>
      <c r="L2530">
        <v>52.62</v>
      </c>
      <c r="M2530" s="1">
        <v>45898</v>
      </c>
      <c r="N2530" t="s">
        <v>79</v>
      </c>
      <c r="O2530">
        <v>29</v>
      </c>
      <c r="P2530">
        <v>8</v>
      </c>
      <c r="Q2530">
        <v>3</v>
      </c>
      <c r="R2530">
        <v>2025</v>
      </c>
    </row>
    <row r="2531" spans="1:18">
      <c r="A2531">
        <v>37.1</v>
      </c>
      <c r="B2531">
        <v>5</v>
      </c>
      <c r="C2531">
        <v>2530</v>
      </c>
      <c r="D2531" s="2">
        <v>0.62975057870370366</v>
      </c>
      <c r="E2531" t="s">
        <v>1655</v>
      </c>
      <c r="F2531" t="s">
        <v>1656</v>
      </c>
      <c r="G2531" t="s">
        <v>1657</v>
      </c>
      <c r="H2531" t="s">
        <v>199</v>
      </c>
      <c r="I2531" t="s">
        <v>781</v>
      </c>
      <c r="J2531" t="s">
        <v>194</v>
      </c>
      <c r="K2531" t="s">
        <v>39</v>
      </c>
      <c r="L2531">
        <v>7.42</v>
      </c>
      <c r="M2531" s="1">
        <v>45616</v>
      </c>
      <c r="N2531" t="s">
        <v>34</v>
      </c>
      <c r="O2531">
        <v>20</v>
      </c>
      <c r="P2531">
        <v>11</v>
      </c>
      <c r="Q2531">
        <v>4</v>
      </c>
      <c r="R2531">
        <v>2024</v>
      </c>
    </row>
    <row r="2532" spans="1:18">
      <c r="A2532">
        <v>777.6</v>
      </c>
      <c r="B2532">
        <v>5</v>
      </c>
      <c r="C2532">
        <v>2531</v>
      </c>
      <c r="D2532" s="2">
        <v>0.40525564814814813</v>
      </c>
      <c r="E2532" t="s">
        <v>2803</v>
      </c>
      <c r="F2532" t="s">
        <v>2804</v>
      </c>
      <c r="G2532" t="s">
        <v>1965</v>
      </c>
      <c r="H2532" t="s">
        <v>1811</v>
      </c>
      <c r="I2532" t="s">
        <v>892</v>
      </c>
      <c r="J2532" t="s">
        <v>473</v>
      </c>
      <c r="K2532" t="s">
        <v>23</v>
      </c>
      <c r="L2532">
        <v>155.52000000000001</v>
      </c>
      <c r="M2532" s="1">
        <v>45835</v>
      </c>
      <c r="N2532" t="s">
        <v>79</v>
      </c>
      <c r="O2532">
        <v>27</v>
      </c>
      <c r="P2532">
        <v>6</v>
      </c>
      <c r="Q2532">
        <v>2</v>
      </c>
      <c r="R2532">
        <v>2025</v>
      </c>
    </row>
    <row r="2533" spans="1:18">
      <c r="A2533">
        <v>131.25</v>
      </c>
      <c r="B2533">
        <v>3</v>
      </c>
      <c r="C2533">
        <v>2532</v>
      </c>
      <c r="D2533" s="2">
        <v>0.9280070601851852</v>
      </c>
      <c r="E2533" t="s">
        <v>1486</v>
      </c>
      <c r="F2533" t="s">
        <v>1487</v>
      </c>
      <c r="G2533" t="s">
        <v>1042</v>
      </c>
      <c r="H2533" t="s">
        <v>196</v>
      </c>
      <c r="I2533" t="s">
        <v>830</v>
      </c>
      <c r="J2533" t="s">
        <v>386</v>
      </c>
      <c r="K2533" t="s">
        <v>21</v>
      </c>
      <c r="L2533">
        <v>43.75</v>
      </c>
      <c r="M2533" s="1">
        <v>45921</v>
      </c>
      <c r="N2533" t="s">
        <v>28</v>
      </c>
      <c r="O2533">
        <v>21</v>
      </c>
      <c r="P2533">
        <v>9</v>
      </c>
      <c r="Q2533">
        <v>3</v>
      </c>
      <c r="R2533">
        <v>2025</v>
      </c>
    </row>
    <row r="2534" spans="1:18">
      <c r="A2534">
        <v>976.96</v>
      </c>
      <c r="B2534">
        <v>4</v>
      </c>
      <c r="C2534">
        <v>2533</v>
      </c>
      <c r="D2534" s="2">
        <v>0.29498327546296299</v>
      </c>
      <c r="E2534" t="s">
        <v>3435</v>
      </c>
      <c r="F2534" t="s">
        <v>3436</v>
      </c>
      <c r="G2534" t="s">
        <v>1216</v>
      </c>
      <c r="H2534" t="s">
        <v>942</v>
      </c>
      <c r="I2534" t="s">
        <v>943</v>
      </c>
      <c r="J2534" t="s">
        <v>61</v>
      </c>
      <c r="K2534" t="s">
        <v>55</v>
      </c>
      <c r="L2534">
        <v>244.24</v>
      </c>
      <c r="M2534" s="1">
        <v>45573</v>
      </c>
      <c r="N2534" t="s">
        <v>48</v>
      </c>
      <c r="O2534">
        <v>8</v>
      </c>
      <c r="P2534">
        <v>10</v>
      </c>
      <c r="Q2534">
        <v>4</v>
      </c>
      <c r="R2534">
        <v>2024</v>
      </c>
    </row>
    <row r="2535" spans="1:18">
      <c r="A2535">
        <v>569.79999999999995</v>
      </c>
      <c r="B2535">
        <v>5</v>
      </c>
      <c r="C2535">
        <v>2534</v>
      </c>
      <c r="D2535" s="2">
        <v>0.77709113425925924</v>
      </c>
      <c r="E2535" t="s">
        <v>2355</v>
      </c>
      <c r="F2535" t="s">
        <v>2356</v>
      </c>
      <c r="G2535" t="s">
        <v>2306</v>
      </c>
      <c r="H2535" t="s">
        <v>757</v>
      </c>
      <c r="I2535" t="s">
        <v>758</v>
      </c>
      <c r="J2535" t="s">
        <v>18</v>
      </c>
      <c r="K2535" t="s">
        <v>19</v>
      </c>
      <c r="L2535">
        <v>113.96</v>
      </c>
      <c r="M2535" s="1">
        <v>46220</v>
      </c>
      <c r="N2535" t="s">
        <v>79</v>
      </c>
      <c r="O2535">
        <v>17</v>
      </c>
      <c r="P2535">
        <v>7</v>
      </c>
      <c r="Q2535">
        <v>3</v>
      </c>
      <c r="R2535">
        <v>2026</v>
      </c>
    </row>
    <row r="2536" spans="1:18">
      <c r="A2536">
        <v>383.38</v>
      </c>
      <c r="B2536">
        <v>2</v>
      </c>
      <c r="C2536">
        <v>2535</v>
      </c>
      <c r="D2536" s="2">
        <v>0.8674545023148148</v>
      </c>
      <c r="E2536" t="s">
        <v>3381</v>
      </c>
      <c r="F2536" t="s">
        <v>3382</v>
      </c>
      <c r="G2536" t="s">
        <v>1844</v>
      </c>
      <c r="H2536" t="s">
        <v>666</v>
      </c>
      <c r="I2536" t="s">
        <v>954</v>
      </c>
      <c r="J2536" t="s">
        <v>186</v>
      </c>
      <c r="K2536" t="s">
        <v>37</v>
      </c>
      <c r="L2536">
        <v>191.69</v>
      </c>
      <c r="M2536" s="1">
        <v>45806</v>
      </c>
      <c r="N2536" t="s">
        <v>105</v>
      </c>
      <c r="O2536">
        <v>29</v>
      </c>
      <c r="P2536">
        <v>5</v>
      </c>
      <c r="Q2536">
        <v>2</v>
      </c>
      <c r="R2536">
        <v>2025</v>
      </c>
    </row>
    <row r="2537" spans="1:18">
      <c r="A2537">
        <v>651.80000000000007</v>
      </c>
      <c r="B2537">
        <v>5</v>
      </c>
      <c r="C2537">
        <v>2536</v>
      </c>
      <c r="D2537" s="2">
        <v>0.23065630787037036</v>
      </c>
      <c r="E2537" t="s">
        <v>2244</v>
      </c>
      <c r="F2537" t="s">
        <v>2245</v>
      </c>
      <c r="G2537" t="s">
        <v>2246</v>
      </c>
      <c r="H2537" t="s">
        <v>2247</v>
      </c>
      <c r="I2537" t="s">
        <v>781</v>
      </c>
      <c r="J2537" t="s">
        <v>118</v>
      </c>
      <c r="K2537" t="s">
        <v>31</v>
      </c>
      <c r="L2537">
        <v>130.36000000000001</v>
      </c>
      <c r="M2537" s="1">
        <v>46002</v>
      </c>
      <c r="N2537" t="s">
        <v>105</v>
      </c>
      <c r="O2537">
        <v>11</v>
      </c>
      <c r="P2537">
        <v>12</v>
      </c>
      <c r="Q2537">
        <v>4</v>
      </c>
      <c r="R2537">
        <v>2025</v>
      </c>
    </row>
    <row r="2538" spans="1:18">
      <c r="A2538">
        <v>610.90000000000009</v>
      </c>
      <c r="B2538">
        <v>5</v>
      </c>
      <c r="C2538">
        <v>2537</v>
      </c>
      <c r="D2538" s="2">
        <v>0.37483024305555557</v>
      </c>
      <c r="E2538" t="s">
        <v>1912</v>
      </c>
      <c r="F2538" t="s">
        <v>1913</v>
      </c>
      <c r="G2538" t="s">
        <v>1565</v>
      </c>
      <c r="H2538" t="s">
        <v>806</v>
      </c>
      <c r="I2538" t="s">
        <v>807</v>
      </c>
      <c r="J2538" t="s">
        <v>433</v>
      </c>
      <c r="K2538" t="s">
        <v>100</v>
      </c>
      <c r="L2538">
        <v>122.18</v>
      </c>
      <c r="M2538" s="1">
        <v>45882</v>
      </c>
      <c r="N2538" t="s">
        <v>34</v>
      </c>
      <c r="O2538">
        <v>13</v>
      </c>
      <c r="P2538">
        <v>8</v>
      </c>
      <c r="Q2538">
        <v>3</v>
      </c>
      <c r="R2538">
        <v>2025</v>
      </c>
    </row>
    <row r="2539" spans="1:18">
      <c r="A2539">
        <v>185.67</v>
      </c>
      <c r="B2539">
        <v>1</v>
      </c>
      <c r="C2539">
        <v>2538</v>
      </c>
      <c r="D2539" s="2">
        <v>0.85318788194444439</v>
      </c>
      <c r="E2539" t="s">
        <v>1799</v>
      </c>
      <c r="F2539" t="s">
        <v>1800</v>
      </c>
      <c r="G2539" t="s">
        <v>1801</v>
      </c>
      <c r="H2539" t="s">
        <v>883</v>
      </c>
      <c r="I2539" t="s">
        <v>807</v>
      </c>
      <c r="J2539" t="s">
        <v>720</v>
      </c>
      <c r="K2539" t="s">
        <v>100</v>
      </c>
      <c r="L2539">
        <v>185.67</v>
      </c>
      <c r="M2539" s="1">
        <v>46061</v>
      </c>
      <c r="N2539" t="s">
        <v>28</v>
      </c>
      <c r="O2539">
        <v>8</v>
      </c>
      <c r="P2539">
        <v>2</v>
      </c>
      <c r="Q2539">
        <v>1</v>
      </c>
      <c r="R2539">
        <v>2026</v>
      </c>
    </row>
    <row r="2540" spans="1:18">
      <c r="A2540">
        <v>206.84</v>
      </c>
      <c r="B2540">
        <v>1</v>
      </c>
      <c r="C2540">
        <v>2539</v>
      </c>
      <c r="D2540" s="2">
        <v>0.50377649305555561</v>
      </c>
      <c r="E2540" t="s">
        <v>2575</v>
      </c>
      <c r="F2540" t="s">
        <v>2576</v>
      </c>
      <c r="G2540" t="s">
        <v>875</v>
      </c>
      <c r="H2540" t="s">
        <v>907</v>
      </c>
      <c r="I2540" t="s">
        <v>908</v>
      </c>
      <c r="J2540" t="s">
        <v>192</v>
      </c>
      <c r="K2540" t="s">
        <v>46</v>
      </c>
      <c r="L2540">
        <v>206.84</v>
      </c>
      <c r="M2540" s="1">
        <v>45992</v>
      </c>
      <c r="N2540" t="s">
        <v>93</v>
      </c>
      <c r="O2540">
        <v>1</v>
      </c>
      <c r="P2540">
        <v>12</v>
      </c>
      <c r="Q2540">
        <v>4</v>
      </c>
      <c r="R2540">
        <v>2025</v>
      </c>
    </row>
    <row r="2541" spans="1:18">
      <c r="A2541">
        <v>19.02</v>
      </c>
      <c r="B2541">
        <v>2</v>
      </c>
      <c r="C2541">
        <v>2540</v>
      </c>
      <c r="D2541" s="2">
        <v>0.95139476851851856</v>
      </c>
      <c r="E2541" t="s">
        <v>2815</v>
      </c>
      <c r="F2541" t="s">
        <v>2816</v>
      </c>
      <c r="G2541" t="s">
        <v>1909</v>
      </c>
      <c r="H2541" t="s">
        <v>802</v>
      </c>
      <c r="I2541" t="s">
        <v>748</v>
      </c>
      <c r="J2541" t="s">
        <v>727</v>
      </c>
      <c r="K2541" t="s">
        <v>97</v>
      </c>
      <c r="L2541">
        <v>9.51</v>
      </c>
      <c r="M2541" s="1">
        <v>46145</v>
      </c>
      <c r="N2541" t="s">
        <v>28</v>
      </c>
      <c r="O2541">
        <v>3</v>
      </c>
      <c r="P2541">
        <v>5</v>
      </c>
      <c r="Q2541">
        <v>2</v>
      </c>
      <c r="R2541">
        <v>2026</v>
      </c>
    </row>
    <row r="2542" spans="1:18">
      <c r="A2542">
        <v>233.44</v>
      </c>
      <c r="B2542">
        <v>2</v>
      </c>
      <c r="C2542">
        <v>2541</v>
      </c>
      <c r="D2542" s="2">
        <v>0.13031471064814815</v>
      </c>
      <c r="E2542" t="s">
        <v>1918</v>
      </c>
      <c r="F2542" t="s">
        <v>1919</v>
      </c>
      <c r="G2542" t="s">
        <v>935</v>
      </c>
      <c r="H2542" t="s">
        <v>1920</v>
      </c>
      <c r="I2542" t="s">
        <v>807</v>
      </c>
      <c r="J2542" t="s">
        <v>500</v>
      </c>
      <c r="K2542" t="s">
        <v>27</v>
      </c>
      <c r="L2542">
        <v>116.72</v>
      </c>
      <c r="M2542" s="1">
        <v>45842</v>
      </c>
      <c r="N2542" t="s">
        <v>79</v>
      </c>
      <c r="O2542">
        <v>4</v>
      </c>
      <c r="P2542">
        <v>7</v>
      </c>
      <c r="Q2542">
        <v>3</v>
      </c>
      <c r="R2542">
        <v>2025</v>
      </c>
    </row>
    <row r="2543" spans="1:18">
      <c r="A2543">
        <v>109.22999999999999</v>
      </c>
      <c r="B2543">
        <v>3</v>
      </c>
      <c r="C2543">
        <v>2542</v>
      </c>
      <c r="D2543" s="2">
        <v>0.63619039351851847</v>
      </c>
      <c r="E2543" t="s">
        <v>1322</v>
      </c>
      <c r="F2543" t="s">
        <v>1323</v>
      </c>
      <c r="G2543" t="s">
        <v>1324</v>
      </c>
      <c r="H2543" t="s">
        <v>29</v>
      </c>
      <c r="I2543" t="s">
        <v>821</v>
      </c>
      <c r="J2543" t="s">
        <v>607</v>
      </c>
      <c r="K2543" t="s">
        <v>43</v>
      </c>
      <c r="L2543">
        <v>36.409999999999997</v>
      </c>
      <c r="M2543" s="1">
        <v>46270</v>
      </c>
      <c r="N2543" t="s">
        <v>14</v>
      </c>
      <c r="O2543">
        <v>5</v>
      </c>
      <c r="P2543">
        <v>9</v>
      </c>
      <c r="Q2543">
        <v>3</v>
      </c>
      <c r="R2543">
        <v>2026</v>
      </c>
    </row>
    <row r="2544" spans="1:18">
      <c r="A2544">
        <v>76.760000000000005</v>
      </c>
      <c r="B2544">
        <v>4</v>
      </c>
      <c r="C2544">
        <v>2543</v>
      </c>
      <c r="D2544" s="2">
        <v>0.71486398148148145</v>
      </c>
      <c r="E2544" t="s">
        <v>1378</v>
      </c>
      <c r="F2544" t="s">
        <v>1379</v>
      </c>
      <c r="G2544" t="s">
        <v>1380</v>
      </c>
      <c r="H2544" t="s">
        <v>757</v>
      </c>
      <c r="I2544" t="s">
        <v>758</v>
      </c>
      <c r="J2544" t="s">
        <v>71</v>
      </c>
      <c r="K2544" t="s">
        <v>23</v>
      </c>
      <c r="L2544">
        <v>19.190000000000001</v>
      </c>
      <c r="M2544" s="1">
        <v>45859</v>
      </c>
      <c r="N2544" t="s">
        <v>93</v>
      </c>
      <c r="O2544">
        <v>21</v>
      </c>
      <c r="P2544">
        <v>7</v>
      </c>
      <c r="Q2544">
        <v>3</v>
      </c>
      <c r="R2544">
        <v>2025</v>
      </c>
    </row>
    <row r="2545" spans="1:18">
      <c r="A2545">
        <v>729.04</v>
      </c>
      <c r="B2545">
        <v>4</v>
      </c>
      <c r="C2545">
        <v>2544</v>
      </c>
      <c r="D2545" s="2">
        <v>0.90136471064814816</v>
      </c>
      <c r="E2545" t="s">
        <v>2207</v>
      </c>
      <c r="F2545" t="s">
        <v>2208</v>
      </c>
      <c r="G2545" t="s">
        <v>1854</v>
      </c>
      <c r="H2545" t="s">
        <v>1920</v>
      </c>
      <c r="I2545" t="s">
        <v>807</v>
      </c>
      <c r="J2545" t="s">
        <v>378</v>
      </c>
      <c r="K2545" t="s">
        <v>57</v>
      </c>
      <c r="L2545">
        <v>182.26</v>
      </c>
      <c r="M2545" s="1">
        <v>45613</v>
      </c>
      <c r="N2545" t="s">
        <v>28</v>
      </c>
      <c r="O2545">
        <v>17</v>
      </c>
      <c r="P2545">
        <v>11</v>
      </c>
      <c r="Q2545">
        <v>4</v>
      </c>
      <c r="R2545">
        <v>2024</v>
      </c>
    </row>
    <row r="2546" spans="1:18">
      <c r="A2546">
        <v>66.55</v>
      </c>
      <c r="B2546">
        <v>1</v>
      </c>
      <c r="C2546">
        <v>2545</v>
      </c>
      <c r="D2546" s="2">
        <v>0.86681646990740746</v>
      </c>
      <c r="E2546" t="s">
        <v>3053</v>
      </c>
      <c r="F2546" t="s">
        <v>3054</v>
      </c>
      <c r="G2546" t="s">
        <v>1455</v>
      </c>
      <c r="H2546" t="s">
        <v>767</v>
      </c>
      <c r="I2546" t="s">
        <v>768</v>
      </c>
      <c r="J2546" t="s">
        <v>452</v>
      </c>
      <c r="K2546" t="s">
        <v>69</v>
      </c>
      <c r="L2546">
        <v>66.55</v>
      </c>
      <c r="M2546" s="1">
        <v>46166</v>
      </c>
      <c r="N2546" t="s">
        <v>28</v>
      </c>
      <c r="O2546">
        <v>24</v>
      </c>
      <c r="P2546">
        <v>5</v>
      </c>
      <c r="Q2546">
        <v>2</v>
      </c>
      <c r="R2546">
        <v>2026</v>
      </c>
    </row>
    <row r="2547" spans="1:18">
      <c r="A2547">
        <v>852.84999999999991</v>
      </c>
      <c r="B2547">
        <v>5</v>
      </c>
      <c r="C2547">
        <v>2546</v>
      </c>
      <c r="D2547" s="2">
        <v>0.98205866898148153</v>
      </c>
      <c r="E2547" t="s">
        <v>2652</v>
      </c>
      <c r="F2547" t="s">
        <v>2486</v>
      </c>
      <c r="G2547" t="s">
        <v>1271</v>
      </c>
      <c r="H2547" t="s">
        <v>328</v>
      </c>
      <c r="I2547" t="s">
        <v>1003</v>
      </c>
      <c r="J2547" t="s">
        <v>482</v>
      </c>
      <c r="K2547" t="s">
        <v>82</v>
      </c>
      <c r="L2547">
        <v>170.57</v>
      </c>
      <c r="M2547" s="1">
        <v>46081</v>
      </c>
      <c r="N2547" t="s">
        <v>14</v>
      </c>
      <c r="O2547">
        <v>28</v>
      </c>
      <c r="P2547">
        <v>2</v>
      </c>
      <c r="Q2547">
        <v>1</v>
      </c>
      <c r="R2547">
        <v>2026</v>
      </c>
    </row>
    <row r="2548" spans="1:18">
      <c r="A2548">
        <v>747.36</v>
      </c>
      <c r="B2548">
        <v>3</v>
      </c>
      <c r="C2548">
        <v>2547</v>
      </c>
      <c r="D2548" s="2">
        <v>0.9594024884259259</v>
      </c>
      <c r="E2548" t="s">
        <v>3302</v>
      </c>
      <c r="F2548" t="s">
        <v>3303</v>
      </c>
      <c r="G2548" t="s">
        <v>1622</v>
      </c>
      <c r="H2548" t="s">
        <v>1302</v>
      </c>
      <c r="I2548" t="s">
        <v>786</v>
      </c>
      <c r="J2548" t="s">
        <v>65</v>
      </c>
      <c r="K2548" t="s">
        <v>60</v>
      </c>
      <c r="L2548">
        <v>249.12</v>
      </c>
      <c r="M2548" s="1">
        <v>46182</v>
      </c>
      <c r="N2548" t="s">
        <v>48</v>
      </c>
      <c r="O2548">
        <v>9</v>
      </c>
      <c r="P2548">
        <v>6</v>
      </c>
      <c r="Q2548">
        <v>2</v>
      </c>
      <c r="R2548">
        <v>2026</v>
      </c>
    </row>
    <row r="2549" spans="1:18">
      <c r="A2549">
        <v>521.44000000000005</v>
      </c>
      <c r="B2549">
        <v>4</v>
      </c>
      <c r="C2549">
        <v>2548</v>
      </c>
      <c r="D2549" s="2">
        <v>0.45470717592592591</v>
      </c>
      <c r="E2549" t="s">
        <v>2189</v>
      </c>
      <c r="F2549" t="s">
        <v>2190</v>
      </c>
      <c r="G2549" t="s">
        <v>2191</v>
      </c>
      <c r="H2549" t="s">
        <v>1410</v>
      </c>
      <c r="I2549" t="s">
        <v>812</v>
      </c>
      <c r="J2549" t="s">
        <v>118</v>
      </c>
      <c r="K2549" t="s">
        <v>31</v>
      </c>
      <c r="L2549">
        <v>130.36000000000001</v>
      </c>
      <c r="M2549" s="1">
        <v>46014</v>
      </c>
      <c r="N2549" t="s">
        <v>48</v>
      </c>
      <c r="O2549">
        <v>23</v>
      </c>
      <c r="P2549">
        <v>12</v>
      </c>
      <c r="Q2549">
        <v>4</v>
      </c>
      <c r="R2549">
        <v>2025</v>
      </c>
    </row>
    <row r="2550" spans="1:18">
      <c r="A2550">
        <v>350.56</v>
      </c>
      <c r="B2550">
        <v>4</v>
      </c>
      <c r="C2550">
        <v>2549</v>
      </c>
      <c r="D2550" s="2">
        <v>0.40644953703703701</v>
      </c>
      <c r="E2550" t="s">
        <v>2420</v>
      </c>
      <c r="F2550" t="s">
        <v>2421</v>
      </c>
      <c r="G2550" t="s">
        <v>1001</v>
      </c>
      <c r="H2550" t="s">
        <v>1254</v>
      </c>
      <c r="I2550" t="s">
        <v>781</v>
      </c>
      <c r="J2550" t="s">
        <v>561</v>
      </c>
      <c r="K2550" t="s">
        <v>17</v>
      </c>
      <c r="L2550">
        <v>87.64</v>
      </c>
      <c r="M2550" s="1">
        <v>45987</v>
      </c>
      <c r="N2550" t="s">
        <v>34</v>
      </c>
      <c r="O2550">
        <v>26</v>
      </c>
      <c r="P2550">
        <v>11</v>
      </c>
      <c r="Q2550">
        <v>4</v>
      </c>
      <c r="R2550">
        <v>2025</v>
      </c>
    </row>
    <row r="2551" spans="1:18">
      <c r="A2551">
        <v>557.55000000000007</v>
      </c>
      <c r="B2551">
        <v>5</v>
      </c>
      <c r="C2551">
        <v>2550</v>
      </c>
      <c r="D2551" s="2">
        <v>0.17452375000000001</v>
      </c>
      <c r="E2551" t="s">
        <v>3234</v>
      </c>
      <c r="F2551" t="s">
        <v>3235</v>
      </c>
      <c r="G2551" t="s">
        <v>1317</v>
      </c>
      <c r="H2551" t="s">
        <v>919</v>
      </c>
      <c r="I2551" t="s">
        <v>786</v>
      </c>
      <c r="J2551" t="s">
        <v>416</v>
      </c>
      <c r="K2551" t="s">
        <v>57</v>
      </c>
      <c r="L2551">
        <v>111.51</v>
      </c>
      <c r="M2551" s="1">
        <v>45996</v>
      </c>
      <c r="N2551" t="s">
        <v>79</v>
      </c>
      <c r="O2551">
        <v>5</v>
      </c>
      <c r="P2551">
        <v>12</v>
      </c>
      <c r="Q2551">
        <v>4</v>
      </c>
      <c r="R2551">
        <v>2025</v>
      </c>
    </row>
    <row r="2552" spans="1:18">
      <c r="A2552">
        <v>208.08</v>
      </c>
      <c r="B2552">
        <v>2</v>
      </c>
      <c r="C2552">
        <v>2551</v>
      </c>
      <c r="D2552" s="2">
        <v>0.27971501157407408</v>
      </c>
      <c r="E2552" t="s">
        <v>3267</v>
      </c>
      <c r="F2552" t="s">
        <v>3268</v>
      </c>
      <c r="G2552" t="s">
        <v>784</v>
      </c>
      <c r="H2552" t="s">
        <v>1600</v>
      </c>
      <c r="I2552" t="s">
        <v>768</v>
      </c>
      <c r="J2552" t="s">
        <v>507</v>
      </c>
      <c r="K2552" t="s">
        <v>55</v>
      </c>
      <c r="L2552">
        <v>104.04</v>
      </c>
      <c r="M2552" s="1">
        <v>45872</v>
      </c>
      <c r="N2552" t="s">
        <v>28</v>
      </c>
      <c r="O2552">
        <v>3</v>
      </c>
      <c r="P2552">
        <v>8</v>
      </c>
      <c r="Q2552">
        <v>3</v>
      </c>
      <c r="R2552">
        <v>2025</v>
      </c>
    </row>
    <row r="2553" spans="1:18">
      <c r="A2553">
        <v>101.56</v>
      </c>
      <c r="B2553">
        <v>1</v>
      </c>
      <c r="C2553">
        <v>2552</v>
      </c>
      <c r="D2553" s="2">
        <v>0.28764499999999998</v>
      </c>
      <c r="E2553" t="s">
        <v>1601</v>
      </c>
      <c r="F2553" t="s">
        <v>1602</v>
      </c>
      <c r="G2553" t="s">
        <v>1603</v>
      </c>
      <c r="H2553" t="s">
        <v>1339</v>
      </c>
      <c r="I2553" t="s">
        <v>1247</v>
      </c>
      <c r="J2553" t="s">
        <v>426</v>
      </c>
      <c r="K2553" t="s">
        <v>37</v>
      </c>
      <c r="L2553">
        <v>101.56</v>
      </c>
      <c r="M2553" s="1">
        <v>45614</v>
      </c>
      <c r="N2553" t="s">
        <v>93</v>
      </c>
      <c r="O2553">
        <v>18</v>
      </c>
      <c r="P2553">
        <v>11</v>
      </c>
      <c r="Q2553">
        <v>4</v>
      </c>
      <c r="R2553">
        <v>2024</v>
      </c>
    </row>
    <row r="2554" spans="1:18">
      <c r="A2554">
        <v>869.44</v>
      </c>
      <c r="B2554">
        <v>4</v>
      </c>
      <c r="C2554">
        <v>2553</v>
      </c>
      <c r="D2554" s="2">
        <v>0.88233025462962966</v>
      </c>
      <c r="E2554" t="s">
        <v>1272</v>
      </c>
      <c r="F2554" t="s">
        <v>1273</v>
      </c>
      <c r="G2554" t="s">
        <v>1274</v>
      </c>
      <c r="H2554" t="s">
        <v>380</v>
      </c>
      <c r="I2554" t="s">
        <v>954</v>
      </c>
      <c r="J2554" t="s">
        <v>103</v>
      </c>
      <c r="K2554" t="s">
        <v>46</v>
      </c>
      <c r="L2554">
        <v>217.36</v>
      </c>
      <c r="M2554" s="1">
        <v>46154</v>
      </c>
      <c r="N2554" t="s">
        <v>48</v>
      </c>
      <c r="O2554">
        <v>12</v>
      </c>
      <c r="P2554">
        <v>5</v>
      </c>
      <c r="Q2554">
        <v>2</v>
      </c>
      <c r="R2554">
        <v>2026</v>
      </c>
    </row>
    <row r="2555" spans="1:18">
      <c r="A2555">
        <v>287.14999999999998</v>
      </c>
      <c r="B2555">
        <v>5</v>
      </c>
      <c r="C2555">
        <v>2554</v>
      </c>
      <c r="D2555" s="2">
        <v>0.76684399305555551</v>
      </c>
      <c r="E2555" t="s">
        <v>1653</v>
      </c>
      <c r="F2555" t="s">
        <v>1654</v>
      </c>
      <c r="G2555" t="s">
        <v>976</v>
      </c>
      <c r="H2555" t="s">
        <v>1306</v>
      </c>
      <c r="I2555" t="s">
        <v>966</v>
      </c>
      <c r="J2555" t="s">
        <v>730</v>
      </c>
      <c r="K2555" t="s">
        <v>51</v>
      </c>
      <c r="L2555">
        <v>57.43</v>
      </c>
      <c r="M2555" s="1">
        <v>45879</v>
      </c>
      <c r="N2555" t="s">
        <v>28</v>
      </c>
      <c r="O2555">
        <v>10</v>
      </c>
      <c r="P2555">
        <v>8</v>
      </c>
      <c r="Q2555">
        <v>3</v>
      </c>
      <c r="R2555">
        <v>2025</v>
      </c>
    </row>
    <row r="2556" spans="1:18">
      <c r="A2556">
        <v>411.54</v>
      </c>
      <c r="B2556">
        <v>3</v>
      </c>
      <c r="C2556">
        <v>2555</v>
      </c>
      <c r="D2556" s="2">
        <v>0.21651174768518519</v>
      </c>
      <c r="E2556" t="s">
        <v>1723</v>
      </c>
      <c r="F2556" t="s">
        <v>1724</v>
      </c>
      <c r="G2556" t="s">
        <v>1725</v>
      </c>
      <c r="H2556" t="s">
        <v>915</v>
      </c>
      <c r="I2556" t="s">
        <v>908</v>
      </c>
      <c r="J2556" t="s">
        <v>219</v>
      </c>
      <c r="K2556" t="s">
        <v>39</v>
      </c>
      <c r="L2556">
        <v>137.18</v>
      </c>
      <c r="M2556" s="1">
        <v>46003</v>
      </c>
      <c r="N2556" t="s">
        <v>79</v>
      </c>
      <c r="O2556">
        <v>12</v>
      </c>
      <c r="P2556">
        <v>12</v>
      </c>
      <c r="Q2556">
        <v>4</v>
      </c>
      <c r="R2556">
        <v>2025</v>
      </c>
    </row>
    <row r="2557" spans="1:18">
      <c r="A2557">
        <v>545.64</v>
      </c>
      <c r="B2557">
        <v>3</v>
      </c>
      <c r="C2557">
        <v>2556</v>
      </c>
      <c r="D2557" s="2">
        <v>0.36463442129629631</v>
      </c>
      <c r="E2557" t="s">
        <v>2342</v>
      </c>
      <c r="F2557" t="s">
        <v>2343</v>
      </c>
      <c r="G2557" t="s">
        <v>211</v>
      </c>
      <c r="H2557" t="s">
        <v>1206</v>
      </c>
      <c r="I2557" t="s">
        <v>943</v>
      </c>
      <c r="J2557" t="s">
        <v>549</v>
      </c>
      <c r="K2557" t="s">
        <v>82</v>
      </c>
      <c r="L2557">
        <v>181.88</v>
      </c>
      <c r="M2557" s="1">
        <v>46032</v>
      </c>
      <c r="N2557" t="s">
        <v>14</v>
      </c>
      <c r="O2557">
        <v>10</v>
      </c>
      <c r="P2557">
        <v>1</v>
      </c>
      <c r="Q2557">
        <v>1</v>
      </c>
      <c r="R2557">
        <v>2026</v>
      </c>
    </row>
    <row r="2558" spans="1:18">
      <c r="A2558">
        <v>401.95</v>
      </c>
      <c r="B2558">
        <v>5</v>
      </c>
      <c r="C2558">
        <v>2557</v>
      </c>
      <c r="D2558" s="2">
        <v>0.85872974537037039</v>
      </c>
      <c r="E2558" t="s">
        <v>2928</v>
      </c>
      <c r="F2558" t="s">
        <v>2929</v>
      </c>
      <c r="G2558" t="s">
        <v>2354</v>
      </c>
      <c r="H2558" t="s">
        <v>843</v>
      </c>
      <c r="I2558" t="s">
        <v>753</v>
      </c>
      <c r="J2558" t="s">
        <v>130</v>
      </c>
      <c r="K2558" t="s">
        <v>69</v>
      </c>
      <c r="L2558">
        <v>80.39</v>
      </c>
      <c r="M2558" s="1">
        <v>45879</v>
      </c>
      <c r="N2558" t="s">
        <v>28</v>
      </c>
      <c r="O2558">
        <v>10</v>
      </c>
      <c r="P2558">
        <v>8</v>
      </c>
      <c r="Q2558">
        <v>3</v>
      </c>
      <c r="R2558">
        <v>2025</v>
      </c>
    </row>
    <row r="2559" spans="1:18">
      <c r="A2559">
        <v>22.92</v>
      </c>
      <c r="B2559">
        <v>4</v>
      </c>
      <c r="C2559">
        <v>2558</v>
      </c>
      <c r="D2559" s="2">
        <v>0.14547554398148149</v>
      </c>
      <c r="E2559" t="s">
        <v>850</v>
      </c>
      <c r="F2559" t="s">
        <v>851</v>
      </c>
      <c r="G2559" t="s">
        <v>852</v>
      </c>
      <c r="H2559" t="s">
        <v>853</v>
      </c>
      <c r="I2559" t="s">
        <v>854</v>
      </c>
      <c r="J2559" t="s">
        <v>407</v>
      </c>
      <c r="K2559" t="s">
        <v>21</v>
      </c>
      <c r="L2559">
        <v>5.73</v>
      </c>
      <c r="M2559" s="1">
        <v>45853</v>
      </c>
      <c r="N2559" t="s">
        <v>48</v>
      </c>
      <c r="O2559">
        <v>15</v>
      </c>
      <c r="P2559">
        <v>7</v>
      </c>
      <c r="Q2559">
        <v>3</v>
      </c>
      <c r="R2559">
        <v>2025</v>
      </c>
    </row>
    <row r="2560" spans="1:18">
      <c r="A2560">
        <v>607.59</v>
      </c>
      <c r="B2560">
        <v>3</v>
      </c>
      <c r="C2560">
        <v>2559</v>
      </c>
      <c r="D2560" s="2">
        <v>0.99779315972222227</v>
      </c>
      <c r="E2560" t="s">
        <v>2087</v>
      </c>
      <c r="F2560" t="s">
        <v>2088</v>
      </c>
      <c r="G2560" t="s">
        <v>820</v>
      </c>
      <c r="H2560" t="s">
        <v>995</v>
      </c>
      <c r="I2560" t="s">
        <v>781</v>
      </c>
      <c r="J2560" t="s">
        <v>251</v>
      </c>
      <c r="K2560" t="s">
        <v>122</v>
      </c>
      <c r="L2560">
        <v>202.53</v>
      </c>
      <c r="M2560" s="1">
        <v>46212</v>
      </c>
      <c r="N2560" t="s">
        <v>105</v>
      </c>
      <c r="O2560">
        <v>9</v>
      </c>
      <c r="P2560">
        <v>7</v>
      </c>
      <c r="Q2560">
        <v>3</v>
      </c>
      <c r="R2560">
        <v>2026</v>
      </c>
    </row>
    <row r="2561" spans="1:18">
      <c r="A2561">
        <v>233.36</v>
      </c>
      <c r="B2561">
        <v>4</v>
      </c>
      <c r="C2561">
        <v>2560</v>
      </c>
      <c r="D2561" s="2">
        <v>8.3046319444444447E-2</v>
      </c>
      <c r="E2561" t="s">
        <v>1513</v>
      </c>
      <c r="F2561" t="s">
        <v>1514</v>
      </c>
      <c r="G2561" t="s">
        <v>1515</v>
      </c>
      <c r="H2561" t="s">
        <v>1359</v>
      </c>
      <c r="I2561" t="s">
        <v>768</v>
      </c>
      <c r="J2561" t="s">
        <v>305</v>
      </c>
      <c r="K2561" t="s">
        <v>55</v>
      </c>
      <c r="L2561">
        <v>58.34</v>
      </c>
      <c r="M2561" s="1">
        <v>46149</v>
      </c>
      <c r="N2561" t="s">
        <v>105</v>
      </c>
      <c r="O2561">
        <v>7</v>
      </c>
      <c r="P2561">
        <v>5</v>
      </c>
      <c r="Q2561">
        <v>2</v>
      </c>
      <c r="R2561">
        <v>2026</v>
      </c>
    </row>
    <row r="2562" spans="1:18">
      <c r="A2562">
        <v>296.56</v>
      </c>
      <c r="B2562">
        <v>2</v>
      </c>
      <c r="C2562">
        <v>2561</v>
      </c>
      <c r="D2562" s="2">
        <v>0.44936504629629631</v>
      </c>
      <c r="E2562" t="s">
        <v>3516</v>
      </c>
      <c r="F2562" t="s">
        <v>3517</v>
      </c>
      <c r="G2562" t="s">
        <v>1404</v>
      </c>
      <c r="H2562" t="s">
        <v>392</v>
      </c>
      <c r="I2562" t="s">
        <v>834</v>
      </c>
      <c r="J2562" t="s">
        <v>568</v>
      </c>
      <c r="K2562" t="s">
        <v>51</v>
      </c>
      <c r="L2562">
        <v>148.28</v>
      </c>
      <c r="M2562" s="1">
        <v>45990</v>
      </c>
      <c r="N2562" t="s">
        <v>14</v>
      </c>
      <c r="O2562">
        <v>29</v>
      </c>
      <c r="P2562">
        <v>11</v>
      </c>
      <c r="Q2562">
        <v>4</v>
      </c>
      <c r="R2562">
        <v>2025</v>
      </c>
    </row>
    <row r="2563" spans="1:18">
      <c r="A2563">
        <v>1175.5500000000002</v>
      </c>
      <c r="B2563">
        <v>5</v>
      </c>
      <c r="C2563">
        <v>2562</v>
      </c>
      <c r="D2563" s="2">
        <v>0.68968087962962965</v>
      </c>
      <c r="E2563" t="s">
        <v>2417</v>
      </c>
      <c r="F2563" t="s">
        <v>2418</v>
      </c>
      <c r="G2563" t="s">
        <v>2419</v>
      </c>
      <c r="H2563" t="s">
        <v>995</v>
      </c>
      <c r="I2563" t="s">
        <v>781</v>
      </c>
      <c r="J2563" t="s">
        <v>337</v>
      </c>
      <c r="K2563" t="s">
        <v>37</v>
      </c>
      <c r="L2563">
        <v>235.11</v>
      </c>
      <c r="M2563" s="1">
        <v>45817</v>
      </c>
      <c r="N2563" t="s">
        <v>93</v>
      </c>
      <c r="O2563">
        <v>9</v>
      </c>
      <c r="P2563">
        <v>6</v>
      </c>
      <c r="Q2563">
        <v>2</v>
      </c>
      <c r="R2563">
        <v>2025</v>
      </c>
    </row>
    <row r="2564" spans="1:18">
      <c r="A2564">
        <v>939.92</v>
      </c>
      <c r="B2564">
        <v>4</v>
      </c>
      <c r="C2564">
        <v>2563</v>
      </c>
      <c r="D2564" s="2">
        <v>0.24920666666666666</v>
      </c>
      <c r="E2564" t="s">
        <v>1036</v>
      </c>
      <c r="F2564" t="s">
        <v>1037</v>
      </c>
      <c r="G2564" t="s">
        <v>1038</v>
      </c>
      <c r="H2564" t="s">
        <v>1039</v>
      </c>
      <c r="I2564" t="s">
        <v>758</v>
      </c>
      <c r="J2564" t="s">
        <v>333</v>
      </c>
      <c r="K2564" t="s">
        <v>37</v>
      </c>
      <c r="L2564">
        <v>234.98</v>
      </c>
      <c r="M2564" s="1">
        <v>45725</v>
      </c>
      <c r="N2564" t="s">
        <v>28</v>
      </c>
      <c r="O2564">
        <v>9</v>
      </c>
      <c r="P2564">
        <v>3</v>
      </c>
      <c r="Q2564">
        <v>1</v>
      </c>
      <c r="R2564">
        <v>2025</v>
      </c>
    </row>
    <row r="2565" spans="1:18">
      <c r="A2565">
        <v>19.259999999999998</v>
      </c>
      <c r="B2565">
        <v>3</v>
      </c>
      <c r="C2565">
        <v>2564</v>
      </c>
      <c r="D2565" s="2">
        <v>0.44744379629629627</v>
      </c>
      <c r="E2565" t="s">
        <v>2951</v>
      </c>
      <c r="F2565" t="s">
        <v>2952</v>
      </c>
      <c r="G2565" t="s">
        <v>969</v>
      </c>
      <c r="H2565" t="s">
        <v>853</v>
      </c>
      <c r="I2565" t="s">
        <v>854</v>
      </c>
      <c r="J2565" t="s">
        <v>316</v>
      </c>
      <c r="K2565" t="s">
        <v>97</v>
      </c>
      <c r="L2565">
        <v>6.42</v>
      </c>
      <c r="M2565" s="1">
        <v>46135</v>
      </c>
      <c r="N2565" t="s">
        <v>105</v>
      </c>
      <c r="O2565">
        <v>23</v>
      </c>
      <c r="P2565">
        <v>4</v>
      </c>
      <c r="Q2565">
        <v>2</v>
      </c>
      <c r="R2565">
        <v>2026</v>
      </c>
    </row>
    <row r="2566" spans="1:18">
      <c r="A2566">
        <v>21.93</v>
      </c>
      <c r="B2566">
        <v>1</v>
      </c>
      <c r="C2566">
        <v>2565</v>
      </c>
      <c r="D2566" s="2">
        <v>0.38329410879629627</v>
      </c>
      <c r="E2566" t="s">
        <v>2462</v>
      </c>
      <c r="F2566" t="s">
        <v>2463</v>
      </c>
      <c r="G2566" t="s">
        <v>1501</v>
      </c>
      <c r="H2566" t="s">
        <v>1156</v>
      </c>
      <c r="I2566" t="s">
        <v>839</v>
      </c>
      <c r="J2566" t="s">
        <v>445</v>
      </c>
      <c r="K2566" t="s">
        <v>60</v>
      </c>
      <c r="L2566">
        <v>21.93</v>
      </c>
      <c r="M2566" s="1">
        <v>45726</v>
      </c>
      <c r="N2566" t="s">
        <v>93</v>
      </c>
      <c r="O2566">
        <v>10</v>
      </c>
      <c r="P2566">
        <v>3</v>
      </c>
      <c r="Q2566">
        <v>1</v>
      </c>
      <c r="R2566">
        <v>2025</v>
      </c>
    </row>
    <row r="2567" spans="1:18">
      <c r="A2567">
        <v>713.16</v>
      </c>
      <c r="B2567">
        <v>3</v>
      </c>
      <c r="C2567">
        <v>2566</v>
      </c>
      <c r="D2567" s="2">
        <v>0.58923739583333334</v>
      </c>
      <c r="E2567" t="s">
        <v>2792</v>
      </c>
      <c r="F2567" t="s">
        <v>2793</v>
      </c>
      <c r="G2567" t="s">
        <v>2794</v>
      </c>
      <c r="H2567" t="s">
        <v>548</v>
      </c>
      <c r="I2567" t="s">
        <v>790</v>
      </c>
      <c r="J2567" t="s">
        <v>343</v>
      </c>
      <c r="K2567" t="s">
        <v>46</v>
      </c>
      <c r="L2567">
        <v>237.72</v>
      </c>
      <c r="M2567" s="1">
        <v>46056</v>
      </c>
      <c r="N2567" t="s">
        <v>48</v>
      </c>
      <c r="O2567">
        <v>3</v>
      </c>
      <c r="P2567">
        <v>2</v>
      </c>
      <c r="Q2567">
        <v>1</v>
      </c>
      <c r="R2567">
        <v>2026</v>
      </c>
    </row>
    <row r="2568" spans="1:18">
      <c r="A2568">
        <v>9.42</v>
      </c>
      <c r="B2568">
        <v>2</v>
      </c>
      <c r="C2568">
        <v>2567</v>
      </c>
      <c r="D2568" s="2">
        <v>0.49092810185185187</v>
      </c>
      <c r="E2568" t="s">
        <v>1055</v>
      </c>
      <c r="F2568" t="s">
        <v>1056</v>
      </c>
      <c r="G2568" t="s">
        <v>1057</v>
      </c>
      <c r="H2568" t="s">
        <v>380</v>
      </c>
      <c r="I2568" t="s">
        <v>776</v>
      </c>
      <c r="J2568" t="s">
        <v>454</v>
      </c>
      <c r="K2568" t="s">
        <v>23</v>
      </c>
      <c r="L2568">
        <v>4.71</v>
      </c>
      <c r="M2568" s="1">
        <v>45844</v>
      </c>
      <c r="N2568" t="s">
        <v>28</v>
      </c>
      <c r="O2568">
        <v>6</v>
      </c>
      <c r="P2568">
        <v>7</v>
      </c>
      <c r="Q2568">
        <v>3</v>
      </c>
      <c r="R2568">
        <v>2025</v>
      </c>
    </row>
    <row r="2569" spans="1:18">
      <c r="A2569">
        <v>1122.95</v>
      </c>
      <c r="B2569">
        <v>5</v>
      </c>
      <c r="C2569">
        <v>2568</v>
      </c>
      <c r="D2569" s="2">
        <v>0.60007430555555552</v>
      </c>
      <c r="E2569" t="s">
        <v>2309</v>
      </c>
      <c r="F2569" t="s">
        <v>2310</v>
      </c>
      <c r="G2569" t="s">
        <v>1660</v>
      </c>
      <c r="H2569" t="s">
        <v>1421</v>
      </c>
      <c r="I2569" t="s">
        <v>776</v>
      </c>
      <c r="J2569" t="s">
        <v>121</v>
      </c>
      <c r="K2569" t="s">
        <v>122</v>
      </c>
      <c r="L2569">
        <v>224.59</v>
      </c>
      <c r="M2569" s="1">
        <v>46175</v>
      </c>
      <c r="N2569" t="s">
        <v>48</v>
      </c>
      <c r="O2569">
        <v>2</v>
      </c>
      <c r="P2569">
        <v>6</v>
      </c>
      <c r="Q2569">
        <v>2</v>
      </c>
      <c r="R2569">
        <v>2026</v>
      </c>
    </row>
    <row r="2570" spans="1:18">
      <c r="A2570">
        <v>424.08000000000004</v>
      </c>
      <c r="B2570">
        <v>3</v>
      </c>
      <c r="C2570">
        <v>2569</v>
      </c>
      <c r="D2570" s="2">
        <v>0.72545940972222223</v>
      </c>
      <c r="E2570" t="s">
        <v>1528</v>
      </c>
      <c r="F2570" t="s">
        <v>1529</v>
      </c>
      <c r="G2570" t="s">
        <v>998</v>
      </c>
      <c r="H2570" t="s">
        <v>1465</v>
      </c>
      <c r="I2570" t="s">
        <v>817</v>
      </c>
      <c r="J2570" t="s">
        <v>181</v>
      </c>
      <c r="K2570" t="s">
        <v>82</v>
      </c>
      <c r="L2570">
        <v>141.36000000000001</v>
      </c>
      <c r="M2570" s="1">
        <v>45954</v>
      </c>
      <c r="N2570" t="s">
        <v>79</v>
      </c>
      <c r="O2570">
        <v>24</v>
      </c>
      <c r="P2570">
        <v>10</v>
      </c>
      <c r="Q2570">
        <v>4</v>
      </c>
      <c r="R2570">
        <v>2025</v>
      </c>
    </row>
    <row r="2571" spans="1:18">
      <c r="A2571">
        <v>134.91999999999999</v>
      </c>
      <c r="B2571">
        <v>4</v>
      </c>
      <c r="C2571">
        <v>2570</v>
      </c>
      <c r="D2571" s="2">
        <v>0.53029429398148153</v>
      </c>
      <c r="E2571" t="s">
        <v>1375</v>
      </c>
      <c r="F2571" t="s">
        <v>1376</v>
      </c>
      <c r="G2571" t="s">
        <v>1377</v>
      </c>
      <c r="H2571" t="s">
        <v>1061</v>
      </c>
      <c r="I2571" t="s">
        <v>834</v>
      </c>
      <c r="J2571" t="s">
        <v>527</v>
      </c>
      <c r="K2571" t="s">
        <v>27</v>
      </c>
      <c r="L2571">
        <v>33.729999999999997</v>
      </c>
      <c r="M2571" s="1">
        <v>45603</v>
      </c>
      <c r="N2571" t="s">
        <v>105</v>
      </c>
      <c r="O2571">
        <v>7</v>
      </c>
      <c r="P2571">
        <v>11</v>
      </c>
      <c r="Q2571">
        <v>4</v>
      </c>
      <c r="R2571">
        <v>2024</v>
      </c>
    </row>
    <row r="2572" spans="1:18">
      <c r="A2572">
        <v>236.81</v>
      </c>
      <c r="B2572">
        <v>1</v>
      </c>
      <c r="C2572">
        <v>2571</v>
      </c>
      <c r="D2572" s="2">
        <v>0.62634392361111113</v>
      </c>
      <c r="E2572" t="s">
        <v>1104</v>
      </c>
      <c r="F2572" t="s">
        <v>1105</v>
      </c>
      <c r="G2572" t="s">
        <v>1106</v>
      </c>
      <c r="H2572" t="s">
        <v>1107</v>
      </c>
      <c r="I2572" t="s">
        <v>892</v>
      </c>
      <c r="J2572" t="s">
        <v>84</v>
      </c>
      <c r="K2572" t="s">
        <v>31</v>
      </c>
      <c r="L2572">
        <v>236.81</v>
      </c>
      <c r="M2572" s="1">
        <v>46064</v>
      </c>
      <c r="N2572" t="s">
        <v>34</v>
      </c>
      <c r="O2572">
        <v>11</v>
      </c>
      <c r="P2572">
        <v>2</v>
      </c>
      <c r="Q2572">
        <v>1</v>
      </c>
      <c r="R2572">
        <v>2026</v>
      </c>
    </row>
    <row r="2573" spans="1:18">
      <c r="A2573">
        <v>605.70000000000005</v>
      </c>
      <c r="B2573">
        <v>5</v>
      </c>
      <c r="C2573">
        <v>2572</v>
      </c>
      <c r="D2573" s="2">
        <v>0.5279541319444444</v>
      </c>
      <c r="E2573" t="s">
        <v>2041</v>
      </c>
      <c r="F2573" t="s">
        <v>2042</v>
      </c>
      <c r="G2573" t="s">
        <v>2043</v>
      </c>
      <c r="H2573" t="s">
        <v>2044</v>
      </c>
      <c r="I2573" t="s">
        <v>748</v>
      </c>
      <c r="J2573" t="s">
        <v>640</v>
      </c>
      <c r="K2573" t="s">
        <v>82</v>
      </c>
      <c r="L2573">
        <v>121.14</v>
      </c>
      <c r="M2573" s="1">
        <v>46029</v>
      </c>
      <c r="N2573" t="s">
        <v>34</v>
      </c>
      <c r="O2573">
        <v>7</v>
      </c>
      <c r="P2573">
        <v>1</v>
      </c>
      <c r="Q2573">
        <v>1</v>
      </c>
      <c r="R2573">
        <v>2026</v>
      </c>
    </row>
    <row r="2574" spans="1:18">
      <c r="A2574">
        <v>25.86</v>
      </c>
      <c r="B2574">
        <v>1</v>
      </c>
      <c r="C2574">
        <v>2573</v>
      </c>
      <c r="D2574" s="2">
        <v>0.92858511574074076</v>
      </c>
      <c r="E2574" t="s">
        <v>3477</v>
      </c>
      <c r="F2574" t="s">
        <v>2407</v>
      </c>
      <c r="G2574" t="s">
        <v>3478</v>
      </c>
      <c r="H2574" t="s">
        <v>708</v>
      </c>
      <c r="I2574" t="s">
        <v>834</v>
      </c>
      <c r="J2574" t="s">
        <v>282</v>
      </c>
      <c r="K2574" t="s">
        <v>21</v>
      </c>
      <c r="L2574">
        <v>25.86</v>
      </c>
      <c r="M2574" s="1">
        <v>45806</v>
      </c>
      <c r="N2574" t="s">
        <v>105</v>
      </c>
      <c r="O2574">
        <v>29</v>
      </c>
      <c r="P2574">
        <v>5</v>
      </c>
      <c r="Q2574">
        <v>2</v>
      </c>
      <c r="R2574">
        <v>2025</v>
      </c>
    </row>
    <row r="2575" spans="1:18">
      <c r="A2575">
        <v>386.15999999999997</v>
      </c>
      <c r="B2575">
        <v>3</v>
      </c>
      <c r="C2575">
        <v>2574</v>
      </c>
      <c r="D2575" s="2">
        <v>0.11420076388888889</v>
      </c>
      <c r="E2575" t="s">
        <v>1663</v>
      </c>
      <c r="F2575" t="s">
        <v>1664</v>
      </c>
      <c r="G2575" t="s">
        <v>1665</v>
      </c>
      <c r="H2575" t="s">
        <v>1666</v>
      </c>
      <c r="I2575" t="s">
        <v>830</v>
      </c>
      <c r="J2575" t="s">
        <v>693</v>
      </c>
      <c r="K2575" t="s">
        <v>46</v>
      </c>
      <c r="L2575">
        <v>128.72</v>
      </c>
      <c r="M2575" s="1">
        <v>45735</v>
      </c>
      <c r="N2575" t="s">
        <v>34</v>
      </c>
      <c r="O2575">
        <v>19</v>
      </c>
      <c r="P2575">
        <v>3</v>
      </c>
      <c r="Q2575">
        <v>1</v>
      </c>
      <c r="R2575">
        <v>2025</v>
      </c>
    </row>
    <row r="2576" spans="1:18">
      <c r="A2576">
        <v>35.270000000000003</v>
      </c>
      <c r="B2576">
        <v>1</v>
      </c>
      <c r="C2576">
        <v>2575</v>
      </c>
      <c r="D2576" s="2">
        <v>0.31119202546296298</v>
      </c>
      <c r="E2576" t="s">
        <v>3244</v>
      </c>
      <c r="F2576" t="s">
        <v>3245</v>
      </c>
      <c r="G2576" t="s">
        <v>1114</v>
      </c>
      <c r="H2576" t="s">
        <v>1401</v>
      </c>
      <c r="I2576" t="s">
        <v>943</v>
      </c>
      <c r="J2576" t="s">
        <v>33</v>
      </c>
      <c r="K2576" t="s">
        <v>19</v>
      </c>
      <c r="L2576">
        <v>35.270000000000003</v>
      </c>
      <c r="M2576" s="1">
        <v>46240</v>
      </c>
      <c r="N2576" t="s">
        <v>105</v>
      </c>
      <c r="O2576">
        <v>6</v>
      </c>
      <c r="P2576">
        <v>8</v>
      </c>
      <c r="Q2576">
        <v>3</v>
      </c>
      <c r="R2576">
        <v>2026</v>
      </c>
    </row>
    <row r="2577" spans="1:18">
      <c r="A2577">
        <v>68.02</v>
      </c>
      <c r="B2577">
        <v>1</v>
      </c>
      <c r="C2577">
        <v>2576</v>
      </c>
      <c r="D2577" s="2">
        <v>5.3387523148148146E-2</v>
      </c>
      <c r="E2577" t="s">
        <v>3065</v>
      </c>
      <c r="F2577" t="s">
        <v>3066</v>
      </c>
      <c r="G2577" t="s">
        <v>1374</v>
      </c>
      <c r="H2577" t="s">
        <v>942</v>
      </c>
      <c r="I2577" t="s">
        <v>943</v>
      </c>
      <c r="J2577" t="s">
        <v>490</v>
      </c>
      <c r="K2577" t="s">
        <v>43</v>
      </c>
      <c r="L2577">
        <v>68.02</v>
      </c>
      <c r="M2577" s="1">
        <v>45924</v>
      </c>
      <c r="N2577" t="s">
        <v>34</v>
      </c>
      <c r="O2577">
        <v>24</v>
      </c>
      <c r="P2577">
        <v>9</v>
      </c>
      <c r="Q2577">
        <v>3</v>
      </c>
      <c r="R2577">
        <v>2025</v>
      </c>
    </row>
    <row r="2578" spans="1:18">
      <c r="A2578">
        <v>243.88</v>
      </c>
      <c r="B2578">
        <v>2</v>
      </c>
      <c r="C2578">
        <v>2577</v>
      </c>
      <c r="D2578" s="2">
        <v>0.11538099537037037</v>
      </c>
      <c r="E2578" t="s">
        <v>769</v>
      </c>
      <c r="F2578" t="s">
        <v>770</v>
      </c>
      <c r="G2578" t="s">
        <v>771</v>
      </c>
      <c r="H2578" t="s">
        <v>772</v>
      </c>
      <c r="I2578" t="s">
        <v>758</v>
      </c>
      <c r="J2578" t="s">
        <v>245</v>
      </c>
      <c r="K2578" t="s">
        <v>43</v>
      </c>
      <c r="L2578">
        <v>121.94</v>
      </c>
      <c r="M2578" s="1">
        <v>46040</v>
      </c>
      <c r="N2578" t="s">
        <v>28</v>
      </c>
      <c r="O2578">
        <v>18</v>
      </c>
      <c r="P2578">
        <v>1</v>
      </c>
      <c r="Q2578">
        <v>1</v>
      </c>
      <c r="R2578">
        <v>2026</v>
      </c>
    </row>
    <row r="2579" spans="1:18">
      <c r="A2579">
        <v>244.32</v>
      </c>
      <c r="B2579">
        <v>1</v>
      </c>
      <c r="C2579">
        <v>2578</v>
      </c>
      <c r="D2579" s="2">
        <v>0.43139667824074074</v>
      </c>
      <c r="E2579" t="s">
        <v>2302</v>
      </c>
      <c r="F2579" t="s">
        <v>2303</v>
      </c>
      <c r="G2579" t="s">
        <v>960</v>
      </c>
      <c r="H2579" t="s">
        <v>816</v>
      </c>
      <c r="I2579" t="s">
        <v>817</v>
      </c>
      <c r="J2579" t="s">
        <v>613</v>
      </c>
      <c r="K2579" t="s">
        <v>21</v>
      </c>
      <c r="L2579">
        <v>244.32</v>
      </c>
      <c r="M2579" s="1">
        <v>45729</v>
      </c>
      <c r="N2579" t="s">
        <v>105</v>
      </c>
      <c r="O2579">
        <v>13</v>
      </c>
      <c r="P2579">
        <v>3</v>
      </c>
      <c r="Q2579">
        <v>1</v>
      </c>
      <c r="R2579">
        <v>2025</v>
      </c>
    </row>
    <row r="2580" spans="1:18">
      <c r="A2580">
        <v>23.08</v>
      </c>
      <c r="B2580">
        <v>4</v>
      </c>
      <c r="C2580">
        <v>2579</v>
      </c>
      <c r="D2580" s="2">
        <v>0.24830414351851851</v>
      </c>
      <c r="E2580" t="s">
        <v>2381</v>
      </c>
      <c r="F2580" t="s">
        <v>2382</v>
      </c>
      <c r="G2580" t="s">
        <v>2383</v>
      </c>
      <c r="H2580" t="s">
        <v>1359</v>
      </c>
      <c r="I2580" t="s">
        <v>768</v>
      </c>
      <c r="J2580" t="s">
        <v>140</v>
      </c>
      <c r="K2580" t="s">
        <v>17</v>
      </c>
      <c r="L2580">
        <v>5.77</v>
      </c>
      <c r="M2580" s="1">
        <v>46116</v>
      </c>
      <c r="N2580" t="s">
        <v>14</v>
      </c>
      <c r="O2580">
        <v>4</v>
      </c>
      <c r="P2580">
        <v>4</v>
      </c>
      <c r="Q2580">
        <v>2</v>
      </c>
      <c r="R2580">
        <v>2026</v>
      </c>
    </row>
    <row r="2581" spans="1:18">
      <c r="A2581">
        <v>467.82</v>
      </c>
      <c r="B2581">
        <v>2</v>
      </c>
      <c r="C2581">
        <v>2580</v>
      </c>
      <c r="D2581" s="2">
        <v>0.78356016203703704</v>
      </c>
      <c r="E2581" t="s">
        <v>3222</v>
      </c>
      <c r="F2581" t="s">
        <v>3223</v>
      </c>
      <c r="G2581" t="s">
        <v>1143</v>
      </c>
      <c r="H2581" t="s">
        <v>862</v>
      </c>
      <c r="I2581" t="s">
        <v>981</v>
      </c>
      <c r="J2581" t="s">
        <v>272</v>
      </c>
      <c r="K2581" t="s">
        <v>55</v>
      </c>
      <c r="L2581">
        <v>233.91</v>
      </c>
      <c r="M2581" s="1">
        <v>45810</v>
      </c>
      <c r="N2581" t="s">
        <v>93</v>
      </c>
      <c r="O2581">
        <v>2</v>
      </c>
      <c r="P2581">
        <v>6</v>
      </c>
      <c r="Q2581">
        <v>2</v>
      </c>
      <c r="R2581">
        <v>2025</v>
      </c>
    </row>
    <row r="2582" spans="1:18">
      <c r="A2582">
        <v>601.59</v>
      </c>
      <c r="B2582">
        <v>3</v>
      </c>
      <c r="C2582">
        <v>2581</v>
      </c>
      <c r="D2582" s="2">
        <v>0.12755552083333332</v>
      </c>
      <c r="E2582" t="s">
        <v>809</v>
      </c>
      <c r="F2582" t="s">
        <v>810</v>
      </c>
      <c r="G2582" t="s">
        <v>811</v>
      </c>
      <c r="H2582" t="s">
        <v>280</v>
      </c>
      <c r="I2582" t="s">
        <v>812</v>
      </c>
      <c r="J2582" t="s">
        <v>429</v>
      </c>
      <c r="K2582" t="s">
        <v>19</v>
      </c>
      <c r="L2582">
        <v>200.53</v>
      </c>
      <c r="M2582" s="1">
        <v>45641</v>
      </c>
      <c r="N2582" t="s">
        <v>28</v>
      </c>
      <c r="O2582">
        <v>15</v>
      </c>
      <c r="P2582">
        <v>12</v>
      </c>
      <c r="Q2582">
        <v>4</v>
      </c>
      <c r="R2582">
        <v>2024</v>
      </c>
    </row>
    <row r="2583" spans="1:18">
      <c r="A2583">
        <v>492.52</v>
      </c>
      <c r="B2583">
        <v>4</v>
      </c>
      <c r="C2583">
        <v>2582</v>
      </c>
      <c r="D2583" s="2">
        <v>2.3002534722222221E-2</v>
      </c>
      <c r="E2583" t="s">
        <v>1926</v>
      </c>
      <c r="F2583" t="s">
        <v>1927</v>
      </c>
      <c r="G2583" t="s">
        <v>998</v>
      </c>
      <c r="H2583" t="s">
        <v>666</v>
      </c>
      <c r="I2583" t="s">
        <v>954</v>
      </c>
      <c r="J2583" t="s">
        <v>66</v>
      </c>
      <c r="K2583" t="s">
        <v>46</v>
      </c>
      <c r="L2583">
        <v>123.13</v>
      </c>
      <c r="M2583" s="1">
        <v>45577</v>
      </c>
      <c r="N2583" t="s">
        <v>14</v>
      </c>
      <c r="O2583">
        <v>12</v>
      </c>
      <c r="P2583">
        <v>10</v>
      </c>
      <c r="Q2583">
        <v>4</v>
      </c>
      <c r="R2583">
        <v>2024</v>
      </c>
    </row>
    <row r="2584" spans="1:18">
      <c r="A2584">
        <v>256.70000000000005</v>
      </c>
      <c r="B2584">
        <v>5</v>
      </c>
      <c r="C2584">
        <v>2583</v>
      </c>
      <c r="D2584" s="2">
        <v>0.4368518287037037</v>
      </c>
      <c r="E2584" t="s">
        <v>809</v>
      </c>
      <c r="F2584" t="s">
        <v>810</v>
      </c>
      <c r="G2584" t="s">
        <v>811</v>
      </c>
      <c r="H2584" t="s">
        <v>280</v>
      </c>
      <c r="I2584" t="s">
        <v>812</v>
      </c>
      <c r="J2584" t="s">
        <v>376</v>
      </c>
      <c r="K2584" t="s">
        <v>51</v>
      </c>
      <c r="L2584">
        <v>51.34</v>
      </c>
      <c r="M2584" s="1">
        <v>46237</v>
      </c>
      <c r="N2584" t="s">
        <v>93</v>
      </c>
      <c r="O2584">
        <v>3</v>
      </c>
      <c r="P2584">
        <v>8</v>
      </c>
      <c r="Q2584">
        <v>3</v>
      </c>
      <c r="R2584">
        <v>2026</v>
      </c>
    </row>
    <row r="2585" spans="1:18">
      <c r="A2585">
        <v>52.400000000000006</v>
      </c>
      <c r="B2585">
        <v>5</v>
      </c>
      <c r="C2585">
        <v>2584</v>
      </c>
      <c r="D2585" s="2">
        <v>0.12458619212962962</v>
      </c>
      <c r="E2585" t="s">
        <v>3212</v>
      </c>
      <c r="F2585" t="s">
        <v>3213</v>
      </c>
      <c r="G2585" t="s">
        <v>2013</v>
      </c>
      <c r="H2585" t="s">
        <v>1111</v>
      </c>
      <c r="I2585" t="s">
        <v>981</v>
      </c>
      <c r="J2585" t="s">
        <v>578</v>
      </c>
      <c r="K2585" t="s">
        <v>82</v>
      </c>
      <c r="L2585">
        <v>10.48</v>
      </c>
      <c r="M2585" s="1">
        <v>45946</v>
      </c>
      <c r="N2585" t="s">
        <v>105</v>
      </c>
      <c r="O2585">
        <v>16</v>
      </c>
      <c r="P2585">
        <v>10</v>
      </c>
      <c r="Q2585">
        <v>4</v>
      </c>
      <c r="R2585">
        <v>2025</v>
      </c>
    </row>
    <row r="2586" spans="1:18">
      <c r="A2586">
        <v>27.44</v>
      </c>
      <c r="B2586">
        <v>1</v>
      </c>
      <c r="C2586">
        <v>2585</v>
      </c>
      <c r="D2586" s="2">
        <v>0.71372944444444442</v>
      </c>
      <c r="E2586" t="s">
        <v>1207</v>
      </c>
      <c r="F2586" t="s">
        <v>1208</v>
      </c>
      <c r="G2586" t="s">
        <v>935</v>
      </c>
      <c r="H2586" t="s">
        <v>1209</v>
      </c>
      <c r="I2586" t="s">
        <v>776</v>
      </c>
      <c r="J2586" t="s">
        <v>722</v>
      </c>
      <c r="K2586" t="s">
        <v>37</v>
      </c>
      <c r="L2586">
        <v>27.44</v>
      </c>
      <c r="M2586" s="1">
        <v>45665</v>
      </c>
      <c r="N2586" t="s">
        <v>34</v>
      </c>
      <c r="O2586">
        <v>8</v>
      </c>
      <c r="P2586">
        <v>1</v>
      </c>
      <c r="Q2586">
        <v>1</v>
      </c>
      <c r="R2586">
        <v>2025</v>
      </c>
    </row>
    <row r="2587" spans="1:18">
      <c r="A2587">
        <v>248.07</v>
      </c>
      <c r="B2587">
        <v>3</v>
      </c>
      <c r="C2587">
        <v>2586</v>
      </c>
      <c r="D2587" s="2">
        <v>0.2705940740740741</v>
      </c>
      <c r="E2587" t="s">
        <v>3142</v>
      </c>
      <c r="F2587" t="s">
        <v>3143</v>
      </c>
      <c r="G2587" t="s">
        <v>1152</v>
      </c>
      <c r="H2587" t="s">
        <v>825</v>
      </c>
      <c r="I2587" t="s">
        <v>781</v>
      </c>
      <c r="J2587" t="s">
        <v>650</v>
      </c>
      <c r="K2587" t="s">
        <v>37</v>
      </c>
      <c r="L2587">
        <v>82.69</v>
      </c>
      <c r="M2587" s="1">
        <v>45616</v>
      </c>
      <c r="N2587" t="s">
        <v>34</v>
      </c>
      <c r="O2587">
        <v>20</v>
      </c>
      <c r="P2587">
        <v>11</v>
      </c>
      <c r="Q2587">
        <v>4</v>
      </c>
      <c r="R2587">
        <v>2024</v>
      </c>
    </row>
    <row r="2588" spans="1:18">
      <c r="A2588">
        <v>1012.65</v>
      </c>
      <c r="B2588">
        <v>5</v>
      </c>
      <c r="C2588">
        <v>2587</v>
      </c>
      <c r="D2588" s="2">
        <v>0.20968659722222222</v>
      </c>
      <c r="E2588" t="s">
        <v>1218</v>
      </c>
      <c r="F2588" t="s">
        <v>1219</v>
      </c>
      <c r="G2588" t="s">
        <v>1220</v>
      </c>
      <c r="H2588" t="s">
        <v>1206</v>
      </c>
      <c r="I2588" t="s">
        <v>943</v>
      </c>
      <c r="J2588" t="s">
        <v>251</v>
      </c>
      <c r="K2588" t="s">
        <v>122</v>
      </c>
      <c r="L2588">
        <v>202.53</v>
      </c>
      <c r="M2588" s="1">
        <v>46243</v>
      </c>
      <c r="N2588" t="s">
        <v>28</v>
      </c>
      <c r="O2588">
        <v>9</v>
      </c>
      <c r="P2588">
        <v>8</v>
      </c>
      <c r="Q2588">
        <v>3</v>
      </c>
      <c r="R2588">
        <v>2026</v>
      </c>
    </row>
    <row r="2589" spans="1:18">
      <c r="A2589">
        <v>401.84</v>
      </c>
      <c r="B2589">
        <v>4</v>
      </c>
      <c r="C2589">
        <v>2588</v>
      </c>
      <c r="D2589" s="2">
        <v>0.49056068287037036</v>
      </c>
      <c r="E2589" t="s">
        <v>2957</v>
      </c>
      <c r="F2589" t="s">
        <v>2958</v>
      </c>
      <c r="G2589" t="s">
        <v>842</v>
      </c>
      <c r="H2589" t="s">
        <v>74</v>
      </c>
      <c r="I2589" t="s">
        <v>943</v>
      </c>
      <c r="J2589" t="s">
        <v>703</v>
      </c>
      <c r="K2589" t="s">
        <v>60</v>
      </c>
      <c r="L2589">
        <v>100.46</v>
      </c>
      <c r="M2589" s="1">
        <v>45849</v>
      </c>
      <c r="N2589" t="s">
        <v>79</v>
      </c>
      <c r="O2589">
        <v>11</v>
      </c>
      <c r="P2589">
        <v>7</v>
      </c>
      <c r="Q2589">
        <v>3</v>
      </c>
      <c r="R2589">
        <v>2025</v>
      </c>
    </row>
    <row r="2590" spans="1:18">
      <c r="A2590">
        <v>919.4</v>
      </c>
      <c r="B2590">
        <v>4</v>
      </c>
      <c r="C2590">
        <v>2589</v>
      </c>
      <c r="D2590" s="2">
        <v>0.10616763888888889</v>
      </c>
      <c r="E2590" t="s">
        <v>1203</v>
      </c>
      <c r="F2590" t="s">
        <v>1204</v>
      </c>
      <c r="G2590" t="s">
        <v>1205</v>
      </c>
      <c r="H2590" t="s">
        <v>1206</v>
      </c>
      <c r="I2590" t="s">
        <v>943</v>
      </c>
      <c r="J2590" t="s">
        <v>63</v>
      </c>
      <c r="K2590" t="s">
        <v>25</v>
      </c>
      <c r="L2590">
        <v>229.85</v>
      </c>
      <c r="M2590" s="1">
        <v>46002</v>
      </c>
      <c r="N2590" t="s">
        <v>105</v>
      </c>
      <c r="O2590">
        <v>11</v>
      </c>
      <c r="P2590">
        <v>12</v>
      </c>
      <c r="Q2590">
        <v>4</v>
      </c>
      <c r="R2590">
        <v>2025</v>
      </c>
    </row>
    <row r="2591" spans="1:18">
      <c r="A2591">
        <v>154.02000000000001</v>
      </c>
      <c r="B2591">
        <v>3</v>
      </c>
      <c r="C2591">
        <v>2590</v>
      </c>
      <c r="D2591" s="2">
        <v>0.12945699074074074</v>
      </c>
      <c r="E2591" t="s">
        <v>936</v>
      </c>
      <c r="F2591" t="s">
        <v>937</v>
      </c>
      <c r="G2591" t="s">
        <v>938</v>
      </c>
      <c r="H2591" t="s">
        <v>794</v>
      </c>
      <c r="I2591" t="s">
        <v>795</v>
      </c>
      <c r="J2591" t="s">
        <v>376</v>
      </c>
      <c r="K2591" t="s">
        <v>51</v>
      </c>
      <c r="L2591">
        <v>51.34</v>
      </c>
      <c r="M2591" s="1">
        <v>46271</v>
      </c>
      <c r="N2591" t="s">
        <v>28</v>
      </c>
      <c r="O2591">
        <v>6</v>
      </c>
      <c r="P2591">
        <v>9</v>
      </c>
      <c r="Q2591">
        <v>3</v>
      </c>
      <c r="R2591">
        <v>2026</v>
      </c>
    </row>
    <row r="2592" spans="1:18">
      <c r="A2592">
        <v>10.48</v>
      </c>
      <c r="B2592">
        <v>1</v>
      </c>
      <c r="C2592">
        <v>2591</v>
      </c>
      <c r="D2592" s="2">
        <v>0.90257762731481483</v>
      </c>
      <c r="E2592" t="s">
        <v>3025</v>
      </c>
      <c r="F2592" t="s">
        <v>3026</v>
      </c>
      <c r="G2592" t="s">
        <v>1010</v>
      </c>
      <c r="H2592" t="s">
        <v>806</v>
      </c>
      <c r="I2592" t="s">
        <v>807</v>
      </c>
      <c r="J2592" t="s">
        <v>578</v>
      </c>
      <c r="K2592" t="s">
        <v>82</v>
      </c>
      <c r="L2592">
        <v>10.48</v>
      </c>
      <c r="M2592" s="1">
        <v>45971</v>
      </c>
      <c r="N2592" t="s">
        <v>93</v>
      </c>
      <c r="O2592">
        <v>10</v>
      </c>
      <c r="P2592">
        <v>11</v>
      </c>
      <c r="Q2592">
        <v>4</v>
      </c>
      <c r="R2592">
        <v>2025</v>
      </c>
    </row>
    <row r="2593" spans="1:18">
      <c r="A2593">
        <v>21.93</v>
      </c>
      <c r="B2593">
        <v>1</v>
      </c>
      <c r="C2593">
        <v>2592</v>
      </c>
      <c r="D2593" s="2">
        <v>0.58498413194444443</v>
      </c>
      <c r="E2593" t="s">
        <v>1746</v>
      </c>
      <c r="F2593" t="s">
        <v>1747</v>
      </c>
      <c r="G2593" t="s">
        <v>1050</v>
      </c>
      <c r="H2593" t="s">
        <v>1469</v>
      </c>
      <c r="I2593" t="s">
        <v>908</v>
      </c>
      <c r="J2593" t="s">
        <v>445</v>
      </c>
      <c r="K2593" t="s">
        <v>60</v>
      </c>
      <c r="L2593">
        <v>21.93</v>
      </c>
      <c r="M2593" s="1">
        <v>45986</v>
      </c>
      <c r="N2593" t="s">
        <v>48</v>
      </c>
      <c r="O2593">
        <v>25</v>
      </c>
      <c r="P2593">
        <v>11</v>
      </c>
      <c r="Q2593">
        <v>4</v>
      </c>
      <c r="R2593">
        <v>2025</v>
      </c>
    </row>
    <row r="2594" spans="1:18">
      <c r="A2594">
        <v>304.68</v>
      </c>
      <c r="B2594">
        <v>3</v>
      </c>
      <c r="C2594">
        <v>2593</v>
      </c>
      <c r="D2594" s="2">
        <v>0.2133328125</v>
      </c>
      <c r="E2594" t="s">
        <v>3354</v>
      </c>
      <c r="F2594" t="s">
        <v>3355</v>
      </c>
      <c r="G2594" t="s">
        <v>1569</v>
      </c>
      <c r="H2594" t="s">
        <v>280</v>
      </c>
      <c r="I2594" t="s">
        <v>786</v>
      </c>
      <c r="J2594" t="s">
        <v>426</v>
      </c>
      <c r="K2594" t="s">
        <v>37</v>
      </c>
      <c r="L2594">
        <v>101.56</v>
      </c>
      <c r="M2594" s="1">
        <v>45637</v>
      </c>
      <c r="N2594" t="s">
        <v>34</v>
      </c>
      <c r="O2594">
        <v>11</v>
      </c>
      <c r="P2594">
        <v>12</v>
      </c>
      <c r="Q2594">
        <v>4</v>
      </c>
      <c r="R2594">
        <v>2024</v>
      </c>
    </row>
    <row r="2595" spans="1:18">
      <c r="A2595">
        <v>933.68</v>
      </c>
      <c r="B2595">
        <v>4</v>
      </c>
      <c r="C2595">
        <v>2594</v>
      </c>
      <c r="D2595" s="2">
        <v>0.35795002314814817</v>
      </c>
      <c r="E2595" t="s">
        <v>2853</v>
      </c>
      <c r="F2595" t="s">
        <v>2854</v>
      </c>
      <c r="G2595" t="s">
        <v>2522</v>
      </c>
      <c r="H2595" t="s">
        <v>2332</v>
      </c>
      <c r="I2595" t="s">
        <v>1003</v>
      </c>
      <c r="J2595" t="s">
        <v>632</v>
      </c>
      <c r="K2595" t="s">
        <v>57</v>
      </c>
      <c r="L2595">
        <v>233.42</v>
      </c>
      <c r="M2595" s="1">
        <v>45700</v>
      </c>
      <c r="N2595" t="s">
        <v>34</v>
      </c>
      <c r="O2595">
        <v>12</v>
      </c>
      <c r="P2595">
        <v>2</v>
      </c>
      <c r="Q2595">
        <v>1</v>
      </c>
      <c r="R2595">
        <v>2025</v>
      </c>
    </row>
    <row r="2596" spans="1:18">
      <c r="A2596">
        <v>230.54</v>
      </c>
      <c r="B2596">
        <v>2</v>
      </c>
      <c r="C2596">
        <v>2595</v>
      </c>
      <c r="D2596" s="2">
        <v>0.25699696759259261</v>
      </c>
      <c r="E2596" t="s">
        <v>3108</v>
      </c>
      <c r="F2596" t="s">
        <v>3109</v>
      </c>
      <c r="G2596" t="s">
        <v>2030</v>
      </c>
      <c r="H2596" t="s">
        <v>1017</v>
      </c>
      <c r="I2596" t="s">
        <v>966</v>
      </c>
      <c r="J2596" t="s">
        <v>198</v>
      </c>
      <c r="K2596" t="s">
        <v>43</v>
      </c>
      <c r="L2596">
        <v>115.27</v>
      </c>
      <c r="M2596" s="1">
        <v>45985</v>
      </c>
      <c r="N2596" t="s">
        <v>93</v>
      </c>
      <c r="O2596">
        <v>24</v>
      </c>
      <c r="P2596">
        <v>11</v>
      </c>
      <c r="Q2596">
        <v>4</v>
      </c>
      <c r="R2596">
        <v>2025</v>
      </c>
    </row>
    <row r="2597" spans="1:18">
      <c r="A2597">
        <v>70.88</v>
      </c>
      <c r="B2597">
        <v>2</v>
      </c>
      <c r="C2597">
        <v>2596</v>
      </c>
      <c r="D2597" s="2">
        <v>0.57691668981481481</v>
      </c>
      <c r="E2597" t="s">
        <v>3195</v>
      </c>
      <c r="F2597" t="s">
        <v>3196</v>
      </c>
      <c r="G2597" t="s">
        <v>2004</v>
      </c>
      <c r="H2597" t="s">
        <v>713</v>
      </c>
      <c r="I2597" t="s">
        <v>908</v>
      </c>
      <c r="J2597" t="s">
        <v>173</v>
      </c>
      <c r="K2597" t="s">
        <v>55</v>
      </c>
      <c r="L2597">
        <v>35.44</v>
      </c>
      <c r="M2597" s="1">
        <v>45654</v>
      </c>
      <c r="N2597" t="s">
        <v>14</v>
      </c>
      <c r="O2597">
        <v>28</v>
      </c>
      <c r="P2597">
        <v>12</v>
      </c>
      <c r="Q2597">
        <v>4</v>
      </c>
      <c r="R2597">
        <v>2024</v>
      </c>
    </row>
    <row r="2598" spans="1:18">
      <c r="A2598">
        <v>152.72999999999999</v>
      </c>
      <c r="B2598">
        <v>3</v>
      </c>
      <c r="C2598">
        <v>2597</v>
      </c>
      <c r="D2598" s="2">
        <v>0.83225134259259259</v>
      </c>
      <c r="E2598" t="s">
        <v>2717</v>
      </c>
      <c r="F2598" t="s">
        <v>2718</v>
      </c>
      <c r="G2598" t="s">
        <v>941</v>
      </c>
      <c r="H2598" t="s">
        <v>1434</v>
      </c>
      <c r="I2598" t="s">
        <v>786</v>
      </c>
      <c r="J2598" t="s">
        <v>197</v>
      </c>
      <c r="K2598" t="s">
        <v>19</v>
      </c>
      <c r="L2598">
        <v>50.91</v>
      </c>
      <c r="M2598" s="1">
        <v>45622</v>
      </c>
      <c r="N2598" t="s">
        <v>48</v>
      </c>
      <c r="O2598">
        <v>26</v>
      </c>
      <c r="P2598">
        <v>11</v>
      </c>
      <c r="Q2598">
        <v>4</v>
      </c>
      <c r="R2598">
        <v>2024</v>
      </c>
    </row>
    <row r="2599" spans="1:18">
      <c r="A2599">
        <v>481.77</v>
      </c>
      <c r="B2599">
        <v>3</v>
      </c>
      <c r="C2599">
        <v>2598</v>
      </c>
      <c r="D2599" s="2">
        <v>4.5228935185185181E-3</v>
      </c>
      <c r="E2599" t="s">
        <v>3029</v>
      </c>
      <c r="F2599" t="s">
        <v>760</v>
      </c>
      <c r="G2599" t="s">
        <v>1228</v>
      </c>
      <c r="H2599" t="s">
        <v>1886</v>
      </c>
      <c r="I2599" t="s">
        <v>753</v>
      </c>
      <c r="J2599" t="s">
        <v>267</v>
      </c>
      <c r="K2599" t="s">
        <v>25</v>
      </c>
      <c r="L2599">
        <v>160.59</v>
      </c>
      <c r="M2599" s="1">
        <v>45957</v>
      </c>
      <c r="N2599" t="s">
        <v>93</v>
      </c>
      <c r="O2599">
        <v>27</v>
      </c>
      <c r="P2599">
        <v>10</v>
      </c>
      <c r="Q2599">
        <v>4</v>
      </c>
      <c r="R2599">
        <v>2025</v>
      </c>
    </row>
    <row r="2600" spans="1:18">
      <c r="A2600">
        <v>39.15</v>
      </c>
      <c r="B2600">
        <v>5</v>
      </c>
      <c r="C2600">
        <v>2599</v>
      </c>
      <c r="D2600" s="2">
        <v>0.79112644675925925</v>
      </c>
      <c r="E2600" t="s">
        <v>2855</v>
      </c>
      <c r="F2600" t="s">
        <v>2856</v>
      </c>
      <c r="G2600" t="s">
        <v>2857</v>
      </c>
      <c r="H2600" t="s">
        <v>666</v>
      </c>
      <c r="I2600" t="s">
        <v>954</v>
      </c>
      <c r="J2600" t="s">
        <v>489</v>
      </c>
      <c r="K2600" t="s">
        <v>51</v>
      </c>
      <c r="L2600">
        <v>7.83</v>
      </c>
      <c r="M2600" s="1">
        <v>45886</v>
      </c>
      <c r="N2600" t="s">
        <v>28</v>
      </c>
      <c r="O2600">
        <v>17</v>
      </c>
      <c r="P2600">
        <v>8</v>
      </c>
      <c r="Q2600">
        <v>3</v>
      </c>
      <c r="R2600">
        <v>2025</v>
      </c>
    </row>
    <row r="2601" spans="1:18">
      <c r="A2601">
        <v>430.38</v>
      </c>
      <c r="B2601">
        <v>3</v>
      </c>
      <c r="C2601">
        <v>2600</v>
      </c>
      <c r="D2601" s="2">
        <v>0.47388618055555554</v>
      </c>
      <c r="E2601" t="s">
        <v>1655</v>
      </c>
      <c r="F2601" t="s">
        <v>1656</v>
      </c>
      <c r="G2601" t="s">
        <v>1657</v>
      </c>
      <c r="H2601" t="s">
        <v>199</v>
      </c>
      <c r="I2601" t="s">
        <v>781</v>
      </c>
      <c r="J2601" t="s">
        <v>299</v>
      </c>
      <c r="K2601" t="s">
        <v>57</v>
      </c>
      <c r="L2601">
        <v>143.46</v>
      </c>
      <c r="M2601" s="1">
        <v>45673</v>
      </c>
      <c r="N2601" t="s">
        <v>105</v>
      </c>
      <c r="O2601">
        <v>16</v>
      </c>
      <c r="P2601">
        <v>1</v>
      </c>
      <c r="Q2601">
        <v>1</v>
      </c>
      <c r="R2601">
        <v>2025</v>
      </c>
    </row>
    <row r="2602" spans="1:18">
      <c r="A2602">
        <v>107.92</v>
      </c>
      <c r="B2602">
        <v>4</v>
      </c>
      <c r="C2602">
        <v>2601</v>
      </c>
      <c r="D2602" s="2">
        <v>0.23908084490740741</v>
      </c>
      <c r="E2602" t="s">
        <v>1027</v>
      </c>
      <c r="F2602" t="s">
        <v>1028</v>
      </c>
      <c r="G2602" t="s">
        <v>805</v>
      </c>
      <c r="H2602" t="s">
        <v>825</v>
      </c>
      <c r="I2602" t="s">
        <v>781</v>
      </c>
      <c r="J2602" t="s">
        <v>458</v>
      </c>
      <c r="K2602" t="s">
        <v>37</v>
      </c>
      <c r="L2602">
        <v>26.98</v>
      </c>
      <c r="M2602" s="1">
        <v>45604</v>
      </c>
      <c r="N2602" t="s">
        <v>79</v>
      </c>
      <c r="O2602">
        <v>8</v>
      </c>
      <c r="P2602">
        <v>11</v>
      </c>
      <c r="Q2602">
        <v>4</v>
      </c>
      <c r="R2602">
        <v>2024</v>
      </c>
    </row>
    <row r="2603" spans="1:18">
      <c r="A2603">
        <v>96.04</v>
      </c>
      <c r="B2603">
        <v>4</v>
      </c>
      <c r="C2603">
        <v>2602</v>
      </c>
      <c r="D2603" s="2">
        <v>0.28601184027777776</v>
      </c>
      <c r="E2603" t="s">
        <v>2155</v>
      </c>
      <c r="F2603" t="s">
        <v>2156</v>
      </c>
      <c r="G2603" t="s">
        <v>1865</v>
      </c>
      <c r="H2603" t="s">
        <v>1607</v>
      </c>
      <c r="I2603" t="s">
        <v>839</v>
      </c>
      <c r="J2603" t="s">
        <v>188</v>
      </c>
      <c r="K2603" t="s">
        <v>57</v>
      </c>
      <c r="L2603">
        <v>24.01</v>
      </c>
      <c r="M2603" s="1">
        <v>45799</v>
      </c>
      <c r="N2603" t="s">
        <v>105</v>
      </c>
      <c r="O2603">
        <v>22</v>
      </c>
      <c r="P2603">
        <v>5</v>
      </c>
      <c r="Q2603">
        <v>2</v>
      </c>
      <c r="R2603">
        <v>2025</v>
      </c>
    </row>
    <row r="2604" spans="1:18">
      <c r="A2604">
        <v>56.53</v>
      </c>
      <c r="B2604">
        <v>1</v>
      </c>
      <c r="C2604">
        <v>2603</v>
      </c>
      <c r="D2604" s="2">
        <v>0.87299585648148148</v>
      </c>
      <c r="E2604" t="s">
        <v>855</v>
      </c>
      <c r="F2604" t="s">
        <v>856</v>
      </c>
      <c r="G2604" t="s">
        <v>857</v>
      </c>
      <c r="H2604" t="s">
        <v>858</v>
      </c>
      <c r="I2604" t="s">
        <v>753</v>
      </c>
      <c r="J2604" t="s">
        <v>123</v>
      </c>
      <c r="K2604" t="s">
        <v>43</v>
      </c>
      <c r="L2604">
        <v>56.53</v>
      </c>
      <c r="M2604" s="1">
        <v>46204</v>
      </c>
      <c r="N2604" t="s">
        <v>34</v>
      </c>
      <c r="O2604">
        <v>1</v>
      </c>
      <c r="P2604">
        <v>7</v>
      </c>
      <c r="Q2604">
        <v>3</v>
      </c>
      <c r="R2604">
        <v>2026</v>
      </c>
    </row>
    <row r="2605" spans="1:18">
      <c r="A2605">
        <v>12.56</v>
      </c>
      <c r="B2605">
        <v>2</v>
      </c>
      <c r="C2605">
        <v>2604</v>
      </c>
      <c r="D2605" s="2">
        <v>0.23460739583333334</v>
      </c>
      <c r="E2605" t="s">
        <v>893</v>
      </c>
      <c r="F2605" t="s">
        <v>894</v>
      </c>
      <c r="G2605" t="s">
        <v>895</v>
      </c>
      <c r="H2605" t="s">
        <v>106</v>
      </c>
      <c r="I2605" t="s">
        <v>896</v>
      </c>
      <c r="J2605" t="s">
        <v>601</v>
      </c>
      <c r="K2605" t="s">
        <v>19</v>
      </c>
      <c r="L2605">
        <v>6.28</v>
      </c>
      <c r="M2605" s="1">
        <v>45811</v>
      </c>
      <c r="N2605" t="s">
        <v>48</v>
      </c>
      <c r="O2605">
        <v>3</v>
      </c>
      <c r="P2605">
        <v>6</v>
      </c>
      <c r="Q2605">
        <v>2</v>
      </c>
      <c r="R2605">
        <v>2025</v>
      </c>
    </row>
    <row r="2606" spans="1:18">
      <c r="A2606">
        <v>39.450000000000003</v>
      </c>
      <c r="B2606">
        <v>1</v>
      </c>
      <c r="C2606">
        <v>2605</v>
      </c>
      <c r="D2606" s="2">
        <v>0.97212435185185186</v>
      </c>
      <c r="E2606" t="s">
        <v>1299</v>
      </c>
      <c r="F2606" t="s">
        <v>1300</v>
      </c>
      <c r="G2606" t="s">
        <v>1301</v>
      </c>
      <c r="H2606" t="s">
        <v>1302</v>
      </c>
      <c r="I2606" t="s">
        <v>786</v>
      </c>
      <c r="J2606" t="s">
        <v>668</v>
      </c>
      <c r="K2606" t="s">
        <v>46</v>
      </c>
      <c r="L2606">
        <v>39.450000000000003</v>
      </c>
      <c r="M2606" s="1">
        <v>45766</v>
      </c>
      <c r="N2606" t="s">
        <v>14</v>
      </c>
      <c r="O2606">
        <v>19</v>
      </c>
      <c r="P2606">
        <v>4</v>
      </c>
      <c r="Q2606">
        <v>2</v>
      </c>
      <c r="R2606">
        <v>2025</v>
      </c>
    </row>
    <row r="2607" spans="1:18">
      <c r="A2607">
        <v>309.88</v>
      </c>
      <c r="B2607">
        <v>4</v>
      </c>
      <c r="C2607">
        <v>2606</v>
      </c>
      <c r="D2607" s="2">
        <v>0.88002888888888886</v>
      </c>
      <c r="E2607" t="s">
        <v>2016</v>
      </c>
      <c r="F2607" t="s">
        <v>2017</v>
      </c>
      <c r="G2607" t="s">
        <v>1585</v>
      </c>
      <c r="H2607" t="s">
        <v>29</v>
      </c>
      <c r="I2607" t="s">
        <v>763</v>
      </c>
      <c r="J2607" t="s">
        <v>638</v>
      </c>
      <c r="K2607" t="s">
        <v>100</v>
      </c>
      <c r="L2607">
        <v>77.47</v>
      </c>
      <c r="M2607" s="1">
        <v>45868</v>
      </c>
      <c r="N2607" t="s">
        <v>34</v>
      </c>
      <c r="O2607">
        <v>30</v>
      </c>
      <c r="P2607">
        <v>7</v>
      </c>
      <c r="Q2607">
        <v>3</v>
      </c>
      <c r="R2607">
        <v>2025</v>
      </c>
    </row>
    <row r="2608" spans="1:18">
      <c r="A2608">
        <v>399.15</v>
      </c>
      <c r="B2608">
        <v>5</v>
      </c>
      <c r="C2608">
        <v>2607</v>
      </c>
      <c r="D2608" s="2">
        <v>0.99329752314814812</v>
      </c>
      <c r="E2608" t="s">
        <v>1780</v>
      </c>
      <c r="F2608" t="s">
        <v>1781</v>
      </c>
      <c r="G2608" t="s">
        <v>1709</v>
      </c>
      <c r="H2608" t="s">
        <v>1054</v>
      </c>
      <c r="I2608" t="s">
        <v>892</v>
      </c>
      <c r="J2608" t="s">
        <v>234</v>
      </c>
      <c r="K2608" t="s">
        <v>82</v>
      </c>
      <c r="L2608">
        <v>79.83</v>
      </c>
      <c r="M2608" s="1">
        <v>45776</v>
      </c>
      <c r="N2608" t="s">
        <v>48</v>
      </c>
      <c r="O2608">
        <v>29</v>
      </c>
      <c r="P2608">
        <v>4</v>
      </c>
      <c r="Q2608">
        <v>2</v>
      </c>
      <c r="R2608">
        <v>2025</v>
      </c>
    </row>
    <row r="2609" spans="1:18">
      <c r="A2609">
        <v>481.77</v>
      </c>
      <c r="B2609">
        <v>3</v>
      </c>
      <c r="C2609">
        <v>2608</v>
      </c>
      <c r="D2609" s="2">
        <v>5.1934583333333333E-2</v>
      </c>
      <c r="E2609" t="s">
        <v>840</v>
      </c>
      <c r="F2609" t="s">
        <v>841</v>
      </c>
      <c r="G2609" t="s">
        <v>842</v>
      </c>
      <c r="H2609" t="s">
        <v>843</v>
      </c>
      <c r="I2609" t="s">
        <v>753</v>
      </c>
      <c r="J2609" t="s">
        <v>267</v>
      </c>
      <c r="K2609" t="s">
        <v>25</v>
      </c>
      <c r="L2609">
        <v>160.59</v>
      </c>
      <c r="M2609" s="1">
        <v>45925</v>
      </c>
      <c r="N2609" t="s">
        <v>105</v>
      </c>
      <c r="O2609">
        <v>25</v>
      </c>
      <c r="P2609">
        <v>9</v>
      </c>
      <c r="Q2609">
        <v>3</v>
      </c>
      <c r="R2609">
        <v>2025</v>
      </c>
    </row>
    <row r="2610" spans="1:18">
      <c r="A2610">
        <v>93.88</v>
      </c>
      <c r="B2610">
        <v>2</v>
      </c>
      <c r="C2610">
        <v>2609</v>
      </c>
      <c r="D2610" s="2">
        <v>0.92096196759259263</v>
      </c>
      <c r="E2610" t="s">
        <v>1287</v>
      </c>
      <c r="F2610" t="s">
        <v>1288</v>
      </c>
      <c r="G2610" t="s">
        <v>1050</v>
      </c>
      <c r="H2610" t="s">
        <v>64</v>
      </c>
      <c r="I2610" t="s">
        <v>892</v>
      </c>
      <c r="J2610" t="s">
        <v>365</v>
      </c>
      <c r="K2610" t="s">
        <v>51</v>
      </c>
      <c r="L2610">
        <v>46.94</v>
      </c>
      <c r="M2610" s="1">
        <v>45683</v>
      </c>
      <c r="N2610" t="s">
        <v>28</v>
      </c>
      <c r="O2610">
        <v>26</v>
      </c>
      <c r="P2610">
        <v>1</v>
      </c>
      <c r="Q2610">
        <v>1</v>
      </c>
      <c r="R2610">
        <v>2025</v>
      </c>
    </row>
    <row r="2611" spans="1:18">
      <c r="A2611">
        <v>489.96</v>
      </c>
      <c r="B2611">
        <v>4</v>
      </c>
      <c r="C2611">
        <v>2610</v>
      </c>
      <c r="D2611" s="2">
        <v>0.16264354166666667</v>
      </c>
      <c r="E2611" t="s">
        <v>1570</v>
      </c>
      <c r="F2611" t="s">
        <v>1571</v>
      </c>
      <c r="G2611" t="s">
        <v>1274</v>
      </c>
      <c r="H2611" t="s">
        <v>1502</v>
      </c>
      <c r="I2611" t="s">
        <v>817</v>
      </c>
      <c r="J2611" t="s">
        <v>449</v>
      </c>
      <c r="K2611" t="s">
        <v>82</v>
      </c>
      <c r="L2611">
        <v>122.49</v>
      </c>
      <c r="M2611" s="1">
        <v>45737</v>
      </c>
      <c r="N2611" t="s">
        <v>79</v>
      </c>
      <c r="O2611">
        <v>21</v>
      </c>
      <c r="P2611">
        <v>3</v>
      </c>
      <c r="Q2611">
        <v>1</v>
      </c>
      <c r="R2611">
        <v>2025</v>
      </c>
    </row>
    <row r="2612" spans="1:18">
      <c r="A2612">
        <v>483.06000000000006</v>
      </c>
      <c r="B2612">
        <v>3</v>
      </c>
      <c r="C2612">
        <v>2611</v>
      </c>
      <c r="D2612" s="2">
        <v>0.69134267361111112</v>
      </c>
      <c r="E2612" t="s">
        <v>1427</v>
      </c>
      <c r="F2612" t="s">
        <v>1428</v>
      </c>
      <c r="G2612" t="s">
        <v>1429</v>
      </c>
      <c r="H2612" t="s">
        <v>1168</v>
      </c>
      <c r="I2612" t="s">
        <v>758</v>
      </c>
      <c r="J2612" t="s">
        <v>544</v>
      </c>
      <c r="K2612" t="s">
        <v>46</v>
      </c>
      <c r="L2612">
        <v>161.02000000000001</v>
      </c>
      <c r="M2612" s="1">
        <v>45667</v>
      </c>
      <c r="N2612" t="s">
        <v>79</v>
      </c>
      <c r="O2612">
        <v>10</v>
      </c>
      <c r="P2612">
        <v>1</v>
      </c>
      <c r="Q2612">
        <v>1</v>
      </c>
      <c r="R2612">
        <v>2025</v>
      </c>
    </row>
    <row r="2613" spans="1:18">
      <c r="A2613">
        <v>199.66</v>
      </c>
      <c r="B2613">
        <v>2</v>
      </c>
      <c r="C2613">
        <v>2612</v>
      </c>
      <c r="D2613" s="2">
        <v>0.16684453703703703</v>
      </c>
      <c r="E2613" t="s">
        <v>2295</v>
      </c>
      <c r="F2613" t="s">
        <v>2296</v>
      </c>
      <c r="G2613" t="s">
        <v>2297</v>
      </c>
      <c r="H2613" t="s">
        <v>15</v>
      </c>
      <c r="I2613" t="s">
        <v>834</v>
      </c>
      <c r="J2613" t="s">
        <v>467</v>
      </c>
      <c r="K2613" t="s">
        <v>19</v>
      </c>
      <c r="L2613">
        <v>99.83</v>
      </c>
      <c r="M2613" s="1">
        <v>46245</v>
      </c>
      <c r="N2613" t="s">
        <v>48</v>
      </c>
      <c r="O2613">
        <v>11</v>
      </c>
      <c r="P2613">
        <v>8</v>
      </c>
      <c r="Q2613">
        <v>3</v>
      </c>
      <c r="R2613">
        <v>2026</v>
      </c>
    </row>
    <row r="2614" spans="1:18">
      <c r="A2614">
        <v>23.58</v>
      </c>
      <c r="B2614">
        <v>1</v>
      </c>
      <c r="C2614">
        <v>2613</v>
      </c>
      <c r="D2614" s="2">
        <v>8.1120706018518521E-2</v>
      </c>
      <c r="E2614" t="s">
        <v>1822</v>
      </c>
      <c r="F2614" t="s">
        <v>1823</v>
      </c>
      <c r="G2614" t="s">
        <v>1824</v>
      </c>
      <c r="H2614" t="s">
        <v>1540</v>
      </c>
      <c r="I2614" t="s">
        <v>768</v>
      </c>
      <c r="J2614" t="s">
        <v>466</v>
      </c>
      <c r="K2614" t="s">
        <v>46</v>
      </c>
      <c r="L2614">
        <v>23.58</v>
      </c>
      <c r="M2614" s="1">
        <v>45764</v>
      </c>
      <c r="N2614" t="s">
        <v>105</v>
      </c>
      <c r="O2614">
        <v>17</v>
      </c>
      <c r="P2614">
        <v>4</v>
      </c>
      <c r="Q2614">
        <v>2</v>
      </c>
      <c r="R2614">
        <v>2025</v>
      </c>
    </row>
    <row r="2615" spans="1:18">
      <c r="A2615">
        <v>1041.8000000000002</v>
      </c>
      <c r="B2615">
        <v>5</v>
      </c>
      <c r="C2615">
        <v>2614</v>
      </c>
      <c r="D2615" s="2">
        <v>0.28105998842592594</v>
      </c>
      <c r="E2615" t="s">
        <v>3205</v>
      </c>
      <c r="F2615" t="s">
        <v>3206</v>
      </c>
      <c r="G2615" t="s">
        <v>1192</v>
      </c>
      <c r="H2615" t="s">
        <v>1206</v>
      </c>
      <c r="I2615" t="s">
        <v>943</v>
      </c>
      <c r="J2615" t="s">
        <v>545</v>
      </c>
      <c r="K2615" t="s">
        <v>60</v>
      </c>
      <c r="L2615">
        <v>208.36</v>
      </c>
      <c r="M2615" s="1">
        <v>46011</v>
      </c>
      <c r="N2615" t="s">
        <v>14</v>
      </c>
      <c r="O2615">
        <v>20</v>
      </c>
      <c r="P2615">
        <v>12</v>
      </c>
      <c r="Q2615">
        <v>4</v>
      </c>
      <c r="R2615">
        <v>2025</v>
      </c>
    </row>
    <row r="2616" spans="1:18">
      <c r="A2616">
        <v>652.08000000000004</v>
      </c>
      <c r="B2616">
        <v>3</v>
      </c>
      <c r="C2616">
        <v>2615</v>
      </c>
      <c r="D2616" s="2">
        <v>0.18524434027777778</v>
      </c>
      <c r="E2616" t="s">
        <v>3331</v>
      </c>
      <c r="F2616" t="s">
        <v>3332</v>
      </c>
      <c r="G2616" t="s">
        <v>2726</v>
      </c>
      <c r="H2616" t="s">
        <v>1342</v>
      </c>
      <c r="I2616" t="s">
        <v>776</v>
      </c>
      <c r="J2616" t="s">
        <v>103</v>
      </c>
      <c r="K2616" t="s">
        <v>46</v>
      </c>
      <c r="L2616">
        <v>217.36</v>
      </c>
      <c r="M2616" s="1">
        <v>45993</v>
      </c>
      <c r="N2616" t="s">
        <v>48</v>
      </c>
      <c r="O2616">
        <v>2</v>
      </c>
      <c r="P2616">
        <v>12</v>
      </c>
      <c r="Q2616">
        <v>4</v>
      </c>
      <c r="R2616">
        <v>2025</v>
      </c>
    </row>
    <row r="2617" spans="1:18">
      <c r="A2617">
        <v>686.2</v>
      </c>
      <c r="B2617">
        <v>5</v>
      </c>
      <c r="C2617">
        <v>2616</v>
      </c>
      <c r="D2617" s="2">
        <v>9.0471226851851855E-2</v>
      </c>
      <c r="E2617" t="s">
        <v>1119</v>
      </c>
      <c r="F2617" t="s">
        <v>1120</v>
      </c>
      <c r="G2617" t="s">
        <v>1121</v>
      </c>
      <c r="H2617" t="s">
        <v>211</v>
      </c>
      <c r="I2617" t="s">
        <v>812</v>
      </c>
      <c r="J2617" t="s">
        <v>468</v>
      </c>
      <c r="K2617" t="s">
        <v>25</v>
      </c>
      <c r="L2617">
        <v>137.24</v>
      </c>
      <c r="M2617" s="1">
        <v>45814</v>
      </c>
      <c r="N2617" t="s">
        <v>79</v>
      </c>
      <c r="O2617">
        <v>6</v>
      </c>
      <c r="P2617">
        <v>6</v>
      </c>
      <c r="Q2617">
        <v>2</v>
      </c>
      <c r="R2617">
        <v>2025</v>
      </c>
    </row>
    <row r="2618" spans="1:18">
      <c r="A2618">
        <v>379.90000000000003</v>
      </c>
      <c r="B2618">
        <v>5</v>
      </c>
      <c r="C2618">
        <v>2617</v>
      </c>
      <c r="D2618" s="2">
        <v>0.84252170138888893</v>
      </c>
      <c r="E2618" t="s">
        <v>1027</v>
      </c>
      <c r="F2618" t="s">
        <v>1028</v>
      </c>
      <c r="G2618" t="s">
        <v>805</v>
      </c>
      <c r="H2618" t="s">
        <v>825</v>
      </c>
      <c r="I2618" t="s">
        <v>781</v>
      </c>
      <c r="J2618" t="s">
        <v>313</v>
      </c>
      <c r="K2618" t="s">
        <v>31</v>
      </c>
      <c r="L2618">
        <v>75.98</v>
      </c>
      <c r="M2618" s="1">
        <v>45564</v>
      </c>
      <c r="N2618" t="s">
        <v>28</v>
      </c>
      <c r="O2618">
        <v>29</v>
      </c>
      <c r="P2618">
        <v>9</v>
      </c>
      <c r="Q2618">
        <v>3</v>
      </c>
      <c r="R2618">
        <v>2024</v>
      </c>
    </row>
    <row r="2619" spans="1:18">
      <c r="A2619">
        <v>14.54</v>
      </c>
      <c r="B2619">
        <v>1</v>
      </c>
      <c r="C2619">
        <v>2618</v>
      </c>
      <c r="D2619" s="2">
        <v>0.30722841435185183</v>
      </c>
      <c r="E2619" t="s">
        <v>939</v>
      </c>
      <c r="F2619" t="s">
        <v>940</v>
      </c>
      <c r="G2619" t="s">
        <v>941</v>
      </c>
      <c r="H2619" t="s">
        <v>942</v>
      </c>
      <c r="I2619" t="s">
        <v>943</v>
      </c>
      <c r="J2619" t="s">
        <v>1349</v>
      </c>
      <c r="K2619" t="s">
        <v>97</v>
      </c>
      <c r="L2619">
        <v>14.54</v>
      </c>
      <c r="M2619" s="1">
        <v>46031</v>
      </c>
      <c r="N2619" t="s">
        <v>79</v>
      </c>
      <c r="O2619">
        <v>9</v>
      </c>
      <c r="P2619">
        <v>1</v>
      </c>
      <c r="Q2619">
        <v>1</v>
      </c>
      <c r="R2619">
        <v>2026</v>
      </c>
    </row>
    <row r="2620" spans="1:18">
      <c r="A2620">
        <v>418.1</v>
      </c>
      <c r="B2620">
        <v>5</v>
      </c>
      <c r="C2620">
        <v>2619</v>
      </c>
      <c r="D2620" s="2">
        <v>0.11225226851851852</v>
      </c>
      <c r="E2620" t="s">
        <v>1108</v>
      </c>
      <c r="F2620" t="s">
        <v>1109</v>
      </c>
      <c r="G2620" t="s">
        <v>1110</v>
      </c>
      <c r="H2620" t="s">
        <v>1111</v>
      </c>
      <c r="I2620" t="s">
        <v>981</v>
      </c>
      <c r="J2620" t="s">
        <v>649</v>
      </c>
      <c r="K2620" t="s">
        <v>23</v>
      </c>
      <c r="L2620">
        <v>83.62</v>
      </c>
      <c r="M2620" s="1">
        <v>46109</v>
      </c>
      <c r="N2620" t="s">
        <v>14</v>
      </c>
      <c r="O2620">
        <v>28</v>
      </c>
      <c r="P2620">
        <v>3</v>
      </c>
      <c r="Q2620">
        <v>1</v>
      </c>
      <c r="R2620">
        <v>2026</v>
      </c>
    </row>
    <row r="2621" spans="1:18">
      <c r="A2621">
        <v>477.06</v>
      </c>
      <c r="B2621">
        <v>2</v>
      </c>
      <c r="C2621">
        <v>2620</v>
      </c>
      <c r="D2621" s="2">
        <v>0.23189581018518518</v>
      </c>
      <c r="E2621" t="s">
        <v>744</v>
      </c>
      <c r="F2621" t="s">
        <v>745</v>
      </c>
      <c r="G2621" t="s">
        <v>746</v>
      </c>
      <c r="H2621" t="s">
        <v>747</v>
      </c>
      <c r="I2621" t="s">
        <v>748</v>
      </c>
      <c r="J2621" t="s">
        <v>660</v>
      </c>
      <c r="K2621" t="s">
        <v>25</v>
      </c>
      <c r="L2621">
        <v>238.53</v>
      </c>
      <c r="M2621" s="1">
        <v>45932</v>
      </c>
      <c r="N2621" t="s">
        <v>105</v>
      </c>
      <c r="O2621">
        <v>2</v>
      </c>
      <c r="P2621">
        <v>10</v>
      </c>
      <c r="Q2621">
        <v>4</v>
      </c>
      <c r="R2621">
        <v>2025</v>
      </c>
    </row>
    <row r="2622" spans="1:18">
      <c r="A2622">
        <v>233.63</v>
      </c>
      <c r="B2622">
        <v>1</v>
      </c>
      <c r="C2622">
        <v>2621</v>
      </c>
      <c r="D2622" s="2">
        <v>6.6011157407407414E-2</v>
      </c>
      <c r="E2622" t="s">
        <v>3152</v>
      </c>
      <c r="F2622" t="s">
        <v>3153</v>
      </c>
      <c r="G2622" t="s">
        <v>1121</v>
      </c>
      <c r="H2622" t="s">
        <v>869</v>
      </c>
      <c r="I2622" t="s">
        <v>812</v>
      </c>
      <c r="J2622" t="s">
        <v>206</v>
      </c>
      <c r="K2622" t="s">
        <v>82</v>
      </c>
      <c r="L2622">
        <v>233.63</v>
      </c>
      <c r="M2622" s="1">
        <v>46098</v>
      </c>
      <c r="N2622" t="s">
        <v>48</v>
      </c>
      <c r="O2622">
        <v>17</v>
      </c>
      <c r="P2622">
        <v>3</v>
      </c>
      <c r="Q2622">
        <v>1</v>
      </c>
      <c r="R2622">
        <v>2026</v>
      </c>
    </row>
    <row r="2623" spans="1:18">
      <c r="A2623">
        <v>560.93999999999994</v>
      </c>
      <c r="B2623">
        <v>3</v>
      </c>
      <c r="C2623">
        <v>2622</v>
      </c>
      <c r="D2623" s="2">
        <v>8.213444444444444E-2</v>
      </c>
      <c r="E2623" t="s">
        <v>1871</v>
      </c>
      <c r="F2623" t="s">
        <v>1872</v>
      </c>
      <c r="G2623" t="s">
        <v>1873</v>
      </c>
      <c r="H2623" t="s">
        <v>747</v>
      </c>
      <c r="I2623" t="s">
        <v>748</v>
      </c>
      <c r="J2623" t="s">
        <v>139</v>
      </c>
      <c r="K2623" t="s">
        <v>122</v>
      </c>
      <c r="L2623">
        <v>186.98</v>
      </c>
      <c r="M2623" s="1">
        <v>46157</v>
      </c>
      <c r="N2623" t="s">
        <v>79</v>
      </c>
      <c r="O2623">
        <v>15</v>
      </c>
      <c r="P2623">
        <v>5</v>
      </c>
      <c r="Q2623">
        <v>2</v>
      </c>
      <c r="R2623">
        <v>2026</v>
      </c>
    </row>
    <row r="2624" spans="1:18">
      <c r="A2624">
        <v>935.64</v>
      </c>
      <c r="B2624">
        <v>4</v>
      </c>
      <c r="C2624">
        <v>2623</v>
      </c>
      <c r="D2624" s="2">
        <v>0.94837540509259255</v>
      </c>
      <c r="E2624" t="s">
        <v>2452</v>
      </c>
      <c r="F2624" t="s">
        <v>1151</v>
      </c>
      <c r="G2624" t="s">
        <v>875</v>
      </c>
      <c r="H2624" t="s">
        <v>1236</v>
      </c>
      <c r="I2624" t="s">
        <v>807</v>
      </c>
      <c r="J2624" t="s">
        <v>272</v>
      </c>
      <c r="K2624" t="s">
        <v>55</v>
      </c>
      <c r="L2624">
        <v>233.91</v>
      </c>
      <c r="M2624" s="1">
        <v>46107</v>
      </c>
      <c r="N2624" t="s">
        <v>105</v>
      </c>
      <c r="O2624">
        <v>26</v>
      </c>
      <c r="P2624">
        <v>3</v>
      </c>
      <c r="Q2624">
        <v>1</v>
      </c>
      <c r="R2624">
        <v>2026</v>
      </c>
    </row>
    <row r="2625" spans="1:18">
      <c r="A2625">
        <v>861.8</v>
      </c>
      <c r="B2625">
        <v>4</v>
      </c>
      <c r="C2625">
        <v>2624</v>
      </c>
      <c r="D2625" s="2">
        <v>0.82700702546296301</v>
      </c>
      <c r="E2625" t="s">
        <v>1575</v>
      </c>
      <c r="F2625" t="s">
        <v>1576</v>
      </c>
      <c r="G2625" t="s">
        <v>1577</v>
      </c>
      <c r="H2625" t="s">
        <v>392</v>
      </c>
      <c r="I2625" t="s">
        <v>834</v>
      </c>
      <c r="J2625" t="s">
        <v>395</v>
      </c>
      <c r="K2625" t="s">
        <v>19</v>
      </c>
      <c r="L2625">
        <v>215.45</v>
      </c>
      <c r="M2625" s="1">
        <v>46065</v>
      </c>
      <c r="N2625" t="s">
        <v>105</v>
      </c>
      <c r="O2625">
        <v>12</v>
      </c>
      <c r="P2625">
        <v>2</v>
      </c>
      <c r="Q2625">
        <v>1</v>
      </c>
      <c r="R2625">
        <v>2026</v>
      </c>
    </row>
    <row r="2626" spans="1:18">
      <c r="A2626">
        <v>148.04</v>
      </c>
      <c r="B2626">
        <v>1</v>
      </c>
      <c r="C2626">
        <v>2625</v>
      </c>
      <c r="D2626" s="2">
        <v>0.59934878472222219</v>
      </c>
      <c r="E2626" t="s">
        <v>2242</v>
      </c>
      <c r="F2626" t="s">
        <v>2243</v>
      </c>
      <c r="G2626" t="s">
        <v>1124</v>
      </c>
      <c r="H2626" t="s">
        <v>1626</v>
      </c>
      <c r="I2626" t="s">
        <v>812</v>
      </c>
      <c r="J2626" t="s">
        <v>260</v>
      </c>
      <c r="K2626" t="s">
        <v>46</v>
      </c>
      <c r="L2626">
        <v>148.04</v>
      </c>
      <c r="M2626" s="1">
        <v>45857</v>
      </c>
      <c r="N2626" t="s">
        <v>14</v>
      </c>
      <c r="O2626">
        <v>19</v>
      </c>
      <c r="P2626">
        <v>7</v>
      </c>
      <c r="Q2626">
        <v>3</v>
      </c>
      <c r="R2626">
        <v>2025</v>
      </c>
    </row>
    <row r="2627" spans="1:18">
      <c r="A2627">
        <v>358.64</v>
      </c>
      <c r="B2627">
        <v>2</v>
      </c>
      <c r="C2627">
        <v>2626</v>
      </c>
      <c r="D2627" s="2">
        <v>0.34747400462962963</v>
      </c>
      <c r="E2627" t="s">
        <v>1033</v>
      </c>
      <c r="F2627" t="s">
        <v>1034</v>
      </c>
      <c r="G2627" t="s">
        <v>1035</v>
      </c>
      <c r="H2627" t="s">
        <v>548</v>
      </c>
      <c r="I2627" t="s">
        <v>790</v>
      </c>
      <c r="J2627" t="s">
        <v>174</v>
      </c>
      <c r="K2627" t="s">
        <v>122</v>
      </c>
      <c r="L2627">
        <v>179.32</v>
      </c>
      <c r="M2627" s="1">
        <v>45940</v>
      </c>
      <c r="N2627" t="s">
        <v>79</v>
      </c>
      <c r="O2627">
        <v>10</v>
      </c>
      <c r="P2627">
        <v>10</v>
      </c>
      <c r="Q2627">
        <v>4</v>
      </c>
      <c r="R2627">
        <v>2025</v>
      </c>
    </row>
    <row r="2628" spans="1:18">
      <c r="A2628">
        <v>319.68</v>
      </c>
      <c r="B2628">
        <v>4</v>
      </c>
      <c r="C2628">
        <v>2627</v>
      </c>
      <c r="D2628" s="2">
        <v>0.9641116666666667</v>
      </c>
      <c r="E2628" t="s">
        <v>1352</v>
      </c>
      <c r="F2628" t="s">
        <v>1353</v>
      </c>
      <c r="G2628" t="s">
        <v>1266</v>
      </c>
      <c r="H2628" t="s">
        <v>1239</v>
      </c>
      <c r="I2628" t="s">
        <v>795</v>
      </c>
      <c r="J2628" t="s">
        <v>209</v>
      </c>
      <c r="K2628" t="s">
        <v>25</v>
      </c>
      <c r="L2628">
        <v>79.92</v>
      </c>
      <c r="M2628" s="1">
        <v>46202</v>
      </c>
      <c r="N2628" t="s">
        <v>93</v>
      </c>
      <c r="O2628">
        <v>29</v>
      </c>
      <c r="P2628">
        <v>6</v>
      </c>
      <c r="Q2628">
        <v>2</v>
      </c>
      <c r="R2628">
        <v>2026</v>
      </c>
    </row>
    <row r="2629" spans="1:18">
      <c r="A2629">
        <v>616.6</v>
      </c>
      <c r="B2629">
        <v>4</v>
      </c>
      <c r="C2629">
        <v>2628</v>
      </c>
      <c r="D2629" s="2">
        <v>0.22774781250000001</v>
      </c>
      <c r="E2629" t="s">
        <v>2213</v>
      </c>
      <c r="F2629" t="s">
        <v>2214</v>
      </c>
      <c r="G2629" t="s">
        <v>1556</v>
      </c>
      <c r="H2629" t="s">
        <v>691</v>
      </c>
      <c r="I2629" t="s">
        <v>776</v>
      </c>
      <c r="J2629" t="s">
        <v>599</v>
      </c>
      <c r="K2629" t="s">
        <v>27</v>
      </c>
      <c r="L2629">
        <v>154.15</v>
      </c>
      <c r="M2629" s="1">
        <v>45678</v>
      </c>
      <c r="N2629" t="s">
        <v>48</v>
      </c>
      <c r="O2629">
        <v>21</v>
      </c>
      <c r="P2629">
        <v>1</v>
      </c>
      <c r="Q2629">
        <v>1</v>
      </c>
      <c r="R2629">
        <v>2025</v>
      </c>
    </row>
    <row r="2630" spans="1:18">
      <c r="A2630">
        <v>888.76</v>
      </c>
      <c r="B2630">
        <v>4</v>
      </c>
      <c r="C2630">
        <v>2629</v>
      </c>
      <c r="D2630" s="2">
        <v>6.6255914351851852E-2</v>
      </c>
      <c r="E2630" t="s">
        <v>1068</v>
      </c>
      <c r="F2630" t="s">
        <v>1069</v>
      </c>
      <c r="G2630" t="s">
        <v>1070</v>
      </c>
      <c r="H2630" t="s">
        <v>1071</v>
      </c>
      <c r="I2630" t="s">
        <v>817</v>
      </c>
      <c r="J2630" t="s">
        <v>1082</v>
      </c>
      <c r="K2630" t="s">
        <v>69</v>
      </c>
      <c r="L2630">
        <v>222.19</v>
      </c>
      <c r="M2630" s="1">
        <v>46056</v>
      </c>
      <c r="N2630" t="s">
        <v>48</v>
      </c>
      <c r="O2630">
        <v>3</v>
      </c>
      <c r="P2630">
        <v>2</v>
      </c>
      <c r="Q2630">
        <v>1</v>
      </c>
      <c r="R2630">
        <v>2026</v>
      </c>
    </row>
    <row r="2631" spans="1:18">
      <c r="A2631">
        <v>174.51</v>
      </c>
      <c r="B2631">
        <v>3</v>
      </c>
      <c r="C2631">
        <v>2630</v>
      </c>
      <c r="D2631" s="2">
        <v>0.29151383101851852</v>
      </c>
      <c r="E2631" t="s">
        <v>3191</v>
      </c>
      <c r="F2631" t="s">
        <v>3192</v>
      </c>
      <c r="G2631" t="s">
        <v>1862</v>
      </c>
      <c r="H2631" t="s">
        <v>1465</v>
      </c>
      <c r="I2631" t="s">
        <v>817</v>
      </c>
      <c r="J2631" t="s">
        <v>615</v>
      </c>
      <c r="K2631" t="s">
        <v>100</v>
      </c>
      <c r="L2631">
        <v>58.17</v>
      </c>
      <c r="M2631" s="1">
        <v>45880</v>
      </c>
      <c r="N2631" t="s">
        <v>93</v>
      </c>
      <c r="O2631">
        <v>11</v>
      </c>
      <c r="P2631">
        <v>8</v>
      </c>
      <c r="Q2631">
        <v>3</v>
      </c>
      <c r="R2631">
        <v>2025</v>
      </c>
    </row>
    <row r="2632" spans="1:18">
      <c r="A2632">
        <v>983.16</v>
      </c>
      <c r="B2632">
        <v>4</v>
      </c>
      <c r="C2632">
        <v>2631</v>
      </c>
      <c r="D2632" s="2">
        <v>0.12268695601851852</v>
      </c>
      <c r="E2632" t="s">
        <v>1391</v>
      </c>
      <c r="F2632" t="s">
        <v>1392</v>
      </c>
      <c r="G2632" t="s">
        <v>1231</v>
      </c>
      <c r="H2632" t="s">
        <v>757</v>
      </c>
      <c r="I2632" t="s">
        <v>758</v>
      </c>
      <c r="J2632" t="s">
        <v>344</v>
      </c>
      <c r="K2632" t="s">
        <v>19</v>
      </c>
      <c r="L2632">
        <v>245.79</v>
      </c>
      <c r="M2632" s="1">
        <v>45860</v>
      </c>
      <c r="N2632" t="s">
        <v>48</v>
      </c>
      <c r="O2632">
        <v>22</v>
      </c>
      <c r="P2632">
        <v>7</v>
      </c>
      <c r="Q2632">
        <v>3</v>
      </c>
      <c r="R2632">
        <v>2025</v>
      </c>
    </row>
    <row r="2633" spans="1:18">
      <c r="A2633">
        <v>198.14</v>
      </c>
      <c r="B2633">
        <v>1</v>
      </c>
      <c r="C2633">
        <v>2632</v>
      </c>
      <c r="D2633" s="2">
        <v>0.46162856481481479</v>
      </c>
      <c r="E2633" t="s">
        <v>3442</v>
      </c>
      <c r="F2633" t="s">
        <v>3443</v>
      </c>
      <c r="G2633" t="s">
        <v>1505</v>
      </c>
      <c r="H2633" t="s">
        <v>106</v>
      </c>
      <c r="I2633" t="s">
        <v>896</v>
      </c>
      <c r="J2633" t="s">
        <v>146</v>
      </c>
      <c r="K2633" t="s">
        <v>97</v>
      </c>
      <c r="L2633">
        <v>198.14</v>
      </c>
      <c r="M2633" s="1">
        <v>45713</v>
      </c>
      <c r="N2633" t="s">
        <v>48</v>
      </c>
      <c r="O2633">
        <v>25</v>
      </c>
      <c r="P2633">
        <v>2</v>
      </c>
      <c r="Q2633">
        <v>1</v>
      </c>
      <c r="R2633">
        <v>2025</v>
      </c>
    </row>
    <row r="2634" spans="1:18">
      <c r="A2634">
        <v>904.59999999999991</v>
      </c>
      <c r="B2634">
        <v>5</v>
      </c>
      <c r="C2634">
        <v>2633</v>
      </c>
      <c r="D2634" s="2">
        <v>0.26287030092592595</v>
      </c>
      <c r="E2634" t="s">
        <v>2127</v>
      </c>
      <c r="F2634" t="s">
        <v>2128</v>
      </c>
      <c r="G2634" t="s">
        <v>1050</v>
      </c>
      <c r="H2634" t="s">
        <v>1371</v>
      </c>
      <c r="I2634" t="s">
        <v>786</v>
      </c>
      <c r="J2634" t="s">
        <v>324</v>
      </c>
      <c r="K2634" t="s">
        <v>17</v>
      </c>
      <c r="L2634">
        <v>180.92</v>
      </c>
      <c r="M2634" s="1">
        <v>45629</v>
      </c>
      <c r="N2634" t="s">
        <v>48</v>
      </c>
      <c r="O2634">
        <v>3</v>
      </c>
      <c r="P2634">
        <v>12</v>
      </c>
      <c r="Q2634">
        <v>4</v>
      </c>
      <c r="R2634">
        <v>2024</v>
      </c>
    </row>
    <row r="2635" spans="1:18">
      <c r="A2635">
        <v>323.83999999999997</v>
      </c>
      <c r="B2635">
        <v>2</v>
      </c>
      <c r="C2635">
        <v>2634</v>
      </c>
      <c r="D2635" s="2">
        <v>0.27231895833333336</v>
      </c>
      <c r="E2635" t="s">
        <v>2577</v>
      </c>
      <c r="F2635" t="s">
        <v>2578</v>
      </c>
      <c r="G2635" t="s">
        <v>1508</v>
      </c>
      <c r="H2635" t="s">
        <v>1600</v>
      </c>
      <c r="I2635" t="s">
        <v>768</v>
      </c>
      <c r="J2635" t="s">
        <v>546</v>
      </c>
      <c r="K2635" t="s">
        <v>25</v>
      </c>
      <c r="L2635">
        <v>161.91999999999999</v>
      </c>
      <c r="M2635" s="1">
        <v>45694</v>
      </c>
      <c r="N2635" t="s">
        <v>105</v>
      </c>
      <c r="O2635">
        <v>6</v>
      </c>
      <c r="P2635">
        <v>2</v>
      </c>
      <c r="Q2635">
        <v>1</v>
      </c>
      <c r="R2635">
        <v>2025</v>
      </c>
    </row>
    <row r="2636" spans="1:18">
      <c r="A2636">
        <v>377.79</v>
      </c>
      <c r="B2636">
        <v>3</v>
      </c>
      <c r="C2636">
        <v>2635</v>
      </c>
      <c r="D2636" s="2">
        <v>0.90080396990740741</v>
      </c>
      <c r="E2636" t="s">
        <v>3117</v>
      </c>
      <c r="F2636" t="s">
        <v>3118</v>
      </c>
      <c r="G2636" t="s">
        <v>2103</v>
      </c>
      <c r="H2636" t="s">
        <v>562</v>
      </c>
      <c r="I2636" t="s">
        <v>753</v>
      </c>
      <c r="J2636" t="s">
        <v>533</v>
      </c>
      <c r="K2636" t="s">
        <v>122</v>
      </c>
      <c r="L2636">
        <v>125.93</v>
      </c>
      <c r="M2636" s="1">
        <v>45785</v>
      </c>
      <c r="N2636" t="s">
        <v>105</v>
      </c>
      <c r="O2636">
        <v>8</v>
      </c>
      <c r="P2636">
        <v>5</v>
      </c>
      <c r="Q2636">
        <v>2</v>
      </c>
      <c r="R2636">
        <v>2025</v>
      </c>
    </row>
    <row r="2637" spans="1:18">
      <c r="A2637">
        <v>89.02</v>
      </c>
      <c r="B2637">
        <v>1</v>
      </c>
      <c r="C2637">
        <v>2636</v>
      </c>
      <c r="D2637" s="2">
        <v>0.93766521990740737</v>
      </c>
      <c r="E2637" t="s">
        <v>2706</v>
      </c>
      <c r="F2637" t="s">
        <v>2707</v>
      </c>
      <c r="G2637" t="s">
        <v>1909</v>
      </c>
      <c r="H2637" t="s">
        <v>15</v>
      </c>
      <c r="I2637" t="s">
        <v>834</v>
      </c>
      <c r="J2637" t="s">
        <v>399</v>
      </c>
      <c r="K2637" t="s">
        <v>55</v>
      </c>
      <c r="L2637">
        <v>89.02</v>
      </c>
      <c r="M2637" s="1">
        <v>45626</v>
      </c>
      <c r="N2637" t="s">
        <v>14</v>
      </c>
      <c r="O2637">
        <v>30</v>
      </c>
      <c r="P2637">
        <v>11</v>
      </c>
      <c r="Q2637">
        <v>4</v>
      </c>
      <c r="R2637">
        <v>2024</v>
      </c>
    </row>
    <row r="2638" spans="1:18">
      <c r="A2638">
        <v>529.38</v>
      </c>
      <c r="B2638">
        <v>3</v>
      </c>
      <c r="C2638">
        <v>2637</v>
      </c>
      <c r="D2638" s="2">
        <v>0.64489626157407409</v>
      </c>
      <c r="E2638" t="s">
        <v>3260</v>
      </c>
      <c r="F2638" t="s">
        <v>3261</v>
      </c>
      <c r="G2638" t="s">
        <v>766</v>
      </c>
      <c r="H2638" t="s">
        <v>380</v>
      </c>
      <c r="I2638" t="s">
        <v>896</v>
      </c>
      <c r="J2638" t="s">
        <v>647</v>
      </c>
      <c r="K2638" t="s">
        <v>57</v>
      </c>
      <c r="L2638">
        <v>176.46</v>
      </c>
      <c r="M2638" s="1">
        <v>45902</v>
      </c>
      <c r="N2638" t="s">
        <v>48</v>
      </c>
      <c r="O2638">
        <v>2</v>
      </c>
      <c r="P2638">
        <v>9</v>
      </c>
      <c r="Q2638">
        <v>3</v>
      </c>
      <c r="R2638">
        <v>2025</v>
      </c>
    </row>
    <row r="2639" spans="1:18">
      <c r="A2639">
        <v>732.96</v>
      </c>
      <c r="B2639">
        <v>3</v>
      </c>
      <c r="C2639">
        <v>2638</v>
      </c>
      <c r="D2639" s="2">
        <v>0.47487622685185188</v>
      </c>
      <c r="E2639" t="s">
        <v>1966</v>
      </c>
      <c r="F2639" t="s">
        <v>1967</v>
      </c>
      <c r="G2639" t="s">
        <v>1968</v>
      </c>
      <c r="H2639" t="s">
        <v>1421</v>
      </c>
      <c r="I2639" t="s">
        <v>776</v>
      </c>
      <c r="J2639" t="s">
        <v>613</v>
      </c>
      <c r="K2639" t="s">
        <v>21</v>
      </c>
      <c r="L2639">
        <v>244.32</v>
      </c>
      <c r="M2639" s="1">
        <v>46140</v>
      </c>
      <c r="N2639" t="s">
        <v>48</v>
      </c>
      <c r="O2639">
        <v>28</v>
      </c>
      <c r="P2639">
        <v>4</v>
      </c>
      <c r="Q2639">
        <v>2</v>
      </c>
      <c r="R2639">
        <v>2026</v>
      </c>
    </row>
    <row r="2640" spans="1:18">
      <c r="A2640">
        <v>583.36</v>
      </c>
      <c r="B2640">
        <v>4</v>
      </c>
      <c r="C2640">
        <v>2639</v>
      </c>
      <c r="D2640" s="2">
        <v>0.74634943287037037</v>
      </c>
      <c r="E2640" t="s">
        <v>3191</v>
      </c>
      <c r="F2640" t="s">
        <v>3192</v>
      </c>
      <c r="G2640" t="s">
        <v>1862</v>
      </c>
      <c r="H2640" t="s">
        <v>1465</v>
      </c>
      <c r="I2640" t="s">
        <v>817</v>
      </c>
      <c r="J2640" t="s">
        <v>178</v>
      </c>
      <c r="K2640" t="s">
        <v>122</v>
      </c>
      <c r="L2640">
        <v>145.84</v>
      </c>
      <c r="M2640" s="1">
        <v>45606</v>
      </c>
      <c r="N2640" t="s">
        <v>28</v>
      </c>
      <c r="O2640">
        <v>10</v>
      </c>
      <c r="P2640">
        <v>11</v>
      </c>
      <c r="Q2640">
        <v>4</v>
      </c>
      <c r="R2640">
        <v>2024</v>
      </c>
    </row>
    <row r="2641" spans="1:18">
      <c r="A2641">
        <v>352.92</v>
      </c>
      <c r="B2641">
        <v>2</v>
      </c>
      <c r="C2641">
        <v>2640</v>
      </c>
      <c r="D2641" s="2">
        <v>0.68021829861111116</v>
      </c>
      <c r="E2641" t="s">
        <v>2483</v>
      </c>
      <c r="F2641" t="s">
        <v>2484</v>
      </c>
      <c r="G2641" t="s">
        <v>1155</v>
      </c>
      <c r="H2641" t="s">
        <v>106</v>
      </c>
      <c r="I2641" t="s">
        <v>790</v>
      </c>
      <c r="J2641" t="s">
        <v>647</v>
      </c>
      <c r="K2641" t="s">
        <v>57</v>
      </c>
      <c r="L2641">
        <v>176.46</v>
      </c>
      <c r="M2641" s="1">
        <v>46144</v>
      </c>
      <c r="N2641" t="s">
        <v>14</v>
      </c>
      <c r="O2641">
        <v>2</v>
      </c>
      <c r="P2641">
        <v>5</v>
      </c>
      <c r="Q2641">
        <v>2</v>
      </c>
      <c r="R2641">
        <v>2026</v>
      </c>
    </row>
    <row r="2642" spans="1:18">
      <c r="A2642">
        <v>233.91</v>
      </c>
      <c r="B2642">
        <v>1</v>
      </c>
      <c r="C2642">
        <v>2641</v>
      </c>
      <c r="D2642" s="2">
        <v>0.17655134259259259</v>
      </c>
      <c r="E2642" t="s">
        <v>1969</v>
      </c>
      <c r="F2642" t="s">
        <v>1970</v>
      </c>
      <c r="G2642" t="s">
        <v>1143</v>
      </c>
      <c r="H2642" t="s">
        <v>1841</v>
      </c>
      <c r="I2642" t="s">
        <v>753</v>
      </c>
      <c r="J2642" t="s">
        <v>272</v>
      </c>
      <c r="K2642" t="s">
        <v>55</v>
      </c>
      <c r="L2642">
        <v>233.91</v>
      </c>
      <c r="M2642" s="1">
        <v>46064</v>
      </c>
      <c r="N2642" t="s">
        <v>34</v>
      </c>
      <c r="O2642">
        <v>11</v>
      </c>
      <c r="P2642">
        <v>2</v>
      </c>
      <c r="Q2642">
        <v>1</v>
      </c>
      <c r="R2642">
        <v>2026</v>
      </c>
    </row>
    <row r="2643" spans="1:18">
      <c r="A2643">
        <v>900.2</v>
      </c>
      <c r="B2643">
        <v>4</v>
      </c>
      <c r="C2643">
        <v>2642</v>
      </c>
      <c r="D2643" s="2">
        <v>0.6094655902777778</v>
      </c>
      <c r="E2643" t="s">
        <v>2146</v>
      </c>
      <c r="F2643" t="s">
        <v>2147</v>
      </c>
      <c r="G2643" t="s">
        <v>2148</v>
      </c>
      <c r="H2643" t="s">
        <v>1525</v>
      </c>
      <c r="I2643" t="s">
        <v>763</v>
      </c>
      <c r="J2643" t="s">
        <v>320</v>
      </c>
      <c r="K2643" t="s">
        <v>21</v>
      </c>
      <c r="L2643">
        <v>225.05</v>
      </c>
      <c r="M2643" s="1">
        <v>46019</v>
      </c>
      <c r="N2643" t="s">
        <v>28</v>
      </c>
      <c r="O2643">
        <v>28</v>
      </c>
      <c r="P2643">
        <v>12</v>
      </c>
      <c r="Q2643">
        <v>4</v>
      </c>
      <c r="R2643">
        <v>2025</v>
      </c>
    </row>
    <row r="2644" spans="1:18">
      <c r="A2644">
        <v>34.47</v>
      </c>
      <c r="B2644">
        <v>3</v>
      </c>
      <c r="C2644">
        <v>2643</v>
      </c>
      <c r="D2644" s="2">
        <v>0.2324048263888889</v>
      </c>
      <c r="E2644" t="s">
        <v>2293</v>
      </c>
      <c r="F2644" t="s">
        <v>2294</v>
      </c>
      <c r="G2644" t="s">
        <v>2103</v>
      </c>
      <c r="H2644" t="s">
        <v>879</v>
      </c>
      <c r="I2644" t="s">
        <v>748</v>
      </c>
      <c r="J2644" t="s">
        <v>736</v>
      </c>
      <c r="K2644" t="s">
        <v>122</v>
      </c>
      <c r="L2644">
        <v>11.49</v>
      </c>
      <c r="M2644" s="1">
        <v>45603</v>
      </c>
      <c r="N2644" t="s">
        <v>105</v>
      </c>
      <c r="O2644">
        <v>7</v>
      </c>
      <c r="P2644">
        <v>11</v>
      </c>
      <c r="Q2644">
        <v>4</v>
      </c>
      <c r="R2644">
        <v>2024</v>
      </c>
    </row>
    <row r="2645" spans="1:18">
      <c r="A2645">
        <v>152.89999999999998</v>
      </c>
      <c r="B2645">
        <v>5</v>
      </c>
      <c r="C2645">
        <v>2644</v>
      </c>
      <c r="D2645" s="2">
        <v>0.94165104166666669</v>
      </c>
      <c r="E2645" t="s">
        <v>2336</v>
      </c>
      <c r="F2645" t="s">
        <v>2337</v>
      </c>
      <c r="G2645" t="s">
        <v>2338</v>
      </c>
      <c r="H2645" t="s">
        <v>1811</v>
      </c>
      <c r="I2645" t="s">
        <v>892</v>
      </c>
      <c r="J2645" t="s">
        <v>574</v>
      </c>
      <c r="K2645" t="s">
        <v>19</v>
      </c>
      <c r="L2645">
        <v>30.58</v>
      </c>
      <c r="M2645" s="1">
        <v>45551</v>
      </c>
      <c r="N2645" t="s">
        <v>93</v>
      </c>
      <c r="O2645">
        <v>16</v>
      </c>
      <c r="P2645">
        <v>9</v>
      </c>
      <c r="Q2645">
        <v>3</v>
      </c>
      <c r="R2645">
        <v>2024</v>
      </c>
    </row>
    <row r="2646" spans="1:18">
      <c r="A2646">
        <v>161.91999999999999</v>
      </c>
      <c r="B2646">
        <v>1</v>
      </c>
      <c r="C2646">
        <v>2645</v>
      </c>
      <c r="D2646" s="2">
        <v>0.41679447916666668</v>
      </c>
      <c r="E2646" t="s">
        <v>1147</v>
      </c>
      <c r="F2646" t="s">
        <v>1148</v>
      </c>
      <c r="G2646" t="s">
        <v>1149</v>
      </c>
      <c r="H2646" t="s">
        <v>1071</v>
      </c>
      <c r="I2646" t="s">
        <v>817</v>
      </c>
      <c r="J2646" t="s">
        <v>546</v>
      </c>
      <c r="K2646" t="s">
        <v>25</v>
      </c>
      <c r="L2646">
        <v>161.91999999999999</v>
      </c>
      <c r="M2646" s="1">
        <v>45680</v>
      </c>
      <c r="N2646" t="s">
        <v>105</v>
      </c>
      <c r="O2646">
        <v>23</v>
      </c>
      <c r="P2646">
        <v>1</v>
      </c>
      <c r="Q2646">
        <v>1</v>
      </c>
      <c r="R2646">
        <v>2025</v>
      </c>
    </row>
    <row r="2647" spans="1:18">
      <c r="A2647">
        <v>104.9</v>
      </c>
      <c r="B2647">
        <v>5</v>
      </c>
      <c r="C2647">
        <v>2646</v>
      </c>
      <c r="D2647" s="2">
        <v>0.53873784722222218</v>
      </c>
      <c r="E2647" t="s">
        <v>813</v>
      </c>
      <c r="F2647" t="s">
        <v>814</v>
      </c>
      <c r="G2647" t="s">
        <v>815</v>
      </c>
      <c r="H2647" t="s">
        <v>816</v>
      </c>
      <c r="I2647" t="s">
        <v>817</v>
      </c>
      <c r="J2647" t="s">
        <v>456</v>
      </c>
      <c r="K2647" t="s">
        <v>19</v>
      </c>
      <c r="L2647">
        <v>20.98</v>
      </c>
      <c r="M2647" s="1">
        <v>45926</v>
      </c>
      <c r="N2647" t="s">
        <v>79</v>
      </c>
      <c r="O2647">
        <v>26</v>
      </c>
      <c r="P2647">
        <v>9</v>
      </c>
      <c r="Q2647">
        <v>3</v>
      </c>
      <c r="R2647">
        <v>2025</v>
      </c>
    </row>
    <row r="2648" spans="1:18">
      <c r="A2648">
        <v>680.91</v>
      </c>
      <c r="B2648">
        <v>3</v>
      </c>
      <c r="C2648">
        <v>2647</v>
      </c>
      <c r="D2648" s="2">
        <v>7.3948692129629623E-2</v>
      </c>
      <c r="E2648" t="s">
        <v>1486</v>
      </c>
      <c r="F2648" t="s">
        <v>1487</v>
      </c>
      <c r="G2648" t="s">
        <v>1042</v>
      </c>
      <c r="H2648" t="s">
        <v>196</v>
      </c>
      <c r="I2648" t="s">
        <v>830</v>
      </c>
      <c r="J2648" t="s">
        <v>283</v>
      </c>
      <c r="K2648" t="s">
        <v>100</v>
      </c>
      <c r="L2648">
        <v>226.97</v>
      </c>
      <c r="M2648" s="1">
        <v>45661</v>
      </c>
      <c r="N2648" t="s">
        <v>14</v>
      </c>
      <c r="O2648">
        <v>4</v>
      </c>
      <c r="P2648">
        <v>1</v>
      </c>
      <c r="Q2648">
        <v>1</v>
      </c>
      <c r="R2648">
        <v>2025</v>
      </c>
    </row>
    <row r="2649" spans="1:18">
      <c r="A2649">
        <v>565.04999999999995</v>
      </c>
      <c r="B2649">
        <v>3</v>
      </c>
      <c r="C2649">
        <v>2648</v>
      </c>
      <c r="D2649" s="2">
        <v>0.18188753472222222</v>
      </c>
      <c r="E2649" t="s">
        <v>2266</v>
      </c>
      <c r="F2649" t="s">
        <v>2267</v>
      </c>
      <c r="G2649" t="s">
        <v>1440</v>
      </c>
      <c r="H2649" t="s">
        <v>1469</v>
      </c>
      <c r="I2649" t="s">
        <v>908</v>
      </c>
      <c r="J2649" t="s">
        <v>699</v>
      </c>
      <c r="K2649" t="s">
        <v>100</v>
      </c>
      <c r="L2649">
        <v>188.35</v>
      </c>
      <c r="M2649" s="1">
        <v>45729</v>
      </c>
      <c r="N2649" t="s">
        <v>105</v>
      </c>
      <c r="O2649">
        <v>13</v>
      </c>
      <c r="P2649">
        <v>3</v>
      </c>
      <c r="Q2649">
        <v>1</v>
      </c>
      <c r="R2649">
        <v>2025</v>
      </c>
    </row>
    <row r="2650" spans="1:18">
      <c r="A2650">
        <v>169.17000000000002</v>
      </c>
      <c r="B2650">
        <v>3</v>
      </c>
      <c r="C2650">
        <v>2649</v>
      </c>
      <c r="D2650" s="2">
        <v>0.84186729166666663</v>
      </c>
      <c r="E2650" t="s">
        <v>1627</v>
      </c>
      <c r="F2650" t="s">
        <v>1628</v>
      </c>
      <c r="G2650" t="s">
        <v>1629</v>
      </c>
      <c r="H2650" t="s">
        <v>1630</v>
      </c>
      <c r="I2650" t="s">
        <v>763</v>
      </c>
      <c r="J2650" t="s">
        <v>308</v>
      </c>
      <c r="K2650" t="s">
        <v>19</v>
      </c>
      <c r="L2650">
        <v>56.39</v>
      </c>
      <c r="M2650" s="1">
        <v>45843</v>
      </c>
      <c r="N2650" t="s">
        <v>14</v>
      </c>
      <c r="O2650">
        <v>5</v>
      </c>
      <c r="P2650">
        <v>7</v>
      </c>
      <c r="Q2650">
        <v>3</v>
      </c>
      <c r="R2650">
        <v>2025</v>
      </c>
    </row>
    <row r="2651" spans="1:18">
      <c r="A2651">
        <v>122.08</v>
      </c>
      <c r="B2651">
        <v>1</v>
      </c>
      <c r="C2651">
        <v>2650</v>
      </c>
      <c r="D2651" s="2">
        <v>0.81655422453703708</v>
      </c>
      <c r="E2651" t="s">
        <v>1422</v>
      </c>
      <c r="F2651" t="s">
        <v>1423</v>
      </c>
      <c r="G2651" t="s">
        <v>1424</v>
      </c>
      <c r="H2651" t="s">
        <v>1039</v>
      </c>
      <c r="I2651" t="s">
        <v>758</v>
      </c>
      <c r="J2651" t="s">
        <v>646</v>
      </c>
      <c r="K2651" t="s">
        <v>21</v>
      </c>
      <c r="L2651">
        <v>122.08</v>
      </c>
      <c r="M2651" s="1">
        <v>45729</v>
      </c>
      <c r="N2651" t="s">
        <v>105</v>
      </c>
      <c r="O2651">
        <v>13</v>
      </c>
      <c r="P2651">
        <v>3</v>
      </c>
      <c r="Q2651">
        <v>1</v>
      </c>
      <c r="R2651">
        <v>2025</v>
      </c>
    </row>
    <row r="2652" spans="1:18">
      <c r="A2652">
        <v>125.93</v>
      </c>
      <c r="B2652">
        <v>1</v>
      </c>
      <c r="C2652">
        <v>2651</v>
      </c>
      <c r="D2652" s="2">
        <v>0.28202359953703704</v>
      </c>
      <c r="E2652" t="s">
        <v>2575</v>
      </c>
      <c r="F2652" t="s">
        <v>2576</v>
      </c>
      <c r="G2652" t="s">
        <v>875</v>
      </c>
      <c r="H2652" t="s">
        <v>907</v>
      </c>
      <c r="I2652" t="s">
        <v>908</v>
      </c>
      <c r="J2652" t="s">
        <v>533</v>
      </c>
      <c r="K2652" t="s">
        <v>122</v>
      </c>
      <c r="L2652">
        <v>125.93</v>
      </c>
      <c r="M2652" s="1">
        <v>46193</v>
      </c>
      <c r="N2652" t="s">
        <v>14</v>
      </c>
      <c r="O2652">
        <v>20</v>
      </c>
      <c r="P2652">
        <v>6</v>
      </c>
      <c r="Q2652">
        <v>2</v>
      </c>
      <c r="R2652">
        <v>2026</v>
      </c>
    </row>
    <row r="2653" spans="1:18">
      <c r="A2653">
        <v>176.34</v>
      </c>
      <c r="B2653">
        <v>2</v>
      </c>
      <c r="C2653">
        <v>2652</v>
      </c>
      <c r="D2653" s="2">
        <v>0.72105112268518523</v>
      </c>
      <c r="E2653" t="s">
        <v>1248</v>
      </c>
      <c r="F2653" t="s">
        <v>1249</v>
      </c>
      <c r="G2653" t="s">
        <v>861</v>
      </c>
      <c r="H2653" t="s">
        <v>1032</v>
      </c>
      <c r="I2653" t="s">
        <v>839</v>
      </c>
      <c r="J2653" t="s">
        <v>177</v>
      </c>
      <c r="K2653" t="s">
        <v>17</v>
      </c>
      <c r="L2653">
        <v>88.17</v>
      </c>
      <c r="M2653" s="1">
        <v>46002</v>
      </c>
      <c r="N2653" t="s">
        <v>105</v>
      </c>
      <c r="O2653">
        <v>11</v>
      </c>
      <c r="P2653">
        <v>12</v>
      </c>
      <c r="Q2653">
        <v>4</v>
      </c>
      <c r="R2653">
        <v>2025</v>
      </c>
    </row>
    <row r="2654" spans="1:18">
      <c r="A2654">
        <v>360.28</v>
      </c>
      <c r="B2654">
        <v>4</v>
      </c>
      <c r="C2654">
        <v>2653</v>
      </c>
      <c r="D2654" s="2">
        <v>0.67273393518518521</v>
      </c>
      <c r="E2654" t="s">
        <v>2501</v>
      </c>
      <c r="F2654" t="s">
        <v>2502</v>
      </c>
      <c r="G2654" t="s">
        <v>2503</v>
      </c>
      <c r="H2654" t="s">
        <v>548</v>
      </c>
      <c r="I2654" t="s">
        <v>790</v>
      </c>
      <c r="J2654" t="s">
        <v>707</v>
      </c>
      <c r="K2654" t="s">
        <v>23</v>
      </c>
      <c r="L2654">
        <v>90.07</v>
      </c>
      <c r="M2654" s="1">
        <v>45822</v>
      </c>
      <c r="N2654" t="s">
        <v>14</v>
      </c>
      <c r="O2654">
        <v>14</v>
      </c>
      <c r="P2654">
        <v>6</v>
      </c>
      <c r="Q2654">
        <v>2</v>
      </c>
      <c r="R2654">
        <v>2025</v>
      </c>
    </row>
    <row r="2655" spans="1:18">
      <c r="A2655">
        <v>191.82</v>
      </c>
      <c r="B2655">
        <v>1</v>
      </c>
      <c r="C2655">
        <v>2654</v>
      </c>
      <c r="D2655" s="2">
        <v>0.77042553240740741</v>
      </c>
      <c r="E2655" t="s">
        <v>2104</v>
      </c>
      <c r="F2655" t="s">
        <v>2105</v>
      </c>
      <c r="G2655" t="s">
        <v>991</v>
      </c>
      <c r="H2655" t="s">
        <v>29</v>
      </c>
      <c r="I2655" t="s">
        <v>821</v>
      </c>
      <c r="J2655" t="s">
        <v>584</v>
      </c>
      <c r="K2655" t="s">
        <v>19</v>
      </c>
      <c r="L2655">
        <v>191.82</v>
      </c>
      <c r="M2655" s="1">
        <v>46233</v>
      </c>
      <c r="N2655" t="s">
        <v>105</v>
      </c>
      <c r="O2655">
        <v>30</v>
      </c>
      <c r="P2655">
        <v>7</v>
      </c>
      <c r="Q2655">
        <v>3</v>
      </c>
      <c r="R2655">
        <v>2026</v>
      </c>
    </row>
    <row r="2656" spans="1:18">
      <c r="A2656">
        <v>401.13</v>
      </c>
      <c r="B2656">
        <v>3</v>
      </c>
      <c r="C2656">
        <v>2655</v>
      </c>
      <c r="D2656" s="2">
        <v>0.44485237268518518</v>
      </c>
      <c r="E2656" t="s">
        <v>1694</v>
      </c>
      <c r="F2656" t="s">
        <v>1695</v>
      </c>
      <c r="G2656" t="s">
        <v>1110</v>
      </c>
      <c r="H2656" t="s">
        <v>965</v>
      </c>
      <c r="I2656" t="s">
        <v>839</v>
      </c>
      <c r="J2656" t="s">
        <v>539</v>
      </c>
      <c r="K2656" t="s">
        <v>69</v>
      </c>
      <c r="L2656">
        <v>133.71</v>
      </c>
      <c r="M2656" s="1">
        <v>45919</v>
      </c>
      <c r="N2656" t="s">
        <v>79</v>
      </c>
      <c r="O2656">
        <v>19</v>
      </c>
      <c r="P2656">
        <v>9</v>
      </c>
      <c r="Q2656">
        <v>3</v>
      </c>
      <c r="R2656">
        <v>2025</v>
      </c>
    </row>
    <row r="2657" spans="1:18">
      <c r="A2657">
        <v>143.24</v>
      </c>
      <c r="B2657">
        <v>2</v>
      </c>
      <c r="C2657">
        <v>2656</v>
      </c>
      <c r="D2657" s="2">
        <v>0.89855597222222228</v>
      </c>
      <c r="E2657" t="s">
        <v>1284</v>
      </c>
      <c r="F2657" t="s">
        <v>1285</v>
      </c>
      <c r="G2657" t="s">
        <v>1286</v>
      </c>
      <c r="H2657" t="s">
        <v>199</v>
      </c>
      <c r="I2657" t="s">
        <v>781</v>
      </c>
      <c r="J2657" t="s">
        <v>680</v>
      </c>
      <c r="K2657" t="s">
        <v>69</v>
      </c>
      <c r="L2657">
        <v>71.62</v>
      </c>
      <c r="M2657" s="1">
        <v>45652</v>
      </c>
      <c r="N2657" t="s">
        <v>105</v>
      </c>
      <c r="O2657">
        <v>26</v>
      </c>
      <c r="P2657">
        <v>12</v>
      </c>
      <c r="Q2657">
        <v>4</v>
      </c>
      <c r="R2657">
        <v>2024</v>
      </c>
    </row>
    <row r="2658" spans="1:18">
      <c r="A2658">
        <v>571.83000000000004</v>
      </c>
      <c r="B2658">
        <v>3</v>
      </c>
      <c r="C2658">
        <v>2657</v>
      </c>
      <c r="D2658" s="2">
        <v>0.5290546064814815</v>
      </c>
      <c r="E2658" t="s">
        <v>1560</v>
      </c>
      <c r="F2658" t="s">
        <v>1561</v>
      </c>
      <c r="G2658" t="s">
        <v>1562</v>
      </c>
      <c r="H2658" t="s">
        <v>151</v>
      </c>
      <c r="I2658" t="s">
        <v>1003</v>
      </c>
      <c r="J2658" t="s">
        <v>156</v>
      </c>
      <c r="K2658" t="s">
        <v>57</v>
      </c>
      <c r="L2658">
        <v>190.61</v>
      </c>
      <c r="M2658" s="1">
        <v>45970</v>
      </c>
      <c r="N2658" t="s">
        <v>28</v>
      </c>
      <c r="O2658">
        <v>9</v>
      </c>
      <c r="P2658">
        <v>11</v>
      </c>
      <c r="Q2658">
        <v>4</v>
      </c>
      <c r="R2658">
        <v>2025</v>
      </c>
    </row>
    <row r="2659" spans="1:18">
      <c r="A2659">
        <v>35.229999999999997</v>
      </c>
      <c r="B2659">
        <v>1</v>
      </c>
      <c r="C2659">
        <v>2658</v>
      </c>
      <c r="D2659" s="2">
        <v>0.45508379629629631</v>
      </c>
      <c r="E2659" t="s">
        <v>1214</v>
      </c>
      <c r="F2659" t="s">
        <v>1215</v>
      </c>
      <c r="G2659" t="s">
        <v>1216</v>
      </c>
      <c r="H2659" t="s">
        <v>199</v>
      </c>
      <c r="I2659" t="s">
        <v>781</v>
      </c>
      <c r="J2659" t="s">
        <v>261</v>
      </c>
      <c r="K2659" t="s">
        <v>31</v>
      </c>
      <c r="L2659">
        <v>35.229999999999997</v>
      </c>
      <c r="M2659" s="1">
        <v>45920</v>
      </c>
      <c r="N2659" t="s">
        <v>14</v>
      </c>
      <c r="O2659">
        <v>20</v>
      </c>
      <c r="P2659">
        <v>9</v>
      </c>
      <c r="Q2659">
        <v>3</v>
      </c>
      <c r="R2659">
        <v>2025</v>
      </c>
    </row>
    <row r="2660" spans="1:18">
      <c r="A2660">
        <v>42.36</v>
      </c>
      <c r="B2660">
        <v>2</v>
      </c>
      <c r="C2660">
        <v>2659</v>
      </c>
      <c r="D2660" s="2">
        <v>0.78886629629629634</v>
      </c>
      <c r="E2660" t="s">
        <v>1735</v>
      </c>
      <c r="F2660" t="s">
        <v>1736</v>
      </c>
      <c r="G2660" t="s">
        <v>857</v>
      </c>
      <c r="H2660" t="s">
        <v>980</v>
      </c>
      <c r="I2660" t="s">
        <v>981</v>
      </c>
      <c r="J2660" t="s">
        <v>530</v>
      </c>
      <c r="K2660" t="s">
        <v>37</v>
      </c>
      <c r="L2660">
        <v>21.18</v>
      </c>
      <c r="M2660" s="1">
        <v>45595</v>
      </c>
      <c r="N2660" t="s">
        <v>34</v>
      </c>
      <c r="O2660">
        <v>30</v>
      </c>
      <c r="P2660">
        <v>10</v>
      </c>
      <c r="Q2660">
        <v>4</v>
      </c>
      <c r="R2660">
        <v>2024</v>
      </c>
    </row>
    <row r="2661" spans="1:18">
      <c r="A2661">
        <v>414.64</v>
      </c>
      <c r="B2661">
        <v>4</v>
      </c>
      <c r="C2661">
        <v>2660</v>
      </c>
      <c r="D2661" s="2">
        <v>0.23858912037037036</v>
      </c>
      <c r="E2661" t="s">
        <v>1750</v>
      </c>
      <c r="F2661" t="s">
        <v>1751</v>
      </c>
      <c r="G2661" t="s">
        <v>771</v>
      </c>
      <c r="H2661" t="s">
        <v>780</v>
      </c>
      <c r="I2661" t="s">
        <v>781</v>
      </c>
      <c r="J2661" t="s">
        <v>193</v>
      </c>
      <c r="K2661" t="s">
        <v>55</v>
      </c>
      <c r="L2661">
        <v>103.66</v>
      </c>
      <c r="M2661" s="1">
        <v>45661</v>
      </c>
      <c r="N2661" t="s">
        <v>14</v>
      </c>
      <c r="O2661">
        <v>4</v>
      </c>
      <c r="P2661">
        <v>1</v>
      </c>
      <c r="Q2661">
        <v>1</v>
      </c>
      <c r="R2661">
        <v>2025</v>
      </c>
    </row>
    <row r="2662" spans="1:18">
      <c r="A2662">
        <v>92.68</v>
      </c>
      <c r="B2662">
        <v>4</v>
      </c>
      <c r="C2662">
        <v>2661</v>
      </c>
      <c r="D2662" s="2">
        <v>0.27594677083333335</v>
      </c>
      <c r="E2662" t="s">
        <v>2352</v>
      </c>
      <c r="F2662" t="s">
        <v>2353</v>
      </c>
      <c r="G2662" t="s">
        <v>2354</v>
      </c>
      <c r="H2662" t="s">
        <v>635</v>
      </c>
      <c r="I2662" t="s">
        <v>768</v>
      </c>
      <c r="J2662" t="s">
        <v>726</v>
      </c>
      <c r="K2662" t="s">
        <v>100</v>
      </c>
      <c r="L2662">
        <v>23.17</v>
      </c>
      <c r="M2662" s="1">
        <v>45613</v>
      </c>
      <c r="N2662" t="s">
        <v>28</v>
      </c>
      <c r="O2662">
        <v>17</v>
      </c>
      <c r="P2662">
        <v>11</v>
      </c>
      <c r="Q2662">
        <v>4</v>
      </c>
      <c r="R2662">
        <v>2024</v>
      </c>
    </row>
    <row r="2663" spans="1:18">
      <c r="A2663">
        <v>159.36000000000001</v>
      </c>
      <c r="B2663">
        <v>2</v>
      </c>
      <c r="C2663">
        <v>2662</v>
      </c>
      <c r="D2663" s="2">
        <v>0.45682398148148146</v>
      </c>
      <c r="E2663" t="s">
        <v>986</v>
      </c>
      <c r="F2663" t="s">
        <v>987</v>
      </c>
      <c r="G2663" t="s">
        <v>988</v>
      </c>
      <c r="H2663" t="s">
        <v>708</v>
      </c>
      <c r="I2663" t="s">
        <v>834</v>
      </c>
      <c r="J2663" t="s">
        <v>565</v>
      </c>
      <c r="K2663" t="s">
        <v>17</v>
      </c>
      <c r="L2663">
        <v>79.680000000000007</v>
      </c>
      <c r="M2663" s="1">
        <v>46202</v>
      </c>
      <c r="N2663" t="s">
        <v>93</v>
      </c>
      <c r="O2663">
        <v>29</v>
      </c>
      <c r="P2663">
        <v>6</v>
      </c>
      <c r="Q2663">
        <v>2</v>
      </c>
      <c r="R2663">
        <v>2026</v>
      </c>
    </row>
    <row r="2664" spans="1:18">
      <c r="A2664">
        <v>675.15000000000009</v>
      </c>
      <c r="B2664">
        <v>3</v>
      </c>
      <c r="C2664">
        <v>2663</v>
      </c>
      <c r="D2664" s="2">
        <v>0.73719740740740736</v>
      </c>
      <c r="E2664" t="s">
        <v>2669</v>
      </c>
      <c r="F2664" t="s">
        <v>2670</v>
      </c>
      <c r="G2664" t="s">
        <v>1025</v>
      </c>
      <c r="H2664" t="s">
        <v>942</v>
      </c>
      <c r="I2664" t="s">
        <v>943</v>
      </c>
      <c r="J2664" t="s">
        <v>320</v>
      </c>
      <c r="K2664" t="s">
        <v>21</v>
      </c>
      <c r="L2664">
        <v>225.05</v>
      </c>
      <c r="M2664" s="1">
        <v>45855</v>
      </c>
      <c r="N2664" t="s">
        <v>105</v>
      </c>
      <c r="O2664">
        <v>17</v>
      </c>
      <c r="P2664">
        <v>7</v>
      </c>
      <c r="Q2664">
        <v>3</v>
      </c>
      <c r="R2664">
        <v>2025</v>
      </c>
    </row>
    <row r="2665" spans="1:18">
      <c r="A2665">
        <v>216.1</v>
      </c>
      <c r="B2665">
        <v>2</v>
      </c>
      <c r="C2665">
        <v>2664</v>
      </c>
      <c r="D2665" s="2">
        <v>0.57406174768518514</v>
      </c>
      <c r="E2665" t="s">
        <v>1806</v>
      </c>
      <c r="F2665" t="s">
        <v>1807</v>
      </c>
      <c r="G2665" t="s">
        <v>1235</v>
      </c>
      <c r="H2665" t="s">
        <v>1061</v>
      </c>
      <c r="I2665" t="s">
        <v>834</v>
      </c>
      <c r="J2665" t="s">
        <v>682</v>
      </c>
      <c r="K2665" t="s">
        <v>23</v>
      </c>
      <c r="L2665">
        <v>108.05</v>
      </c>
      <c r="M2665" s="1">
        <v>45987</v>
      </c>
      <c r="N2665" t="s">
        <v>34</v>
      </c>
      <c r="O2665">
        <v>26</v>
      </c>
      <c r="P2665">
        <v>11</v>
      </c>
      <c r="Q2665">
        <v>4</v>
      </c>
      <c r="R2665">
        <v>2025</v>
      </c>
    </row>
    <row r="2666" spans="1:18">
      <c r="A2666">
        <v>114.86</v>
      </c>
      <c r="B2666">
        <v>2</v>
      </c>
      <c r="C2666">
        <v>2665</v>
      </c>
      <c r="D2666" s="2">
        <v>0.69662035879629625</v>
      </c>
      <c r="E2666" t="s">
        <v>1029</v>
      </c>
      <c r="F2666" t="s">
        <v>1030</v>
      </c>
      <c r="G2666" t="s">
        <v>1031</v>
      </c>
      <c r="H2666" t="s">
        <v>1032</v>
      </c>
      <c r="I2666" t="s">
        <v>839</v>
      </c>
      <c r="J2666" t="s">
        <v>730</v>
      </c>
      <c r="K2666" t="s">
        <v>51</v>
      </c>
      <c r="L2666">
        <v>57.43</v>
      </c>
      <c r="M2666" s="1">
        <v>45858</v>
      </c>
      <c r="N2666" t="s">
        <v>28</v>
      </c>
      <c r="O2666">
        <v>20</v>
      </c>
      <c r="P2666">
        <v>7</v>
      </c>
      <c r="Q2666">
        <v>3</v>
      </c>
      <c r="R2666">
        <v>2025</v>
      </c>
    </row>
    <row r="2667" spans="1:18">
      <c r="A2667">
        <v>583.36</v>
      </c>
      <c r="B2667">
        <v>4</v>
      </c>
      <c r="C2667">
        <v>2666</v>
      </c>
      <c r="D2667" s="2">
        <v>5.7852256944444444E-2</v>
      </c>
      <c r="E2667" t="s">
        <v>1960</v>
      </c>
      <c r="F2667" t="s">
        <v>1961</v>
      </c>
      <c r="G2667" t="s">
        <v>1962</v>
      </c>
      <c r="H2667" t="s">
        <v>1089</v>
      </c>
      <c r="I2667" t="s">
        <v>812</v>
      </c>
      <c r="J2667" t="s">
        <v>178</v>
      </c>
      <c r="K2667" t="s">
        <v>122</v>
      </c>
      <c r="L2667">
        <v>145.84</v>
      </c>
      <c r="M2667" s="1">
        <v>46218</v>
      </c>
      <c r="N2667" t="s">
        <v>34</v>
      </c>
      <c r="O2667">
        <v>15</v>
      </c>
      <c r="P2667">
        <v>7</v>
      </c>
      <c r="Q2667">
        <v>3</v>
      </c>
      <c r="R2667">
        <v>2026</v>
      </c>
    </row>
    <row r="2668" spans="1:18">
      <c r="A2668">
        <v>90.62</v>
      </c>
      <c r="B2668">
        <v>2</v>
      </c>
      <c r="C2668">
        <v>2667</v>
      </c>
      <c r="D2668" s="2">
        <v>0.23736511574074073</v>
      </c>
      <c r="E2668" t="s">
        <v>1845</v>
      </c>
      <c r="F2668" t="s">
        <v>1846</v>
      </c>
      <c r="G2668" t="s">
        <v>1263</v>
      </c>
      <c r="H2668" t="s">
        <v>953</v>
      </c>
      <c r="I2668" t="s">
        <v>954</v>
      </c>
      <c r="J2668" t="s">
        <v>537</v>
      </c>
      <c r="K2668" t="s">
        <v>31</v>
      </c>
      <c r="L2668">
        <v>45.31</v>
      </c>
      <c r="M2668" s="1">
        <v>45755</v>
      </c>
      <c r="N2668" t="s">
        <v>48</v>
      </c>
      <c r="O2668">
        <v>8</v>
      </c>
      <c r="P2668">
        <v>4</v>
      </c>
      <c r="Q2668">
        <v>2</v>
      </c>
      <c r="R2668">
        <v>2025</v>
      </c>
    </row>
    <row r="2669" spans="1:18">
      <c r="A2669">
        <v>273.04000000000002</v>
      </c>
      <c r="B2669">
        <v>4</v>
      </c>
      <c r="C2669">
        <v>2668</v>
      </c>
      <c r="D2669" s="2">
        <v>4.2751319444444442E-2</v>
      </c>
      <c r="E2669" t="s">
        <v>1743</v>
      </c>
      <c r="F2669" t="s">
        <v>1744</v>
      </c>
      <c r="G2669" t="s">
        <v>1745</v>
      </c>
      <c r="H2669" t="s">
        <v>666</v>
      </c>
      <c r="I2669" t="s">
        <v>954</v>
      </c>
      <c r="J2669" t="s">
        <v>306</v>
      </c>
      <c r="K2669" t="s">
        <v>39</v>
      </c>
      <c r="L2669">
        <v>68.260000000000005</v>
      </c>
      <c r="M2669" s="1">
        <v>45893</v>
      </c>
      <c r="N2669" t="s">
        <v>28</v>
      </c>
      <c r="O2669">
        <v>24</v>
      </c>
      <c r="P2669">
        <v>8</v>
      </c>
      <c r="Q2669">
        <v>3</v>
      </c>
      <c r="R2669">
        <v>2025</v>
      </c>
    </row>
    <row r="2670" spans="1:18">
      <c r="A2670">
        <v>740.46</v>
      </c>
      <c r="B2670">
        <v>3</v>
      </c>
      <c r="C2670">
        <v>2669</v>
      </c>
      <c r="D2670" s="2">
        <v>0.93758619212962968</v>
      </c>
      <c r="E2670" t="s">
        <v>859</v>
      </c>
      <c r="F2670" t="s">
        <v>860</v>
      </c>
      <c r="G2670" t="s">
        <v>861</v>
      </c>
      <c r="H2670" t="s">
        <v>862</v>
      </c>
      <c r="I2670" t="s">
        <v>758</v>
      </c>
      <c r="J2670" t="s">
        <v>369</v>
      </c>
      <c r="K2670" t="s">
        <v>43</v>
      </c>
      <c r="L2670">
        <v>246.82</v>
      </c>
      <c r="M2670" s="1">
        <v>46176</v>
      </c>
      <c r="N2670" t="s">
        <v>34</v>
      </c>
      <c r="O2670">
        <v>3</v>
      </c>
      <c r="P2670">
        <v>6</v>
      </c>
      <c r="Q2670">
        <v>2</v>
      </c>
      <c r="R2670">
        <v>2026</v>
      </c>
    </row>
    <row r="2671" spans="1:18">
      <c r="A2671">
        <v>150.58000000000001</v>
      </c>
      <c r="B2671">
        <v>1</v>
      </c>
      <c r="C2671">
        <v>2670</v>
      </c>
      <c r="D2671" s="2">
        <v>0.65375252314814813</v>
      </c>
      <c r="E2671" t="s">
        <v>2514</v>
      </c>
      <c r="F2671" t="s">
        <v>2515</v>
      </c>
      <c r="G2671" t="s">
        <v>2114</v>
      </c>
      <c r="H2671" t="s">
        <v>106</v>
      </c>
      <c r="I2671" t="s">
        <v>790</v>
      </c>
      <c r="J2671" t="s">
        <v>398</v>
      </c>
      <c r="K2671" t="s">
        <v>27</v>
      </c>
      <c r="L2671">
        <v>150.58000000000001</v>
      </c>
      <c r="M2671" s="1">
        <v>46089</v>
      </c>
      <c r="N2671" t="s">
        <v>28</v>
      </c>
      <c r="O2671">
        <v>8</v>
      </c>
      <c r="P2671">
        <v>3</v>
      </c>
      <c r="Q2671">
        <v>1</v>
      </c>
      <c r="R2671">
        <v>2026</v>
      </c>
    </row>
    <row r="2672" spans="1:18">
      <c r="A2672">
        <v>534.84</v>
      </c>
      <c r="B2672">
        <v>4</v>
      </c>
      <c r="C2672">
        <v>2671</v>
      </c>
      <c r="D2672" s="2">
        <v>0.37071043981481483</v>
      </c>
      <c r="E2672" t="s">
        <v>1180</v>
      </c>
      <c r="F2672" t="s">
        <v>1181</v>
      </c>
      <c r="G2672" t="s">
        <v>1182</v>
      </c>
      <c r="H2672" t="s">
        <v>953</v>
      </c>
      <c r="I2672" t="s">
        <v>954</v>
      </c>
      <c r="J2672" t="s">
        <v>539</v>
      </c>
      <c r="K2672" t="s">
        <v>69</v>
      </c>
      <c r="L2672">
        <v>133.71</v>
      </c>
      <c r="M2672" s="1">
        <v>45922</v>
      </c>
      <c r="N2672" t="s">
        <v>93</v>
      </c>
      <c r="O2672">
        <v>22</v>
      </c>
      <c r="P2672">
        <v>9</v>
      </c>
      <c r="Q2672">
        <v>3</v>
      </c>
      <c r="R2672">
        <v>2025</v>
      </c>
    </row>
    <row r="2673" spans="1:18">
      <c r="A2673">
        <v>251.12</v>
      </c>
      <c r="B2673">
        <v>2</v>
      </c>
      <c r="C2673">
        <v>2672</v>
      </c>
      <c r="D2673" s="2">
        <v>0.39277306712962962</v>
      </c>
      <c r="E2673" t="s">
        <v>3106</v>
      </c>
      <c r="F2673" t="s">
        <v>3107</v>
      </c>
      <c r="G2673" t="s">
        <v>2476</v>
      </c>
      <c r="H2673" t="s">
        <v>1722</v>
      </c>
      <c r="I2673" t="s">
        <v>954</v>
      </c>
      <c r="J2673" t="s">
        <v>87</v>
      </c>
      <c r="K2673" t="s">
        <v>39</v>
      </c>
      <c r="L2673">
        <v>125.56</v>
      </c>
      <c r="M2673" s="1">
        <v>45976</v>
      </c>
      <c r="N2673" t="s">
        <v>14</v>
      </c>
      <c r="O2673">
        <v>15</v>
      </c>
      <c r="P2673">
        <v>11</v>
      </c>
      <c r="Q2673">
        <v>4</v>
      </c>
      <c r="R2673">
        <v>2025</v>
      </c>
    </row>
    <row r="2674" spans="1:18">
      <c r="A2674">
        <v>90.87</v>
      </c>
      <c r="B2674">
        <v>1</v>
      </c>
      <c r="C2674">
        <v>2673</v>
      </c>
      <c r="D2674" s="2">
        <v>0.42432616898148146</v>
      </c>
      <c r="E2674" t="s">
        <v>3389</v>
      </c>
      <c r="F2674" t="s">
        <v>3390</v>
      </c>
      <c r="G2674" t="s">
        <v>3391</v>
      </c>
      <c r="H2674" t="s">
        <v>794</v>
      </c>
      <c r="I2674" t="s">
        <v>821</v>
      </c>
      <c r="J2674" t="s">
        <v>470</v>
      </c>
      <c r="K2674" t="s">
        <v>39</v>
      </c>
      <c r="L2674">
        <v>90.87</v>
      </c>
      <c r="M2674" s="1">
        <v>45859</v>
      </c>
      <c r="N2674" t="s">
        <v>93</v>
      </c>
      <c r="O2674">
        <v>21</v>
      </c>
      <c r="P2674">
        <v>7</v>
      </c>
      <c r="Q2674">
        <v>3</v>
      </c>
      <c r="R2674">
        <v>2025</v>
      </c>
    </row>
    <row r="2675" spans="1:18">
      <c r="A2675">
        <v>9.19</v>
      </c>
      <c r="B2675">
        <v>1</v>
      </c>
      <c r="C2675">
        <v>2674</v>
      </c>
      <c r="D2675" s="2">
        <v>0.25285487268518519</v>
      </c>
      <c r="E2675" t="s">
        <v>2762</v>
      </c>
      <c r="F2675" t="s">
        <v>2763</v>
      </c>
      <c r="G2675" t="s">
        <v>1162</v>
      </c>
      <c r="H2675" t="s">
        <v>392</v>
      </c>
      <c r="I2675" t="s">
        <v>943</v>
      </c>
      <c r="J2675" t="s">
        <v>413</v>
      </c>
      <c r="K2675" t="s">
        <v>57</v>
      </c>
      <c r="L2675">
        <v>9.19</v>
      </c>
      <c r="M2675" s="1">
        <v>45750</v>
      </c>
      <c r="N2675" t="s">
        <v>105</v>
      </c>
      <c r="O2675">
        <v>3</v>
      </c>
      <c r="P2675">
        <v>4</v>
      </c>
      <c r="Q2675">
        <v>2</v>
      </c>
      <c r="R2675">
        <v>2025</v>
      </c>
    </row>
    <row r="2676" spans="1:18">
      <c r="A2676">
        <v>111.86</v>
      </c>
      <c r="B2676">
        <v>1</v>
      </c>
      <c r="C2676">
        <v>2675</v>
      </c>
      <c r="D2676" s="2">
        <v>0.16859968750000001</v>
      </c>
      <c r="E2676" t="s">
        <v>3260</v>
      </c>
      <c r="F2676" t="s">
        <v>3261</v>
      </c>
      <c r="G2676" t="s">
        <v>766</v>
      </c>
      <c r="H2676" t="s">
        <v>380</v>
      </c>
      <c r="I2676" t="s">
        <v>896</v>
      </c>
      <c r="J2676" t="s">
        <v>432</v>
      </c>
      <c r="K2676" t="s">
        <v>46</v>
      </c>
      <c r="L2676">
        <v>111.86</v>
      </c>
      <c r="M2676" s="1">
        <v>45966</v>
      </c>
      <c r="N2676" t="s">
        <v>34</v>
      </c>
      <c r="O2676">
        <v>5</v>
      </c>
      <c r="P2676">
        <v>11</v>
      </c>
      <c r="Q2676">
        <v>4</v>
      </c>
      <c r="R2676">
        <v>2025</v>
      </c>
    </row>
    <row r="2677" spans="1:18">
      <c r="A2677">
        <v>665.64</v>
      </c>
      <c r="B2677">
        <v>4</v>
      </c>
      <c r="C2677">
        <v>2676</v>
      </c>
      <c r="D2677" s="2">
        <v>0.42735269675925924</v>
      </c>
      <c r="E2677" t="s">
        <v>2251</v>
      </c>
      <c r="F2677" t="s">
        <v>2252</v>
      </c>
      <c r="G2677" t="s">
        <v>2253</v>
      </c>
      <c r="H2677" t="s">
        <v>1882</v>
      </c>
      <c r="I2677" t="s">
        <v>795</v>
      </c>
      <c r="J2677" t="s">
        <v>285</v>
      </c>
      <c r="K2677" t="s">
        <v>17</v>
      </c>
      <c r="L2677">
        <v>166.41</v>
      </c>
      <c r="M2677" s="1">
        <v>45837</v>
      </c>
      <c r="N2677" t="s">
        <v>28</v>
      </c>
      <c r="O2677">
        <v>29</v>
      </c>
      <c r="P2677">
        <v>6</v>
      </c>
      <c r="Q2677">
        <v>2</v>
      </c>
      <c r="R2677">
        <v>2025</v>
      </c>
    </row>
    <row r="2678" spans="1:18">
      <c r="A2678">
        <v>116.64</v>
      </c>
      <c r="B2678">
        <v>4</v>
      </c>
      <c r="C2678">
        <v>2677</v>
      </c>
      <c r="D2678" s="2">
        <v>0.89866525462962965</v>
      </c>
      <c r="E2678" t="s">
        <v>1819</v>
      </c>
      <c r="F2678" t="s">
        <v>1820</v>
      </c>
      <c r="G2678" t="s">
        <v>1821</v>
      </c>
      <c r="H2678" t="s">
        <v>1199</v>
      </c>
      <c r="I2678" t="s">
        <v>839</v>
      </c>
      <c r="J2678" t="s">
        <v>511</v>
      </c>
      <c r="K2678" t="s">
        <v>27</v>
      </c>
      <c r="L2678">
        <v>29.16</v>
      </c>
      <c r="M2678" s="1">
        <v>46235</v>
      </c>
      <c r="N2678" t="s">
        <v>14</v>
      </c>
      <c r="O2678">
        <v>1</v>
      </c>
      <c r="P2678">
        <v>8</v>
      </c>
      <c r="Q2678">
        <v>3</v>
      </c>
      <c r="R2678">
        <v>2026</v>
      </c>
    </row>
    <row r="2679" spans="1:18">
      <c r="A2679">
        <v>56.95</v>
      </c>
      <c r="B2679">
        <v>5</v>
      </c>
      <c r="C2679">
        <v>2678</v>
      </c>
      <c r="D2679" s="2">
        <v>0.5748847222222222</v>
      </c>
      <c r="E2679" t="s">
        <v>1435</v>
      </c>
      <c r="F2679" t="s">
        <v>1436</v>
      </c>
      <c r="G2679" t="s">
        <v>1437</v>
      </c>
      <c r="H2679" t="s">
        <v>387</v>
      </c>
      <c r="I2679" t="s">
        <v>821</v>
      </c>
      <c r="J2679" t="s">
        <v>325</v>
      </c>
      <c r="K2679" t="s">
        <v>55</v>
      </c>
      <c r="L2679">
        <v>11.39</v>
      </c>
      <c r="M2679" s="1">
        <v>45902</v>
      </c>
      <c r="N2679" t="s">
        <v>48</v>
      </c>
      <c r="O2679">
        <v>2</v>
      </c>
      <c r="P2679">
        <v>9</v>
      </c>
      <c r="Q2679">
        <v>3</v>
      </c>
      <c r="R2679">
        <v>2025</v>
      </c>
    </row>
    <row r="2680" spans="1:18">
      <c r="A2680">
        <v>123.13</v>
      </c>
      <c r="B2680">
        <v>1</v>
      </c>
      <c r="C2680">
        <v>2679</v>
      </c>
      <c r="D2680" s="2">
        <v>0.74683498842592588</v>
      </c>
      <c r="E2680" t="s">
        <v>3063</v>
      </c>
      <c r="F2680" t="s">
        <v>3064</v>
      </c>
      <c r="G2680" t="s">
        <v>1390</v>
      </c>
      <c r="H2680" t="s">
        <v>772</v>
      </c>
      <c r="I2680" t="s">
        <v>758</v>
      </c>
      <c r="J2680" t="s">
        <v>66</v>
      </c>
      <c r="K2680" t="s">
        <v>46</v>
      </c>
      <c r="L2680">
        <v>123.13</v>
      </c>
      <c r="M2680" s="1">
        <v>45726</v>
      </c>
      <c r="N2680" t="s">
        <v>93</v>
      </c>
      <c r="O2680">
        <v>10</v>
      </c>
      <c r="P2680">
        <v>3</v>
      </c>
      <c r="Q2680">
        <v>1</v>
      </c>
      <c r="R2680">
        <v>2025</v>
      </c>
    </row>
    <row r="2681" spans="1:18">
      <c r="A2681">
        <v>633.52</v>
      </c>
      <c r="B2681">
        <v>4</v>
      </c>
      <c r="C2681">
        <v>2680</v>
      </c>
      <c r="D2681" s="2">
        <v>0.6761773148148148</v>
      </c>
      <c r="E2681" t="s">
        <v>1877</v>
      </c>
      <c r="F2681" t="s">
        <v>1878</v>
      </c>
      <c r="G2681" t="s">
        <v>1380</v>
      </c>
      <c r="H2681" t="s">
        <v>932</v>
      </c>
      <c r="I2681" t="s">
        <v>776</v>
      </c>
      <c r="J2681" t="s">
        <v>172</v>
      </c>
      <c r="K2681" t="s">
        <v>46</v>
      </c>
      <c r="L2681">
        <v>158.38</v>
      </c>
      <c r="M2681" s="1">
        <v>46092</v>
      </c>
      <c r="N2681" t="s">
        <v>34</v>
      </c>
      <c r="O2681">
        <v>11</v>
      </c>
      <c r="P2681">
        <v>3</v>
      </c>
      <c r="Q2681">
        <v>1</v>
      </c>
      <c r="R2681">
        <v>2026</v>
      </c>
    </row>
    <row r="2682" spans="1:18">
      <c r="A2682">
        <v>594.41999999999996</v>
      </c>
      <c r="B2682">
        <v>3</v>
      </c>
      <c r="C2682">
        <v>2681</v>
      </c>
      <c r="D2682" s="2">
        <v>5.3158275462962964E-2</v>
      </c>
      <c r="E2682" t="s">
        <v>3419</v>
      </c>
      <c r="F2682" t="s">
        <v>3420</v>
      </c>
      <c r="G2682" t="s">
        <v>1679</v>
      </c>
      <c r="H2682" t="s">
        <v>1649</v>
      </c>
      <c r="I2682" t="s">
        <v>790</v>
      </c>
      <c r="J2682" t="s">
        <v>146</v>
      </c>
      <c r="K2682" t="s">
        <v>97</v>
      </c>
      <c r="L2682">
        <v>198.14</v>
      </c>
      <c r="M2682" s="1">
        <v>45674</v>
      </c>
      <c r="N2682" t="s">
        <v>79</v>
      </c>
      <c r="O2682">
        <v>17</v>
      </c>
      <c r="P2682">
        <v>1</v>
      </c>
      <c r="Q2682">
        <v>1</v>
      </c>
      <c r="R2682">
        <v>2025</v>
      </c>
    </row>
    <row r="2683" spans="1:18">
      <c r="A2683">
        <v>24.86</v>
      </c>
      <c r="B2683">
        <v>1</v>
      </c>
      <c r="C2683">
        <v>2682</v>
      </c>
      <c r="D2683" s="2">
        <v>0.88060307870370369</v>
      </c>
      <c r="E2683" t="s">
        <v>3112</v>
      </c>
      <c r="F2683" t="s">
        <v>3113</v>
      </c>
      <c r="G2683" t="s">
        <v>3114</v>
      </c>
      <c r="H2683" t="s">
        <v>1107</v>
      </c>
      <c r="I2683" t="s">
        <v>763</v>
      </c>
      <c r="J2683" t="s">
        <v>531</v>
      </c>
      <c r="K2683" t="s">
        <v>69</v>
      </c>
      <c r="L2683">
        <v>24.86</v>
      </c>
      <c r="M2683" s="1">
        <v>46217</v>
      </c>
      <c r="N2683" t="s">
        <v>48</v>
      </c>
      <c r="O2683">
        <v>14</v>
      </c>
      <c r="P2683">
        <v>7</v>
      </c>
      <c r="Q2683">
        <v>3</v>
      </c>
      <c r="R2683">
        <v>2026</v>
      </c>
    </row>
    <row r="2684" spans="1:18">
      <c r="A2684">
        <v>170.55</v>
      </c>
      <c r="B2684">
        <v>3</v>
      </c>
      <c r="C2684">
        <v>2683</v>
      </c>
      <c r="D2684" s="2">
        <v>0.76923422453703705</v>
      </c>
      <c r="E2684" t="s">
        <v>2836</v>
      </c>
      <c r="F2684" t="s">
        <v>2837</v>
      </c>
      <c r="G2684" t="s">
        <v>1829</v>
      </c>
      <c r="H2684" t="s">
        <v>1156</v>
      </c>
      <c r="I2684" t="s">
        <v>821</v>
      </c>
      <c r="J2684" t="s">
        <v>342</v>
      </c>
      <c r="K2684" t="s">
        <v>55</v>
      </c>
      <c r="L2684">
        <v>56.85</v>
      </c>
      <c r="M2684" s="1">
        <v>45606</v>
      </c>
      <c r="N2684" t="s">
        <v>28</v>
      </c>
      <c r="O2684">
        <v>10</v>
      </c>
      <c r="P2684">
        <v>11</v>
      </c>
      <c r="Q2684">
        <v>4</v>
      </c>
      <c r="R2684">
        <v>2024</v>
      </c>
    </row>
    <row r="2685" spans="1:18">
      <c r="A2685">
        <v>247.04999999999998</v>
      </c>
      <c r="B2685">
        <v>5</v>
      </c>
      <c r="C2685">
        <v>2684</v>
      </c>
      <c r="D2685" s="2">
        <v>0.50424619212962962</v>
      </c>
      <c r="E2685" t="s">
        <v>1982</v>
      </c>
      <c r="F2685" t="s">
        <v>1983</v>
      </c>
      <c r="G2685" t="s">
        <v>1429</v>
      </c>
      <c r="H2685" t="s">
        <v>1984</v>
      </c>
      <c r="I2685" t="s">
        <v>768</v>
      </c>
      <c r="J2685" t="s">
        <v>144</v>
      </c>
      <c r="K2685" t="s">
        <v>97</v>
      </c>
      <c r="L2685">
        <v>49.41</v>
      </c>
      <c r="M2685" s="1">
        <v>45741</v>
      </c>
      <c r="N2685" t="s">
        <v>48</v>
      </c>
      <c r="O2685">
        <v>25</v>
      </c>
      <c r="P2685">
        <v>3</v>
      </c>
      <c r="Q2685">
        <v>1</v>
      </c>
      <c r="R2685">
        <v>2025</v>
      </c>
    </row>
    <row r="2686" spans="1:18">
      <c r="A2686">
        <v>489.64</v>
      </c>
      <c r="B2686">
        <v>2</v>
      </c>
      <c r="C2686">
        <v>2685</v>
      </c>
      <c r="D2686" s="2">
        <v>0.93668125000000002</v>
      </c>
      <c r="E2686" t="s">
        <v>1419</v>
      </c>
      <c r="F2686" t="s">
        <v>1420</v>
      </c>
      <c r="G2686" t="s">
        <v>891</v>
      </c>
      <c r="H2686" t="s">
        <v>1421</v>
      </c>
      <c r="I2686" t="s">
        <v>776</v>
      </c>
      <c r="J2686" t="s">
        <v>627</v>
      </c>
      <c r="K2686" t="s">
        <v>51</v>
      </c>
      <c r="L2686">
        <v>244.82</v>
      </c>
      <c r="M2686" s="1">
        <v>46104</v>
      </c>
      <c r="N2686" t="s">
        <v>93</v>
      </c>
      <c r="O2686">
        <v>23</v>
      </c>
      <c r="P2686">
        <v>3</v>
      </c>
      <c r="Q2686">
        <v>1</v>
      </c>
      <c r="R2686">
        <v>2026</v>
      </c>
    </row>
    <row r="2687" spans="1:18">
      <c r="A2687">
        <v>138.93</v>
      </c>
      <c r="B2687">
        <v>3</v>
      </c>
      <c r="C2687">
        <v>2686</v>
      </c>
      <c r="D2687" s="2">
        <v>1.9108113425925926E-2</v>
      </c>
      <c r="E2687" t="s">
        <v>1640</v>
      </c>
      <c r="F2687" t="s">
        <v>1641</v>
      </c>
      <c r="G2687" t="s">
        <v>1642</v>
      </c>
      <c r="H2687" t="s">
        <v>160</v>
      </c>
      <c r="I2687" t="s">
        <v>790</v>
      </c>
      <c r="J2687" t="s">
        <v>583</v>
      </c>
      <c r="K2687" t="s">
        <v>19</v>
      </c>
      <c r="L2687">
        <v>46.31</v>
      </c>
      <c r="M2687" s="1">
        <v>45835</v>
      </c>
      <c r="N2687" t="s">
        <v>79</v>
      </c>
      <c r="O2687">
        <v>27</v>
      </c>
      <c r="P2687">
        <v>6</v>
      </c>
      <c r="Q2687">
        <v>2</v>
      </c>
      <c r="R2687">
        <v>2025</v>
      </c>
    </row>
    <row r="2688" spans="1:18">
      <c r="A2688">
        <v>127.98</v>
      </c>
      <c r="B2688">
        <v>1</v>
      </c>
      <c r="C2688">
        <v>2687</v>
      </c>
      <c r="D2688" s="2">
        <v>0.94640637731481481</v>
      </c>
      <c r="E2688" t="s">
        <v>1402</v>
      </c>
      <c r="F2688" t="s">
        <v>1403</v>
      </c>
      <c r="G2688" t="s">
        <v>1404</v>
      </c>
      <c r="H2688" t="s">
        <v>691</v>
      </c>
      <c r="I2688" t="s">
        <v>776</v>
      </c>
      <c r="J2688" t="s">
        <v>277</v>
      </c>
      <c r="K2688" t="s">
        <v>122</v>
      </c>
      <c r="L2688">
        <v>127.98</v>
      </c>
      <c r="M2688" s="1">
        <v>46256</v>
      </c>
      <c r="N2688" t="s">
        <v>14</v>
      </c>
      <c r="O2688">
        <v>22</v>
      </c>
      <c r="P2688">
        <v>8</v>
      </c>
      <c r="Q2688">
        <v>3</v>
      </c>
      <c r="R2688">
        <v>2026</v>
      </c>
    </row>
    <row r="2689" spans="1:18">
      <c r="A2689">
        <v>183.24</v>
      </c>
      <c r="B2689">
        <v>3</v>
      </c>
      <c r="C2689">
        <v>2688</v>
      </c>
      <c r="D2689" s="2">
        <v>0.17858656249999999</v>
      </c>
      <c r="E2689" t="s">
        <v>2286</v>
      </c>
      <c r="F2689" t="s">
        <v>2287</v>
      </c>
      <c r="G2689" t="s">
        <v>1909</v>
      </c>
      <c r="H2689" t="s">
        <v>160</v>
      </c>
      <c r="I2689" t="s">
        <v>790</v>
      </c>
      <c r="J2689" t="s">
        <v>385</v>
      </c>
      <c r="K2689" t="s">
        <v>39</v>
      </c>
      <c r="L2689">
        <v>61.08</v>
      </c>
      <c r="M2689" s="1">
        <v>45744</v>
      </c>
      <c r="N2689" t="s">
        <v>79</v>
      </c>
      <c r="O2689">
        <v>28</v>
      </c>
      <c r="P2689">
        <v>3</v>
      </c>
      <c r="Q2689">
        <v>1</v>
      </c>
      <c r="R2689">
        <v>2025</v>
      </c>
    </row>
    <row r="2690" spans="1:18">
      <c r="A2690">
        <v>82.69</v>
      </c>
      <c r="B2690">
        <v>1</v>
      </c>
      <c r="C2690">
        <v>2689</v>
      </c>
      <c r="D2690" s="2">
        <v>8.1090949074074076E-2</v>
      </c>
      <c r="E2690" t="s">
        <v>2339</v>
      </c>
      <c r="F2690" t="s">
        <v>2340</v>
      </c>
      <c r="G2690" t="s">
        <v>2341</v>
      </c>
      <c r="H2690" t="s">
        <v>1469</v>
      </c>
      <c r="I2690" t="s">
        <v>908</v>
      </c>
      <c r="J2690" t="s">
        <v>650</v>
      </c>
      <c r="K2690" t="s">
        <v>37</v>
      </c>
      <c r="L2690">
        <v>82.69</v>
      </c>
      <c r="M2690" s="1">
        <v>45903</v>
      </c>
      <c r="N2690" t="s">
        <v>34</v>
      </c>
      <c r="O2690">
        <v>3</v>
      </c>
      <c r="P2690">
        <v>9</v>
      </c>
      <c r="Q2690">
        <v>3</v>
      </c>
      <c r="R2690">
        <v>2025</v>
      </c>
    </row>
    <row r="2691" spans="1:18">
      <c r="A2691">
        <v>180.31</v>
      </c>
      <c r="B2691">
        <v>1</v>
      </c>
      <c r="C2691">
        <v>2690</v>
      </c>
      <c r="D2691" s="2">
        <v>0.20979476851851853</v>
      </c>
      <c r="E2691" t="s">
        <v>2387</v>
      </c>
      <c r="F2691" t="s">
        <v>2388</v>
      </c>
      <c r="G2691" t="s">
        <v>1590</v>
      </c>
      <c r="H2691" t="s">
        <v>113</v>
      </c>
      <c r="I2691" t="s">
        <v>854</v>
      </c>
      <c r="J2691" t="s">
        <v>643</v>
      </c>
      <c r="K2691" t="s">
        <v>37</v>
      </c>
      <c r="L2691">
        <v>180.31</v>
      </c>
      <c r="M2691" s="1">
        <v>46214</v>
      </c>
      <c r="N2691" t="s">
        <v>14</v>
      </c>
      <c r="O2691">
        <v>11</v>
      </c>
      <c r="P2691">
        <v>7</v>
      </c>
      <c r="Q2691">
        <v>3</v>
      </c>
      <c r="R2691">
        <v>2026</v>
      </c>
    </row>
    <row r="2692" spans="1:18">
      <c r="A2692">
        <v>102.86</v>
      </c>
      <c r="B2692">
        <v>1</v>
      </c>
      <c r="C2692">
        <v>2691</v>
      </c>
      <c r="D2692" s="2">
        <v>0.93789741898148149</v>
      </c>
      <c r="E2692" t="s">
        <v>3070</v>
      </c>
      <c r="F2692" t="s">
        <v>3071</v>
      </c>
      <c r="G2692" t="s">
        <v>798</v>
      </c>
      <c r="H2692" t="s">
        <v>980</v>
      </c>
      <c r="I2692" t="s">
        <v>981</v>
      </c>
      <c r="J2692" t="s">
        <v>460</v>
      </c>
      <c r="K2692" t="s">
        <v>69</v>
      </c>
      <c r="L2692">
        <v>102.86</v>
      </c>
      <c r="M2692" s="1">
        <v>45772</v>
      </c>
      <c r="N2692" t="s">
        <v>79</v>
      </c>
      <c r="O2692">
        <v>25</v>
      </c>
      <c r="P2692">
        <v>4</v>
      </c>
      <c r="Q2692">
        <v>2</v>
      </c>
      <c r="R2692">
        <v>2025</v>
      </c>
    </row>
    <row r="2693" spans="1:18">
      <c r="A2693">
        <v>386.06</v>
      </c>
      <c r="B2693">
        <v>2</v>
      </c>
      <c r="C2693">
        <v>2692</v>
      </c>
      <c r="D2693" s="2">
        <v>6.5846851851851851E-2</v>
      </c>
      <c r="E2693" t="s">
        <v>1758</v>
      </c>
      <c r="F2693" t="s">
        <v>1759</v>
      </c>
      <c r="G2693" t="s">
        <v>1013</v>
      </c>
      <c r="H2693" t="s">
        <v>151</v>
      </c>
      <c r="I2693" t="s">
        <v>1003</v>
      </c>
      <c r="J2693" t="s">
        <v>420</v>
      </c>
      <c r="K2693" t="s">
        <v>25</v>
      </c>
      <c r="L2693">
        <v>193.03</v>
      </c>
      <c r="M2693" s="1">
        <v>45667</v>
      </c>
      <c r="N2693" t="s">
        <v>79</v>
      </c>
      <c r="O2693">
        <v>10</v>
      </c>
      <c r="P2693">
        <v>1</v>
      </c>
      <c r="Q2693">
        <v>1</v>
      </c>
      <c r="R2693">
        <v>2025</v>
      </c>
    </row>
    <row r="2694" spans="1:18">
      <c r="A2694">
        <v>178.46</v>
      </c>
      <c r="B2694">
        <v>2</v>
      </c>
      <c r="C2694">
        <v>2693</v>
      </c>
      <c r="D2694" s="2">
        <v>0.68575931712962968</v>
      </c>
      <c r="E2694" t="s">
        <v>2099</v>
      </c>
      <c r="F2694" t="s">
        <v>2100</v>
      </c>
      <c r="G2694" t="s">
        <v>1085</v>
      </c>
      <c r="H2694" t="s">
        <v>1172</v>
      </c>
      <c r="I2694" t="s">
        <v>830</v>
      </c>
      <c r="J2694" t="s">
        <v>401</v>
      </c>
      <c r="K2694" t="s">
        <v>31</v>
      </c>
      <c r="L2694">
        <v>89.23</v>
      </c>
      <c r="M2694" s="1">
        <v>45639</v>
      </c>
      <c r="N2694" t="s">
        <v>79</v>
      </c>
      <c r="O2694">
        <v>13</v>
      </c>
      <c r="P2694">
        <v>12</v>
      </c>
      <c r="Q2694">
        <v>4</v>
      </c>
      <c r="R2694">
        <v>2024</v>
      </c>
    </row>
    <row r="2695" spans="1:18">
      <c r="A2695">
        <v>110.25</v>
      </c>
      <c r="B2695">
        <v>3</v>
      </c>
      <c r="C2695">
        <v>2694</v>
      </c>
      <c r="D2695" s="2">
        <v>3.3732870370370371E-3</v>
      </c>
      <c r="E2695" t="s">
        <v>3498</v>
      </c>
      <c r="F2695" t="s">
        <v>3499</v>
      </c>
      <c r="G2695" t="s">
        <v>2362</v>
      </c>
      <c r="H2695" t="s">
        <v>1410</v>
      </c>
      <c r="I2695" t="s">
        <v>812</v>
      </c>
      <c r="J2695" t="s">
        <v>637</v>
      </c>
      <c r="K2695" t="s">
        <v>100</v>
      </c>
      <c r="L2695">
        <v>36.75</v>
      </c>
      <c r="M2695" s="1">
        <v>45745</v>
      </c>
      <c r="N2695" t="s">
        <v>14</v>
      </c>
      <c r="O2695">
        <v>29</v>
      </c>
      <c r="P2695">
        <v>3</v>
      </c>
      <c r="Q2695">
        <v>1</v>
      </c>
      <c r="R2695">
        <v>2025</v>
      </c>
    </row>
    <row r="2696" spans="1:18">
      <c r="A2696">
        <v>560.93999999999994</v>
      </c>
      <c r="B2696">
        <v>3</v>
      </c>
      <c r="C2696">
        <v>2695</v>
      </c>
      <c r="D2696" s="2">
        <v>0.82551673611111109</v>
      </c>
      <c r="E2696" t="s">
        <v>2520</v>
      </c>
      <c r="F2696" t="s">
        <v>2521</v>
      </c>
      <c r="G2696" t="s">
        <v>2522</v>
      </c>
      <c r="H2696" t="s">
        <v>1054</v>
      </c>
      <c r="I2696" t="s">
        <v>892</v>
      </c>
      <c r="J2696" t="s">
        <v>139</v>
      </c>
      <c r="K2696" t="s">
        <v>122</v>
      </c>
      <c r="L2696">
        <v>186.98</v>
      </c>
      <c r="M2696" s="1">
        <v>45722</v>
      </c>
      <c r="N2696" t="s">
        <v>105</v>
      </c>
      <c r="O2696">
        <v>6</v>
      </c>
      <c r="P2696">
        <v>3</v>
      </c>
      <c r="Q2696">
        <v>1</v>
      </c>
      <c r="R2696">
        <v>2025</v>
      </c>
    </row>
    <row r="2697" spans="1:18">
      <c r="A2697">
        <v>266.76</v>
      </c>
      <c r="B2697">
        <v>3</v>
      </c>
      <c r="C2697">
        <v>2696</v>
      </c>
      <c r="D2697" s="2">
        <v>0.87706487268518518</v>
      </c>
      <c r="E2697" t="s">
        <v>2608</v>
      </c>
      <c r="F2697" t="s">
        <v>2609</v>
      </c>
      <c r="G2697" t="s">
        <v>2610</v>
      </c>
      <c r="H2697" t="s">
        <v>464</v>
      </c>
      <c r="I2697" t="s">
        <v>896</v>
      </c>
      <c r="J2697" t="s">
        <v>664</v>
      </c>
      <c r="K2697" t="s">
        <v>23</v>
      </c>
      <c r="L2697">
        <v>88.92</v>
      </c>
      <c r="M2697" s="1">
        <v>45667</v>
      </c>
      <c r="N2697" t="s">
        <v>79</v>
      </c>
      <c r="O2697">
        <v>10</v>
      </c>
      <c r="P2697">
        <v>1</v>
      </c>
      <c r="Q2697">
        <v>1</v>
      </c>
      <c r="R2697">
        <v>2025</v>
      </c>
    </row>
    <row r="2698" spans="1:18">
      <c r="A2698">
        <v>189.7</v>
      </c>
      <c r="B2698">
        <v>5</v>
      </c>
      <c r="C2698">
        <v>2697</v>
      </c>
      <c r="D2698" s="2">
        <v>0.87684678240740743</v>
      </c>
      <c r="E2698" t="s">
        <v>2949</v>
      </c>
      <c r="F2698" t="s">
        <v>2950</v>
      </c>
      <c r="G2698" t="s">
        <v>1562</v>
      </c>
      <c r="H2698" t="s">
        <v>862</v>
      </c>
      <c r="I2698" t="s">
        <v>758</v>
      </c>
      <c r="J2698" t="s">
        <v>73</v>
      </c>
      <c r="K2698" t="s">
        <v>39</v>
      </c>
      <c r="L2698">
        <v>37.94</v>
      </c>
      <c r="M2698" s="1">
        <v>45849</v>
      </c>
      <c r="N2698" t="s">
        <v>79</v>
      </c>
      <c r="O2698">
        <v>11</v>
      </c>
      <c r="P2698">
        <v>7</v>
      </c>
      <c r="Q2698">
        <v>3</v>
      </c>
      <c r="R2698">
        <v>2025</v>
      </c>
    </row>
    <row r="2699" spans="1:18">
      <c r="A2699">
        <v>154.02000000000001</v>
      </c>
      <c r="B2699">
        <v>3</v>
      </c>
      <c r="C2699">
        <v>2698</v>
      </c>
      <c r="D2699" s="2">
        <v>0.90258702546296299</v>
      </c>
      <c r="E2699" t="s">
        <v>1845</v>
      </c>
      <c r="F2699" t="s">
        <v>1846</v>
      </c>
      <c r="G2699" t="s">
        <v>1263</v>
      </c>
      <c r="H2699" t="s">
        <v>953</v>
      </c>
      <c r="I2699" t="s">
        <v>954</v>
      </c>
      <c r="J2699" t="s">
        <v>376</v>
      </c>
      <c r="K2699" t="s">
        <v>51</v>
      </c>
      <c r="L2699">
        <v>51.34</v>
      </c>
      <c r="M2699" s="1">
        <v>46083</v>
      </c>
      <c r="N2699" t="s">
        <v>93</v>
      </c>
      <c r="O2699">
        <v>2</v>
      </c>
      <c r="P2699">
        <v>3</v>
      </c>
      <c r="Q2699">
        <v>1</v>
      </c>
      <c r="R2699">
        <v>2026</v>
      </c>
    </row>
    <row r="2700" spans="1:18">
      <c r="A2700">
        <v>1049.4000000000001</v>
      </c>
      <c r="B2700">
        <v>5</v>
      </c>
      <c r="C2700">
        <v>2699</v>
      </c>
      <c r="D2700" s="2">
        <v>0.96177188657407409</v>
      </c>
      <c r="E2700" t="s">
        <v>3029</v>
      </c>
      <c r="F2700" t="s">
        <v>760</v>
      </c>
      <c r="G2700" t="s">
        <v>1228</v>
      </c>
      <c r="H2700" t="s">
        <v>1886</v>
      </c>
      <c r="I2700" t="s">
        <v>753</v>
      </c>
      <c r="J2700" t="s">
        <v>724</v>
      </c>
      <c r="K2700" t="s">
        <v>55</v>
      </c>
      <c r="L2700">
        <v>209.88</v>
      </c>
      <c r="M2700" s="1">
        <v>45594</v>
      </c>
      <c r="N2700" t="s">
        <v>48</v>
      </c>
      <c r="O2700">
        <v>29</v>
      </c>
      <c r="P2700">
        <v>10</v>
      </c>
      <c r="Q2700">
        <v>4</v>
      </c>
      <c r="R2700">
        <v>2024</v>
      </c>
    </row>
    <row r="2701" spans="1:18">
      <c r="A2701">
        <v>111.06</v>
      </c>
      <c r="B2701">
        <v>1</v>
      </c>
      <c r="C2701">
        <v>2700</v>
      </c>
      <c r="D2701" s="2">
        <v>0.11376542824074073</v>
      </c>
      <c r="E2701" t="s">
        <v>782</v>
      </c>
      <c r="F2701" t="s">
        <v>783</v>
      </c>
      <c r="G2701" t="s">
        <v>784</v>
      </c>
      <c r="H2701" t="s">
        <v>785</v>
      </c>
      <c r="I2701" t="s">
        <v>786</v>
      </c>
      <c r="J2701" t="s">
        <v>89</v>
      </c>
      <c r="K2701" t="s">
        <v>69</v>
      </c>
      <c r="L2701">
        <v>111.06</v>
      </c>
      <c r="M2701" s="1">
        <v>46053</v>
      </c>
      <c r="N2701" t="s">
        <v>14</v>
      </c>
      <c r="O2701">
        <v>31</v>
      </c>
      <c r="P2701">
        <v>1</v>
      </c>
      <c r="Q2701">
        <v>1</v>
      </c>
      <c r="R2701">
        <v>2026</v>
      </c>
    </row>
    <row r="2702" spans="1:18">
      <c r="A2702">
        <v>6.19</v>
      </c>
      <c r="B2702">
        <v>1</v>
      </c>
      <c r="C2702">
        <v>2701</v>
      </c>
      <c r="D2702" s="2">
        <v>0.74166105324074072</v>
      </c>
      <c r="E2702" t="s">
        <v>2304</v>
      </c>
      <c r="F2702" t="s">
        <v>2305</v>
      </c>
      <c r="G2702" t="s">
        <v>2306</v>
      </c>
      <c r="H2702" t="s">
        <v>608</v>
      </c>
      <c r="I2702" t="s">
        <v>966</v>
      </c>
      <c r="J2702" t="s">
        <v>662</v>
      </c>
      <c r="K2702" t="s">
        <v>21</v>
      </c>
      <c r="L2702">
        <v>6.19</v>
      </c>
      <c r="M2702" s="1">
        <v>45635</v>
      </c>
      <c r="N2702" t="s">
        <v>93</v>
      </c>
      <c r="O2702">
        <v>9</v>
      </c>
      <c r="P2702">
        <v>12</v>
      </c>
      <c r="Q2702">
        <v>4</v>
      </c>
      <c r="R2702">
        <v>2024</v>
      </c>
    </row>
    <row r="2703" spans="1:18">
      <c r="A2703">
        <v>707.75</v>
      </c>
      <c r="B2703">
        <v>5</v>
      </c>
      <c r="C2703">
        <v>2702</v>
      </c>
      <c r="D2703" s="2">
        <v>9.3527662037037034E-3</v>
      </c>
      <c r="E2703" t="s">
        <v>2886</v>
      </c>
      <c r="F2703" t="s">
        <v>2887</v>
      </c>
      <c r="G2703" t="s">
        <v>935</v>
      </c>
      <c r="H2703" t="s">
        <v>843</v>
      </c>
      <c r="I2703" t="s">
        <v>753</v>
      </c>
      <c r="J2703" t="s">
        <v>273</v>
      </c>
      <c r="K2703" t="s">
        <v>100</v>
      </c>
      <c r="L2703">
        <v>141.55000000000001</v>
      </c>
      <c r="M2703" s="1">
        <v>45866</v>
      </c>
      <c r="N2703" t="s">
        <v>93</v>
      </c>
      <c r="O2703">
        <v>28</v>
      </c>
      <c r="P2703">
        <v>7</v>
      </c>
      <c r="Q2703">
        <v>3</v>
      </c>
      <c r="R2703">
        <v>2025</v>
      </c>
    </row>
    <row r="2704" spans="1:18">
      <c r="A2704">
        <v>90.13</v>
      </c>
      <c r="B2704">
        <v>1</v>
      </c>
      <c r="C2704">
        <v>2703</v>
      </c>
      <c r="D2704" s="2">
        <v>0.70189094907407412</v>
      </c>
      <c r="E2704" t="s">
        <v>2336</v>
      </c>
      <c r="F2704" t="s">
        <v>2337</v>
      </c>
      <c r="G2704" t="s">
        <v>2338</v>
      </c>
      <c r="H2704" t="s">
        <v>1811</v>
      </c>
      <c r="I2704" t="s">
        <v>892</v>
      </c>
      <c r="J2704" t="s">
        <v>304</v>
      </c>
      <c r="K2704" t="s">
        <v>100</v>
      </c>
      <c r="L2704">
        <v>90.13</v>
      </c>
      <c r="M2704" s="1">
        <v>45895</v>
      </c>
      <c r="N2704" t="s">
        <v>48</v>
      </c>
      <c r="O2704">
        <v>26</v>
      </c>
      <c r="P2704">
        <v>8</v>
      </c>
      <c r="Q2704">
        <v>3</v>
      </c>
      <c r="R2704">
        <v>2025</v>
      </c>
    </row>
    <row r="2705" spans="1:18">
      <c r="A2705">
        <v>317</v>
      </c>
      <c r="B2705">
        <v>4</v>
      </c>
      <c r="C2705">
        <v>2704</v>
      </c>
      <c r="D2705" s="2">
        <v>4.5807673611111113E-2</v>
      </c>
      <c r="E2705" t="s">
        <v>944</v>
      </c>
      <c r="F2705" t="s">
        <v>945</v>
      </c>
      <c r="G2705" t="s">
        <v>946</v>
      </c>
      <c r="H2705" t="s">
        <v>199</v>
      </c>
      <c r="I2705" t="s">
        <v>781</v>
      </c>
      <c r="J2705" t="s">
        <v>253</v>
      </c>
      <c r="K2705" t="s">
        <v>23</v>
      </c>
      <c r="L2705">
        <v>79.25</v>
      </c>
      <c r="M2705" s="1">
        <v>45594</v>
      </c>
      <c r="N2705" t="s">
        <v>48</v>
      </c>
      <c r="O2705">
        <v>29</v>
      </c>
      <c r="P2705">
        <v>10</v>
      </c>
      <c r="Q2705">
        <v>4</v>
      </c>
      <c r="R2705">
        <v>2024</v>
      </c>
    </row>
    <row r="2706" spans="1:18">
      <c r="A2706">
        <v>58.16</v>
      </c>
      <c r="B2706">
        <v>4</v>
      </c>
      <c r="C2706">
        <v>2705</v>
      </c>
      <c r="D2706" s="2">
        <v>0.85692106481481478</v>
      </c>
      <c r="E2706" t="s">
        <v>3009</v>
      </c>
      <c r="F2706" t="s">
        <v>3010</v>
      </c>
      <c r="G2706" t="s">
        <v>1616</v>
      </c>
      <c r="H2706" t="s">
        <v>2489</v>
      </c>
      <c r="I2706" t="s">
        <v>1247</v>
      </c>
      <c r="J2706" t="s">
        <v>1349</v>
      </c>
      <c r="K2706" t="s">
        <v>97</v>
      </c>
      <c r="L2706">
        <v>14.54</v>
      </c>
      <c r="M2706" s="1">
        <v>46131</v>
      </c>
      <c r="N2706" t="s">
        <v>28</v>
      </c>
      <c r="O2706">
        <v>19</v>
      </c>
      <c r="P2706">
        <v>4</v>
      </c>
      <c r="Q2706">
        <v>2</v>
      </c>
      <c r="R2706">
        <v>2026</v>
      </c>
    </row>
    <row r="2707" spans="1:18">
      <c r="A2707">
        <v>45.949999999999996</v>
      </c>
      <c r="B2707">
        <v>5</v>
      </c>
      <c r="C2707">
        <v>2706</v>
      </c>
      <c r="D2707" s="2">
        <v>0.2693770601851852</v>
      </c>
      <c r="E2707" t="s">
        <v>2967</v>
      </c>
      <c r="F2707" t="s">
        <v>2968</v>
      </c>
      <c r="G2707" t="s">
        <v>2297</v>
      </c>
      <c r="H2707" t="s">
        <v>1280</v>
      </c>
      <c r="I2707" t="s">
        <v>908</v>
      </c>
      <c r="J2707" t="s">
        <v>413</v>
      </c>
      <c r="K2707" t="s">
        <v>57</v>
      </c>
      <c r="L2707">
        <v>9.19</v>
      </c>
      <c r="M2707" s="1">
        <v>46019</v>
      </c>
      <c r="N2707" t="s">
        <v>28</v>
      </c>
      <c r="O2707">
        <v>28</v>
      </c>
      <c r="P2707">
        <v>12</v>
      </c>
      <c r="Q2707">
        <v>4</v>
      </c>
      <c r="R2707">
        <v>2025</v>
      </c>
    </row>
    <row r="2708" spans="1:18">
      <c r="A2708">
        <v>608.28</v>
      </c>
      <c r="B2708">
        <v>4</v>
      </c>
      <c r="C2708">
        <v>2707</v>
      </c>
      <c r="D2708" s="2">
        <v>0.55302337962962966</v>
      </c>
      <c r="E2708" t="s">
        <v>1543</v>
      </c>
      <c r="F2708" t="s">
        <v>1544</v>
      </c>
      <c r="G2708" t="s">
        <v>1545</v>
      </c>
      <c r="H2708" t="s">
        <v>29</v>
      </c>
      <c r="I2708" t="s">
        <v>763</v>
      </c>
      <c r="J2708" t="s">
        <v>674</v>
      </c>
      <c r="K2708" t="s">
        <v>122</v>
      </c>
      <c r="L2708">
        <v>152.07</v>
      </c>
      <c r="M2708" s="1">
        <v>46225</v>
      </c>
      <c r="N2708" t="s">
        <v>34</v>
      </c>
      <c r="O2708">
        <v>22</v>
      </c>
      <c r="P2708">
        <v>7</v>
      </c>
      <c r="Q2708">
        <v>3</v>
      </c>
      <c r="R2708">
        <v>2026</v>
      </c>
    </row>
    <row r="2709" spans="1:18">
      <c r="A2709">
        <v>277.46999999999997</v>
      </c>
      <c r="B2709">
        <v>3</v>
      </c>
      <c r="C2709">
        <v>2708</v>
      </c>
      <c r="D2709" s="2">
        <v>0.58469589120370369</v>
      </c>
      <c r="E2709" t="s">
        <v>2115</v>
      </c>
      <c r="F2709" t="s">
        <v>2116</v>
      </c>
      <c r="G2709" t="s">
        <v>2117</v>
      </c>
      <c r="H2709" t="s">
        <v>29</v>
      </c>
      <c r="I2709" t="s">
        <v>763</v>
      </c>
      <c r="J2709" t="s">
        <v>36</v>
      </c>
      <c r="K2709" t="s">
        <v>37</v>
      </c>
      <c r="L2709">
        <v>92.49</v>
      </c>
      <c r="M2709" s="1">
        <v>45710</v>
      </c>
      <c r="N2709" t="s">
        <v>14</v>
      </c>
      <c r="O2709">
        <v>22</v>
      </c>
      <c r="P2709">
        <v>2</v>
      </c>
      <c r="Q2709">
        <v>1</v>
      </c>
      <c r="R2709">
        <v>2025</v>
      </c>
    </row>
    <row r="2710" spans="1:18">
      <c r="A2710">
        <v>101.19</v>
      </c>
      <c r="B2710">
        <v>3</v>
      </c>
      <c r="C2710">
        <v>2709</v>
      </c>
      <c r="D2710" s="2">
        <v>0.25084281250000001</v>
      </c>
      <c r="E2710" t="s">
        <v>1419</v>
      </c>
      <c r="F2710" t="s">
        <v>1420</v>
      </c>
      <c r="G2710" t="s">
        <v>891</v>
      </c>
      <c r="H2710" t="s">
        <v>1421</v>
      </c>
      <c r="I2710" t="s">
        <v>776</v>
      </c>
      <c r="J2710" t="s">
        <v>527</v>
      </c>
      <c r="K2710" t="s">
        <v>27</v>
      </c>
      <c r="L2710">
        <v>33.729999999999997</v>
      </c>
      <c r="M2710" s="1">
        <v>46103</v>
      </c>
      <c r="N2710" t="s">
        <v>28</v>
      </c>
      <c r="O2710">
        <v>22</v>
      </c>
      <c r="P2710">
        <v>3</v>
      </c>
      <c r="Q2710">
        <v>1</v>
      </c>
      <c r="R2710">
        <v>2026</v>
      </c>
    </row>
    <row r="2711" spans="1:18">
      <c r="A2711">
        <v>158.71</v>
      </c>
      <c r="B2711">
        <v>1</v>
      </c>
      <c r="C2711">
        <v>2710</v>
      </c>
      <c r="D2711" s="2">
        <v>0.55600577546296293</v>
      </c>
      <c r="E2711" t="s">
        <v>1175</v>
      </c>
      <c r="F2711" t="s">
        <v>1176</v>
      </c>
      <c r="G2711" t="s">
        <v>1057</v>
      </c>
      <c r="H2711" t="s">
        <v>151</v>
      </c>
      <c r="I2711" t="s">
        <v>1003</v>
      </c>
      <c r="J2711" t="s">
        <v>204</v>
      </c>
      <c r="K2711" t="s">
        <v>97</v>
      </c>
      <c r="L2711">
        <v>158.71</v>
      </c>
      <c r="M2711" s="1">
        <v>45901</v>
      </c>
      <c r="N2711" t="s">
        <v>93</v>
      </c>
      <c r="O2711">
        <v>1</v>
      </c>
      <c r="P2711">
        <v>9</v>
      </c>
      <c r="Q2711">
        <v>3</v>
      </c>
      <c r="R2711">
        <v>2025</v>
      </c>
    </row>
    <row r="2712" spans="1:18">
      <c r="A2712">
        <v>836.08</v>
      </c>
      <c r="B2712">
        <v>4</v>
      </c>
      <c r="C2712">
        <v>2711</v>
      </c>
      <c r="D2712" s="2">
        <v>0.74878678240740737</v>
      </c>
      <c r="E2712" t="s">
        <v>2839</v>
      </c>
      <c r="F2712" t="s">
        <v>2840</v>
      </c>
      <c r="G2712" t="s">
        <v>1124</v>
      </c>
      <c r="H2712" t="s">
        <v>1740</v>
      </c>
      <c r="I2712" t="s">
        <v>954</v>
      </c>
      <c r="J2712" t="s">
        <v>62</v>
      </c>
      <c r="K2712" t="s">
        <v>17</v>
      </c>
      <c r="L2712">
        <v>209.02</v>
      </c>
      <c r="M2712" s="1">
        <v>46002</v>
      </c>
      <c r="N2712" t="s">
        <v>105</v>
      </c>
      <c r="O2712">
        <v>11</v>
      </c>
      <c r="P2712">
        <v>12</v>
      </c>
      <c r="Q2712">
        <v>4</v>
      </c>
      <c r="R2712">
        <v>2025</v>
      </c>
    </row>
    <row r="2713" spans="1:18">
      <c r="A2713">
        <v>28.849999999999998</v>
      </c>
      <c r="B2713">
        <v>5</v>
      </c>
      <c r="C2713">
        <v>2712</v>
      </c>
      <c r="D2713" s="2">
        <v>0.11272063657407408</v>
      </c>
      <c r="E2713" t="s">
        <v>1784</v>
      </c>
      <c r="F2713" t="s">
        <v>1785</v>
      </c>
      <c r="G2713" t="s">
        <v>1786</v>
      </c>
      <c r="H2713" t="s">
        <v>843</v>
      </c>
      <c r="I2713" t="s">
        <v>753</v>
      </c>
      <c r="J2713" t="s">
        <v>140</v>
      </c>
      <c r="K2713" t="s">
        <v>17</v>
      </c>
      <c r="L2713">
        <v>5.77</v>
      </c>
      <c r="M2713" s="1">
        <v>45687</v>
      </c>
      <c r="N2713" t="s">
        <v>105</v>
      </c>
      <c r="O2713">
        <v>30</v>
      </c>
      <c r="P2713">
        <v>1</v>
      </c>
      <c r="Q2713">
        <v>1</v>
      </c>
      <c r="R2713">
        <v>2025</v>
      </c>
    </row>
    <row r="2714" spans="1:18">
      <c r="A2714">
        <v>127.5</v>
      </c>
      <c r="B2714">
        <v>2</v>
      </c>
      <c r="C2714">
        <v>2713</v>
      </c>
      <c r="D2714" s="2">
        <v>6.0298148148148149E-2</v>
      </c>
      <c r="E2714" t="s">
        <v>1196</v>
      </c>
      <c r="F2714" t="s">
        <v>1197</v>
      </c>
      <c r="G2714" t="s">
        <v>1198</v>
      </c>
      <c r="H2714" t="s">
        <v>1199</v>
      </c>
      <c r="I2714" t="s">
        <v>839</v>
      </c>
      <c r="J2714" t="s">
        <v>418</v>
      </c>
      <c r="K2714" t="s">
        <v>43</v>
      </c>
      <c r="L2714">
        <v>63.75</v>
      </c>
      <c r="M2714" s="1">
        <v>45987</v>
      </c>
      <c r="N2714" t="s">
        <v>34</v>
      </c>
      <c r="O2714">
        <v>26</v>
      </c>
      <c r="P2714">
        <v>11</v>
      </c>
      <c r="Q2714">
        <v>4</v>
      </c>
      <c r="R2714">
        <v>2025</v>
      </c>
    </row>
    <row r="2715" spans="1:18">
      <c r="A2715">
        <v>1072.95</v>
      </c>
      <c r="B2715">
        <v>5</v>
      </c>
      <c r="C2715">
        <v>2714</v>
      </c>
      <c r="D2715" s="2">
        <v>0.34119265046296299</v>
      </c>
      <c r="E2715" t="s">
        <v>1617</v>
      </c>
      <c r="F2715" t="s">
        <v>1618</v>
      </c>
      <c r="G2715" t="s">
        <v>1619</v>
      </c>
      <c r="H2715" t="s">
        <v>1189</v>
      </c>
      <c r="I2715" t="s">
        <v>892</v>
      </c>
      <c r="J2715" t="s">
        <v>571</v>
      </c>
      <c r="K2715" t="s">
        <v>23</v>
      </c>
      <c r="L2715">
        <v>214.59</v>
      </c>
      <c r="M2715" s="1">
        <v>46066</v>
      </c>
      <c r="N2715" t="s">
        <v>79</v>
      </c>
      <c r="O2715">
        <v>13</v>
      </c>
      <c r="P2715">
        <v>2</v>
      </c>
      <c r="Q2715">
        <v>1</v>
      </c>
      <c r="R2715">
        <v>2026</v>
      </c>
    </row>
    <row r="2716" spans="1:18">
      <c r="A2716">
        <v>403.59000000000003</v>
      </c>
      <c r="B2716">
        <v>3</v>
      </c>
      <c r="C2716">
        <v>2715</v>
      </c>
      <c r="D2716" s="2">
        <v>0.59253473379629629</v>
      </c>
      <c r="E2716" t="s">
        <v>809</v>
      </c>
      <c r="F2716" t="s">
        <v>810</v>
      </c>
      <c r="G2716" t="s">
        <v>811</v>
      </c>
      <c r="H2716" t="s">
        <v>280</v>
      </c>
      <c r="I2716" t="s">
        <v>812</v>
      </c>
      <c r="J2716" t="s">
        <v>361</v>
      </c>
      <c r="K2716" t="s">
        <v>37</v>
      </c>
      <c r="L2716">
        <v>134.53</v>
      </c>
      <c r="M2716" s="1">
        <v>45719</v>
      </c>
      <c r="N2716" t="s">
        <v>93</v>
      </c>
      <c r="O2716">
        <v>3</v>
      </c>
      <c r="P2716">
        <v>3</v>
      </c>
      <c r="Q2716">
        <v>1</v>
      </c>
      <c r="R2716">
        <v>2025</v>
      </c>
    </row>
    <row r="2717" spans="1:18">
      <c r="A2717">
        <v>267.06</v>
      </c>
      <c r="B2717">
        <v>3</v>
      </c>
      <c r="C2717">
        <v>2716</v>
      </c>
      <c r="D2717" s="2">
        <v>0.88431667824074078</v>
      </c>
      <c r="E2717" t="s">
        <v>2662</v>
      </c>
      <c r="F2717" t="s">
        <v>2663</v>
      </c>
      <c r="G2717" t="s">
        <v>2416</v>
      </c>
      <c r="H2717" t="s">
        <v>825</v>
      </c>
      <c r="I2717" t="s">
        <v>781</v>
      </c>
      <c r="J2717" t="s">
        <v>399</v>
      </c>
      <c r="K2717" t="s">
        <v>55</v>
      </c>
      <c r="L2717">
        <v>89.02</v>
      </c>
      <c r="M2717" s="1">
        <v>45703</v>
      </c>
      <c r="N2717" t="s">
        <v>14</v>
      </c>
      <c r="O2717">
        <v>15</v>
      </c>
      <c r="P2717">
        <v>2</v>
      </c>
      <c r="Q2717">
        <v>1</v>
      </c>
      <c r="R2717">
        <v>2025</v>
      </c>
    </row>
    <row r="2718" spans="1:18">
      <c r="A2718">
        <v>259.77999999999997</v>
      </c>
      <c r="B2718">
        <v>2</v>
      </c>
      <c r="C2718">
        <v>2717</v>
      </c>
      <c r="D2718" s="2">
        <v>0.97249878472222218</v>
      </c>
      <c r="E2718" t="s">
        <v>2944</v>
      </c>
      <c r="F2718" t="s">
        <v>2945</v>
      </c>
      <c r="G2718" t="s">
        <v>1038</v>
      </c>
      <c r="H2718" t="s">
        <v>1811</v>
      </c>
      <c r="I2718" t="s">
        <v>892</v>
      </c>
      <c r="J2718" t="s">
        <v>271</v>
      </c>
      <c r="K2718" t="s">
        <v>25</v>
      </c>
      <c r="L2718">
        <v>129.88999999999999</v>
      </c>
      <c r="M2718" s="1">
        <v>46248</v>
      </c>
      <c r="N2718" t="s">
        <v>79</v>
      </c>
      <c r="O2718">
        <v>14</v>
      </c>
      <c r="P2718">
        <v>8</v>
      </c>
      <c r="Q2718">
        <v>3</v>
      </c>
      <c r="R2718">
        <v>2026</v>
      </c>
    </row>
    <row r="2719" spans="1:18">
      <c r="A2719">
        <v>580.26</v>
      </c>
      <c r="B2719">
        <v>3</v>
      </c>
      <c r="C2719">
        <v>2718</v>
      </c>
      <c r="D2719" s="2">
        <v>0.65439027777777781</v>
      </c>
      <c r="E2719" t="s">
        <v>1299</v>
      </c>
      <c r="F2719" t="s">
        <v>3250</v>
      </c>
      <c r="G2719" t="s">
        <v>1010</v>
      </c>
      <c r="H2719" t="s">
        <v>862</v>
      </c>
      <c r="I2719" t="s">
        <v>758</v>
      </c>
      <c r="J2719" t="s">
        <v>294</v>
      </c>
      <c r="K2719" t="s">
        <v>51</v>
      </c>
      <c r="L2719">
        <v>193.42</v>
      </c>
      <c r="M2719" s="1">
        <v>46221</v>
      </c>
      <c r="N2719" t="s">
        <v>14</v>
      </c>
      <c r="O2719">
        <v>18</v>
      </c>
      <c r="P2719">
        <v>7</v>
      </c>
      <c r="Q2719">
        <v>3</v>
      </c>
      <c r="R2719">
        <v>2026</v>
      </c>
    </row>
    <row r="2720" spans="1:18">
      <c r="A2720">
        <v>163.62</v>
      </c>
      <c r="B2720">
        <v>3</v>
      </c>
      <c r="C2720">
        <v>2719</v>
      </c>
      <c r="D2720" s="2">
        <v>0.12395405092592593</v>
      </c>
      <c r="E2720" t="s">
        <v>2678</v>
      </c>
      <c r="F2720" t="s">
        <v>2679</v>
      </c>
      <c r="G2720" t="s">
        <v>1291</v>
      </c>
      <c r="H2720" t="s">
        <v>1740</v>
      </c>
      <c r="I2720" t="s">
        <v>954</v>
      </c>
      <c r="J2720" t="s">
        <v>292</v>
      </c>
      <c r="K2720" t="s">
        <v>97</v>
      </c>
      <c r="L2720">
        <v>54.54</v>
      </c>
      <c r="M2720" s="1">
        <v>45755</v>
      </c>
      <c r="N2720" t="s">
        <v>48</v>
      </c>
      <c r="O2720">
        <v>8</v>
      </c>
      <c r="P2720">
        <v>4</v>
      </c>
      <c r="Q2720">
        <v>2</v>
      </c>
      <c r="R2720">
        <v>2025</v>
      </c>
    </row>
    <row r="2721" spans="1:18">
      <c r="A2721">
        <v>469.96</v>
      </c>
      <c r="B2721">
        <v>2</v>
      </c>
      <c r="C2721">
        <v>2720</v>
      </c>
      <c r="D2721" s="2">
        <v>0.24696936342592593</v>
      </c>
      <c r="E2721" t="s">
        <v>2722</v>
      </c>
      <c r="F2721" t="s">
        <v>2723</v>
      </c>
      <c r="G2721" t="s">
        <v>1440</v>
      </c>
      <c r="H2721" t="s">
        <v>380</v>
      </c>
      <c r="I2721" t="s">
        <v>776</v>
      </c>
      <c r="J2721" t="s">
        <v>333</v>
      </c>
      <c r="K2721" t="s">
        <v>37</v>
      </c>
      <c r="L2721">
        <v>234.98</v>
      </c>
      <c r="M2721" s="1">
        <v>45944</v>
      </c>
      <c r="N2721" t="s">
        <v>48</v>
      </c>
      <c r="O2721">
        <v>14</v>
      </c>
      <c r="P2721">
        <v>10</v>
      </c>
      <c r="Q2721">
        <v>4</v>
      </c>
      <c r="R2721">
        <v>2025</v>
      </c>
    </row>
    <row r="2722" spans="1:18">
      <c r="A2722">
        <v>224.2</v>
      </c>
      <c r="B2722">
        <v>4</v>
      </c>
      <c r="C2722">
        <v>2721</v>
      </c>
      <c r="D2722" s="2">
        <v>0.90527302083333339</v>
      </c>
      <c r="E2722" t="s">
        <v>1475</v>
      </c>
      <c r="F2722" t="s">
        <v>1476</v>
      </c>
      <c r="G2722" t="s">
        <v>1477</v>
      </c>
      <c r="H2722" t="s">
        <v>1137</v>
      </c>
      <c r="I2722" t="s">
        <v>748</v>
      </c>
      <c r="J2722" t="s">
        <v>32</v>
      </c>
      <c r="K2722" t="s">
        <v>19</v>
      </c>
      <c r="L2722">
        <v>56.05</v>
      </c>
      <c r="M2722" s="1">
        <v>45673</v>
      </c>
      <c r="N2722" t="s">
        <v>105</v>
      </c>
      <c r="O2722">
        <v>16</v>
      </c>
      <c r="P2722">
        <v>1</v>
      </c>
      <c r="Q2722">
        <v>1</v>
      </c>
      <c r="R2722">
        <v>2025</v>
      </c>
    </row>
    <row r="2723" spans="1:18">
      <c r="A2723">
        <v>82.320000000000007</v>
      </c>
      <c r="B2723">
        <v>3</v>
      </c>
      <c r="C2723">
        <v>2722</v>
      </c>
      <c r="D2723" s="2">
        <v>0.65237847222222223</v>
      </c>
      <c r="E2723" t="s">
        <v>2251</v>
      </c>
      <c r="F2723" t="s">
        <v>2252</v>
      </c>
      <c r="G2723" t="s">
        <v>2253</v>
      </c>
      <c r="H2723" t="s">
        <v>1882</v>
      </c>
      <c r="I2723" t="s">
        <v>795</v>
      </c>
      <c r="J2723" t="s">
        <v>722</v>
      </c>
      <c r="K2723" t="s">
        <v>37</v>
      </c>
      <c r="L2723">
        <v>27.44</v>
      </c>
      <c r="M2723" s="1">
        <v>45961</v>
      </c>
      <c r="N2723" t="s">
        <v>79</v>
      </c>
      <c r="O2723">
        <v>31</v>
      </c>
      <c r="P2723">
        <v>10</v>
      </c>
      <c r="Q2723">
        <v>4</v>
      </c>
      <c r="R2723">
        <v>2025</v>
      </c>
    </row>
    <row r="2724" spans="1:18">
      <c r="A2724">
        <v>486.27</v>
      </c>
      <c r="B2724">
        <v>3</v>
      </c>
      <c r="C2724">
        <v>2723</v>
      </c>
      <c r="D2724" s="2">
        <v>0.59053910879629634</v>
      </c>
      <c r="E2724" t="s">
        <v>2313</v>
      </c>
      <c r="F2724" t="s">
        <v>2314</v>
      </c>
      <c r="G2724" t="s">
        <v>2315</v>
      </c>
      <c r="H2724" t="s">
        <v>199</v>
      </c>
      <c r="I2724" t="s">
        <v>781</v>
      </c>
      <c r="J2724" t="s">
        <v>124</v>
      </c>
      <c r="K2724" t="s">
        <v>82</v>
      </c>
      <c r="L2724">
        <v>162.09</v>
      </c>
      <c r="M2724" s="1">
        <v>46263</v>
      </c>
      <c r="N2724" t="s">
        <v>14</v>
      </c>
      <c r="O2724">
        <v>29</v>
      </c>
      <c r="P2724">
        <v>8</v>
      </c>
      <c r="Q2724">
        <v>3</v>
      </c>
      <c r="R2724">
        <v>2026</v>
      </c>
    </row>
    <row r="2725" spans="1:18">
      <c r="A2725">
        <v>802.12</v>
      </c>
      <c r="B2725">
        <v>4</v>
      </c>
      <c r="C2725">
        <v>2724</v>
      </c>
      <c r="D2725" s="2">
        <v>0.51843486111111114</v>
      </c>
      <c r="E2725" t="s">
        <v>3262</v>
      </c>
      <c r="F2725" t="s">
        <v>3263</v>
      </c>
      <c r="G2725" t="s">
        <v>3264</v>
      </c>
      <c r="H2725" t="s">
        <v>1630</v>
      </c>
      <c r="I2725" t="s">
        <v>763</v>
      </c>
      <c r="J2725" t="s">
        <v>429</v>
      </c>
      <c r="K2725" t="s">
        <v>19</v>
      </c>
      <c r="L2725">
        <v>200.53</v>
      </c>
      <c r="M2725" s="1">
        <v>46207</v>
      </c>
      <c r="N2725" t="s">
        <v>14</v>
      </c>
      <c r="O2725">
        <v>4</v>
      </c>
      <c r="P2725">
        <v>7</v>
      </c>
      <c r="Q2725">
        <v>3</v>
      </c>
      <c r="R2725">
        <v>2026</v>
      </c>
    </row>
    <row r="2726" spans="1:18">
      <c r="A2726">
        <v>374.96999999999997</v>
      </c>
      <c r="B2726">
        <v>3</v>
      </c>
      <c r="C2726">
        <v>2725</v>
      </c>
      <c r="D2726" s="2">
        <v>0.43260299768518518</v>
      </c>
      <c r="E2726" t="s">
        <v>2207</v>
      </c>
      <c r="F2726" t="s">
        <v>2208</v>
      </c>
      <c r="G2726" t="s">
        <v>1854</v>
      </c>
      <c r="H2726" t="s">
        <v>1920</v>
      </c>
      <c r="I2726" t="s">
        <v>807</v>
      </c>
      <c r="J2726" t="s">
        <v>512</v>
      </c>
      <c r="K2726" t="s">
        <v>27</v>
      </c>
      <c r="L2726">
        <v>124.99</v>
      </c>
      <c r="M2726" s="1">
        <v>45858</v>
      </c>
      <c r="N2726" t="s">
        <v>28</v>
      </c>
      <c r="O2726">
        <v>20</v>
      </c>
      <c r="P2726">
        <v>7</v>
      </c>
      <c r="Q2726">
        <v>3</v>
      </c>
      <c r="R2726">
        <v>2025</v>
      </c>
    </row>
    <row r="2727" spans="1:18">
      <c r="A2727">
        <v>87.32</v>
      </c>
      <c r="B2727">
        <v>2</v>
      </c>
      <c r="C2727">
        <v>2726</v>
      </c>
      <c r="D2727" s="2">
        <v>0.22202967592592593</v>
      </c>
      <c r="E2727" t="s">
        <v>2673</v>
      </c>
      <c r="F2727" t="s">
        <v>2674</v>
      </c>
      <c r="G2727" t="s">
        <v>1121</v>
      </c>
      <c r="H2727" t="s">
        <v>2574</v>
      </c>
      <c r="I2727" t="s">
        <v>839</v>
      </c>
      <c r="J2727" t="s">
        <v>675</v>
      </c>
      <c r="K2727" t="s">
        <v>97</v>
      </c>
      <c r="L2727">
        <v>43.66</v>
      </c>
      <c r="M2727" s="1">
        <v>45608</v>
      </c>
      <c r="N2727" t="s">
        <v>48</v>
      </c>
      <c r="O2727">
        <v>12</v>
      </c>
      <c r="P2727">
        <v>11</v>
      </c>
      <c r="Q2727">
        <v>4</v>
      </c>
      <c r="R2727">
        <v>2024</v>
      </c>
    </row>
    <row r="2728" spans="1:18">
      <c r="A2728">
        <v>22.98</v>
      </c>
      <c r="B2728">
        <v>2</v>
      </c>
      <c r="C2728">
        <v>2727</v>
      </c>
      <c r="D2728" s="2">
        <v>0.51762856481481478</v>
      </c>
      <c r="E2728" t="s">
        <v>2344</v>
      </c>
      <c r="F2728" t="s">
        <v>2345</v>
      </c>
      <c r="G2728" t="s">
        <v>2346</v>
      </c>
      <c r="H2728" t="s">
        <v>2154</v>
      </c>
      <c r="I2728" t="s">
        <v>1003</v>
      </c>
      <c r="J2728" t="s">
        <v>736</v>
      </c>
      <c r="K2728" t="s">
        <v>122</v>
      </c>
      <c r="L2728">
        <v>11.49</v>
      </c>
      <c r="M2728" s="1">
        <v>45605</v>
      </c>
      <c r="N2728" t="s">
        <v>14</v>
      </c>
      <c r="O2728">
        <v>9</v>
      </c>
      <c r="P2728">
        <v>11</v>
      </c>
      <c r="Q2728">
        <v>4</v>
      </c>
      <c r="R2728">
        <v>2024</v>
      </c>
    </row>
    <row r="2729" spans="1:18">
      <c r="A2729">
        <v>179.55</v>
      </c>
      <c r="B2729">
        <v>1</v>
      </c>
      <c r="C2729">
        <v>2728</v>
      </c>
      <c r="D2729" s="2">
        <v>0.55517122685185183</v>
      </c>
      <c r="E2729" t="s">
        <v>1741</v>
      </c>
      <c r="F2729" t="s">
        <v>1742</v>
      </c>
      <c r="G2729" t="s">
        <v>1010</v>
      </c>
      <c r="H2729" t="s">
        <v>961</v>
      </c>
      <c r="I2729" t="s">
        <v>753</v>
      </c>
      <c r="J2729" t="s">
        <v>614</v>
      </c>
      <c r="K2729" t="s">
        <v>21</v>
      </c>
      <c r="L2729">
        <v>179.55</v>
      </c>
      <c r="M2729" s="1">
        <v>46191</v>
      </c>
      <c r="N2729" t="s">
        <v>105</v>
      </c>
      <c r="O2729">
        <v>18</v>
      </c>
      <c r="P2729">
        <v>6</v>
      </c>
      <c r="Q2729">
        <v>2</v>
      </c>
      <c r="R2729">
        <v>2026</v>
      </c>
    </row>
    <row r="2730" spans="1:18">
      <c r="A2730">
        <v>23.18</v>
      </c>
      <c r="B2730">
        <v>2</v>
      </c>
      <c r="C2730">
        <v>2729</v>
      </c>
      <c r="D2730" s="2">
        <v>1.3708541666666667E-2</v>
      </c>
      <c r="E2730" t="s">
        <v>1617</v>
      </c>
      <c r="F2730" t="s">
        <v>1618</v>
      </c>
      <c r="G2730" t="s">
        <v>1619</v>
      </c>
      <c r="H2730" t="s">
        <v>1189</v>
      </c>
      <c r="I2730" t="s">
        <v>892</v>
      </c>
      <c r="J2730" t="s">
        <v>579</v>
      </c>
      <c r="K2730" t="s">
        <v>31</v>
      </c>
      <c r="L2730">
        <v>11.59</v>
      </c>
      <c r="M2730" s="1">
        <v>45572</v>
      </c>
      <c r="N2730" t="s">
        <v>93</v>
      </c>
      <c r="O2730">
        <v>7</v>
      </c>
      <c r="P2730">
        <v>10</v>
      </c>
      <c r="Q2730">
        <v>4</v>
      </c>
      <c r="R2730">
        <v>2024</v>
      </c>
    </row>
    <row r="2731" spans="1:18">
      <c r="A2731">
        <v>134.53</v>
      </c>
      <c r="B2731">
        <v>1</v>
      </c>
      <c r="C2731">
        <v>2730</v>
      </c>
      <c r="D2731" s="2">
        <v>0.63033960648148146</v>
      </c>
      <c r="E2731" t="s">
        <v>3308</v>
      </c>
      <c r="F2731" t="s">
        <v>3309</v>
      </c>
      <c r="G2731" t="s">
        <v>2848</v>
      </c>
      <c r="H2731" t="s">
        <v>708</v>
      </c>
      <c r="I2731" t="s">
        <v>834</v>
      </c>
      <c r="J2731" t="s">
        <v>361</v>
      </c>
      <c r="K2731" t="s">
        <v>37</v>
      </c>
      <c r="L2731">
        <v>134.53</v>
      </c>
      <c r="M2731" s="1">
        <v>46084</v>
      </c>
      <c r="N2731" t="s">
        <v>48</v>
      </c>
      <c r="O2731">
        <v>3</v>
      </c>
      <c r="P2731">
        <v>3</v>
      </c>
      <c r="Q2731">
        <v>1</v>
      </c>
      <c r="R2731">
        <v>2026</v>
      </c>
    </row>
    <row r="2732" spans="1:18">
      <c r="A2732">
        <v>469.96</v>
      </c>
      <c r="B2732">
        <v>2</v>
      </c>
      <c r="C2732">
        <v>2731</v>
      </c>
      <c r="D2732" s="2">
        <v>0.10734255787037036</v>
      </c>
      <c r="E2732" t="s">
        <v>3375</v>
      </c>
      <c r="F2732" t="s">
        <v>3376</v>
      </c>
      <c r="G2732" t="s">
        <v>1625</v>
      </c>
      <c r="H2732" t="s">
        <v>1434</v>
      </c>
      <c r="I2732" t="s">
        <v>786</v>
      </c>
      <c r="J2732" t="s">
        <v>333</v>
      </c>
      <c r="K2732" t="s">
        <v>37</v>
      </c>
      <c r="L2732">
        <v>234.98</v>
      </c>
      <c r="M2732" s="1">
        <v>45814</v>
      </c>
      <c r="N2732" t="s">
        <v>79</v>
      </c>
      <c r="O2732">
        <v>6</v>
      </c>
      <c r="P2732">
        <v>6</v>
      </c>
      <c r="Q2732">
        <v>2</v>
      </c>
      <c r="R2732">
        <v>2025</v>
      </c>
    </row>
    <row r="2733" spans="1:18">
      <c r="A2733">
        <v>106.53</v>
      </c>
      <c r="B2733">
        <v>1</v>
      </c>
      <c r="C2733">
        <v>2732</v>
      </c>
      <c r="D2733" s="2">
        <v>0.69376675925925924</v>
      </c>
      <c r="E2733" t="s">
        <v>3082</v>
      </c>
      <c r="F2733" t="s">
        <v>3083</v>
      </c>
      <c r="G2733" t="s">
        <v>751</v>
      </c>
      <c r="H2733" t="s">
        <v>2489</v>
      </c>
      <c r="I2733" t="s">
        <v>1247</v>
      </c>
      <c r="J2733" t="s">
        <v>377</v>
      </c>
      <c r="K2733" t="s">
        <v>27</v>
      </c>
      <c r="L2733">
        <v>106.53</v>
      </c>
      <c r="M2733" s="1">
        <v>45640</v>
      </c>
      <c r="N2733" t="s">
        <v>14</v>
      </c>
      <c r="O2733">
        <v>14</v>
      </c>
      <c r="P2733">
        <v>12</v>
      </c>
      <c r="Q2733">
        <v>4</v>
      </c>
      <c r="R2733">
        <v>2024</v>
      </c>
    </row>
    <row r="2734" spans="1:18">
      <c r="A2734">
        <v>94.32</v>
      </c>
      <c r="B2734">
        <v>4</v>
      </c>
      <c r="C2734">
        <v>2733</v>
      </c>
      <c r="D2734" s="2">
        <v>0.83515709490740742</v>
      </c>
      <c r="E2734" t="s">
        <v>2993</v>
      </c>
      <c r="F2734" t="s">
        <v>2994</v>
      </c>
      <c r="G2734" t="s">
        <v>805</v>
      </c>
      <c r="H2734" t="s">
        <v>1318</v>
      </c>
      <c r="I2734" t="s">
        <v>807</v>
      </c>
      <c r="J2734" t="s">
        <v>466</v>
      </c>
      <c r="K2734" t="s">
        <v>46</v>
      </c>
      <c r="L2734">
        <v>23.58</v>
      </c>
      <c r="M2734" s="1">
        <v>45771</v>
      </c>
      <c r="N2734" t="s">
        <v>105</v>
      </c>
      <c r="O2734">
        <v>24</v>
      </c>
      <c r="P2734">
        <v>4</v>
      </c>
      <c r="Q2734">
        <v>2</v>
      </c>
      <c r="R2734">
        <v>2025</v>
      </c>
    </row>
    <row r="2735" spans="1:18">
      <c r="A2735">
        <v>285.92</v>
      </c>
      <c r="B2735">
        <v>4</v>
      </c>
      <c r="C2735">
        <v>2734</v>
      </c>
      <c r="D2735" s="2">
        <v>0.80558893518518515</v>
      </c>
      <c r="E2735" t="s">
        <v>1068</v>
      </c>
      <c r="F2735" t="s">
        <v>1069</v>
      </c>
      <c r="G2735" t="s">
        <v>1070</v>
      </c>
      <c r="H2735" t="s">
        <v>1071</v>
      </c>
      <c r="I2735" t="s">
        <v>817</v>
      </c>
      <c r="J2735" t="s">
        <v>610</v>
      </c>
      <c r="K2735" t="s">
        <v>69</v>
      </c>
      <c r="L2735">
        <v>71.48</v>
      </c>
      <c r="M2735" s="1">
        <v>46125</v>
      </c>
      <c r="N2735" t="s">
        <v>93</v>
      </c>
      <c r="O2735">
        <v>13</v>
      </c>
      <c r="P2735">
        <v>4</v>
      </c>
      <c r="Q2735">
        <v>2</v>
      </c>
      <c r="R2735">
        <v>2026</v>
      </c>
    </row>
    <row r="2736" spans="1:18">
      <c r="A2736">
        <v>144.51</v>
      </c>
      <c r="B2736">
        <v>3</v>
      </c>
      <c r="C2736">
        <v>2735</v>
      </c>
      <c r="D2736" s="2">
        <v>0.83311892361111106</v>
      </c>
      <c r="E2736" t="s">
        <v>3065</v>
      </c>
      <c r="F2736" t="s">
        <v>3066</v>
      </c>
      <c r="G2736" t="s">
        <v>1374</v>
      </c>
      <c r="H2736" t="s">
        <v>942</v>
      </c>
      <c r="I2736" t="s">
        <v>943</v>
      </c>
      <c r="J2736" t="s">
        <v>709</v>
      </c>
      <c r="K2736" t="s">
        <v>25</v>
      </c>
      <c r="L2736">
        <v>48.17</v>
      </c>
      <c r="M2736" s="1">
        <v>46278</v>
      </c>
      <c r="N2736" t="s">
        <v>28</v>
      </c>
      <c r="O2736">
        <v>13</v>
      </c>
      <c r="P2736">
        <v>9</v>
      </c>
      <c r="Q2736">
        <v>3</v>
      </c>
      <c r="R2736">
        <v>2026</v>
      </c>
    </row>
    <row r="2737" spans="1:18">
      <c r="A2737">
        <v>1216.1499999999999</v>
      </c>
      <c r="B2737">
        <v>5</v>
      </c>
      <c r="C2737">
        <v>2736</v>
      </c>
      <c r="D2737" s="2">
        <v>0.99736270833333329</v>
      </c>
      <c r="E2737" t="s">
        <v>2682</v>
      </c>
      <c r="F2737" t="s">
        <v>2683</v>
      </c>
      <c r="G2737" t="s">
        <v>1648</v>
      </c>
      <c r="H2737" t="s">
        <v>932</v>
      </c>
      <c r="I2737" t="s">
        <v>776</v>
      </c>
      <c r="J2737" t="s">
        <v>126</v>
      </c>
      <c r="K2737" t="s">
        <v>43</v>
      </c>
      <c r="L2737">
        <v>243.23</v>
      </c>
      <c r="M2737" s="1">
        <v>45925</v>
      </c>
      <c r="N2737" t="s">
        <v>105</v>
      </c>
      <c r="O2737">
        <v>25</v>
      </c>
      <c r="P2737">
        <v>9</v>
      </c>
      <c r="Q2737">
        <v>3</v>
      </c>
      <c r="R2737">
        <v>2025</v>
      </c>
    </row>
    <row r="2738" spans="1:18">
      <c r="A2738">
        <v>122.08</v>
      </c>
      <c r="B2738">
        <v>1</v>
      </c>
      <c r="C2738">
        <v>2737</v>
      </c>
      <c r="D2738" s="2">
        <v>0.21922869212962964</v>
      </c>
      <c r="E2738" t="s">
        <v>2867</v>
      </c>
      <c r="F2738" t="s">
        <v>2868</v>
      </c>
      <c r="G2738" t="s">
        <v>906</v>
      </c>
      <c r="H2738" t="s">
        <v>1525</v>
      </c>
      <c r="I2738" t="s">
        <v>763</v>
      </c>
      <c r="J2738" t="s">
        <v>646</v>
      </c>
      <c r="K2738" t="s">
        <v>21</v>
      </c>
      <c r="L2738">
        <v>122.08</v>
      </c>
      <c r="M2738" s="1">
        <v>45841</v>
      </c>
      <c r="N2738" t="s">
        <v>105</v>
      </c>
      <c r="O2738">
        <v>3</v>
      </c>
      <c r="P2738">
        <v>7</v>
      </c>
      <c r="Q2738">
        <v>3</v>
      </c>
      <c r="R2738">
        <v>2025</v>
      </c>
    </row>
    <row r="2739" spans="1:18">
      <c r="A2739">
        <v>122.16</v>
      </c>
      <c r="B2739">
        <v>2</v>
      </c>
      <c r="C2739">
        <v>2738</v>
      </c>
      <c r="D2739" s="2">
        <v>1.9150891203703703E-2</v>
      </c>
      <c r="E2739" t="s">
        <v>2171</v>
      </c>
      <c r="F2739" t="s">
        <v>2172</v>
      </c>
      <c r="G2739" t="s">
        <v>2173</v>
      </c>
      <c r="H2739" t="s">
        <v>762</v>
      </c>
      <c r="I2739" t="s">
        <v>763</v>
      </c>
      <c r="J2739" t="s">
        <v>385</v>
      </c>
      <c r="K2739" t="s">
        <v>39</v>
      </c>
      <c r="L2739">
        <v>61.08</v>
      </c>
      <c r="M2739" s="1">
        <v>45952</v>
      </c>
      <c r="N2739" t="s">
        <v>34</v>
      </c>
      <c r="O2739">
        <v>22</v>
      </c>
      <c r="P2739">
        <v>10</v>
      </c>
      <c r="Q2739">
        <v>4</v>
      </c>
      <c r="R2739">
        <v>2025</v>
      </c>
    </row>
    <row r="2740" spans="1:18">
      <c r="A2740">
        <v>272.61</v>
      </c>
      <c r="B2740">
        <v>3</v>
      </c>
      <c r="C2740">
        <v>2739</v>
      </c>
      <c r="D2740" s="2">
        <v>0.43664793981481481</v>
      </c>
      <c r="E2740" t="s">
        <v>2344</v>
      </c>
      <c r="F2740" t="s">
        <v>2345</v>
      </c>
      <c r="G2740" t="s">
        <v>2346</v>
      </c>
      <c r="H2740" t="s">
        <v>2154</v>
      </c>
      <c r="I2740" t="s">
        <v>1003</v>
      </c>
      <c r="J2740" t="s">
        <v>470</v>
      </c>
      <c r="K2740" t="s">
        <v>39</v>
      </c>
      <c r="L2740">
        <v>90.87</v>
      </c>
      <c r="M2740" s="1">
        <v>45639</v>
      </c>
      <c r="N2740" t="s">
        <v>79</v>
      </c>
      <c r="O2740">
        <v>13</v>
      </c>
      <c r="P2740">
        <v>12</v>
      </c>
      <c r="Q2740">
        <v>4</v>
      </c>
      <c r="R2740">
        <v>2024</v>
      </c>
    </row>
    <row r="2741" spans="1:18">
      <c r="A2741">
        <v>406.38</v>
      </c>
      <c r="B2741">
        <v>3</v>
      </c>
      <c r="C2741">
        <v>2740</v>
      </c>
      <c r="D2741" s="2">
        <v>0.4726224537037037</v>
      </c>
      <c r="E2741" t="s">
        <v>2437</v>
      </c>
      <c r="F2741" t="s">
        <v>2438</v>
      </c>
      <c r="G2741" t="s">
        <v>1025</v>
      </c>
      <c r="H2741" t="s">
        <v>1111</v>
      </c>
      <c r="I2741" t="s">
        <v>981</v>
      </c>
      <c r="J2741" t="s">
        <v>503</v>
      </c>
      <c r="K2741" t="s">
        <v>43</v>
      </c>
      <c r="L2741">
        <v>135.46</v>
      </c>
      <c r="M2741" s="1">
        <v>45833</v>
      </c>
      <c r="N2741" t="s">
        <v>34</v>
      </c>
      <c r="O2741">
        <v>25</v>
      </c>
      <c r="P2741">
        <v>6</v>
      </c>
      <c r="Q2741">
        <v>2</v>
      </c>
      <c r="R2741">
        <v>2025</v>
      </c>
    </row>
    <row r="2742" spans="1:18">
      <c r="A2742">
        <v>106.58</v>
      </c>
      <c r="B2742">
        <v>1</v>
      </c>
      <c r="C2742">
        <v>2741</v>
      </c>
      <c r="D2742" s="2">
        <v>0.10440746527777778</v>
      </c>
      <c r="E2742" t="s">
        <v>3055</v>
      </c>
      <c r="F2742" t="s">
        <v>3056</v>
      </c>
      <c r="G2742" t="s">
        <v>960</v>
      </c>
      <c r="H2742" t="s">
        <v>1540</v>
      </c>
      <c r="I2742" t="s">
        <v>768</v>
      </c>
      <c r="J2742" t="s">
        <v>670</v>
      </c>
      <c r="K2742" t="s">
        <v>57</v>
      </c>
      <c r="L2742">
        <v>106.58</v>
      </c>
      <c r="M2742" s="1">
        <v>46080</v>
      </c>
      <c r="N2742" t="s">
        <v>79</v>
      </c>
      <c r="O2742">
        <v>27</v>
      </c>
      <c r="P2742">
        <v>2</v>
      </c>
      <c r="Q2742">
        <v>1</v>
      </c>
      <c r="R2742">
        <v>2026</v>
      </c>
    </row>
    <row r="2743" spans="1:18">
      <c r="A2743">
        <v>732.88</v>
      </c>
      <c r="B2743">
        <v>4</v>
      </c>
      <c r="C2743">
        <v>2742</v>
      </c>
      <c r="D2743" s="2">
        <v>0.98779348379629628</v>
      </c>
      <c r="E2743" t="s">
        <v>1883</v>
      </c>
      <c r="F2743" t="s">
        <v>1884</v>
      </c>
      <c r="G2743" t="s">
        <v>1885</v>
      </c>
      <c r="H2743" t="s">
        <v>1886</v>
      </c>
      <c r="I2743" t="s">
        <v>753</v>
      </c>
      <c r="J2743" t="s">
        <v>491</v>
      </c>
      <c r="K2743" t="s">
        <v>25</v>
      </c>
      <c r="L2743">
        <v>183.22</v>
      </c>
      <c r="M2743" s="1">
        <v>45611</v>
      </c>
      <c r="N2743" t="s">
        <v>79</v>
      </c>
      <c r="O2743">
        <v>15</v>
      </c>
      <c r="P2743">
        <v>11</v>
      </c>
      <c r="Q2743">
        <v>4</v>
      </c>
      <c r="R2743">
        <v>2024</v>
      </c>
    </row>
    <row r="2744" spans="1:18">
      <c r="A2744">
        <v>883.4</v>
      </c>
      <c r="B2744">
        <v>4</v>
      </c>
      <c r="C2744">
        <v>2743</v>
      </c>
      <c r="D2744" s="2">
        <v>0.41445745370370368</v>
      </c>
      <c r="E2744" t="s">
        <v>904</v>
      </c>
      <c r="F2744" t="s">
        <v>905</v>
      </c>
      <c r="G2744" t="s">
        <v>906</v>
      </c>
      <c r="H2744" t="s">
        <v>907</v>
      </c>
      <c r="I2744" t="s">
        <v>908</v>
      </c>
      <c r="J2744" t="s">
        <v>309</v>
      </c>
      <c r="K2744" t="s">
        <v>100</v>
      </c>
      <c r="L2744">
        <v>220.85</v>
      </c>
      <c r="M2744" s="1">
        <v>45966</v>
      </c>
      <c r="N2744" t="s">
        <v>34</v>
      </c>
      <c r="O2744">
        <v>5</v>
      </c>
      <c r="P2744">
        <v>11</v>
      </c>
      <c r="Q2744">
        <v>4</v>
      </c>
      <c r="R2744">
        <v>2025</v>
      </c>
    </row>
    <row r="2745" spans="1:18">
      <c r="A2745">
        <v>27.4</v>
      </c>
      <c r="B2745">
        <v>4</v>
      </c>
      <c r="C2745">
        <v>2744</v>
      </c>
      <c r="D2745" s="2">
        <v>0.59995061342592593</v>
      </c>
      <c r="E2745" t="s">
        <v>2221</v>
      </c>
      <c r="F2745" t="s">
        <v>2222</v>
      </c>
      <c r="G2745" t="s">
        <v>798</v>
      </c>
      <c r="H2745" t="s">
        <v>816</v>
      </c>
      <c r="I2745" t="s">
        <v>817</v>
      </c>
      <c r="J2745" t="s">
        <v>673</v>
      </c>
      <c r="K2745" t="s">
        <v>100</v>
      </c>
      <c r="L2745">
        <v>6.85</v>
      </c>
      <c r="M2745" s="1">
        <v>46154</v>
      </c>
      <c r="N2745" t="s">
        <v>48</v>
      </c>
      <c r="O2745">
        <v>12</v>
      </c>
      <c r="P2745">
        <v>5</v>
      </c>
      <c r="Q2745">
        <v>2</v>
      </c>
      <c r="R2745">
        <v>2026</v>
      </c>
    </row>
    <row r="2746" spans="1:18">
      <c r="A2746">
        <v>226.05</v>
      </c>
      <c r="B2746">
        <v>5</v>
      </c>
      <c r="C2746">
        <v>2745</v>
      </c>
      <c r="D2746" s="2">
        <v>0.99857932870370369</v>
      </c>
      <c r="E2746" t="s">
        <v>3433</v>
      </c>
      <c r="F2746" t="s">
        <v>3434</v>
      </c>
      <c r="G2746" t="s">
        <v>1859</v>
      </c>
      <c r="H2746" t="s">
        <v>825</v>
      </c>
      <c r="I2746" t="s">
        <v>781</v>
      </c>
      <c r="J2746" t="s">
        <v>542</v>
      </c>
      <c r="K2746" t="s">
        <v>46</v>
      </c>
      <c r="L2746">
        <v>45.21</v>
      </c>
      <c r="M2746" s="1">
        <v>45589</v>
      </c>
      <c r="N2746" t="s">
        <v>105</v>
      </c>
      <c r="O2746">
        <v>24</v>
      </c>
      <c r="P2746">
        <v>10</v>
      </c>
      <c r="Q2746">
        <v>4</v>
      </c>
      <c r="R2746">
        <v>2024</v>
      </c>
    </row>
    <row r="2747" spans="1:18">
      <c r="A2747">
        <v>866.94999999999993</v>
      </c>
      <c r="B2747">
        <v>5</v>
      </c>
      <c r="C2747">
        <v>2746</v>
      </c>
      <c r="D2747" s="2">
        <v>0.98256370370370372</v>
      </c>
      <c r="E2747" t="s">
        <v>3242</v>
      </c>
      <c r="F2747" t="s">
        <v>3243</v>
      </c>
      <c r="G2747" t="s">
        <v>861</v>
      </c>
      <c r="H2747" t="s">
        <v>961</v>
      </c>
      <c r="I2747" t="s">
        <v>807</v>
      </c>
      <c r="J2747" t="s">
        <v>446</v>
      </c>
      <c r="K2747" t="s">
        <v>57</v>
      </c>
      <c r="L2747">
        <v>173.39</v>
      </c>
      <c r="M2747" s="1">
        <v>46135</v>
      </c>
      <c r="N2747" t="s">
        <v>105</v>
      </c>
      <c r="O2747">
        <v>23</v>
      </c>
      <c r="P2747">
        <v>4</v>
      </c>
      <c r="Q2747">
        <v>2</v>
      </c>
      <c r="R2747">
        <v>2026</v>
      </c>
    </row>
    <row r="2748" spans="1:18">
      <c r="A2748">
        <v>80.239999999999995</v>
      </c>
      <c r="B2748">
        <v>2</v>
      </c>
      <c r="C2748">
        <v>2747</v>
      </c>
      <c r="D2748" s="2">
        <v>3.8856111111111112E-2</v>
      </c>
      <c r="E2748" t="s">
        <v>2023</v>
      </c>
      <c r="F2748" t="s">
        <v>2024</v>
      </c>
      <c r="G2748" t="s">
        <v>1865</v>
      </c>
      <c r="H2748" t="s">
        <v>1246</v>
      </c>
      <c r="I2748" t="s">
        <v>1247</v>
      </c>
      <c r="J2748" t="s">
        <v>56</v>
      </c>
      <c r="K2748" t="s">
        <v>57</v>
      </c>
      <c r="L2748">
        <v>40.119999999999997</v>
      </c>
      <c r="M2748" s="1">
        <v>46134</v>
      </c>
      <c r="N2748" t="s">
        <v>34</v>
      </c>
      <c r="O2748">
        <v>22</v>
      </c>
      <c r="P2748">
        <v>4</v>
      </c>
      <c r="Q2748">
        <v>2</v>
      </c>
      <c r="R2748">
        <v>2026</v>
      </c>
    </row>
    <row r="2749" spans="1:18">
      <c r="A2749">
        <v>113.08</v>
      </c>
      <c r="B2749">
        <v>4</v>
      </c>
      <c r="C2749">
        <v>2748</v>
      </c>
      <c r="D2749" s="2">
        <v>0.88646467592592593</v>
      </c>
      <c r="E2749" t="s">
        <v>3036</v>
      </c>
      <c r="F2749" t="s">
        <v>3037</v>
      </c>
      <c r="G2749" t="s">
        <v>1110</v>
      </c>
      <c r="H2749" t="s">
        <v>1061</v>
      </c>
      <c r="I2749" t="s">
        <v>834</v>
      </c>
      <c r="J2749" t="s">
        <v>184</v>
      </c>
      <c r="K2749" t="s">
        <v>31</v>
      </c>
      <c r="L2749">
        <v>28.27</v>
      </c>
      <c r="M2749" s="1">
        <v>45684</v>
      </c>
      <c r="N2749" t="s">
        <v>93</v>
      </c>
      <c r="O2749">
        <v>27</v>
      </c>
      <c r="P2749">
        <v>1</v>
      </c>
      <c r="Q2749">
        <v>1</v>
      </c>
      <c r="R2749">
        <v>2025</v>
      </c>
    </row>
    <row r="2750" spans="1:18">
      <c r="A2750">
        <v>463.68</v>
      </c>
      <c r="B2750">
        <v>2</v>
      </c>
      <c r="C2750">
        <v>2749</v>
      </c>
      <c r="D2750" s="2">
        <v>0.83586791666666671</v>
      </c>
      <c r="E2750" t="s">
        <v>1894</v>
      </c>
      <c r="F2750" t="s">
        <v>1895</v>
      </c>
      <c r="G2750" t="s">
        <v>1387</v>
      </c>
      <c r="H2750" t="s">
        <v>1213</v>
      </c>
      <c r="I2750" t="s">
        <v>839</v>
      </c>
      <c r="J2750" t="s">
        <v>626</v>
      </c>
      <c r="K2750" t="s">
        <v>17</v>
      </c>
      <c r="L2750">
        <v>231.84</v>
      </c>
      <c r="M2750" s="1">
        <v>45823</v>
      </c>
      <c r="N2750" t="s">
        <v>28</v>
      </c>
      <c r="O2750">
        <v>15</v>
      </c>
      <c r="P2750">
        <v>6</v>
      </c>
      <c r="Q2750">
        <v>2</v>
      </c>
      <c r="R2750">
        <v>2025</v>
      </c>
    </row>
    <row r="2751" spans="1:18">
      <c r="A2751">
        <v>929.75</v>
      </c>
      <c r="B2751">
        <v>5</v>
      </c>
      <c r="C2751">
        <v>2750</v>
      </c>
      <c r="D2751" s="2">
        <v>0.10841310185185185</v>
      </c>
      <c r="E2751" t="s">
        <v>3019</v>
      </c>
      <c r="F2751" t="s">
        <v>3020</v>
      </c>
      <c r="G2751" t="s">
        <v>1404</v>
      </c>
      <c r="H2751" t="s">
        <v>1002</v>
      </c>
      <c r="I2751" t="s">
        <v>892</v>
      </c>
      <c r="J2751" t="s">
        <v>556</v>
      </c>
      <c r="K2751" t="s">
        <v>55</v>
      </c>
      <c r="L2751">
        <v>185.95</v>
      </c>
      <c r="M2751" s="1">
        <v>45926</v>
      </c>
      <c r="N2751" t="s">
        <v>79</v>
      </c>
      <c r="O2751">
        <v>26</v>
      </c>
      <c r="P2751">
        <v>9</v>
      </c>
      <c r="Q2751">
        <v>3</v>
      </c>
      <c r="R2751">
        <v>2025</v>
      </c>
    </row>
    <row r="2752" spans="1:18">
      <c r="A2752">
        <v>227.22</v>
      </c>
      <c r="B2752">
        <v>1</v>
      </c>
      <c r="C2752">
        <v>2751</v>
      </c>
      <c r="D2752" s="2">
        <v>0.36368949074074075</v>
      </c>
      <c r="E2752" t="s">
        <v>2131</v>
      </c>
      <c r="F2752" t="s">
        <v>2132</v>
      </c>
      <c r="G2752" t="s">
        <v>2133</v>
      </c>
      <c r="H2752" t="s">
        <v>929</v>
      </c>
      <c r="I2752" t="s">
        <v>830</v>
      </c>
      <c r="J2752" t="s">
        <v>1314</v>
      </c>
      <c r="K2752" t="s">
        <v>55</v>
      </c>
      <c r="L2752">
        <v>227.22</v>
      </c>
      <c r="M2752" s="1">
        <v>45815</v>
      </c>
      <c r="N2752" t="s">
        <v>14</v>
      </c>
      <c r="O2752">
        <v>7</v>
      </c>
      <c r="P2752">
        <v>6</v>
      </c>
      <c r="Q2752">
        <v>2</v>
      </c>
      <c r="R2752">
        <v>2025</v>
      </c>
    </row>
    <row r="2753" spans="1:18">
      <c r="A2753">
        <v>124.99</v>
      </c>
      <c r="B2753">
        <v>1</v>
      </c>
      <c r="C2753">
        <v>2752</v>
      </c>
      <c r="D2753" s="2">
        <v>0.15972662037037036</v>
      </c>
      <c r="E2753" t="s">
        <v>2812</v>
      </c>
      <c r="F2753" t="s">
        <v>2813</v>
      </c>
      <c r="G2753" t="s">
        <v>2098</v>
      </c>
      <c r="H2753" t="s">
        <v>953</v>
      </c>
      <c r="I2753" t="s">
        <v>954</v>
      </c>
      <c r="J2753" t="s">
        <v>512</v>
      </c>
      <c r="K2753" t="s">
        <v>27</v>
      </c>
      <c r="L2753">
        <v>124.99</v>
      </c>
      <c r="M2753" s="1">
        <v>46043</v>
      </c>
      <c r="N2753" t="s">
        <v>34</v>
      </c>
      <c r="O2753">
        <v>21</v>
      </c>
      <c r="P2753">
        <v>1</v>
      </c>
      <c r="Q2753">
        <v>1</v>
      </c>
      <c r="R2753">
        <v>2026</v>
      </c>
    </row>
    <row r="2754" spans="1:18">
      <c r="A2754">
        <v>769.92</v>
      </c>
      <c r="B2754">
        <v>4</v>
      </c>
      <c r="C2754">
        <v>2753</v>
      </c>
      <c r="D2754" s="2">
        <v>0.2145863888888889</v>
      </c>
      <c r="E2754" t="s">
        <v>1281</v>
      </c>
      <c r="F2754" t="s">
        <v>1282</v>
      </c>
      <c r="G2754" t="s">
        <v>1283</v>
      </c>
      <c r="H2754" t="s">
        <v>691</v>
      </c>
      <c r="I2754" t="s">
        <v>776</v>
      </c>
      <c r="J2754" t="s">
        <v>159</v>
      </c>
      <c r="K2754" t="s">
        <v>21</v>
      </c>
      <c r="L2754">
        <v>192.48</v>
      </c>
      <c r="M2754" s="1">
        <v>46187</v>
      </c>
      <c r="N2754" t="s">
        <v>28</v>
      </c>
      <c r="O2754">
        <v>14</v>
      </c>
      <c r="P2754">
        <v>6</v>
      </c>
      <c r="Q2754">
        <v>2</v>
      </c>
      <c r="R2754">
        <v>2026</v>
      </c>
    </row>
    <row r="2755" spans="1:18">
      <c r="A2755">
        <v>156.86000000000001</v>
      </c>
      <c r="B2755">
        <v>1</v>
      </c>
      <c r="C2755">
        <v>2754</v>
      </c>
      <c r="D2755" s="2">
        <v>0.10070902777777778</v>
      </c>
      <c r="E2755" t="s">
        <v>3445</v>
      </c>
      <c r="F2755" t="s">
        <v>3446</v>
      </c>
      <c r="G2755" t="s">
        <v>1387</v>
      </c>
      <c r="H2755" t="s">
        <v>691</v>
      </c>
      <c r="I2755" t="s">
        <v>776</v>
      </c>
      <c r="J2755" t="s">
        <v>602</v>
      </c>
      <c r="K2755" t="s">
        <v>17</v>
      </c>
      <c r="L2755">
        <v>156.86000000000001</v>
      </c>
      <c r="M2755" s="1">
        <v>45921</v>
      </c>
      <c r="N2755" t="s">
        <v>28</v>
      </c>
      <c r="O2755">
        <v>21</v>
      </c>
      <c r="P2755">
        <v>9</v>
      </c>
      <c r="Q2755">
        <v>3</v>
      </c>
      <c r="R2755">
        <v>2025</v>
      </c>
    </row>
    <row r="2756" spans="1:18">
      <c r="A2756">
        <v>384.7</v>
      </c>
      <c r="B2756">
        <v>5</v>
      </c>
      <c r="C2756">
        <v>2755</v>
      </c>
      <c r="D2756" s="2">
        <v>0.88129193287037033</v>
      </c>
      <c r="E2756" t="s">
        <v>3409</v>
      </c>
      <c r="F2756" t="s">
        <v>3410</v>
      </c>
      <c r="G2756" t="s">
        <v>2306</v>
      </c>
      <c r="H2756" t="s">
        <v>392</v>
      </c>
      <c r="I2756" t="s">
        <v>943</v>
      </c>
      <c r="J2756" t="s">
        <v>119</v>
      </c>
      <c r="K2756" t="s">
        <v>60</v>
      </c>
      <c r="L2756">
        <v>76.94</v>
      </c>
      <c r="M2756" s="1">
        <v>45935</v>
      </c>
      <c r="N2756" t="s">
        <v>28</v>
      </c>
      <c r="O2756">
        <v>5</v>
      </c>
      <c r="P2756">
        <v>10</v>
      </c>
      <c r="Q2756">
        <v>4</v>
      </c>
      <c r="R2756">
        <v>2025</v>
      </c>
    </row>
    <row r="2757" spans="1:18">
      <c r="A2757">
        <v>140.44</v>
      </c>
      <c r="B2757">
        <v>4</v>
      </c>
      <c r="C2757">
        <v>2756</v>
      </c>
      <c r="D2757" s="2">
        <v>0.72255144675925931</v>
      </c>
      <c r="E2757" t="s">
        <v>1756</v>
      </c>
      <c r="F2757" t="s">
        <v>1757</v>
      </c>
      <c r="G2757" t="s">
        <v>1679</v>
      </c>
      <c r="H2757" t="s">
        <v>802</v>
      </c>
      <c r="I2757" t="s">
        <v>748</v>
      </c>
      <c r="J2757" t="s">
        <v>400</v>
      </c>
      <c r="K2757" t="s">
        <v>57</v>
      </c>
      <c r="L2757">
        <v>35.11</v>
      </c>
      <c r="M2757" s="1">
        <v>45775</v>
      </c>
      <c r="N2757" t="s">
        <v>93</v>
      </c>
      <c r="O2757">
        <v>28</v>
      </c>
      <c r="P2757">
        <v>4</v>
      </c>
      <c r="Q2757">
        <v>2</v>
      </c>
      <c r="R2757">
        <v>2025</v>
      </c>
    </row>
    <row r="2758" spans="1:18">
      <c r="A2758">
        <v>12.7</v>
      </c>
      <c r="B2758">
        <v>5</v>
      </c>
      <c r="C2758">
        <v>2757</v>
      </c>
      <c r="D2758" s="2">
        <v>0.24747910879629631</v>
      </c>
      <c r="E2758" t="s">
        <v>1360</v>
      </c>
      <c r="F2758" t="s">
        <v>1361</v>
      </c>
      <c r="G2758" t="s">
        <v>932</v>
      </c>
      <c r="H2758" t="s">
        <v>1362</v>
      </c>
      <c r="I2758" t="s">
        <v>896</v>
      </c>
      <c r="J2758" t="s">
        <v>409</v>
      </c>
      <c r="K2758" t="s">
        <v>39</v>
      </c>
      <c r="L2758">
        <v>2.54</v>
      </c>
      <c r="M2758" s="1">
        <v>45961</v>
      </c>
      <c r="N2758" t="s">
        <v>79</v>
      </c>
      <c r="O2758">
        <v>31</v>
      </c>
      <c r="P2758">
        <v>10</v>
      </c>
      <c r="Q2758">
        <v>4</v>
      </c>
      <c r="R2758">
        <v>2025</v>
      </c>
    </row>
    <row r="2759" spans="1:18">
      <c r="A2759">
        <v>445.02</v>
      </c>
      <c r="B2759">
        <v>2</v>
      </c>
      <c r="C2759">
        <v>2758</v>
      </c>
      <c r="D2759" s="2">
        <v>0.81093960648148145</v>
      </c>
      <c r="E2759" t="s">
        <v>1150</v>
      </c>
      <c r="F2759" t="s">
        <v>1151</v>
      </c>
      <c r="G2759" t="s">
        <v>1152</v>
      </c>
      <c r="H2759" t="s">
        <v>843</v>
      </c>
      <c r="I2759" t="s">
        <v>753</v>
      </c>
      <c r="J2759" t="s">
        <v>142</v>
      </c>
      <c r="K2759" t="s">
        <v>60</v>
      </c>
      <c r="L2759">
        <v>222.51</v>
      </c>
      <c r="M2759" s="1">
        <v>46204</v>
      </c>
      <c r="N2759" t="s">
        <v>34</v>
      </c>
      <c r="O2759">
        <v>1</v>
      </c>
      <c r="P2759">
        <v>7</v>
      </c>
      <c r="Q2759">
        <v>3</v>
      </c>
      <c r="R2759">
        <v>2026</v>
      </c>
    </row>
    <row r="2760" spans="1:18">
      <c r="A2760">
        <v>57.33</v>
      </c>
      <c r="B2760">
        <v>3</v>
      </c>
      <c r="C2760">
        <v>2759</v>
      </c>
      <c r="D2760" s="2">
        <v>0.16933881944444445</v>
      </c>
      <c r="E2760" t="s">
        <v>2727</v>
      </c>
      <c r="F2760" t="s">
        <v>2728</v>
      </c>
      <c r="G2760" t="s">
        <v>1619</v>
      </c>
      <c r="H2760" t="s">
        <v>816</v>
      </c>
      <c r="I2760" t="s">
        <v>817</v>
      </c>
      <c r="J2760" t="s">
        <v>410</v>
      </c>
      <c r="K2760" t="s">
        <v>97</v>
      </c>
      <c r="L2760">
        <v>19.11</v>
      </c>
      <c r="M2760" s="1">
        <v>45910</v>
      </c>
      <c r="N2760" t="s">
        <v>34</v>
      </c>
      <c r="O2760">
        <v>10</v>
      </c>
      <c r="P2760">
        <v>9</v>
      </c>
      <c r="Q2760">
        <v>3</v>
      </c>
      <c r="R2760">
        <v>2025</v>
      </c>
    </row>
    <row r="2761" spans="1:18">
      <c r="A2761">
        <v>243.93</v>
      </c>
      <c r="B2761">
        <v>1</v>
      </c>
      <c r="C2761">
        <v>2760</v>
      </c>
      <c r="D2761" s="2">
        <v>0.65125888888888894</v>
      </c>
      <c r="E2761" t="s">
        <v>2412</v>
      </c>
      <c r="F2761" t="s">
        <v>2413</v>
      </c>
      <c r="G2761" t="s">
        <v>875</v>
      </c>
      <c r="H2761" t="s">
        <v>825</v>
      </c>
      <c r="I2761" t="s">
        <v>781</v>
      </c>
      <c r="J2761" t="s">
        <v>564</v>
      </c>
      <c r="K2761" t="s">
        <v>17</v>
      </c>
      <c r="L2761">
        <v>243.93</v>
      </c>
      <c r="M2761" s="1">
        <v>45803</v>
      </c>
      <c r="N2761" t="s">
        <v>93</v>
      </c>
      <c r="O2761">
        <v>26</v>
      </c>
      <c r="P2761">
        <v>5</v>
      </c>
      <c r="Q2761">
        <v>2</v>
      </c>
      <c r="R2761">
        <v>2025</v>
      </c>
    </row>
    <row r="2762" spans="1:18">
      <c r="A2762">
        <v>223.82</v>
      </c>
      <c r="B2762">
        <v>1</v>
      </c>
      <c r="C2762">
        <v>2761</v>
      </c>
      <c r="D2762" s="2">
        <v>0.28526747685185183</v>
      </c>
      <c r="E2762" t="s">
        <v>2226</v>
      </c>
      <c r="F2762" t="s">
        <v>2227</v>
      </c>
      <c r="G2762" t="s">
        <v>1188</v>
      </c>
      <c r="H2762" t="s">
        <v>1089</v>
      </c>
      <c r="I2762" t="s">
        <v>812</v>
      </c>
      <c r="J2762" t="s">
        <v>588</v>
      </c>
      <c r="K2762" t="s">
        <v>82</v>
      </c>
      <c r="L2762">
        <v>223.82</v>
      </c>
      <c r="M2762" s="1">
        <v>45744</v>
      </c>
      <c r="N2762" t="s">
        <v>79</v>
      </c>
      <c r="O2762">
        <v>28</v>
      </c>
      <c r="P2762">
        <v>3</v>
      </c>
      <c r="Q2762">
        <v>1</v>
      </c>
      <c r="R2762">
        <v>2025</v>
      </c>
    </row>
    <row r="2763" spans="1:18">
      <c r="A2763">
        <v>105.24</v>
      </c>
      <c r="B2763">
        <v>2</v>
      </c>
      <c r="C2763">
        <v>2762</v>
      </c>
      <c r="D2763" s="2">
        <v>0.90370071759259263</v>
      </c>
      <c r="E2763" t="s">
        <v>1396</v>
      </c>
      <c r="F2763" t="s">
        <v>1397</v>
      </c>
      <c r="G2763" t="s">
        <v>1398</v>
      </c>
      <c r="H2763" t="s">
        <v>903</v>
      </c>
      <c r="I2763" t="s">
        <v>786</v>
      </c>
      <c r="J2763" t="s">
        <v>270</v>
      </c>
      <c r="K2763" t="s">
        <v>55</v>
      </c>
      <c r="L2763">
        <v>52.62</v>
      </c>
      <c r="M2763" s="1">
        <v>45986</v>
      </c>
      <c r="N2763" t="s">
        <v>48</v>
      </c>
      <c r="O2763">
        <v>25</v>
      </c>
      <c r="P2763">
        <v>11</v>
      </c>
      <c r="Q2763">
        <v>4</v>
      </c>
      <c r="R2763">
        <v>2025</v>
      </c>
    </row>
    <row r="2764" spans="1:18">
      <c r="A2764">
        <v>234.98</v>
      </c>
      <c r="B2764">
        <v>1</v>
      </c>
      <c r="C2764">
        <v>2763</v>
      </c>
      <c r="D2764" s="2">
        <v>0.75413378472222226</v>
      </c>
      <c r="E2764" t="s">
        <v>2426</v>
      </c>
      <c r="F2764" t="s">
        <v>2427</v>
      </c>
      <c r="G2764" t="s">
        <v>1685</v>
      </c>
      <c r="H2764" t="s">
        <v>2154</v>
      </c>
      <c r="I2764" t="s">
        <v>1003</v>
      </c>
      <c r="J2764" t="s">
        <v>333</v>
      </c>
      <c r="K2764" t="s">
        <v>37</v>
      </c>
      <c r="L2764">
        <v>234.98</v>
      </c>
      <c r="M2764" s="1">
        <v>45934</v>
      </c>
      <c r="N2764" t="s">
        <v>14</v>
      </c>
      <c r="O2764">
        <v>4</v>
      </c>
      <c r="P2764">
        <v>10</v>
      </c>
      <c r="Q2764">
        <v>4</v>
      </c>
      <c r="R2764">
        <v>2025</v>
      </c>
    </row>
    <row r="2765" spans="1:18">
      <c r="A2765">
        <v>60.82</v>
      </c>
      <c r="B2765">
        <v>2</v>
      </c>
      <c r="C2765">
        <v>2764</v>
      </c>
      <c r="D2765" s="2">
        <v>0.95934826388888894</v>
      </c>
      <c r="E2765" t="s">
        <v>2884</v>
      </c>
      <c r="F2765" t="s">
        <v>2885</v>
      </c>
      <c r="G2765" t="s">
        <v>1152</v>
      </c>
      <c r="H2765" t="s">
        <v>965</v>
      </c>
      <c r="I2765" t="s">
        <v>966</v>
      </c>
      <c r="J2765" t="s">
        <v>718</v>
      </c>
      <c r="K2765" t="s">
        <v>21</v>
      </c>
      <c r="L2765">
        <v>30.41</v>
      </c>
      <c r="M2765" s="1">
        <v>45885</v>
      </c>
      <c r="N2765" t="s">
        <v>14</v>
      </c>
      <c r="O2765">
        <v>16</v>
      </c>
      <c r="P2765">
        <v>8</v>
      </c>
      <c r="Q2765">
        <v>3</v>
      </c>
      <c r="R2765">
        <v>2025</v>
      </c>
    </row>
    <row r="2766" spans="1:18">
      <c r="A2766">
        <v>718.1</v>
      </c>
      <c r="B2766">
        <v>5</v>
      </c>
      <c r="C2766">
        <v>2765</v>
      </c>
      <c r="D2766" s="2">
        <v>0.71927652777777773</v>
      </c>
      <c r="E2766" t="s">
        <v>2953</v>
      </c>
      <c r="F2766" t="s">
        <v>2954</v>
      </c>
      <c r="G2766" t="s">
        <v>1698</v>
      </c>
      <c r="H2766" t="s">
        <v>1395</v>
      </c>
      <c r="I2766" t="s">
        <v>776</v>
      </c>
      <c r="J2766" t="s">
        <v>326</v>
      </c>
      <c r="K2766" t="s">
        <v>97</v>
      </c>
      <c r="L2766">
        <v>143.62</v>
      </c>
      <c r="M2766" s="1">
        <v>45937</v>
      </c>
      <c r="N2766" t="s">
        <v>48</v>
      </c>
      <c r="O2766">
        <v>7</v>
      </c>
      <c r="P2766">
        <v>10</v>
      </c>
      <c r="Q2766">
        <v>4</v>
      </c>
      <c r="R2766">
        <v>2025</v>
      </c>
    </row>
    <row r="2767" spans="1:18">
      <c r="A2767">
        <v>32.1</v>
      </c>
      <c r="B2767">
        <v>5</v>
      </c>
      <c r="C2767">
        <v>2766</v>
      </c>
      <c r="D2767" s="2">
        <v>0.1608110648148148</v>
      </c>
      <c r="E2767" t="s">
        <v>3040</v>
      </c>
      <c r="F2767" t="s">
        <v>3041</v>
      </c>
      <c r="G2767" t="s">
        <v>1962</v>
      </c>
      <c r="H2767" t="s">
        <v>160</v>
      </c>
      <c r="I2767" t="s">
        <v>790</v>
      </c>
      <c r="J2767" t="s">
        <v>316</v>
      </c>
      <c r="K2767" t="s">
        <v>97</v>
      </c>
      <c r="L2767">
        <v>6.42</v>
      </c>
      <c r="M2767" s="1">
        <v>46001</v>
      </c>
      <c r="N2767" t="s">
        <v>34</v>
      </c>
      <c r="O2767">
        <v>10</v>
      </c>
      <c r="P2767">
        <v>12</v>
      </c>
      <c r="Q2767">
        <v>4</v>
      </c>
      <c r="R2767">
        <v>2025</v>
      </c>
    </row>
    <row r="2768" spans="1:18">
      <c r="A2768">
        <v>14.88</v>
      </c>
      <c r="B2768">
        <v>1</v>
      </c>
      <c r="C2768">
        <v>2767</v>
      </c>
      <c r="D2768" s="2">
        <v>0.10278091435185185</v>
      </c>
      <c r="E2768" t="s">
        <v>1407</v>
      </c>
      <c r="F2768" t="s">
        <v>1408</v>
      </c>
      <c r="G2768" t="s">
        <v>1409</v>
      </c>
      <c r="H2768" t="s">
        <v>1410</v>
      </c>
      <c r="I2768" t="s">
        <v>812</v>
      </c>
      <c r="J2768" t="s">
        <v>349</v>
      </c>
      <c r="K2768" t="s">
        <v>51</v>
      </c>
      <c r="L2768">
        <v>14.88</v>
      </c>
      <c r="M2768" s="1">
        <v>45610</v>
      </c>
      <c r="N2768" t="s">
        <v>105</v>
      </c>
      <c r="O2768">
        <v>14</v>
      </c>
      <c r="P2768">
        <v>11</v>
      </c>
      <c r="Q2768">
        <v>4</v>
      </c>
      <c r="R2768">
        <v>2024</v>
      </c>
    </row>
    <row r="2769" spans="1:18">
      <c r="A2769">
        <v>927.36</v>
      </c>
      <c r="B2769">
        <v>4</v>
      </c>
      <c r="C2769">
        <v>2768</v>
      </c>
      <c r="D2769" s="2">
        <v>0.36972943287037036</v>
      </c>
      <c r="E2769" t="s">
        <v>1180</v>
      </c>
      <c r="F2769" t="s">
        <v>1181</v>
      </c>
      <c r="G2769" t="s">
        <v>1182</v>
      </c>
      <c r="H2769" t="s">
        <v>953</v>
      </c>
      <c r="I2769" t="s">
        <v>954</v>
      </c>
      <c r="J2769" t="s">
        <v>626</v>
      </c>
      <c r="K2769" t="s">
        <v>17</v>
      </c>
      <c r="L2769">
        <v>231.84</v>
      </c>
      <c r="M2769" s="1">
        <v>45759</v>
      </c>
      <c r="N2769" t="s">
        <v>14</v>
      </c>
      <c r="O2769">
        <v>12</v>
      </c>
      <c r="P2769">
        <v>4</v>
      </c>
      <c r="Q2769">
        <v>2</v>
      </c>
      <c r="R2769">
        <v>2025</v>
      </c>
    </row>
    <row r="2770" spans="1:18">
      <c r="A2770">
        <v>928.34999999999991</v>
      </c>
      <c r="B2770">
        <v>5</v>
      </c>
      <c r="C2770">
        <v>2769</v>
      </c>
      <c r="D2770" s="2">
        <v>2.5394212962962962E-2</v>
      </c>
      <c r="E2770" t="s">
        <v>2187</v>
      </c>
      <c r="F2770" t="s">
        <v>2188</v>
      </c>
      <c r="G2770" t="s">
        <v>1418</v>
      </c>
      <c r="H2770" t="s">
        <v>1292</v>
      </c>
      <c r="I2770" t="s">
        <v>1247</v>
      </c>
      <c r="J2770" t="s">
        <v>720</v>
      </c>
      <c r="K2770" t="s">
        <v>100</v>
      </c>
      <c r="L2770">
        <v>185.67</v>
      </c>
      <c r="M2770" s="1">
        <v>46274</v>
      </c>
      <c r="N2770" t="s">
        <v>34</v>
      </c>
      <c r="O2770">
        <v>9</v>
      </c>
      <c r="P2770">
        <v>9</v>
      </c>
      <c r="Q2770">
        <v>3</v>
      </c>
      <c r="R2770">
        <v>2026</v>
      </c>
    </row>
    <row r="2771" spans="1:18">
      <c r="A2771">
        <v>43.62</v>
      </c>
      <c r="B2771">
        <v>3</v>
      </c>
      <c r="C2771">
        <v>2770</v>
      </c>
      <c r="D2771" s="2">
        <v>0.51577487268518518</v>
      </c>
      <c r="E2771" t="s">
        <v>2567</v>
      </c>
      <c r="F2771" t="s">
        <v>2568</v>
      </c>
      <c r="G2771" t="s">
        <v>1512</v>
      </c>
      <c r="H2771" t="s">
        <v>106</v>
      </c>
      <c r="I2771" t="s">
        <v>748</v>
      </c>
      <c r="J2771" t="s">
        <v>1349</v>
      </c>
      <c r="K2771" t="s">
        <v>97</v>
      </c>
      <c r="L2771">
        <v>14.54</v>
      </c>
      <c r="M2771" s="1">
        <v>45798</v>
      </c>
      <c r="N2771" t="s">
        <v>34</v>
      </c>
      <c r="O2771">
        <v>21</v>
      </c>
      <c r="P2771">
        <v>5</v>
      </c>
      <c r="Q2771">
        <v>2</v>
      </c>
      <c r="R2771">
        <v>2025</v>
      </c>
    </row>
    <row r="2772" spans="1:18">
      <c r="A2772">
        <v>438.2</v>
      </c>
      <c r="B2772">
        <v>5</v>
      </c>
      <c r="C2772">
        <v>2771</v>
      </c>
      <c r="D2772" s="2">
        <v>0.46478944444444442</v>
      </c>
      <c r="E2772" t="s">
        <v>1855</v>
      </c>
      <c r="F2772" t="s">
        <v>1856</v>
      </c>
      <c r="G2772" t="s">
        <v>1532</v>
      </c>
      <c r="H2772" t="s">
        <v>1302</v>
      </c>
      <c r="I2772" t="s">
        <v>786</v>
      </c>
      <c r="J2772" t="s">
        <v>561</v>
      </c>
      <c r="K2772" t="s">
        <v>17</v>
      </c>
      <c r="L2772">
        <v>87.64</v>
      </c>
      <c r="M2772" s="1">
        <v>45576</v>
      </c>
      <c r="N2772" t="s">
        <v>79</v>
      </c>
      <c r="O2772">
        <v>11</v>
      </c>
      <c r="P2772">
        <v>10</v>
      </c>
      <c r="Q2772">
        <v>4</v>
      </c>
      <c r="R2772">
        <v>2024</v>
      </c>
    </row>
    <row r="2773" spans="1:18">
      <c r="A2773">
        <v>47.16</v>
      </c>
      <c r="B2773">
        <v>2</v>
      </c>
      <c r="C2773">
        <v>2772</v>
      </c>
      <c r="D2773" s="2">
        <v>0.31417023148148149</v>
      </c>
      <c r="E2773" t="s">
        <v>1825</v>
      </c>
      <c r="F2773" t="s">
        <v>1826</v>
      </c>
      <c r="G2773" t="s">
        <v>1098</v>
      </c>
      <c r="H2773" t="s">
        <v>862</v>
      </c>
      <c r="I2773" t="s">
        <v>908</v>
      </c>
      <c r="J2773" t="s">
        <v>466</v>
      </c>
      <c r="K2773" t="s">
        <v>46</v>
      </c>
      <c r="L2773">
        <v>23.58</v>
      </c>
      <c r="M2773" s="1">
        <v>45601</v>
      </c>
      <c r="N2773" t="s">
        <v>48</v>
      </c>
      <c r="O2773">
        <v>5</v>
      </c>
      <c r="P2773">
        <v>11</v>
      </c>
      <c r="Q2773">
        <v>4</v>
      </c>
      <c r="R2773">
        <v>2024</v>
      </c>
    </row>
    <row r="2774" spans="1:18">
      <c r="A2774">
        <v>105.9</v>
      </c>
      <c r="B2774">
        <v>5</v>
      </c>
      <c r="C2774">
        <v>2773</v>
      </c>
      <c r="D2774" s="2">
        <v>0.93152656249999999</v>
      </c>
      <c r="E2774" t="s">
        <v>2504</v>
      </c>
      <c r="F2774" t="s">
        <v>2505</v>
      </c>
      <c r="G2774" t="s">
        <v>1452</v>
      </c>
      <c r="H2774" t="s">
        <v>1339</v>
      </c>
      <c r="I2774" t="s">
        <v>1247</v>
      </c>
      <c r="J2774" t="s">
        <v>712</v>
      </c>
      <c r="K2774" t="s">
        <v>60</v>
      </c>
      <c r="L2774">
        <v>21.18</v>
      </c>
      <c r="M2774" s="1">
        <v>45765</v>
      </c>
      <c r="N2774" t="s">
        <v>79</v>
      </c>
      <c r="O2774">
        <v>18</v>
      </c>
      <c r="P2774">
        <v>4</v>
      </c>
      <c r="Q2774">
        <v>2</v>
      </c>
      <c r="R2774">
        <v>2025</v>
      </c>
    </row>
    <row r="2775" spans="1:18">
      <c r="A2775">
        <v>18.05</v>
      </c>
      <c r="B2775">
        <v>1</v>
      </c>
      <c r="C2775">
        <v>2774</v>
      </c>
      <c r="D2775" s="2">
        <v>0.20308200231481482</v>
      </c>
      <c r="E2775" t="s">
        <v>3316</v>
      </c>
      <c r="F2775" t="s">
        <v>3317</v>
      </c>
      <c r="G2775" t="s">
        <v>2479</v>
      </c>
      <c r="H2775" t="s">
        <v>513</v>
      </c>
      <c r="I2775" t="s">
        <v>786</v>
      </c>
      <c r="J2775" t="s">
        <v>30</v>
      </c>
      <c r="K2775" t="s">
        <v>31</v>
      </c>
      <c r="L2775">
        <v>18.05</v>
      </c>
      <c r="M2775" s="1">
        <v>45908</v>
      </c>
      <c r="N2775" t="s">
        <v>93</v>
      </c>
      <c r="O2775">
        <v>8</v>
      </c>
      <c r="P2775">
        <v>9</v>
      </c>
      <c r="Q2775">
        <v>3</v>
      </c>
      <c r="R2775">
        <v>2025</v>
      </c>
    </row>
    <row r="2776" spans="1:18">
      <c r="A2776">
        <v>699.08</v>
      </c>
      <c r="B2776">
        <v>4</v>
      </c>
      <c r="C2776">
        <v>2775</v>
      </c>
      <c r="D2776" s="2">
        <v>3.2705324074074074E-2</v>
      </c>
      <c r="E2776" t="s">
        <v>1563</v>
      </c>
      <c r="F2776" t="s">
        <v>1564</v>
      </c>
      <c r="G2776" t="s">
        <v>1565</v>
      </c>
      <c r="H2776" t="s">
        <v>1566</v>
      </c>
      <c r="I2776" t="s">
        <v>763</v>
      </c>
      <c r="J2776" t="s">
        <v>483</v>
      </c>
      <c r="K2776" t="s">
        <v>100</v>
      </c>
      <c r="L2776">
        <v>174.77</v>
      </c>
      <c r="M2776" s="1">
        <v>45844</v>
      </c>
      <c r="N2776" t="s">
        <v>28</v>
      </c>
      <c r="O2776">
        <v>6</v>
      </c>
      <c r="P2776">
        <v>7</v>
      </c>
      <c r="Q2776">
        <v>3</v>
      </c>
      <c r="R2776">
        <v>2025</v>
      </c>
    </row>
    <row r="2777" spans="1:18">
      <c r="A2777">
        <v>374.96999999999997</v>
      </c>
      <c r="B2777">
        <v>3</v>
      </c>
      <c r="C2777">
        <v>2776</v>
      </c>
      <c r="D2777" s="2">
        <v>7.3486805555555553E-3</v>
      </c>
      <c r="E2777" t="s">
        <v>2523</v>
      </c>
      <c r="F2777" t="s">
        <v>2524</v>
      </c>
      <c r="G2777" t="s">
        <v>1997</v>
      </c>
      <c r="H2777" t="s">
        <v>1189</v>
      </c>
      <c r="I2777" t="s">
        <v>892</v>
      </c>
      <c r="J2777" t="s">
        <v>512</v>
      </c>
      <c r="K2777" t="s">
        <v>27</v>
      </c>
      <c r="L2777">
        <v>124.99</v>
      </c>
      <c r="M2777" s="1">
        <v>45777</v>
      </c>
      <c r="N2777" t="s">
        <v>34</v>
      </c>
      <c r="O2777">
        <v>30</v>
      </c>
      <c r="P2777">
        <v>4</v>
      </c>
      <c r="Q2777">
        <v>2</v>
      </c>
      <c r="R2777">
        <v>2025</v>
      </c>
    </row>
    <row r="2778" spans="1:18">
      <c r="A2778">
        <v>565.04999999999995</v>
      </c>
      <c r="B2778">
        <v>3</v>
      </c>
      <c r="C2778">
        <v>2777</v>
      </c>
      <c r="D2778" s="2">
        <v>0.93872996527777774</v>
      </c>
      <c r="E2778" t="s">
        <v>1879</v>
      </c>
      <c r="F2778" t="s">
        <v>1880</v>
      </c>
      <c r="G2778" t="s">
        <v>1881</v>
      </c>
      <c r="H2778" t="s">
        <v>1882</v>
      </c>
      <c r="I2778" t="s">
        <v>795</v>
      </c>
      <c r="J2778" t="s">
        <v>699</v>
      </c>
      <c r="K2778" t="s">
        <v>100</v>
      </c>
      <c r="L2778">
        <v>188.35</v>
      </c>
      <c r="M2778" s="1">
        <v>46015</v>
      </c>
      <c r="N2778" t="s">
        <v>34</v>
      </c>
      <c r="O2778">
        <v>24</v>
      </c>
      <c r="P2778">
        <v>12</v>
      </c>
      <c r="Q2778">
        <v>4</v>
      </c>
      <c r="R2778">
        <v>2025</v>
      </c>
    </row>
    <row r="2779" spans="1:18">
      <c r="A2779">
        <v>31.32</v>
      </c>
      <c r="B2779">
        <v>4</v>
      </c>
      <c r="C2779">
        <v>2778</v>
      </c>
      <c r="D2779" s="2">
        <v>0.98855259259259254</v>
      </c>
      <c r="E2779" t="s">
        <v>1163</v>
      </c>
      <c r="F2779" t="s">
        <v>1164</v>
      </c>
      <c r="G2779" t="s">
        <v>1165</v>
      </c>
      <c r="H2779" t="s">
        <v>464</v>
      </c>
      <c r="I2779" t="s">
        <v>896</v>
      </c>
      <c r="J2779" t="s">
        <v>489</v>
      </c>
      <c r="K2779" t="s">
        <v>51</v>
      </c>
      <c r="L2779">
        <v>7.83</v>
      </c>
      <c r="M2779" s="1">
        <v>45858</v>
      </c>
      <c r="N2779" t="s">
        <v>28</v>
      </c>
      <c r="O2779">
        <v>20</v>
      </c>
      <c r="P2779">
        <v>7</v>
      </c>
      <c r="Q2779">
        <v>3</v>
      </c>
      <c r="R2779">
        <v>2025</v>
      </c>
    </row>
    <row r="2780" spans="1:18">
      <c r="A2780">
        <v>371.34</v>
      </c>
      <c r="B2780">
        <v>2</v>
      </c>
      <c r="C2780">
        <v>2779</v>
      </c>
      <c r="D2780" s="2">
        <v>0.41930267361111112</v>
      </c>
      <c r="E2780" t="s">
        <v>1299</v>
      </c>
      <c r="F2780" t="s">
        <v>3250</v>
      </c>
      <c r="G2780" t="s">
        <v>1010</v>
      </c>
      <c r="H2780" t="s">
        <v>862</v>
      </c>
      <c r="I2780" t="s">
        <v>758</v>
      </c>
      <c r="J2780" t="s">
        <v>720</v>
      </c>
      <c r="K2780" t="s">
        <v>100</v>
      </c>
      <c r="L2780">
        <v>185.67</v>
      </c>
      <c r="M2780" s="1">
        <v>45670</v>
      </c>
      <c r="N2780" t="s">
        <v>93</v>
      </c>
      <c r="O2780">
        <v>13</v>
      </c>
      <c r="P2780">
        <v>1</v>
      </c>
      <c r="Q2780">
        <v>1</v>
      </c>
      <c r="R2780">
        <v>2025</v>
      </c>
    </row>
    <row r="2781" spans="1:18">
      <c r="A2781">
        <v>189.7</v>
      </c>
      <c r="B2781">
        <v>5</v>
      </c>
      <c r="C2781">
        <v>2780</v>
      </c>
      <c r="D2781" s="2">
        <v>0.8766798032407408</v>
      </c>
      <c r="E2781" t="s">
        <v>3496</v>
      </c>
      <c r="F2781" t="s">
        <v>3497</v>
      </c>
      <c r="G2781" t="s">
        <v>969</v>
      </c>
      <c r="H2781" t="s">
        <v>1673</v>
      </c>
      <c r="I2781" t="s">
        <v>821</v>
      </c>
      <c r="J2781" t="s">
        <v>73</v>
      </c>
      <c r="K2781" t="s">
        <v>39</v>
      </c>
      <c r="L2781">
        <v>37.94</v>
      </c>
      <c r="M2781" s="1">
        <v>45698</v>
      </c>
      <c r="N2781" t="s">
        <v>93</v>
      </c>
      <c r="O2781">
        <v>10</v>
      </c>
      <c r="P2781">
        <v>2</v>
      </c>
      <c r="Q2781">
        <v>1</v>
      </c>
      <c r="R2781">
        <v>2025</v>
      </c>
    </row>
    <row r="2782" spans="1:18">
      <c r="A2782">
        <v>23.66</v>
      </c>
      <c r="B2782">
        <v>2</v>
      </c>
      <c r="C2782">
        <v>2781</v>
      </c>
      <c r="D2782" s="2">
        <v>8.6368715277777772E-2</v>
      </c>
      <c r="E2782" t="s">
        <v>1261</v>
      </c>
      <c r="F2782" t="s">
        <v>1262</v>
      </c>
      <c r="G2782" t="s">
        <v>1263</v>
      </c>
      <c r="H2782" t="s">
        <v>1007</v>
      </c>
      <c r="I2782" t="s">
        <v>966</v>
      </c>
      <c r="J2782" t="s">
        <v>220</v>
      </c>
      <c r="K2782" t="s">
        <v>97</v>
      </c>
      <c r="L2782">
        <v>11.83</v>
      </c>
      <c r="M2782" s="1">
        <v>46187</v>
      </c>
      <c r="N2782" t="s">
        <v>28</v>
      </c>
      <c r="O2782">
        <v>14</v>
      </c>
      <c r="P2782">
        <v>6</v>
      </c>
      <c r="Q2782">
        <v>2</v>
      </c>
      <c r="R2782">
        <v>2026</v>
      </c>
    </row>
    <row r="2783" spans="1:18">
      <c r="A2783">
        <v>544.04999999999995</v>
      </c>
      <c r="B2783">
        <v>5</v>
      </c>
      <c r="C2783">
        <v>2782</v>
      </c>
      <c r="D2783" s="2">
        <v>4.4960300925925928E-2</v>
      </c>
      <c r="E2783" t="s">
        <v>1445</v>
      </c>
      <c r="F2783" t="s">
        <v>1446</v>
      </c>
      <c r="G2783" t="s">
        <v>1447</v>
      </c>
      <c r="H2783" t="s">
        <v>1410</v>
      </c>
      <c r="I2783" t="s">
        <v>812</v>
      </c>
      <c r="J2783" t="s">
        <v>453</v>
      </c>
      <c r="K2783" t="s">
        <v>55</v>
      </c>
      <c r="L2783">
        <v>108.81</v>
      </c>
      <c r="M2783" s="1">
        <v>46086</v>
      </c>
      <c r="N2783" t="s">
        <v>105</v>
      </c>
      <c r="O2783">
        <v>5</v>
      </c>
      <c r="P2783">
        <v>3</v>
      </c>
      <c r="Q2783">
        <v>1</v>
      </c>
      <c r="R2783">
        <v>2026</v>
      </c>
    </row>
    <row r="2784" spans="1:18">
      <c r="A2784">
        <v>151.94999999999999</v>
      </c>
      <c r="B2784">
        <v>3</v>
      </c>
      <c r="C2784">
        <v>2783</v>
      </c>
      <c r="D2784" s="2">
        <v>0.60146439814814812</v>
      </c>
      <c r="E2784" t="s">
        <v>3157</v>
      </c>
      <c r="F2784" t="s">
        <v>3158</v>
      </c>
      <c r="G2784" t="s">
        <v>2117</v>
      </c>
      <c r="H2784" t="s">
        <v>953</v>
      </c>
      <c r="I2784" t="s">
        <v>954</v>
      </c>
      <c r="J2784" t="s">
        <v>403</v>
      </c>
      <c r="K2784" t="s">
        <v>23</v>
      </c>
      <c r="L2784">
        <v>50.65</v>
      </c>
      <c r="M2784" s="1">
        <v>45962</v>
      </c>
      <c r="N2784" t="s">
        <v>14</v>
      </c>
      <c r="O2784">
        <v>1</v>
      </c>
      <c r="P2784">
        <v>11</v>
      </c>
      <c r="Q2784">
        <v>4</v>
      </c>
      <c r="R2784">
        <v>2025</v>
      </c>
    </row>
    <row r="2785" spans="1:18">
      <c r="A2785">
        <v>701.46</v>
      </c>
      <c r="B2785">
        <v>3</v>
      </c>
      <c r="C2785">
        <v>2784</v>
      </c>
      <c r="D2785" s="2">
        <v>0.93599798611111107</v>
      </c>
      <c r="E2785" t="s">
        <v>1977</v>
      </c>
      <c r="F2785" t="s">
        <v>1978</v>
      </c>
      <c r="G2785" t="s">
        <v>1225</v>
      </c>
      <c r="H2785" t="s">
        <v>929</v>
      </c>
      <c r="I2785" t="s">
        <v>1247</v>
      </c>
      <c r="J2785" t="s">
        <v>390</v>
      </c>
      <c r="K2785" t="s">
        <v>82</v>
      </c>
      <c r="L2785">
        <v>233.82</v>
      </c>
      <c r="M2785" s="1">
        <v>45862</v>
      </c>
      <c r="N2785" t="s">
        <v>105</v>
      </c>
      <c r="O2785">
        <v>24</v>
      </c>
      <c r="P2785">
        <v>7</v>
      </c>
      <c r="Q2785">
        <v>3</v>
      </c>
      <c r="R2785">
        <v>2025</v>
      </c>
    </row>
    <row r="2786" spans="1:18">
      <c r="A2786">
        <v>637.11</v>
      </c>
      <c r="B2786">
        <v>3</v>
      </c>
      <c r="C2786">
        <v>2785</v>
      </c>
      <c r="D2786" s="2">
        <v>0.80159871527777782</v>
      </c>
      <c r="E2786" t="s">
        <v>2731</v>
      </c>
      <c r="F2786" t="s">
        <v>2732</v>
      </c>
      <c r="G2786" t="s">
        <v>1688</v>
      </c>
      <c r="H2786" t="s">
        <v>1032</v>
      </c>
      <c r="I2786" t="s">
        <v>839</v>
      </c>
      <c r="J2786" t="s">
        <v>331</v>
      </c>
      <c r="K2786" t="s">
        <v>51</v>
      </c>
      <c r="L2786">
        <v>212.37</v>
      </c>
      <c r="M2786" s="1">
        <v>45686</v>
      </c>
      <c r="N2786" t="s">
        <v>34</v>
      </c>
      <c r="O2786">
        <v>29</v>
      </c>
      <c r="P2786">
        <v>1</v>
      </c>
      <c r="Q2786">
        <v>1</v>
      </c>
      <c r="R2786">
        <v>2025</v>
      </c>
    </row>
    <row r="2787" spans="1:18">
      <c r="A2787">
        <v>391.91999999999996</v>
      </c>
      <c r="B2787">
        <v>3</v>
      </c>
      <c r="C2787">
        <v>2786</v>
      </c>
      <c r="D2787" s="2">
        <v>0.76460915509259264</v>
      </c>
      <c r="E2787" t="s">
        <v>1951</v>
      </c>
      <c r="F2787" t="s">
        <v>1952</v>
      </c>
      <c r="G2787" t="s">
        <v>1953</v>
      </c>
      <c r="H2787" t="s">
        <v>1882</v>
      </c>
      <c r="I2787" t="s">
        <v>795</v>
      </c>
      <c r="J2787" t="s">
        <v>553</v>
      </c>
      <c r="K2787" t="s">
        <v>100</v>
      </c>
      <c r="L2787">
        <v>130.63999999999999</v>
      </c>
      <c r="M2787" s="1">
        <v>45688</v>
      </c>
      <c r="N2787" t="s">
        <v>79</v>
      </c>
      <c r="O2787">
        <v>31</v>
      </c>
      <c r="P2787">
        <v>1</v>
      </c>
      <c r="Q2787">
        <v>1</v>
      </c>
      <c r="R2787">
        <v>2025</v>
      </c>
    </row>
    <row r="2788" spans="1:18">
      <c r="A2788">
        <v>203.74</v>
      </c>
      <c r="B2788">
        <v>1</v>
      </c>
      <c r="C2788">
        <v>2787</v>
      </c>
      <c r="D2788" s="2">
        <v>4.2450381944444442E-2</v>
      </c>
      <c r="E2788" t="s">
        <v>1907</v>
      </c>
      <c r="F2788" t="s">
        <v>1908</v>
      </c>
      <c r="G2788" t="s">
        <v>1909</v>
      </c>
      <c r="H2788" t="s">
        <v>965</v>
      </c>
      <c r="I2788" t="s">
        <v>839</v>
      </c>
      <c r="J2788" t="s">
        <v>552</v>
      </c>
      <c r="K2788" t="s">
        <v>31</v>
      </c>
      <c r="L2788">
        <v>203.74</v>
      </c>
      <c r="M2788" s="1">
        <v>46250</v>
      </c>
      <c r="N2788" t="s">
        <v>28</v>
      </c>
      <c r="O2788">
        <v>16</v>
      </c>
      <c r="P2788">
        <v>8</v>
      </c>
      <c r="Q2788">
        <v>3</v>
      </c>
      <c r="R2788">
        <v>2026</v>
      </c>
    </row>
    <row r="2789" spans="1:18">
      <c r="A2789">
        <v>208.36</v>
      </c>
      <c r="B2789">
        <v>1</v>
      </c>
      <c r="C2789">
        <v>2788</v>
      </c>
      <c r="D2789" s="2">
        <v>0.27114206018518516</v>
      </c>
      <c r="E2789" t="s">
        <v>2161</v>
      </c>
      <c r="F2789" t="s">
        <v>2162</v>
      </c>
      <c r="G2789" t="s">
        <v>824</v>
      </c>
      <c r="H2789" t="s">
        <v>1882</v>
      </c>
      <c r="I2789" t="s">
        <v>795</v>
      </c>
      <c r="J2789" t="s">
        <v>545</v>
      </c>
      <c r="K2789" t="s">
        <v>60</v>
      </c>
      <c r="L2789">
        <v>208.36</v>
      </c>
      <c r="M2789" s="1">
        <v>46276</v>
      </c>
      <c r="N2789" t="s">
        <v>79</v>
      </c>
      <c r="O2789">
        <v>11</v>
      </c>
      <c r="P2789">
        <v>9</v>
      </c>
      <c r="Q2789">
        <v>3</v>
      </c>
      <c r="R2789">
        <v>2026</v>
      </c>
    </row>
    <row r="2790" spans="1:18">
      <c r="A2790">
        <v>742.56000000000006</v>
      </c>
      <c r="B2790">
        <v>3</v>
      </c>
      <c r="C2790">
        <v>2789</v>
      </c>
      <c r="D2790" s="2">
        <v>0.81139068287037042</v>
      </c>
      <c r="E2790" t="s">
        <v>2861</v>
      </c>
      <c r="F2790" t="s">
        <v>2862</v>
      </c>
      <c r="G2790" t="s">
        <v>1642</v>
      </c>
      <c r="H2790" t="s">
        <v>2468</v>
      </c>
      <c r="I2790" t="s">
        <v>763</v>
      </c>
      <c r="J2790" t="s">
        <v>372</v>
      </c>
      <c r="K2790" t="s">
        <v>23</v>
      </c>
      <c r="L2790">
        <v>247.52</v>
      </c>
      <c r="M2790" s="1">
        <v>46058</v>
      </c>
      <c r="N2790" t="s">
        <v>105</v>
      </c>
      <c r="O2790">
        <v>5</v>
      </c>
      <c r="P2790">
        <v>2</v>
      </c>
      <c r="Q2790">
        <v>1</v>
      </c>
      <c r="R2790">
        <v>2026</v>
      </c>
    </row>
    <row r="2791" spans="1:18">
      <c r="A2791">
        <v>244.98</v>
      </c>
      <c r="B2791">
        <v>2</v>
      </c>
      <c r="C2791">
        <v>2790</v>
      </c>
      <c r="D2791" s="2">
        <v>0.1039203587962963</v>
      </c>
      <c r="E2791" t="s">
        <v>2700</v>
      </c>
      <c r="F2791" t="s">
        <v>2701</v>
      </c>
      <c r="G2791" t="s">
        <v>1688</v>
      </c>
      <c r="H2791" t="s">
        <v>635</v>
      </c>
      <c r="I2791" t="s">
        <v>768</v>
      </c>
      <c r="J2791" t="s">
        <v>449</v>
      </c>
      <c r="K2791" t="s">
        <v>82</v>
      </c>
      <c r="L2791">
        <v>122.49</v>
      </c>
      <c r="M2791" s="1">
        <v>45683</v>
      </c>
      <c r="N2791" t="s">
        <v>28</v>
      </c>
      <c r="O2791">
        <v>26</v>
      </c>
      <c r="P2791">
        <v>1</v>
      </c>
      <c r="Q2791">
        <v>1</v>
      </c>
      <c r="R2791">
        <v>2025</v>
      </c>
    </row>
    <row r="2792" spans="1:18">
      <c r="A2792">
        <v>384.7</v>
      </c>
      <c r="B2792">
        <v>5</v>
      </c>
      <c r="C2792">
        <v>2791</v>
      </c>
      <c r="D2792" s="2">
        <v>0.33560141203703703</v>
      </c>
      <c r="E2792" t="s">
        <v>1769</v>
      </c>
      <c r="F2792" t="s">
        <v>1770</v>
      </c>
      <c r="G2792" t="s">
        <v>1771</v>
      </c>
      <c r="H2792" t="s">
        <v>915</v>
      </c>
      <c r="I2792" t="s">
        <v>768</v>
      </c>
      <c r="J2792" t="s">
        <v>119</v>
      </c>
      <c r="K2792" t="s">
        <v>60</v>
      </c>
      <c r="L2792">
        <v>76.94</v>
      </c>
      <c r="M2792" s="1">
        <v>46179</v>
      </c>
      <c r="N2792" t="s">
        <v>14</v>
      </c>
      <c r="O2792">
        <v>6</v>
      </c>
      <c r="P2792">
        <v>6</v>
      </c>
      <c r="Q2792">
        <v>2</v>
      </c>
      <c r="R2792">
        <v>2026</v>
      </c>
    </row>
    <row r="2793" spans="1:18">
      <c r="A2793">
        <v>357.94</v>
      </c>
      <c r="B2793">
        <v>2</v>
      </c>
      <c r="C2793">
        <v>2792</v>
      </c>
      <c r="D2793" s="2">
        <v>0.56556982638888886</v>
      </c>
      <c r="E2793" t="s">
        <v>1134</v>
      </c>
      <c r="F2793" t="s">
        <v>1135</v>
      </c>
      <c r="G2793" t="s">
        <v>1136</v>
      </c>
      <c r="H2793" t="s">
        <v>1137</v>
      </c>
      <c r="I2793" t="s">
        <v>748</v>
      </c>
      <c r="J2793" t="s">
        <v>612</v>
      </c>
      <c r="K2793" t="s">
        <v>97</v>
      </c>
      <c r="L2793">
        <v>178.97</v>
      </c>
      <c r="M2793" s="1">
        <v>46054</v>
      </c>
      <c r="N2793" t="s">
        <v>28</v>
      </c>
      <c r="O2793">
        <v>1</v>
      </c>
      <c r="P2793">
        <v>2</v>
      </c>
      <c r="Q2793">
        <v>1</v>
      </c>
      <c r="R2793">
        <v>2026</v>
      </c>
    </row>
    <row r="2794" spans="1:18">
      <c r="A2794">
        <v>223.02</v>
      </c>
      <c r="B2794">
        <v>2</v>
      </c>
      <c r="C2794">
        <v>2793</v>
      </c>
      <c r="D2794" s="2">
        <v>0.86111086805555559</v>
      </c>
      <c r="E2794" t="s">
        <v>2061</v>
      </c>
      <c r="F2794" t="s">
        <v>2062</v>
      </c>
      <c r="G2794" t="s">
        <v>1754</v>
      </c>
      <c r="H2794" t="s">
        <v>392</v>
      </c>
      <c r="I2794" t="s">
        <v>834</v>
      </c>
      <c r="J2794" t="s">
        <v>416</v>
      </c>
      <c r="K2794" t="s">
        <v>57</v>
      </c>
      <c r="L2794">
        <v>111.51</v>
      </c>
      <c r="M2794" s="1">
        <v>46225</v>
      </c>
      <c r="N2794" t="s">
        <v>34</v>
      </c>
      <c r="O2794">
        <v>22</v>
      </c>
      <c r="P2794">
        <v>7</v>
      </c>
      <c r="Q2794">
        <v>3</v>
      </c>
      <c r="R2794">
        <v>2026</v>
      </c>
    </row>
    <row r="2795" spans="1:18">
      <c r="A2795">
        <v>729.68999999999994</v>
      </c>
      <c r="B2795">
        <v>3</v>
      </c>
      <c r="C2795">
        <v>2794</v>
      </c>
      <c r="D2795" s="2">
        <v>0.49234091435185184</v>
      </c>
      <c r="E2795" t="s">
        <v>1177</v>
      </c>
      <c r="F2795" t="s">
        <v>1178</v>
      </c>
      <c r="G2795" t="s">
        <v>1179</v>
      </c>
      <c r="H2795" t="s">
        <v>879</v>
      </c>
      <c r="I2795" t="s">
        <v>748</v>
      </c>
      <c r="J2795" t="s">
        <v>126</v>
      </c>
      <c r="K2795" t="s">
        <v>43</v>
      </c>
      <c r="L2795">
        <v>243.23</v>
      </c>
      <c r="M2795" s="1">
        <v>45692</v>
      </c>
      <c r="N2795" t="s">
        <v>48</v>
      </c>
      <c r="O2795">
        <v>4</v>
      </c>
      <c r="P2795">
        <v>2</v>
      </c>
      <c r="Q2795">
        <v>1</v>
      </c>
      <c r="R2795">
        <v>2025</v>
      </c>
    </row>
    <row r="2796" spans="1:18">
      <c r="A2796">
        <v>20.74</v>
      </c>
      <c r="B2796">
        <v>1</v>
      </c>
      <c r="C2796">
        <v>2795</v>
      </c>
      <c r="D2796" s="2">
        <v>0.55699603009259258</v>
      </c>
      <c r="E2796" t="s">
        <v>3323</v>
      </c>
      <c r="F2796" t="s">
        <v>3324</v>
      </c>
      <c r="G2796" t="s">
        <v>2184</v>
      </c>
      <c r="H2796" t="s">
        <v>15</v>
      </c>
      <c r="I2796" t="s">
        <v>834</v>
      </c>
      <c r="J2796" t="s">
        <v>70</v>
      </c>
      <c r="K2796" t="s">
        <v>27</v>
      </c>
      <c r="L2796">
        <v>20.74</v>
      </c>
      <c r="M2796" s="1">
        <v>45849</v>
      </c>
      <c r="N2796" t="s">
        <v>79</v>
      </c>
      <c r="O2796">
        <v>11</v>
      </c>
      <c r="P2796">
        <v>7</v>
      </c>
      <c r="Q2796">
        <v>3</v>
      </c>
      <c r="R2796">
        <v>2025</v>
      </c>
    </row>
    <row r="2797" spans="1:18">
      <c r="A2797">
        <v>400.24</v>
      </c>
      <c r="B2797">
        <v>2</v>
      </c>
      <c r="C2797">
        <v>2796</v>
      </c>
      <c r="D2797" s="2">
        <v>0.93365723379629628</v>
      </c>
      <c r="E2797" t="s">
        <v>999</v>
      </c>
      <c r="F2797" t="s">
        <v>1000</v>
      </c>
      <c r="G2797" t="s">
        <v>1001</v>
      </c>
      <c r="H2797" t="s">
        <v>1002</v>
      </c>
      <c r="I2797" t="s">
        <v>1003</v>
      </c>
      <c r="J2797" t="s">
        <v>239</v>
      </c>
      <c r="K2797" t="s">
        <v>23</v>
      </c>
      <c r="L2797">
        <v>200.12</v>
      </c>
      <c r="M2797" s="1">
        <v>45882</v>
      </c>
      <c r="N2797" t="s">
        <v>34</v>
      </c>
      <c r="O2797">
        <v>13</v>
      </c>
      <c r="P2797">
        <v>8</v>
      </c>
      <c r="Q2797">
        <v>3</v>
      </c>
      <c r="R2797">
        <v>2025</v>
      </c>
    </row>
    <row r="2798" spans="1:18">
      <c r="A2798">
        <v>1143.3</v>
      </c>
      <c r="B2798">
        <v>5</v>
      </c>
      <c r="C2798">
        <v>2797</v>
      </c>
      <c r="D2798" s="2">
        <v>0.51897123842592596</v>
      </c>
      <c r="E2798" t="s">
        <v>3029</v>
      </c>
      <c r="F2798" t="s">
        <v>760</v>
      </c>
      <c r="G2798" t="s">
        <v>1228</v>
      </c>
      <c r="H2798" t="s">
        <v>1886</v>
      </c>
      <c r="I2798" t="s">
        <v>753</v>
      </c>
      <c r="J2798" t="s">
        <v>480</v>
      </c>
      <c r="K2798" t="s">
        <v>57</v>
      </c>
      <c r="L2798">
        <v>228.66</v>
      </c>
      <c r="M2798" s="1">
        <v>45895</v>
      </c>
      <c r="N2798" t="s">
        <v>48</v>
      </c>
      <c r="O2798">
        <v>26</v>
      </c>
      <c r="P2798">
        <v>8</v>
      </c>
      <c r="Q2798">
        <v>3</v>
      </c>
      <c r="R2798">
        <v>2025</v>
      </c>
    </row>
    <row r="2799" spans="1:18">
      <c r="A2799">
        <v>175.34</v>
      </c>
      <c r="B2799">
        <v>2</v>
      </c>
      <c r="C2799">
        <v>2798</v>
      </c>
      <c r="D2799" s="2">
        <v>7.4634155092592594E-2</v>
      </c>
      <c r="E2799" t="s">
        <v>1229</v>
      </c>
      <c r="F2799" t="s">
        <v>1230</v>
      </c>
      <c r="G2799" t="s">
        <v>1231</v>
      </c>
      <c r="H2799" t="s">
        <v>1232</v>
      </c>
      <c r="I2799" t="s">
        <v>817</v>
      </c>
      <c r="J2799" t="s">
        <v>1774</v>
      </c>
      <c r="K2799" t="s">
        <v>27</v>
      </c>
      <c r="L2799">
        <v>87.67</v>
      </c>
      <c r="M2799" s="1">
        <v>45682</v>
      </c>
      <c r="N2799" t="s">
        <v>14</v>
      </c>
      <c r="O2799">
        <v>25</v>
      </c>
      <c r="P2799">
        <v>1</v>
      </c>
      <c r="Q2799">
        <v>1</v>
      </c>
      <c r="R2799">
        <v>2025</v>
      </c>
    </row>
    <row r="2800" spans="1:18">
      <c r="A2800">
        <v>463.68</v>
      </c>
      <c r="B2800">
        <v>2</v>
      </c>
      <c r="C2800">
        <v>2799</v>
      </c>
      <c r="D2800" s="2">
        <v>0.56597591435185191</v>
      </c>
      <c r="E2800" t="s">
        <v>1604</v>
      </c>
      <c r="F2800" t="s">
        <v>1605</v>
      </c>
      <c r="G2800" t="s">
        <v>1606</v>
      </c>
      <c r="H2800" t="s">
        <v>1607</v>
      </c>
      <c r="I2800" t="s">
        <v>839</v>
      </c>
      <c r="J2800" t="s">
        <v>626</v>
      </c>
      <c r="K2800" t="s">
        <v>17</v>
      </c>
      <c r="L2800">
        <v>231.84</v>
      </c>
      <c r="M2800" s="1">
        <v>45752</v>
      </c>
      <c r="N2800" t="s">
        <v>14</v>
      </c>
      <c r="O2800">
        <v>5</v>
      </c>
      <c r="P2800">
        <v>4</v>
      </c>
      <c r="Q2800">
        <v>2</v>
      </c>
      <c r="R2800">
        <v>2025</v>
      </c>
    </row>
    <row r="2801" spans="1:18">
      <c r="A2801">
        <v>709.83</v>
      </c>
      <c r="B2801">
        <v>3</v>
      </c>
      <c r="C2801">
        <v>2800</v>
      </c>
      <c r="D2801" s="2">
        <v>0.16571908564814813</v>
      </c>
      <c r="E2801" t="s">
        <v>2276</v>
      </c>
      <c r="F2801" t="s">
        <v>2277</v>
      </c>
      <c r="G2801" t="s">
        <v>2004</v>
      </c>
      <c r="H2801" t="s">
        <v>322</v>
      </c>
      <c r="I2801" t="s">
        <v>795</v>
      </c>
      <c r="J2801" t="s">
        <v>235</v>
      </c>
      <c r="K2801" t="s">
        <v>19</v>
      </c>
      <c r="L2801">
        <v>236.61</v>
      </c>
      <c r="M2801" s="1">
        <v>46140</v>
      </c>
      <c r="N2801" t="s">
        <v>48</v>
      </c>
      <c r="O2801">
        <v>28</v>
      </c>
      <c r="P2801">
        <v>4</v>
      </c>
      <c r="Q2801">
        <v>2</v>
      </c>
      <c r="R2801">
        <v>2026</v>
      </c>
    </row>
    <row r="2802" spans="1:18">
      <c r="A2802">
        <v>152.05000000000001</v>
      </c>
      <c r="B2802">
        <v>5</v>
      </c>
      <c r="C2802">
        <v>2801</v>
      </c>
      <c r="D2802" s="2">
        <v>5.5161550925925923E-2</v>
      </c>
      <c r="E2802" t="s">
        <v>2781</v>
      </c>
      <c r="F2802" t="s">
        <v>2782</v>
      </c>
      <c r="G2802" t="s">
        <v>2419</v>
      </c>
      <c r="H2802" t="s">
        <v>136</v>
      </c>
      <c r="I2802" t="s">
        <v>776</v>
      </c>
      <c r="J2802" t="s">
        <v>718</v>
      </c>
      <c r="K2802" t="s">
        <v>21</v>
      </c>
      <c r="L2802">
        <v>30.41</v>
      </c>
      <c r="M2802" s="1">
        <v>45757</v>
      </c>
      <c r="N2802" t="s">
        <v>105</v>
      </c>
      <c r="O2802">
        <v>10</v>
      </c>
      <c r="P2802">
        <v>4</v>
      </c>
      <c r="Q2802">
        <v>2</v>
      </c>
      <c r="R2802">
        <v>2025</v>
      </c>
    </row>
    <row r="2803" spans="1:18">
      <c r="A2803">
        <v>104.42</v>
      </c>
      <c r="B2803">
        <v>2</v>
      </c>
      <c r="C2803">
        <v>2802</v>
      </c>
      <c r="D2803" s="2">
        <v>0.30964472222222222</v>
      </c>
      <c r="E2803" t="s">
        <v>1530</v>
      </c>
      <c r="F2803" t="s">
        <v>1902</v>
      </c>
      <c r="G2803" t="s">
        <v>1903</v>
      </c>
      <c r="H2803" t="s">
        <v>49</v>
      </c>
      <c r="I2803" t="s">
        <v>892</v>
      </c>
      <c r="J2803" t="s">
        <v>137</v>
      </c>
      <c r="K2803" t="s">
        <v>82</v>
      </c>
      <c r="L2803">
        <v>52.21</v>
      </c>
      <c r="M2803" s="1">
        <v>46033</v>
      </c>
      <c r="N2803" t="s">
        <v>28</v>
      </c>
      <c r="O2803">
        <v>11</v>
      </c>
      <c r="P2803">
        <v>1</v>
      </c>
      <c r="Q2803">
        <v>1</v>
      </c>
      <c r="R2803">
        <v>2026</v>
      </c>
    </row>
    <row r="2804" spans="1:18">
      <c r="A2804">
        <v>106.53</v>
      </c>
      <c r="B2804">
        <v>1</v>
      </c>
      <c r="C2804">
        <v>2803</v>
      </c>
      <c r="D2804" s="2">
        <v>0.63277799768518517</v>
      </c>
      <c r="E2804" t="s">
        <v>3011</v>
      </c>
      <c r="F2804" t="s">
        <v>3012</v>
      </c>
      <c r="G2804" t="s">
        <v>1171</v>
      </c>
      <c r="H2804" t="s">
        <v>1327</v>
      </c>
      <c r="I2804" t="s">
        <v>795</v>
      </c>
      <c r="J2804" t="s">
        <v>377</v>
      </c>
      <c r="K2804" t="s">
        <v>27</v>
      </c>
      <c r="L2804">
        <v>106.53</v>
      </c>
      <c r="M2804" s="1">
        <v>45700</v>
      </c>
      <c r="N2804" t="s">
        <v>34</v>
      </c>
      <c r="O2804">
        <v>12</v>
      </c>
      <c r="P2804">
        <v>2</v>
      </c>
      <c r="Q2804">
        <v>1</v>
      </c>
      <c r="R2804">
        <v>2025</v>
      </c>
    </row>
    <row r="2805" spans="1:18">
      <c r="A2805">
        <v>102.09</v>
      </c>
      <c r="B2805">
        <v>3</v>
      </c>
      <c r="C2805">
        <v>2804</v>
      </c>
      <c r="D2805" s="2">
        <v>0.24929171296296296</v>
      </c>
      <c r="E2805" t="s">
        <v>3161</v>
      </c>
      <c r="F2805" t="s">
        <v>3162</v>
      </c>
      <c r="G2805" t="s">
        <v>2232</v>
      </c>
      <c r="H2805" t="s">
        <v>1811</v>
      </c>
      <c r="I2805" t="s">
        <v>892</v>
      </c>
      <c r="J2805" t="s">
        <v>678</v>
      </c>
      <c r="K2805" t="s">
        <v>100</v>
      </c>
      <c r="L2805">
        <v>34.03</v>
      </c>
      <c r="M2805" s="1">
        <v>46190</v>
      </c>
      <c r="N2805" t="s">
        <v>34</v>
      </c>
      <c r="O2805">
        <v>17</v>
      </c>
      <c r="P2805">
        <v>6</v>
      </c>
      <c r="Q2805">
        <v>2</v>
      </c>
      <c r="R2805">
        <v>2026</v>
      </c>
    </row>
    <row r="2806" spans="1:18">
      <c r="A2806">
        <v>217.62</v>
      </c>
      <c r="B2806">
        <v>2</v>
      </c>
      <c r="C2806">
        <v>2805</v>
      </c>
      <c r="D2806" s="2">
        <v>7.2893055555555558E-2</v>
      </c>
      <c r="E2806" t="s">
        <v>1450</v>
      </c>
      <c r="F2806" t="s">
        <v>1451</v>
      </c>
      <c r="G2806" t="s">
        <v>1452</v>
      </c>
      <c r="H2806" t="s">
        <v>915</v>
      </c>
      <c r="I2806" t="s">
        <v>908</v>
      </c>
      <c r="J2806" t="s">
        <v>453</v>
      </c>
      <c r="K2806" t="s">
        <v>55</v>
      </c>
      <c r="L2806">
        <v>108.81</v>
      </c>
      <c r="M2806" s="1">
        <v>45940</v>
      </c>
      <c r="N2806" t="s">
        <v>79</v>
      </c>
      <c r="O2806">
        <v>10</v>
      </c>
      <c r="P2806">
        <v>10</v>
      </c>
      <c r="Q2806">
        <v>4</v>
      </c>
      <c r="R2806">
        <v>2025</v>
      </c>
    </row>
    <row r="2807" spans="1:18">
      <c r="A2807">
        <v>450.28</v>
      </c>
      <c r="B2807">
        <v>2</v>
      </c>
      <c r="C2807">
        <v>2806</v>
      </c>
      <c r="D2807" s="2">
        <v>0.8894925231481482</v>
      </c>
      <c r="E2807" t="s">
        <v>2547</v>
      </c>
      <c r="F2807" t="s">
        <v>2548</v>
      </c>
      <c r="G2807" t="s">
        <v>1938</v>
      </c>
      <c r="H2807" t="s">
        <v>1670</v>
      </c>
      <c r="I2807" t="s">
        <v>1247</v>
      </c>
      <c r="J2807" t="s">
        <v>281</v>
      </c>
      <c r="K2807" t="s">
        <v>51</v>
      </c>
      <c r="L2807">
        <v>225.14</v>
      </c>
      <c r="M2807" s="1">
        <v>45901</v>
      </c>
      <c r="N2807" t="s">
        <v>93</v>
      </c>
      <c r="O2807">
        <v>1</v>
      </c>
      <c r="P2807">
        <v>9</v>
      </c>
      <c r="Q2807">
        <v>3</v>
      </c>
      <c r="R2807">
        <v>2025</v>
      </c>
    </row>
    <row r="2808" spans="1:18">
      <c r="A2808">
        <v>769.92</v>
      </c>
      <c r="B2808">
        <v>4</v>
      </c>
      <c r="C2808">
        <v>2807</v>
      </c>
      <c r="D2808" s="2">
        <v>0.36490516203703705</v>
      </c>
      <c r="E2808" t="s">
        <v>1079</v>
      </c>
      <c r="F2808" t="s">
        <v>1080</v>
      </c>
      <c r="G2808" t="s">
        <v>1081</v>
      </c>
      <c r="H2808" t="s">
        <v>772</v>
      </c>
      <c r="I2808" t="s">
        <v>758</v>
      </c>
      <c r="J2808" t="s">
        <v>159</v>
      </c>
      <c r="K2808" t="s">
        <v>21</v>
      </c>
      <c r="L2808">
        <v>192.48</v>
      </c>
      <c r="M2808" s="1">
        <v>46198</v>
      </c>
      <c r="N2808" t="s">
        <v>105</v>
      </c>
      <c r="O2808">
        <v>25</v>
      </c>
      <c r="P2808">
        <v>6</v>
      </c>
      <c r="Q2808">
        <v>2</v>
      </c>
      <c r="R2808">
        <v>2026</v>
      </c>
    </row>
    <row r="2809" spans="1:18">
      <c r="A2809">
        <v>901.56</v>
      </c>
      <c r="B2809">
        <v>4</v>
      </c>
      <c r="C2809">
        <v>2808</v>
      </c>
      <c r="D2809" s="2">
        <v>0.78379459490740744</v>
      </c>
      <c r="E2809" t="s">
        <v>1789</v>
      </c>
      <c r="F2809" t="s">
        <v>1790</v>
      </c>
      <c r="G2809" t="s">
        <v>1791</v>
      </c>
      <c r="H2809" t="s">
        <v>1630</v>
      </c>
      <c r="I2809" t="s">
        <v>763</v>
      </c>
      <c r="J2809" t="s">
        <v>152</v>
      </c>
      <c r="K2809" t="s">
        <v>19</v>
      </c>
      <c r="L2809">
        <v>225.39</v>
      </c>
      <c r="M2809" s="1">
        <v>46039</v>
      </c>
      <c r="N2809" t="s">
        <v>14</v>
      </c>
      <c r="O2809">
        <v>17</v>
      </c>
      <c r="P2809">
        <v>1</v>
      </c>
      <c r="Q2809">
        <v>1</v>
      </c>
      <c r="R2809">
        <v>2026</v>
      </c>
    </row>
    <row r="2810" spans="1:18">
      <c r="A2810">
        <v>1018.7</v>
      </c>
      <c r="B2810">
        <v>5</v>
      </c>
      <c r="C2810">
        <v>2809</v>
      </c>
      <c r="D2810" s="2">
        <v>0.74118687500000002</v>
      </c>
      <c r="E2810" t="s">
        <v>2045</v>
      </c>
      <c r="F2810" t="s">
        <v>2046</v>
      </c>
      <c r="G2810" t="s">
        <v>833</v>
      </c>
      <c r="H2810" t="s">
        <v>1061</v>
      </c>
      <c r="I2810" t="s">
        <v>812</v>
      </c>
      <c r="J2810" t="s">
        <v>552</v>
      </c>
      <c r="K2810" t="s">
        <v>31</v>
      </c>
      <c r="L2810">
        <v>203.74</v>
      </c>
      <c r="M2810" s="1">
        <v>45927</v>
      </c>
      <c r="N2810" t="s">
        <v>14</v>
      </c>
      <c r="O2810">
        <v>27</v>
      </c>
      <c r="P2810">
        <v>9</v>
      </c>
      <c r="Q2810">
        <v>3</v>
      </c>
      <c r="R2810">
        <v>2025</v>
      </c>
    </row>
    <row r="2811" spans="1:18">
      <c r="A2811">
        <v>444.04</v>
      </c>
      <c r="B2811">
        <v>2</v>
      </c>
      <c r="C2811">
        <v>2810</v>
      </c>
      <c r="D2811" s="2">
        <v>0.83131570601851856</v>
      </c>
      <c r="E2811" t="s">
        <v>2552</v>
      </c>
      <c r="F2811" t="s">
        <v>2553</v>
      </c>
      <c r="G2811" t="s">
        <v>1524</v>
      </c>
      <c r="H2811" t="s">
        <v>196</v>
      </c>
      <c r="I2811" t="s">
        <v>1247</v>
      </c>
      <c r="J2811" t="s">
        <v>501</v>
      </c>
      <c r="K2811" t="s">
        <v>25</v>
      </c>
      <c r="L2811">
        <v>222.02</v>
      </c>
      <c r="M2811" s="1">
        <v>45621</v>
      </c>
      <c r="N2811" t="s">
        <v>93</v>
      </c>
      <c r="O2811">
        <v>25</v>
      </c>
      <c r="P2811">
        <v>11</v>
      </c>
      <c r="Q2811">
        <v>4</v>
      </c>
      <c r="R2811">
        <v>2024</v>
      </c>
    </row>
    <row r="2812" spans="1:18">
      <c r="A2812">
        <v>239.49</v>
      </c>
      <c r="B2812">
        <v>3</v>
      </c>
      <c r="C2812">
        <v>2811</v>
      </c>
      <c r="D2812" s="2">
        <v>9.0379432870370369E-2</v>
      </c>
      <c r="E2812" t="s">
        <v>1921</v>
      </c>
      <c r="F2812" t="s">
        <v>1922</v>
      </c>
      <c r="G2812" t="s">
        <v>761</v>
      </c>
      <c r="H2812" t="s">
        <v>113</v>
      </c>
      <c r="I2812" t="s">
        <v>1247</v>
      </c>
      <c r="J2812" t="s">
        <v>234</v>
      </c>
      <c r="K2812" t="s">
        <v>82</v>
      </c>
      <c r="L2812">
        <v>79.83</v>
      </c>
      <c r="M2812" s="1">
        <v>46211</v>
      </c>
      <c r="N2812" t="s">
        <v>34</v>
      </c>
      <c r="O2812">
        <v>8</v>
      </c>
      <c r="P2812">
        <v>7</v>
      </c>
      <c r="Q2812">
        <v>3</v>
      </c>
      <c r="R2812">
        <v>2026</v>
      </c>
    </row>
    <row r="2813" spans="1:18">
      <c r="A2813">
        <v>33.17</v>
      </c>
      <c r="B2813">
        <v>1</v>
      </c>
      <c r="C2813">
        <v>2812</v>
      </c>
      <c r="D2813" s="2">
        <v>0.72364954861111108</v>
      </c>
      <c r="E2813" t="s">
        <v>2129</v>
      </c>
      <c r="F2813" t="s">
        <v>2130</v>
      </c>
      <c r="G2813" t="s">
        <v>998</v>
      </c>
      <c r="H2813" t="s">
        <v>380</v>
      </c>
      <c r="I2813" t="s">
        <v>776</v>
      </c>
      <c r="J2813" t="s">
        <v>481</v>
      </c>
      <c r="K2813" t="s">
        <v>69</v>
      </c>
      <c r="L2813">
        <v>33.17</v>
      </c>
      <c r="M2813" s="1">
        <v>45883</v>
      </c>
      <c r="N2813" t="s">
        <v>105</v>
      </c>
      <c r="O2813">
        <v>14</v>
      </c>
      <c r="P2813">
        <v>8</v>
      </c>
      <c r="Q2813">
        <v>3</v>
      </c>
      <c r="R2813">
        <v>2025</v>
      </c>
    </row>
    <row r="2814" spans="1:18">
      <c r="A2814">
        <v>79.83</v>
      </c>
      <c r="B2814">
        <v>1</v>
      </c>
      <c r="C2814">
        <v>2813</v>
      </c>
      <c r="D2814" s="2">
        <v>0.71418129629629634</v>
      </c>
      <c r="E2814" t="s">
        <v>3185</v>
      </c>
      <c r="F2814" t="s">
        <v>3186</v>
      </c>
      <c r="G2814" t="s">
        <v>1324</v>
      </c>
      <c r="H2814" t="s">
        <v>211</v>
      </c>
      <c r="I2814" t="s">
        <v>966</v>
      </c>
      <c r="J2814" t="s">
        <v>234</v>
      </c>
      <c r="K2814" t="s">
        <v>82</v>
      </c>
      <c r="L2814">
        <v>79.83</v>
      </c>
      <c r="M2814" s="1">
        <v>46230</v>
      </c>
      <c r="N2814" t="s">
        <v>93</v>
      </c>
      <c r="O2814">
        <v>27</v>
      </c>
      <c r="P2814">
        <v>7</v>
      </c>
      <c r="Q2814">
        <v>3</v>
      </c>
      <c r="R2814">
        <v>2026</v>
      </c>
    </row>
    <row r="2815" spans="1:18">
      <c r="A2815">
        <v>274.60000000000002</v>
      </c>
      <c r="B2815">
        <v>4</v>
      </c>
      <c r="C2815">
        <v>2814</v>
      </c>
      <c r="D2815" s="2">
        <v>0.91374393518518515</v>
      </c>
      <c r="E2815" t="s">
        <v>2228</v>
      </c>
      <c r="F2815" t="s">
        <v>2229</v>
      </c>
      <c r="G2815" t="s">
        <v>1192</v>
      </c>
      <c r="H2815" t="s">
        <v>64</v>
      </c>
      <c r="I2815" t="s">
        <v>892</v>
      </c>
      <c r="J2815" t="s">
        <v>393</v>
      </c>
      <c r="K2815" t="s">
        <v>23</v>
      </c>
      <c r="L2815">
        <v>68.650000000000006</v>
      </c>
      <c r="M2815" s="1">
        <v>46231</v>
      </c>
      <c r="N2815" t="s">
        <v>48</v>
      </c>
      <c r="O2815">
        <v>28</v>
      </c>
      <c r="P2815">
        <v>7</v>
      </c>
      <c r="Q2815">
        <v>3</v>
      </c>
      <c r="R2815">
        <v>2026</v>
      </c>
    </row>
    <row r="2816" spans="1:18">
      <c r="A2816">
        <v>515.64</v>
      </c>
      <c r="B2816">
        <v>3</v>
      </c>
      <c r="C2816">
        <v>2815</v>
      </c>
      <c r="D2816" s="2">
        <v>0.1604942361111111</v>
      </c>
      <c r="E2816" t="s">
        <v>2865</v>
      </c>
      <c r="F2816" t="s">
        <v>2866</v>
      </c>
      <c r="G2816" t="s">
        <v>1085</v>
      </c>
      <c r="H2816" t="s">
        <v>608</v>
      </c>
      <c r="I2816" t="s">
        <v>966</v>
      </c>
      <c r="J2816" t="s">
        <v>525</v>
      </c>
      <c r="K2816" t="s">
        <v>17</v>
      </c>
      <c r="L2816">
        <v>171.88</v>
      </c>
      <c r="M2816" s="1">
        <v>46136</v>
      </c>
      <c r="N2816" t="s">
        <v>79</v>
      </c>
      <c r="O2816">
        <v>24</v>
      </c>
      <c r="P2816">
        <v>4</v>
      </c>
      <c r="Q2816">
        <v>2</v>
      </c>
      <c r="R2816">
        <v>2026</v>
      </c>
    </row>
    <row r="2817" spans="1:18">
      <c r="A2817">
        <v>832.05</v>
      </c>
      <c r="B2817">
        <v>5</v>
      </c>
      <c r="C2817">
        <v>2816</v>
      </c>
      <c r="D2817" s="2">
        <v>0.36884445601851851</v>
      </c>
      <c r="E2817" t="s">
        <v>2072</v>
      </c>
      <c r="F2817" t="s">
        <v>2073</v>
      </c>
      <c r="G2817" t="s">
        <v>1709</v>
      </c>
      <c r="H2817" t="s">
        <v>961</v>
      </c>
      <c r="I2817" t="s">
        <v>807</v>
      </c>
      <c r="J2817" t="s">
        <v>285</v>
      </c>
      <c r="K2817" t="s">
        <v>17</v>
      </c>
      <c r="L2817">
        <v>166.41</v>
      </c>
      <c r="M2817" s="1">
        <v>45685</v>
      </c>
      <c r="N2817" t="s">
        <v>48</v>
      </c>
      <c r="O2817">
        <v>28</v>
      </c>
      <c r="P2817">
        <v>1</v>
      </c>
      <c r="Q2817">
        <v>1</v>
      </c>
      <c r="R2817">
        <v>2025</v>
      </c>
    </row>
    <row r="2818" spans="1:18">
      <c r="A2818">
        <v>573.84</v>
      </c>
      <c r="B2818">
        <v>4</v>
      </c>
      <c r="C2818">
        <v>2817</v>
      </c>
      <c r="D2818" s="2">
        <v>0.16577162037037038</v>
      </c>
      <c r="E2818" t="s">
        <v>1144</v>
      </c>
      <c r="F2818" t="s">
        <v>1145</v>
      </c>
      <c r="G2818" t="s">
        <v>1146</v>
      </c>
      <c r="H2818" t="s">
        <v>1128</v>
      </c>
      <c r="I2818" t="s">
        <v>954</v>
      </c>
      <c r="J2818" t="s">
        <v>299</v>
      </c>
      <c r="K2818" t="s">
        <v>57</v>
      </c>
      <c r="L2818">
        <v>143.46</v>
      </c>
      <c r="M2818" s="1">
        <v>45581</v>
      </c>
      <c r="N2818" t="s">
        <v>34</v>
      </c>
      <c r="O2818">
        <v>16</v>
      </c>
      <c r="P2818">
        <v>10</v>
      </c>
      <c r="Q2818">
        <v>4</v>
      </c>
      <c r="R2818">
        <v>2024</v>
      </c>
    </row>
    <row r="2819" spans="1:18">
      <c r="A2819">
        <v>93.05</v>
      </c>
      <c r="B2819">
        <v>1</v>
      </c>
      <c r="C2819">
        <v>2818</v>
      </c>
      <c r="D2819" s="2">
        <v>0.41607543981481482</v>
      </c>
      <c r="E2819" t="s">
        <v>2400</v>
      </c>
      <c r="F2819" t="s">
        <v>2401</v>
      </c>
      <c r="G2819" t="s">
        <v>1536</v>
      </c>
      <c r="H2819" t="s">
        <v>1128</v>
      </c>
      <c r="I2819" t="s">
        <v>954</v>
      </c>
      <c r="J2819" t="s">
        <v>350</v>
      </c>
      <c r="K2819" t="s">
        <v>60</v>
      </c>
      <c r="L2819">
        <v>93.05</v>
      </c>
      <c r="M2819" s="1">
        <v>46239</v>
      </c>
      <c r="N2819" t="s">
        <v>34</v>
      </c>
      <c r="O2819">
        <v>5</v>
      </c>
      <c r="P2819">
        <v>8</v>
      </c>
      <c r="Q2819">
        <v>3</v>
      </c>
      <c r="R2819">
        <v>2026</v>
      </c>
    </row>
    <row r="2820" spans="1:18">
      <c r="A2820">
        <v>488.64</v>
      </c>
      <c r="B2820">
        <v>2</v>
      </c>
      <c r="C2820">
        <v>2819</v>
      </c>
      <c r="D2820" s="2">
        <v>0.14234060185185185</v>
      </c>
      <c r="E2820" t="s">
        <v>3339</v>
      </c>
      <c r="F2820" t="s">
        <v>3340</v>
      </c>
      <c r="G2820" t="s">
        <v>3341</v>
      </c>
      <c r="H2820" t="s">
        <v>328</v>
      </c>
      <c r="I2820" t="s">
        <v>1003</v>
      </c>
      <c r="J2820" t="s">
        <v>613</v>
      </c>
      <c r="K2820" t="s">
        <v>21</v>
      </c>
      <c r="L2820">
        <v>244.32</v>
      </c>
      <c r="M2820" s="1">
        <v>45656</v>
      </c>
      <c r="N2820" t="s">
        <v>93</v>
      </c>
      <c r="O2820">
        <v>30</v>
      </c>
      <c r="P2820">
        <v>12</v>
      </c>
      <c r="Q2820">
        <v>4</v>
      </c>
      <c r="R2820">
        <v>2024</v>
      </c>
    </row>
    <row r="2821" spans="1:18">
      <c r="A2821">
        <v>36.86</v>
      </c>
      <c r="B2821">
        <v>2</v>
      </c>
      <c r="C2821">
        <v>2820</v>
      </c>
      <c r="D2821" s="2">
        <v>0.89702799768518515</v>
      </c>
      <c r="E2821" t="s">
        <v>2261</v>
      </c>
      <c r="F2821" t="s">
        <v>2262</v>
      </c>
      <c r="G2821" t="s">
        <v>1660</v>
      </c>
      <c r="H2821" t="s">
        <v>1206</v>
      </c>
      <c r="I2821" t="s">
        <v>943</v>
      </c>
      <c r="J2821" t="s">
        <v>1816</v>
      </c>
      <c r="K2821" t="s">
        <v>37</v>
      </c>
      <c r="L2821">
        <v>18.43</v>
      </c>
      <c r="M2821" s="1">
        <v>46131</v>
      </c>
      <c r="N2821" t="s">
        <v>28</v>
      </c>
      <c r="O2821">
        <v>19</v>
      </c>
      <c r="P2821">
        <v>4</v>
      </c>
      <c r="Q2821">
        <v>2</v>
      </c>
      <c r="R2821">
        <v>2026</v>
      </c>
    </row>
    <row r="2822" spans="1:18">
      <c r="A2822">
        <v>209.92</v>
      </c>
      <c r="B2822">
        <v>2</v>
      </c>
      <c r="C2822">
        <v>2821</v>
      </c>
      <c r="D2822" s="2">
        <v>4.5000821759259256E-2</v>
      </c>
      <c r="E2822" t="s">
        <v>1995</v>
      </c>
      <c r="F2822" t="s">
        <v>1996</v>
      </c>
      <c r="G2822" t="s">
        <v>1997</v>
      </c>
      <c r="H2822" t="s">
        <v>1061</v>
      </c>
      <c r="I2822" t="s">
        <v>821</v>
      </c>
      <c r="J2822" t="s">
        <v>225</v>
      </c>
      <c r="K2822" t="s">
        <v>21</v>
      </c>
      <c r="L2822">
        <v>104.96</v>
      </c>
      <c r="M2822" s="1">
        <v>45654</v>
      </c>
      <c r="N2822" t="s">
        <v>14</v>
      </c>
      <c r="O2822">
        <v>28</v>
      </c>
      <c r="P2822">
        <v>12</v>
      </c>
      <c r="Q2822">
        <v>4</v>
      </c>
      <c r="R2822">
        <v>2024</v>
      </c>
    </row>
    <row r="2823" spans="1:18">
      <c r="A2823">
        <v>176.85000000000002</v>
      </c>
      <c r="B2823">
        <v>3</v>
      </c>
      <c r="C2823">
        <v>2822</v>
      </c>
      <c r="D2823" s="2">
        <v>0.85932194444444443</v>
      </c>
      <c r="E2823" t="s">
        <v>2724</v>
      </c>
      <c r="F2823" t="s">
        <v>2725</v>
      </c>
      <c r="G2823" t="s">
        <v>2726</v>
      </c>
      <c r="H2823" t="s">
        <v>965</v>
      </c>
      <c r="I2823" t="s">
        <v>966</v>
      </c>
      <c r="J2823" t="s">
        <v>75</v>
      </c>
      <c r="K2823" t="s">
        <v>27</v>
      </c>
      <c r="L2823">
        <v>58.95</v>
      </c>
      <c r="M2823" s="1">
        <v>45621</v>
      </c>
      <c r="N2823" t="s">
        <v>93</v>
      </c>
      <c r="O2823">
        <v>25</v>
      </c>
      <c r="P2823">
        <v>11</v>
      </c>
      <c r="Q2823">
        <v>4</v>
      </c>
      <c r="R2823">
        <v>2024</v>
      </c>
    </row>
    <row r="2824" spans="1:18">
      <c r="A2824">
        <v>58.150000000000006</v>
      </c>
      <c r="B2824">
        <v>5</v>
      </c>
      <c r="C2824">
        <v>2823</v>
      </c>
      <c r="D2824" s="2">
        <v>0.39456251157407407</v>
      </c>
      <c r="E2824" t="s">
        <v>1129</v>
      </c>
      <c r="F2824" t="s">
        <v>1130</v>
      </c>
      <c r="G2824" t="s">
        <v>949</v>
      </c>
      <c r="H2824" t="s">
        <v>903</v>
      </c>
      <c r="I2824" t="s">
        <v>834</v>
      </c>
      <c r="J2824" t="s">
        <v>301</v>
      </c>
      <c r="K2824" t="s">
        <v>69</v>
      </c>
      <c r="L2824">
        <v>11.63</v>
      </c>
      <c r="M2824" s="1">
        <v>46170</v>
      </c>
      <c r="N2824" t="s">
        <v>105</v>
      </c>
      <c r="O2824">
        <v>28</v>
      </c>
      <c r="P2824">
        <v>5</v>
      </c>
      <c r="Q2824">
        <v>2</v>
      </c>
      <c r="R2824">
        <v>2026</v>
      </c>
    </row>
    <row r="2825" spans="1:18">
      <c r="A2825">
        <v>464.28</v>
      </c>
      <c r="B2825">
        <v>2</v>
      </c>
      <c r="C2825">
        <v>2824</v>
      </c>
      <c r="D2825" s="2">
        <v>0.40004908564814817</v>
      </c>
      <c r="E2825" t="s">
        <v>2756</v>
      </c>
      <c r="F2825" t="s">
        <v>2757</v>
      </c>
      <c r="G2825" t="s">
        <v>868</v>
      </c>
      <c r="H2825" t="s">
        <v>829</v>
      </c>
      <c r="I2825" t="s">
        <v>830</v>
      </c>
      <c r="J2825" t="s">
        <v>439</v>
      </c>
      <c r="K2825" t="s">
        <v>21</v>
      </c>
      <c r="L2825">
        <v>232.14</v>
      </c>
      <c r="M2825" s="1">
        <v>45728</v>
      </c>
      <c r="N2825" t="s">
        <v>34</v>
      </c>
      <c r="O2825">
        <v>12</v>
      </c>
      <c r="P2825">
        <v>3</v>
      </c>
      <c r="Q2825">
        <v>1</v>
      </c>
      <c r="R2825">
        <v>2025</v>
      </c>
    </row>
    <row r="2826" spans="1:18">
      <c r="A2826">
        <v>473.22</v>
      </c>
      <c r="B2826">
        <v>2</v>
      </c>
      <c r="C2826">
        <v>2825</v>
      </c>
      <c r="D2826" s="2">
        <v>0.44043068287037035</v>
      </c>
      <c r="E2826" t="s">
        <v>2779</v>
      </c>
      <c r="F2826" t="s">
        <v>2780</v>
      </c>
      <c r="G2826" t="s">
        <v>1020</v>
      </c>
      <c r="H2826" t="s">
        <v>883</v>
      </c>
      <c r="I2826" t="s">
        <v>807</v>
      </c>
      <c r="J2826" t="s">
        <v>235</v>
      </c>
      <c r="K2826" t="s">
        <v>19</v>
      </c>
      <c r="L2826">
        <v>236.61</v>
      </c>
      <c r="M2826" s="1">
        <v>46257</v>
      </c>
      <c r="N2826" t="s">
        <v>28</v>
      </c>
      <c r="O2826">
        <v>23</v>
      </c>
      <c r="P2826">
        <v>8</v>
      </c>
      <c r="Q2826">
        <v>3</v>
      </c>
      <c r="R2826">
        <v>2026</v>
      </c>
    </row>
    <row r="2827" spans="1:18">
      <c r="A2827">
        <v>231.29999999999998</v>
      </c>
      <c r="B2827">
        <v>5</v>
      </c>
      <c r="C2827">
        <v>2826</v>
      </c>
      <c r="D2827" s="2">
        <v>0.93903912037037041</v>
      </c>
      <c r="E2827" t="s">
        <v>1083</v>
      </c>
      <c r="F2827" t="s">
        <v>1084</v>
      </c>
      <c r="G2827" t="s">
        <v>1085</v>
      </c>
      <c r="H2827" t="s">
        <v>1007</v>
      </c>
      <c r="I2827" t="s">
        <v>966</v>
      </c>
      <c r="J2827" t="s">
        <v>190</v>
      </c>
      <c r="K2827" t="s">
        <v>39</v>
      </c>
      <c r="L2827">
        <v>46.26</v>
      </c>
      <c r="M2827" s="1">
        <v>46263</v>
      </c>
      <c r="N2827" t="s">
        <v>14</v>
      </c>
      <c r="O2827">
        <v>29</v>
      </c>
      <c r="P2827">
        <v>8</v>
      </c>
      <c r="Q2827">
        <v>3</v>
      </c>
      <c r="R2827">
        <v>2026</v>
      </c>
    </row>
    <row r="2828" spans="1:18">
      <c r="A2828">
        <v>1158.1999999999998</v>
      </c>
      <c r="B2828">
        <v>5</v>
      </c>
      <c r="C2828">
        <v>2827</v>
      </c>
      <c r="D2828" s="2">
        <v>0.55059706018518517</v>
      </c>
      <c r="E2828" t="s">
        <v>1425</v>
      </c>
      <c r="F2828" t="s">
        <v>1426</v>
      </c>
      <c r="G2828" t="s">
        <v>1358</v>
      </c>
      <c r="H2828" t="s">
        <v>74</v>
      </c>
      <c r="I2828" t="s">
        <v>943</v>
      </c>
      <c r="J2828" t="s">
        <v>658</v>
      </c>
      <c r="K2828" t="s">
        <v>69</v>
      </c>
      <c r="L2828">
        <v>231.64</v>
      </c>
      <c r="M2828" s="1">
        <v>45878</v>
      </c>
      <c r="N2828" t="s">
        <v>14</v>
      </c>
      <c r="O2828">
        <v>9</v>
      </c>
      <c r="P2828">
        <v>8</v>
      </c>
      <c r="Q2828">
        <v>3</v>
      </c>
      <c r="R2828">
        <v>2025</v>
      </c>
    </row>
    <row r="2829" spans="1:18">
      <c r="A2829">
        <v>583.6</v>
      </c>
      <c r="B2829">
        <v>5</v>
      </c>
      <c r="C2829">
        <v>2828</v>
      </c>
      <c r="D2829" s="2">
        <v>0.98160827546296292</v>
      </c>
      <c r="E2829" t="s">
        <v>777</v>
      </c>
      <c r="F2829" t="s">
        <v>778</v>
      </c>
      <c r="G2829" t="s">
        <v>779</v>
      </c>
      <c r="H2829" t="s">
        <v>780</v>
      </c>
      <c r="I2829" t="s">
        <v>781</v>
      </c>
      <c r="J2829" t="s">
        <v>500</v>
      </c>
      <c r="K2829" t="s">
        <v>27</v>
      </c>
      <c r="L2829">
        <v>116.72</v>
      </c>
      <c r="M2829" s="1">
        <v>45707</v>
      </c>
      <c r="N2829" t="s">
        <v>34</v>
      </c>
      <c r="O2829">
        <v>19</v>
      </c>
      <c r="P2829">
        <v>2</v>
      </c>
      <c r="Q2829">
        <v>1</v>
      </c>
      <c r="R2829">
        <v>2025</v>
      </c>
    </row>
    <row r="2830" spans="1:18">
      <c r="A2830">
        <v>361.15000000000003</v>
      </c>
      <c r="B2830">
        <v>5</v>
      </c>
      <c r="C2830">
        <v>2829</v>
      </c>
      <c r="D2830" s="2">
        <v>0.83315811342592594</v>
      </c>
      <c r="E2830" t="s">
        <v>1945</v>
      </c>
      <c r="F2830" t="s">
        <v>1946</v>
      </c>
      <c r="G2830" t="s">
        <v>1556</v>
      </c>
      <c r="H2830" t="s">
        <v>1061</v>
      </c>
      <c r="I2830" t="s">
        <v>834</v>
      </c>
      <c r="J2830" t="s">
        <v>616</v>
      </c>
      <c r="K2830" t="s">
        <v>37</v>
      </c>
      <c r="L2830">
        <v>72.23</v>
      </c>
      <c r="M2830" s="1">
        <v>45798</v>
      </c>
      <c r="N2830" t="s">
        <v>34</v>
      </c>
      <c r="O2830">
        <v>21</v>
      </c>
      <c r="P2830">
        <v>5</v>
      </c>
      <c r="Q2830">
        <v>2</v>
      </c>
      <c r="R2830">
        <v>2025</v>
      </c>
    </row>
    <row r="2831" spans="1:18">
      <c r="A2831">
        <v>735.72</v>
      </c>
      <c r="B2831">
        <v>4</v>
      </c>
      <c r="C2831">
        <v>2830</v>
      </c>
      <c r="D2831" s="2">
        <v>0.92727942129629626</v>
      </c>
      <c r="E2831" t="s">
        <v>764</v>
      </c>
      <c r="F2831" t="s">
        <v>765</v>
      </c>
      <c r="G2831" t="s">
        <v>766</v>
      </c>
      <c r="H2831" t="s">
        <v>767</v>
      </c>
      <c r="I2831" t="s">
        <v>768</v>
      </c>
      <c r="J2831" t="s">
        <v>359</v>
      </c>
      <c r="K2831" t="s">
        <v>23</v>
      </c>
      <c r="L2831">
        <v>183.93</v>
      </c>
      <c r="M2831" s="1">
        <v>45665</v>
      </c>
      <c r="N2831" t="s">
        <v>34</v>
      </c>
      <c r="O2831">
        <v>8</v>
      </c>
      <c r="P2831">
        <v>1</v>
      </c>
      <c r="Q2831">
        <v>1</v>
      </c>
      <c r="R2831">
        <v>2025</v>
      </c>
    </row>
    <row r="2832" spans="1:18">
      <c r="A2832">
        <v>218.16</v>
      </c>
      <c r="B2832">
        <v>4</v>
      </c>
      <c r="C2832">
        <v>2831</v>
      </c>
      <c r="D2832" s="2">
        <v>0.66247572916666664</v>
      </c>
      <c r="E2832" t="s">
        <v>1808</v>
      </c>
      <c r="F2832" t="s">
        <v>1809</v>
      </c>
      <c r="G2832" t="s">
        <v>1810</v>
      </c>
      <c r="H2832" t="s">
        <v>1811</v>
      </c>
      <c r="I2832" t="s">
        <v>892</v>
      </c>
      <c r="J2832" t="s">
        <v>292</v>
      </c>
      <c r="K2832" t="s">
        <v>97</v>
      </c>
      <c r="L2832">
        <v>54.54</v>
      </c>
      <c r="M2832" s="1">
        <v>46239</v>
      </c>
      <c r="N2832" t="s">
        <v>34</v>
      </c>
      <c r="O2832">
        <v>5</v>
      </c>
      <c r="P2832">
        <v>8</v>
      </c>
      <c r="Q2832">
        <v>3</v>
      </c>
      <c r="R2832">
        <v>2026</v>
      </c>
    </row>
    <row r="2833" spans="1:18">
      <c r="A2833">
        <v>148.56</v>
      </c>
      <c r="B2833">
        <v>2</v>
      </c>
      <c r="C2833">
        <v>2832</v>
      </c>
      <c r="D2833" s="2">
        <v>0.64303677083333333</v>
      </c>
      <c r="E2833" t="s">
        <v>1299</v>
      </c>
      <c r="F2833" t="s">
        <v>1300</v>
      </c>
      <c r="G2833" t="s">
        <v>1301</v>
      </c>
      <c r="H2833" t="s">
        <v>1302</v>
      </c>
      <c r="I2833" t="s">
        <v>786</v>
      </c>
      <c r="J2833" t="s">
        <v>54</v>
      </c>
      <c r="K2833" t="s">
        <v>55</v>
      </c>
      <c r="L2833">
        <v>74.28</v>
      </c>
      <c r="M2833" s="1">
        <v>45764</v>
      </c>
      <c r="N2833" t="s">
        <v>105</v>
      </c>
      <c r="O2833">
        <v>17</v>
      </c>
      <c r="P2833">
        <v>4</v>
      </c>
      <c r="Q2833">
        <v>2</v>
      </c>
      <c r="R2833">
        <v>2025</v>
      </c>
    </row>
    <row r="2834" spans="1:18">
      <c r="A2834">
        <v>44.52</v>
      </c>
      <c r="B2834">
        <v>4</v>
      </c>
      <c r="C2834">
        <v>2833</v>
      </c>
      <c r="D2834" s="2">
        <v>6.6406250000000005E-4</v>
      </c>
      <c r="E2834" t="s">
        <v>2076</v>
      </c>
      <c r="F2834" t="s">
        <v>2077</v>
      </c>
      <c r="G2834" t="s">
        <v>2078</v>
      </c>
      <c r="H2834" t="s">
        <v>1920</v>
      </c>
      <c r="I2834" t="s">
        <v>807</v>
      </c>
      <c r="J2834" t="s">
        <v>42</v>
      </c>
      <c r="K2834" t="s">
        <v>43</v>
      </c>
      <c r="L2834">
        <v>11.13</v>
      </c>
      <c r="M2834" s="1">
        <v>46022</v>
      </c>
      <c r="N2834" t="s">
        <v>34</v>
      </c>
      <c r="O2834">
        <v>31</v>
      </c>
      <c r="P2834">
        <v>12</v>
      </c>
      <c r="Q2834">
        <v>4</v>
      </c>
      <c r="R2834">
        <v>2025</v>
      </c>
    </row>
    <row r="2835" spans="1:18">
      <c r="A2835">
        <v>462.45</v>
      </c>
      <c r="B2835">
        <v>5</v>
      </c>
      <c r="C2835">
        <v>2834</v>
      </c>
      <c r="D2835" s="2">
        <v>0.37720724537037037</v>
      </c>
      <c r="E2835" t="s">
        <v>3218</v>
      </c>
      <c r="F2835" t="s">
        <v>3219</v>
      </c>
      <c r="G2835" t="s">
        <v>2845</v>
      </c>
      <c r="H2835" t="s">
        <v>829</v>
      </c>
      <c r="I2835" t="s">
        <v>830</v>
      </c>
      <c r="J2835" t="s">
        <v>36</v>
      </c>
      <c r="K2835" t="s">
        <v>37</v>
      </c>
      <c r="L2835">
        <v>92.49</v>
      </c>
      <c r="M2835" s="1">
        <v>46083</v>
      </c>
      <c r="N2835" t="s">
        <v>93</v>
      </c>
      <c r="O2835">
        <v>2</v>
      </c>
      <c r="P2835">
        <v>3</v>
      </c>
      <c r="Q2835">
        <v>1</v>
      </c>
      <c r="R2835">
        <v>2026</v>
      </c>
    </row>
    <row r="2836" spans="1:18">
      <c r="A2836">
        <v>460.54</v>
      </c>
      <c r="B2836">
        <v>2</v>
      </c>
      <c r="C2836">
        <v>2835</v>
      </c>
      <c r="D2836" s="2">
        <v>8.6869270833333331E-2</v>
      </c>
      <c r="E2836" t="s">
        <v>831</v>
      </c>
      <c r="F2836" t="s">
        <v>832</v>
      </c>
      <c r="G2836" t="s">
        <v>833</v>
      </c>
      <c r="H2836" t="s">
        <v>392</v>
      </c>
      <c r="I2836" t="s">
        <v>834</v>
      </c>
      <c r="J2836" t="s">
        <v>200</v>
      </c>
      <c r="K2836" t="s">
        <v>17</v>
      </c>
      <c r="L2836">
        <v>230.27</v>
      </c>
      <c r="M2836" s="1">
        <v>45971</v>
      </c>
      <c r="N2836" t="s">
        <v>93</v>
      </c>
      <c r="O2836">
        <v>10</v>
      </c>
      <c r="P2836">
        <v>11</v>
      </c>
      <c r="Q2836">
        <v>4</v>
      </c>
      <c r="R2836">
        <v>2025</v>
      </c>
    </row>
    <row r="2837" spans="1:18">
      <c r="A2837">
        <v>33.04</v>
      </c>
      <c r="B2837">
        <v>2</v>
      </c>
      <c r="C2837">
        <v>2836</v>
      </c>
      <c r="D2837" s="2">
        <v>0.31396858796296295</v>
      </c>
      <c r="E2837" t="s">
        <v>1640</v>
      </c>
      <c r="F2837" t="s">
        <v>1641</v>
      </c>
      <c r="G2837" t="s">
        <v>1642</v>
      </c>
      <c r="H2837" t="s">
        <v>160</v>
      </c>
      <c r="I2837" t="s">
        <v>790</v>
      </c>
      <c r="J2837" t="s">
        <v>339</v>
      </c>
      <c r="K2837" t="s">
        <v>19</v>
      </c>
      <c r="L2837">
        <v>16.52</v>
      </c>
      <c r="M2837" s="1">
        <v>45902</v>
      </c>
      <c r="N2837" t="s">
        <v>48</v>
      </c>
      <c r="O2837">
        <v>2</v>
      </c>
      <c r="P2837">
        <v>9</v>
      </c>
      <c r="Q2837">
        <v>3</v>
      </c>
      <c r="R2837">
        <v>2025</v>
      </c>
    </row>
    <row r="2838" spans="1:18">
      <c r="A2838">
        <v>823.32</v>
      </c>
      <c r="B2838">
        <v>4</v>
      </c>
      <c r="C2838">
        <v>2837</v>
      </c>
      <c r="D2838" s="2">
        <v>0.61416401620370376</v>
      </c>
      <c r="E2838" t="s">
        <v>1442</v>
      </c>
      <c r="F2838" t="s">
        <v>1443</v>
      </c>
      <c r="G2838" t="s">
        <v>1444</v>
      </c>
      <c r="H2838" t="s">
        <v>380</v>
      </c>
      <c r="I2838" t="s">
        <v>896</v>
      </c>
      <c r="J2838" t="s">
        <v>246</v>
      </c>
      <c r="K2838" t="s">
        <v>23</v>
      </c>
      <c r="L2838">
        <v>205.83</v>
      </c>
      <c r="M2838" s="1">
        <v>45805</v>
      </c>
      <c r="N2838" t="s">
        <v>34</v>
      </c>
      <c r="O2838">
        <v>28</v>
      </c>
      <c r="P2838">
        <v>5</v>
      </c>
      <c r="Q2838">
        <v>2</v>
      </c>
      <c r="R2838">
        <v>2025</v>
      </c>
    </row>
    <row r="2839" spans="1:18">
      <c r="A2839">
        <v>11.42</v>
      </c>
      <c r="B2839">
        <v>2</v>
      </c>
      <c r="C2839">
        <v>2838</v>
      </c>
      <c r="D2839" s="2">
        <v>0.22292880787037037</v>
      </c>
      <c r="E2839" t="s">
        <v>1522</v>
      </c>
      <c r="F2839" t="s">
        <v>1523</v>
      </c>
      <c r="G2839" t="s">
        <v>1524</v>
      </c>
      <c r="H2839" t="s">
        <v>1525</v>
      </c>
      <c r="I2839" t="s">
        <v>763</v>
      </c>
      <c r="J2839" t="s">
        <v>669</v>
      </c>
      <c r="K2839" t="s">
        <v>97</v>
      </c>
      <c r="L2839">
        <v>5.71</v>
      </c>
      <c r="M2839" s="1">
        <v>45662</v>
      </c>
      <c r="N2839" t="s">
        <v>28</v>
      </c>
      <c r="O2839">
        <v>5</v>
      </c>
      <c r="P2839">
        <v>1</v>
      </c>
      <c r="Q2839">
        <v>1</v>
      </c>
      <c r="R2839">
        <v>2025</v>
      </c>
    </row>
    <row r="2840" spans="1:18">
      <c r="A2840">
        <v>132.81</v>
      </c>
      <c r="B2840">
        <v>3</v>
      </c>
      <c r="C2840">
        <v>2839</v>
      </c>
      <c r="D2840" s="2">
        <v>0.65648950231481484</v>
      </c>
      <c r="E2840" t="s">
        <v>1762</v>
      </c>
      <c r="F2840" t="s">
        <v>1763</v>
      </c>
      <c r="G2840" t="s">
        <v>1706</v>
      </c>
      <c r="H2840" t="s">
        <v>953</v>
      </c>
      <c r="I2840" t="s">
        <v>954</v>
      </c>
      <c r="J2840" t="s">
        <v>296</v>
      </c>
      <c r="K2840" t="s">
        <v>122</v>
      </c>
      <c r="L2840">
        <v>44.27</v>
      </c>
      <c r="M2840" s="1">
        <v>46030</v>
      </c>
      <c r="N2840" t="s">
        <v>105</v>
      </c>
      <c r="O2840">
        <v>8</v>
      </c>
      <c r="P2840">
        <v>1</v>
      </c>
      <c r="Q2840">
        <v>1</v>
      </c>
      <c r="R2840">
        <v>2026</v>
      </c>
    </row>
    <row r="2841" spans="1:18">
      <c r="A2841">
        <v>76.760000000000005</v>
      </c>
      <c r="B2841">
        <v>4</v>
      </c>
      <c r="C2841">
        <v>2840</v>
      </c>
      <c r="D2841" s="2">
        <v>0.43976848379629629</v>
      </c>
      <c r="E2841" t="s">
        <v>2965</v>
      </c>
      <c r="F2841" t="s">
        <v>2966</v>
      </c>
      <c r="G2841" t="s">
        <v>1559</v>
      </c>
      <c r="H2841" t="s">
        <v>1137</v>
      </c>
      <c r="I2841" t="s">
        <v>748</v>
      </c>
      <c r="J2841" t="s">
        <v>71</v>
      </c>
      <c r="K2841" t="s">
        <v>23</v>
      </c>
      <c r="L2841">
        <v>19.190000000000001</v>
      </c>
      <c r="M2841" s="1">
        <v>45651</v>
      </c>
      <c r="N2841" t="s">
        <v>34</v>
      </c>
      <c r="O2841">
        <v>25</v>
      </c>
      <c r="P2841">
        <v>12</v>
      </c>
      <c r="Q2841">
        <v>4</v>
      </c>
      <c r="R2841">
        <v>2024</v>
      </c>
    </row>
    <row r="2842" spans="1:18">
      <c r="A2842">
        <v>701.46</v>
      </c>
      <c r="B2842">
        <v>3</v>
      </c>
      <c r="C2842">
        <v>2841</v>
      </c>
      <c r="D2842" s="2">
        <v>0.10789396990740741</v>
      </c>
      <c r="E2842" t="s">
        <v>1233</v>
      </c>
      <c r="F2842" t="s">
        <v>1234</v>
      </c>
      <c r="G2842" t="s">
        <v>1235</v>
      </c>
      <c r="H2842" t="s">
        <v>1236</v>
      </c>
      <c r="I2842" t="s">
        <v>807</v>
      </c>
      <c r="J2842" t="s">
        <v>390</v>
      </c>
      <c r="K2842" t="s">
        <v>82</v>
      </c>
      <c r="L2842">
        <v>233.82</v>
      </c>
      <c r="M2842" s="1">
        <v>46228</v>
      </c>
      <c r="N2842" t="s">
        <v>14</v>
      </c>
      <c r="O2842">
        <v>25</v>
      </c>
      <c r="P2842">
        <v>7</v>
      </c>
      <c r="Q2842">
        <v>3</v>
      </c>
      <c r="R2842">
        <v>2026</v>
      </c>
    </row>
    <row r="2843" spans="1:18">
      <c r="A2843">
        <v>11.42</v>
      </c>
      <c r="B2843">
        <v>2</v>
      </c>
      <c r="C2843">
        <v>2842</v>
      </c>
      <c r="D2843" s="2">
        <v>0.26714531250000001</v>
      </c>
      <c r="E2843" t="s">
        <v>2648</v>
      </c>
      <c r="F2843" t="s">
        <v>2649</v>
      </c>
      <c r="G2843" t="s">
        <v>1212</v>
      </c>
      <c r="H2843" t="s">
        <v>1002</v>
      </c>
      <c r="I2843" t="s">
        <v>1003</v>
      </c>
      <c r="J2843" t="s">
        <v>669</v>
      </c>
      <c r="K2843" t="s">
        <v>97</v>
      </c>
      <c r="L2843">
        <v>5.71</v>
      </c>
      <c r="M2843" s="1">
        <v>45973</v>
      </c>
      <c r="N2843" t="s">
        <v>34</v>
      </c>
      <c r="O2843">
        <v>12</v>
      </c>
      <c r="P2843">
        <v>11</v>
      </c>
      <c r="Q2843">
        <v>4</v>
      </c>
      <c r="R2843">
        <v>2025</v>
      </c>
    </row>
    <row r="2844" spans="1:18">
      <c r="A2844">
        <v>1166.05</v>
      </c>
      <c r="B2844">
        <v>5</v>
      </c>
      <c r="C2844">
        <v>2843</v>
      </c>
      <c r="D2844" s="2">
        <v>9.5053009259259257E-3</v>
      </c>
      <c r="E2844" t="s">
        <v>3466</v>
      </c>
      <c r="F2844" t="s">
        <v>3467</v>
      </c>
      <c r="G2844" t="s">
        <v>1074</v>
      </c>
      <c r="H2844" t="s">
        <v>862</v>
      </c>
      <c r="I2844" t="s">
        <v>908</v>
      </c>
      <c r="J2844" t="s">
        <v>648</v>
      </c>
      <c r="K2844" t="s">
        <v>57</v>
      </c>
      <c r="L2844">
        <v>233.21</v>
      </c>
      <c r="M2844" s="1">
        <v>45719</v>
      </c>
      <c r="N2844" t="s">
        <v>93</v>
      </c>
      <c r="O2844">
        <v>3</v>
      </c>
      <c r="P2844">
        <v>3</v>
      </c>
      <c r="Q2844">
        <v>1</v>
      </c>
      <c r="R2844">
        <v>2025</v>
      </c>
    </row>
    <row r="2845" spans="1:18">
      <c r="A2845">
        <v>141.55000000000001</v>
      </c>
      <c r="B2845">
        <v>1</v>
      </c>
      <c r="C2845">
        <v>2844</v>
      </c>
      <c r="D2845" s="2">
        <v>6.9129293981481488E-2</v>
      </c>
      <c r="E2845" t="s">
        <v>2092</v>
      </c>
      <c r="F2845" t="s">
        <v>2093</v>
      </c>
      <c r="G2845" t="s">
        <v>1016</v>
      </c>
      <c r="H2845" t="s">
        <v>151</v>
      </c>
      <c r="I2845" t="s">
        <v>1003</v>
      </c>
      <c r="J2845" t="s">
        <v>273</v>
      </c>
      <c r="K2845" t="s">
        <v>100</v>
      </c>
      <c r="L2845">
        <v>141.55000000000001</v>
      </c>
      <c r="M2845" s="1">
        <v>46072</v>
      </c>
      <c r="N2845" t="s">
        <v>105</v>
      </c>
      <c r="O2845">
        <v>19</v>
      </c>
      <c r="P2845">
        <v>2</v>
      </c>
      <c r="Q2845">
        <v>1</v>
      </c>
      <c r="R2845">
        <v>2026</v>
      </c>
    </row>
    <row r="2846" spans="1:18">
      <c r="A2846">
        <v>12.56</v>
      </c>
      <c r="B2846">
        <v>2</v>
      </c>
      <c r="C2846">
        <v>2845</v>
      </c>
      <c r="D2846" s="2">
        <v>1.3210243055555555E-2</v>
      </c>
      <c r="E2846" t="s">
        <v>1218</v>
      </c>
      <c r="F2846" t="s">
        <v>1219</v>
      </c>
      <c r="G2846" t="s">
        <v>1220</v>
      </c>
      <c r="H2846" t="s">
        <v>1206</v>
      </c>
      <c r="I2846" t="s">
        <v>943</v>
      </c>
      <c r="J2846" t="s">
        <v>601</v>
      </c>
      <c r="K2846" t="s">
        <v>19</v>
      </c>
      <c r="L2846">
        <v>6.28</v>
      </c>
      <c r="M2846" s="1">
        <v>45906</v>
      </c>
      <c r="N2846" t="s">
        <v>14</v>
      </c>
      <c r="O2846">
        <v>6</v>
      </c>
      <c r="P2846">
        <v>9</v>
      </c>
      <c r="Q2846">
        <v>3</v>
      </c>
      <c r="R2846">
        <v>2025</v>
      </c>
    </row>
    <row r="2847" spans="1:18">
      <c r="A2847">
        <v>254.54999999999998</v>
      </c>
      <c r="B2847">
        <v>5</v>
      </c>
      <c r="C2847">
        <v>2846</v>
      </c>
      <c r="D2847" s="2">
        <v>2.6183541666666667E-2</v>
      </c>
      <c r="E2847" t="s">
        <v>1307</v>
      </c>
      <c r="F2847" t="s">
        <v>1308</v>
      </c>
      <c r="G2847" t="s">
        <v>1212</v>
      </c>
      <c r="H2847" t="s">
        <v>151</v>
      </c>
      <c r="I2847" t="s">
        <v>1003</v>
      </c>
      <c r="J2847" t="s">
        <v>197</v>
      </c>
      <c r="K2847" t="s">
        <v>19</v>
      </c>
      <c r="L2847">
        <v>50.91</v>
      </c>
      <c r="M2847" s="1">
        <v>46002</v>
      </c>
      <c r="N2847" t="s">
        <v>105</v>
      </c>
      <c r="O2847">
        <v>11</v>
      </c>
      <c r="P2847">
        <v>12</v>
      </c>
      <c r="Q2847">
        <v>4</v>
      </c>
      <c r="R2847">
        <v>2025</v>
      </c>
    </row>
    <row r="2848" spans="1:18">
      <c r="A2848">
        <v>185.04</v>
      </c>
      <c r="B2848">
        <v>4</v>
      </c>
      <c r="C2848">
        <v>2847</v>
      </c>
      <c r="D2848" s="2">
        <v>0.40570747685185188</v>
      </c>
      <c r="E2848" t="s">
        <v>1255</v>
      </c>
      <c r="F2848" t="s">
        <v>1256</v>
      </c>
      <c r="G2848" t="s">
        <v>969</v>
      </c>
      <c r="H2848" t="s">
        <v>1257</v>
      </c>
      <c r="I2848" t="s">
        <v>839</v>
      </c>
      <c r="J2848" t="s">
        <v>190</v>
      </c>
      <c r="K2848" t="s">
        <v>39</v>
      </c>
      <c r="L2848">
        <v>46.26</v>
      </c>
      <c r="M2848" s="1">
        <v>45629</v>
      </c>
      <c r="N2848" t="s">
        <v>48</v>
      </c>
      <c r="O2848">
        <v>3</v>
      </c>
      <c r="P2848">
        <v>12</v>
      </c>
      <c r="Q2848">
        <v>4</v>
      </c>
      <c r="R2848">
        <v>2024</v>
      </c>
    </row>
    <row r="2849" spans="1:18">
      <c r="A2849">
        <v>475.26</v>
      </c>
      <c r="B2849">
        <v>2</v>
      </c>
      <c r="C2849">
        <v>2848</v>
      </c>
      <c r="D2849" s="2">
        <v>0.41709761574074072</v>
      </c>
      <c r="E2849" t="s">
        <v>1775</v>
      </c>
      <c r="F2849" t="s">
        <v>1776</v>
      </c>
      <c r="G2849" t="s">
        <v>1777</v>
      </c>
      <c r="H2849" t="s">
        <v>1525</v>
      </c>
      <c r="I2849" t="s">
        <v>763</v>
      </c>
      <c r="J2849" t="s">
        <v>375</v>
      </c>
      <c r="K2849" t="s">
        <v>31</v>
      </c>
      <c r="L2849">
        <v>237.63</v>
      </c>
      <c r="M2849" s="1">
        <v>45866</v>
      </c>
      <c r="N2849" t="s">
        <v>93</v>
      </c>
      <c r="O2849">
        <v>28</v>
      </c>
      <c r="P2849">
        <v>7</v>
      </c>
      <c r="Q2849">
        <v>3</v>
      </c>
      <c r="R2849">
        <v>2025</v>
      </c>
    </row>
    <row r="2850" spans="1:18">
      <c r="A2850">
        <v>130.36000000000001</v>
      </c>
      <c r="B2850">
        <v>1</v>
      </c>
      <c r="C2850">
        <v>2849</v>
      </c>
      <c r="D2850" s="2">
        <v>0.40210196759259259</v>
      </c>
      <c r="E2850" t="s">
        <v>2698</v>
      </c>
      <c r="F2850" t="s">
        <v>2699</v>
      </c>
      <c r="G2850" t="s">
        <v>1124</v>
      </c>
      <c r="H2850" t="s">
        <v>1666</v>
      </c>
      <c r="I2850" t="s">
        <v>830</v>
      </c>
      <c r="J2850" t="s">
        <v>118</v>
      </c>
      <c r="K2850" t="s">
        <v>31</v>
      </c>
      <c r="L2850">
        <v>130.36000000000001</v>
      </c>
      <c r="M2850" s="1">
        <v>45674</v>
      </c>
      <c r="N2850" t="s">
        <v>79</v>
      </c>
      <c r="O2850">
        <v>17</v>
      </c>
      <c r="P2850">
        <v>1</v>
      </c>
      <c r="Q2850">
        <v>1</v>
      </c>
      <c r="R2850">
        <v>2025</v>
      </c>
    </row>
    <row r="2851" spans="1:18">
      <c r="A2851">
        <v>328.54</v>
      </c>
      <c r="B2851">
        <v>2</v>
      </c>
      <c r="C2851">
        <v>2850</v>
      </c>
      <c r="D2851" s="2">
        <v>0.45498649305555555</v>
      </c>
      <c r="E2851" t="s">
        <v>1735</v>
      </c>
      <c r="F2851" t="s">
        <v>1736</v>
      </c>
      <c r="G2851" t="s">
        <v>857</v>
      </c>
      <c r="H2851" t="s">
        <v>980</v>
      </c>
      <c r="I2851" t="s">
        <v>981</v>
      </c>
      <c r="J2851" t="s">
        <v>127</v>
      </c>
      <c r="K2851" t="s">
        <v>21</v>
      </c>
      <c r="L2851">
        <v>164.27</v>
      </c>
      <c r="M2851" s="1">
        <v>45620</v>
      </c>
      <c r="N2851" t="s">
        <v>28</v>
      </c>
      <c r="O2851">
        <v>24</v>
      </c>
      <c r="P2851">
        <v>11</v>
      </c>
      <c r="Q2851">
        <v>4</v>
      </c>
      <c r="R2851">
        <v>2024</v>
      </c>
    </row>
    <row r="2852" spans="1:18">
      <c r="A2852">
        <v>95.24</v>
      </c>
      <c r="B2852">
        <v>2</v>
      </c>
      <c r="C2852">
        <v>2851</v>
      </c>
      <c r="D2852" s="2">
        <v>5.9353726851851848E-2</v>
      </c>
      <c r="E2852" t="s">
        <v>1792</v>
      </c>
      <c r="F2852" t="s">
        <v>1178</v>
      </c>
      <c r="G2852" t="s">
        <v>1793</v>
      </c>
      <c r="H2852" t="s">
        <v>862</v>
      </c>
      <c r="I2852" t="s">
        <v>908</v>
      </c>
      <c r="J2852" t="s">
        <v>508</v>
      </c>
      <c r="K2852" t="s">
        <v>43</v>
      </c>
      <c r="L2852">
        <v>47.62</v>
      </c>
      <c r="M2852" s="1">
        <v>46070</v>
      </c>
      <c r="N2852" t="s">
        <v>48</v>
      </c>
      <c r="O2852">
        <v>17</v>
      </c>
      <c r="P2852">
        <v>2</v>
      </c>
      <c r="Q2852">
        <v>1</v>
      </c>
      <c r="R2852">
        <v>2026</v>
      </c>
    </row>
    <row r="2853" spans="1:18">
      <c r="A2853">
        <v>45.089999999999996</v>
      </c>
      <c r="B2853">
        <v>3</v>
      </c>
      <c r="C2853">
        <v>2852</v>
      </c>
      <c r="D2853" s="2">
        <v>0.16242124999999999</v>
      </c>
      <c r="E2853" t="s">
        <v>2846</v>
      </c>
      <c r="F2853" t="s">
        <v>2847</v>
      </c>
      <c r="G2853" t="s">
        <v>2848</v>
      </c>
      <c r="H2853" t="s">
        <v>985</v>
      </c>
      <c r="I2853" t="s">
        <v>817</v>
      </c>
      <c r="J2853" t="s">
        <v>523</v>
      </c>
      <c r="K2853" t="s">
        <v>23</v>
      </c>
      <c r="L2853">
        <v>15.03</v>
      </c>
      <c r="M2853" s="1">
        <v>45976</v>
      </c>
      <c r="N2853" t="s">
        <v>14</v>
      </c>
      <c r="O2853">
        <v>15</v>
      </c>
      <c r="P2853">
        <v>11</v>
      </c>
      <c r="Q2853">
        <v>4</v>
      </c>
      <c r="R2853">
        <v>2025</v>
      </c>
    </row>
    <row r="2854" spans="1:18">
      <c r="A2854">
        <v>1202.9000000000001</v>
      </c>
      <c r="B2854">
        <v>5</v>
      </c>
      <c r="C2854">
        <v>2853</v>
      </c>
      <c r="D2854" s="2">
        <v>0.16872810185185186</v>
      </c>
      <c r="E2854" t="s">
        <v>3400</v>
      </c>
      <c r="F2854" t="s">
        <v>3401</v>
      </c>
      <c r="G2854" t="s">
        <v>1231</v>
      </c>
      <c r="H2854" t="s">
        <v>2154</v>
      </c>
      <c r="I2854" t="s">
        <v>1003</v>
      </c>
      <c r="J2854" t="s">
        <v>475</v>
      </c>
      <c r="K2854" t="s">
        <v>27</v>
      </c>
      <c r="L2854">
        <v>240.58</v>
      </c>
      <c r="M2854" s="1">
        <v>45699</v>
      </c>
      <c r="N2854" t="s">
        <v>48</v>
      </c>
      <c r="O2854">
        <v>11</v>
      </c>
      <c r="P2854">
        <v>2</v>
      </c>
      <c r="Q2854">
        <v>1</v>
      </c>
      <c r="R2854">
        <v>2025</v>
      </c>
    </row>
    <row r="2855" spans="1:18">
      <c r="A2855">
        <v>352.76</v>
      </c>
      <c r="B2855">
        <v>2</v>
      </c>
      <c r="C2855">
        <v>2854</v>
      </c>
      <c r="D2855" s="2">
        <v>0.60254913194444448</v>
      </c>
      <c r="E2855" t="s">
        <v>1366</v>
      </c>
      <c r="F2855" t="s">
        <v>1367</v>
      </c>
      <c r="G2855" t="s">
        <v>1020</v>
      </c>
      <c r="H2855" t="s">
        <v>136</v>
      </c>
      <c r="I2855" t="s">
        <v>954</v>
      </c>
      <c r="J2855" t="s">
        <v>384</v>
      </c>
      <c r="K2855" t="s">
        <v>37</v>
      </c>
      <c r="L2855">
        <v>176.38</v>
      </c>
      <c r="M2855" s="1">
        <v>46124</v>
      </c>
      <c r="N2855" t="s">
        <v>28</v>
      </c>
      <c r="O2855">
        <v>12</v>
      </c>
      <c r="P2855">
        <v>4</v>
      </c>
      <c r="Q2855">
        <v>2</v>
      </c>
      <c r="R2855">
        <v>2026</v>
      </c>
    </row>
    <row r="2856" spans="1:18">
      <c r="A2856">
        <v>18.02</v>
      </c>
      <c r="B2856">
        <v>2</v>
      </c>
      <c r="C2856">
        <v>2855</v>
      </c>
      <c r="D2856" s="2">
        <v>0.67223722222222226</v>
      </c>
      <c r="E2856" t="s">
        <v>1756</v>
      </c>
      <c r="F2856" t="s">
        <v>1757</v>
      </c>
      <c r="G2856" t="s">
        <v>1679</v>
      </c>
      <c r="H2856" t="s">
        <v>802</v>
      </c>
      <c r="I2856" t="s">
        <v>748</v>
      </c>
      <c r="J2856" t="s">
        <v>455</v>
      </c>
      <c r="K2856" t="s">
        <v>69</v>
      </c>
      <c r="L2856">
        <v>9.01</v>
      </c>
      <c r="M2856" s="1">
        <v>46185</v>
      </c>
      <c r="N2856" t="s">
        <v>79</v>
      </c>
      <c r="O2856">
        <v>12</v>
      </c>
      <c r="P2856">
        <v>6</v>
      </c>
      <c r="Q2856">
        <v>2</v>
      </c>
      <c r="R2856">
        <v>2026</v>
      </c>
    </row>
    <row r="2857" spans="1:18">
      <c r="A2857">
        <v>557.76</v>
      </c>
      <c r="B2857">
        <v>3</v>
      </c>
      <c r="C2857">
        <v>2856</v>
      </c>
      <c r="D2857" s="2">
        <v>0.53805671296296298</v>
      </c>
      <c r="E2857" t="s">
        <v>1762</v>
      </c>
      <c r="F2857" t="s">
        <v>1763</v>
      </c>
      <c r="G2857" t="s">
        <v>1706</v>
      </c>
      <c r="H2857" t="s">
        <v>953</v>
      </c>
      <c r="I2857" t="s">
        <v>954</v>
      </c>
      <c r="J2857" t="s">
        <v>683</v>
      </c>
      <c r="K2857" t="s">
        <v>55</v>
      </c>
      <c r="L2857">
        <v>185.92</v>
      </c>
      <c r="M2857" s="1">
        <v>46088</v>
      </c>
      <c r="N2857" t="s">
        <v>14</v>
      </c>
      <c r="O2857">
        <v>7</v>
      </c>
      <c r="P2857">
        <v>3</v>
      </c>
      <c r="Q2857">
        <v>1</v>
      </c>
      <c r="R2857">
        <v>2026</v>
      </c>
    </row>
    <row r="2858" spans="1:18">
      <c r="A2858">
        <v>189.75</v>
      </c>
      <c r="B2858">
        <v>3</v>
      </c>
      <c r="C2858">
        <v>2857</v>
      </c>
      <c r="D2858" s="2">
        <v>1.2186817129629629E-2</v>
      </c>
      <c r="E2858" t="s">
        <v>1879</v>
      </c>
      <c r="F2858" t="s">
        <v>1880</v>
      </c>
      <c r="G2858" t="s">
        <v>1881</v>
      </c>
      <c r="H2858" t="s">
        <v>1882</v>
      </c>
      <c r="I2858" t="s">
        <v>795</v>
      </c>
      <c r="J2858" t="s">
        <v>740</v>
      </c>
      <c r="K2858" t="s">
        <v>46</v>
      </c>
      <c r="L2858">
        <v>63.25</v>
      </c>
      <c r="M2858" s="1">
        <v>45867</v>
      </c>
      <c r="N2858" t="s">
        <v>48</v>
      </c>
      <c r="O2858">
        <v>29</v>
      </c>
      <c r="P2858">
        <v>7</v>
      </c>
      <c r="Q2858">
        <v>3</v>
      </c>
      <c r="R2858">
        <v>2025</v>
      </c>
    </row>
    <row r="2859" spans="1:18">
      <c r="A2859">
        <v>958.45</v>
      </c>
      <c r="B2859">
        <v>5</v>
      </c>
      <c r="C2859">
        <v>2858</v>
      </c>
      <c r="D2859" s="2">
        <v>0.55592333333333332</v>
      </c>
      <c r="E2859" t="s">
        <v>1519</v>
      </c>
      <c r="F2859" t="s">
        <v>1520</v>
      </c>
      <c r="G2859" t="s">
        <v>1521</v>
      </c>
      <c r="H2859" t="s">
        <v>1172</v>
      </c>
      <c r="I2859" t="s">
        <v>830</v>
      </c>
      <c r="J2859" t="s">
        <v>186</v>
      </c>
      <c r="K2859" t="s">
        <v>37</v>
      </c>
      <c r="L2859">
        <v>191.69</v>
      </c>
      <c r="M2859" s="1">
        <v>46045</v>
      </c>
      <c r="N2859" t="s">
        <v>79</v>
      </c>
      <c r="O2859">
        <v>23</v>
      </c>
      <c r="P2859">
        <v>1</v>
      </c>
      <c r="Q2859">
        <v>1</v>
      </c>
      <c r="R2859">
        <v>2026</v>
      </c>
    </row>
    <row r="2860" spans="1:18">
      <c r="A2860">
        <v>437.40000000000003</v>
      </c>
      <c r="B2860">
        <v>5</v>
      </c>
      <c r="C2860">
        <v>2859</v>
      </c>
      <c r="D2860" s="2">
        <v>0.66264990740740737</v>
      </c>
      <c r="E2860" t="s">
        <v>1453</v>
      </c>
      <c r="F2860" t="s">
        <v>1454</v>
      </c>
      <c r="G2860" t="s">
        <v>1455</v>
      </c>
      <c r="H2860" t="s">
        <v>980</v>
      </c>
      <c r="I2860" t="s">
        <v>981</v>
      </c>
      <c r="J2860" t="s">
        <v>604</v>
      </c>
      <c r="K2860" t="s">
        <v>69</v>
      </c>
      <c r="L2860">
        <v>87.48</v>
      </c>
      <c r="M2860" s="1">
        <v>45816</v>
      </c>
      <c r="N2860" t="s">
        <v>28</v>
      </c>
      <c r="O2860">
        <v>8</v>
      </c>
      <c r="P2860">
        <v>6</v>
      </c>
      <c r="Q2860">
        <v>2</v>
      </c>
      <c r="R2860">
        <v>2025</v>
      </c>
    </row>
    <row r="2861" spans="1:18">
      <c r="A2861">
        <v>729.2</v>
      </c>
      <c r="B2861">
        <v>5</v>
      </c>
      <c r="C2861">
        <v>2860</v>
      </c>
      <c r="D2861" s="2">
        <v>0.54950966435185189</v>
      </c>
      <c r="E2861" t="s">
        <v>1115</v>
      </c>
      <c r="F2861" t="s">
        <v>1116</v>
      </c>
      <c r="G2861" t="s">
        <v>1117</v>
      </c>
      <c r="H2861" t="s">
        <v>1118</v>
      </c>
      <c r="I2861" t="s">
        <v>821</v>
      </c>
      <c r="J2861" t="s">
        <v>178</v>
      </c>
      <c r="K2861" t="s">
        <v>122</v>
      </c>
      <c r="L2861">
        <v>145.84</v>
      </c>
      <c r="M2861" s="1">
        <v>46186</v>
      </c>
      <c r="N2861" t="s">
        <v>14</v>
      </c>
      <c r="O2861">
        <v>13</v>
      </c>
      <c r="P2861">
        <v>6</v>
      </c>
      <c r="Q2861">
        <v>2</v>
      </c>
      <c r="R2861">
        <v>2026</v>
      </c>
    </row>
    <row r="2862" spans="1:18">
      <c r="A2862">
        <v>194.46</v>
      </c>
      <c r="B2862">
        <v>1</v>
      </c>
      <c r="C2862">
        <v>2861</v>
      </c>
      <c r="D2862" s="2">
        <v>0.20238601851851851</v>
      </c>
      <c r="E2862" t="s">
        <v>2278</v>
      </c>
      <c r="F2862" t="s">
        <v>2279</v>
      </c>
      <c r="G2862" t="s">
        <v>2280</v>
      </c>
      <c r="H2862" t="s">
        <v>1239</v>
      </c>
      <c r="I2862" t="s">
        <v>795</v>
      </c>
      <c r="J2862" t="s">
        <v>486</v>
      </c>
      <c r="K2862" t="s">
        <v>100</v>
      </c>
      <c r="L2862">
        <v>194.46</v>
      </c>
      <c r="M2862" s="1">
        <v>46092</v>
      </c>
      <c r="N2862" t="s">
        <v>34</v>
      </c>
      <c r="O2862">
        <v>11</v>
      </c>
      <c r="P2862">
        <v>3</v>
      </c>
      <c r="Q2862">
        <v>1</v>
      </c>
      <c r="R2862">
        <v>2026</v>
      </c>
    </row>
    <row r="2863" spans="1:18">
      <c r="A2863">
        <v>1125.25</v>
      </c>
      <c r="B2863">
        <v>5</v>
      </c>
      <c r="C2863">
        <v>2862</v>
      </c>
      <c r="D2863" s="2">
        <v>0.29338731481481484</v>
      </c>
      <c r="E2863" t="s">
        <v>1598</v>
      </c>
      <c r="F2863" t="s">
        <v>1599</v>
      </c>
      <c r="G2863" t="s">
        <v>1283</v>
      </c>
      <c r="H2863" t="s">
        <v>1600</v>
      </c>
      <c r="I2863" t="s">
        <v>768</v>
      </c>
      <c r="J2863" t="s">
        <v>320</v>
      </c>
      <c r="K2863" t="s">
        <v>21</v>
      </c>
      <c r="L2863">
        <v>225.05</v>
      </c>
      <c r="M2863" s="1">
        <v>45676</v>
      </c>
      <c r="N2863" t="s">
        <v>28</v>
      </c>
      <c r="O2863">
        <v>19</v>
      </c>
      <c r="P2863">
        <v>1</v>
      </c>
      <c r="Q2863">
        <v>1</v>
      </c>
      <c r="R2863">
        <v>2025</v>
      </c>
    </row>
    <row r="2864" spans="1:18">
      <c r="A2864">
        <v>491.56</v>
      </c>
      <c r="B2864">
        <v>4</v>
      </c>
      <c r="C2864">
        <v>2863</v>
      </c>
      <c r="D2864" s="2">
        <v>0.28568101851851851</v>
      </c>
      <c r="E2864" t="s">
        <v>3110</v>
      </c>
      <c r="F2864" t="s">
        <v>3111</v>
      </c>
      <c r="G2864" t="s">
        <v>751</v>
      </c>
      <c r="H2864" t="s">
        <v>113</v>
      </c>
      <c r="I2864" t="s">
        <v>1247</v>
      </c>
      <c r="J2864" t="s">
        <v>665</v>
      </c>
      <c r="K2864" t="s">
        <v>17</v>
      </c>
      <c r="L2864">
        <v>122.89</v>
      </c>
      <c r="M2864" s="1">
        <v>46029</v>
      </c>
      <c r="N2864" t="s">
        <v>34</v>
      </c>
      <c r="O2864">
        <v>7</v>
      </c>
      <c r="P2864">
        <v>1</v>
      </c>
      <c r="Q2864">
        <v>1</v>
      </c>
      <c r="R2864">
        <v>2026</v>
      </c>
    </row>
    <row r="2865" spans="1:18">
      <c r="A2865">
        <v>215.45</v>
      </c>
      <c r="B2865">
        <v>1</v>
      </c>
      <c r="C2865">
        <v>2864</v>
      </c>
      <c r="D2865" s="2">
        <v>0.8042431712962963</v>
      </c>
      <c r="E2865" t="s">
        <v>1758</v>
      </c>
      <c r="F2865" t="s">
        <v>1759</v>
      </c>
      <c r="G2865" t="s">
        <v>1013</v>
      </c>
      <c r="H2865" t="s">
        <v>151</v>
      </c>
      <c r="I2865" t="s">
        <v>1003</v>
      </c>
      <c r="J2865" t="s">
        <v>395</v>
      </c>
      <c r="K2865" t="s">
        <v>19</v>
      </c>
      <c r="L2865">
        <v>215.45</v>
      </c>
      <c r="M2865" s="1">
        <v>45665</v>
      </c>
      <c r="N2865" t="s">
        <v>34</v>
      </c>
      <c r="O2865">
        <v>8</v>
      </c>
      <c r="P2865">
        <v>1</v>
      </c>
      <c r="Q2865">
        <v>1</v>
      </c>
      <c r="R2865">
        <v>2025</v>
      </c>
    </row>
    <row r="2866" spans="1:18">
      <c r="A2866">
        <v>513.1</v>
      </c>
      <c r="B2866">
        <v>5</v>
      </c>
      <c r="C2866">
        <v>2865</v>
      </c>
      <c r="D2866" s="2">
        <v>0.80905136574074077</v>
      </c>
      <c r="E2866" t="s">
        <v>912</v>
      </c>
      <c r="F2866" t="s">
        <v>913</v>
      </c>
      <c r="G2866" t="s">
        <v>914</v>
      </c>
      <c r="H2866" t="s">
        <v>915</v>
      </c>
      <c r="I2866" t="s">
        <v>768</v>
      </c>
      <c r="J2866" t="s">
        <v>348</v>
      </c>
      <c r="K2866" t="s">
        <v>60</v>
      </c>
      <c r="L2866">
        <v>102.62</v>
      </c>
      <c r="M2866" s="1">
        <v>45583</v>
      </c>
      <c r="N2866" t="s">
        <v>79</v>
      </c>
      <c r="O2866">
        <v>18</v>
      </c>
      <c r="P2866">
        <v>10</v>
      </c>
      <c r="Q2866">
        <v>4</v>
      </c>
      <c r="R2866">
        <v>2024</v>
      </c>
    </row>
    <row r="2867" spans="1:18">
      <c r="A2867">
        <v>78.28</v>
      </c>
      <c r="B2867">
        <v>1</v>
      </c>
      <c r="C2867">
        <v>2866</v>
      </c>
      <c r="D2867" s="2">
        <v>0.17907481481481483</v>
      </c>
      <c r="E2867" t="s">
        <v>2167</v>
      </c>
      <c r="F2867" t="s">
        <v>2168</v>
      </c>
      <c r="G2867" t="s">
        <v>1195</v>
      </c>
      <c r="H2867" t="s">
        <v>757</v>
      </c>
      <c r="I2867" t="s">
        <v>758</v>
      </c>
      <c r="J2867" t="s">
        <v>441</v>
      </c>
      <c r="K2867" t="s">
        <v>37</v>
      </c>
      <c r="L2867">
        <v>78.28</v>
      </c>
      <c r="M2867" s="1">
        <v>45875</v>
      </c>
      <c r="N2867" t="s">
        <v>34</v>
      </c>
      <c r="O2867">
        <v>6</v>
      </c>
      <c r="P2867">
        <v>8</v>
      </c>
      <c r="Q2867">
        <v>3</v>
      </c>
      <c r="R2867">
        <v>2025</v>
      </c>
    </row>
    <row r="2868" spans="1:18">
      <c r="A2868">
        <v>151.13</v>
      </c>
      <c r="B2868">
        <v>1</v>
      </c>
      <c r="C2868">
        <v>2867</v>
      </c>
      <c r="D2868" s="2">
        <v>0.12226131944444445</v>
      </c>
      <c r="E2868" t="s">
        <v>2577</v>
      </c>
      <c r="F2868" t="s">
        <v>2578</v>
      </c>
      <c r="G2868" t="s">
        <v>1508</v>
      </c>
      <c r="H2868" t="s">
        <v>1600</v>
      </c>
      <c r="I2868" t="s">
        <v>768</v>
      </c>
      <c r="J2868" t="s">
        <v>655</v>
      </c>
      <c r="K2868" t="s">
        <v>82</v>
      </c>
      <c r="L2868">
        <v>151.13</v>
      </c>
      <c r="M2868" s="1">
        <v>45949</v>
      </c>
      <c r="N2868" t="s">
        <v>28</v>
      </c>
      <c r="O2868">
        <v>19</v>
      </c>
      <c r="P2868">
        <v>10</v>
      </c>
      <c r="Q2868">
        <v>4</v>
      </c>
      <c r="R2868">
        <v>2025</v>
      </c>
    </row>
    <row r="2869" spans="1:18">
      <c r="A2869">
        <v>1145.45</v>
      </c>
      <c r="B2869">
        <v>5</v>
      </c>
      <c r="C2869">
        <v>2868</v>
      </c>
      <c r="D2869" s="2">
        <v>0.9612302430555556</v>
      </c>
      <c r="E2869" t="s">
        <v>1101</v>
      </c>
      <c r="F2869" t="s">
        <v>1102</v>
      </c>
      <c r="G2869" t="s">
        <v>1103</v>
      </c>
      <c r="H2869" t="s">
        <v>825</v>
      </c>
      <c r="I2869" t="s">
        <v>781</v>
      </c>
      <c r="J2869" t="s">
        <v>622</v>
      </c>
      <c r="K2869" t="s">
        <v>37</v>
      </c>
      <c r="L2869">
        <v>229.09</v>
      </c>
      <c r="M2869" s="1">
        <v>45580</v>
      </c>
      <c r="N2869" t="s">
        <v>48</v>
      </c>
      <c r="O2869">
        <v>15</v>
      </c>
      <c r="P2869">
        <v>10</v>
      </c>
      <c r="Q2869">
        <v>4</v>
      </c>
      <c r="R2869">
        <v>2024</v>
      </c>
    </row>
    <row r="2870" spans="1:18">
      <c r="A2870">
        <v>106.32</v>
      </c>
      <c r="B2870">
        <v>3</v>
      </c>
      <c r="C2870">
        <v>2869</v>
      </c>
      <c r="D2870" s="2">
        <v>0.93895318287037033</v>
      </c>
      <c r="E2870" t="s">
        <v>1814</v>
      </c>
      <c r="F2870" t="s">
        <v>1815</v>
      </c>
      <c r="G2870" t="s">
        <v>824</v>
      </c>
      <c r="H2870" t="s">
        <v>757</v>
      </c>
      <c r="I2870" t="s">
        <v>758</v>
      </c>
      <c r="J2870" t="s">
        <v>173</v>
      </c>
      <c r="K2870" t="s">
        <v>55</v>
      </c>
      <c r="L2870">
        <v>35.44</v>
      </c>
      <c r="M2870" s="1">
        <v>45908</v>
      </c>
      <c r="N2870" t="s">
        <v>93</v>
      </c>
      <c r="O2870">
        <v>8</v>
      </c>
      <c r="P2870">
        <v>9</v>
      </c>
      <c r="Q2870">
        <v>3</v>
      </c>
      <c r="R2870">
        <v>2025</v>
      </c>
    </row>
    <row r="2871" spans="1:18">
      <c r="A2871">
        <v>82.320000000000007</v>
      </c>
      <c r="B2871">
        <v>3</v>
      </c>
      <c r="C2871">
        <v>2870</v>
      </c>
      <c r="D2871" s="2">
        <v>0.95782989583333333</v>
      </c>
      <c r="E2871" t="s">
        <v>1750</v>
      </c>
      <c r="F2871" t="s">
        <v>1751</v>
      </c>
      <c r="G2871" t="s">
        <v>771</v>
      </c>
      <c r="H2871" t="s">
        <v>780</v>
      </c>
      <c r="I2871" t="s">
        <v>781</v>
      </c>
      <c r="J2871" t="s">
        <v>722</v>
      </c>
      <c r="K2871" t="s">
        <v>37</v>
      </c>
      <c r="L2871">
        <v>27.44</v>
      </c>
      <c r="M2871" s="1">
        <v>45685</v>
      </c>
      <c r="N2871" t="s">
        <v>48</v>
      </c>
      <c r="O2871">
        <v>28</v>
      </c>
      <c r="P2871">
        <v>1</v>
      </c>
      <c r="Q2871">
        <v>1</v>
      </c>
      <c r="R2871">
        <v>2025</v>
      </c>
    </row>
    <row r="2872" spans="1:18">
      <c r="A2872">
        <v>17.579999999999998</v>
      </c>
      <c r="B2872">
        <v>1</v>
      </c>
      <c r="C2872">
        <v>2871</v>
      </c>
      <c r="D2872" s="2">
        <v>0.18555895833333333</v>
      </c>
      <c r="E2872" t="s">
        <v>2729</v>
      </c>
      <c r="F2872" t="s">
        <v>2730</v>
      </c>
      <c r="G2872" t="s">
        <v>1582</v>
      </c>
      <c r="H2872" t="s">
        <v>1254</v>
      </c>
      <c r="I2872" t="s">
        <v>781</v>
      </c>
      <c r="J2872" t="s">
        <v>469</v>
      </c>
      <c r="K2872" t="s">
        <v>46</v>
      </c>
      <c r="L2872">
        <v>17.579999999999998</v>
      </c>
      <c r="M2872" s="1">
        <v>46005</v>
      </c>
      <c r="N2872" t="s">
        <v>28</v>
      </c>
      <c r="O2872">
        <v>14</v>
      </c>
      <c r="P2872">
        <v>12</v>
      </c>
      <c r="Q2872">
        <v>4</v>
      </c>
      <c r="R2872">
        <v>2025</v>
      </c>
    </row>
    <row r="2873" spans="1:18">
      <c r="A2873">
        <v>507.36</v>
      </c>
      <c r="B2873">
        <v>3</v>
      </c>
      <c r="C2873">
        <v>2872</v>
      </c>
      <c r="D2873" s="2">
        <v>0.27674847222222221</v>
      </c>
      <c r="E2873" t="s">
        <v>2121</v>
      </c>
      <c r="F2873" t="s">
        <v>2122</v>
      </c>
      <c r="G2873" t="s">
        <v>1077</v>
      </c>
      <c r="H2873" t="s">
        <v>929</v>
      </c>
      <c r="I2873" t="s">
        <v>786</v>
      </c>
      <c r="J2873" t="s">
        <v>368</v>
      </c>
      <c r="K2873" t="s">
        <v>31</v>
      </c>
      <c r="L2873">
        <v>169.12</v>
      </c>
      <c r="M2873" s="1">
        <v>46139</v>
      </c>
      <c r="N2873" t="s">
        <v>93</v>
      </c>
      <c r="O2873">
        <v>27</v>
      </c>
      <c r="P2873">
        <v>4</v>
      </c>
      <c r="Q2873">
        <v>2</v>
      </c>
      <c r="R2873">
        <v>2026</v>
      </c>
    </row>
    <row r="2874" spans="1:18">
      <c r="A2874">
        <v>113.85</v>
      </c>
      <c r="B2874">
        <v>5</v>
      </c>
      <c r="C2874">
        <v>2873</v>
      </c>
      <c r="D2874" s="2">
        <v>0.67605996527777779</v>
      </c>
      <c r="E2874" t="s">
        <v>2867</v>
      </c>
      <c r="F2874" t="s">
        <v>2868</v>
      </c>
      <c r="G2874" t="s">
        <v>906</v>
      </c>
      <c r="H2874" t="s">
        <v>1525</v>
      </c>
      <c r="I2874" t="s">
        <v>763</v>
      </c>
      <c r="J2874" t="s">
        <v>1250</v>
      </c>
      <c r="K2874" t="s">
        <v>23</v>
      </c>
      <c r="L2874">
        <v>22.77</v>
      </c>
      <c r="M2874" s="1">
        <v>45758</v>
      </c>
      <c r="N2874" t="s">
        <v>79</v>
      </c>
      <c r="O2874">
        <v>11</v>
      </c>
      <c r="P2874">
        <v>4</v>
      </c>
      <c r="Q2874">
        <v>2</v>
      </c>
      <c r="R2874">
        <v>2025</v>
      </c>
    </row>
    <row r="2875" spans="1:18">
      <c r="A2875">
        <v>254.76</v>
      </c>
      <c r="B2875">
        <v>2</v>
      </c>
      <c r="C2875">
        <v>2874</v>
      </c>
      <c r="D2875" s="2">
        <v>0.5304828240740741</v>
      </c>
      <c r="E2875" t="s">
        <v>2923</v>
      </c>
      <c r="F2875" t="s">
        <v>2924</v>
      </c>
      <c r="G2875" t="s">
        <v>1585</v>
      </c>
      <c r="H2875" t="s">
        <v>1111</v>
      </c>
      <c r="I2875" t="s">
        <v>981</v>
      </c>
      <c r="J2875" t="s">
        <v>1217</v>
      </c>
      <c r="K2875" t="s">
        <v>122</v>
      </c>
      <c r="L2875">
        <v>127.38</v>
      </c>
      <c r="M2875" s="1">
        <v>45758</v>
      </c>
      <c r="N2875" t="s">
        <v>79</v>
      </c>
      <c r="O2875">
        <v>11</v>
      </c>
      <c r="P2875">
        <v>4</v>
      </c>
      <c r="Q2875">
        <v>2</v>
      </c>
      <c r="R2875">
        <v>2025</v>
      </c>
    </row>
    <row r="2876" spans="1:18">
      <c r="A2876">
        <v>6.28</v>
      </c>
      <c r="B2876">
        <v>1</v>
      </c>
      <c r="C2876">
        <v>2875</v>
      </c>
      <c r="D2876" s="2">
        <v>0.6080468171296296</v>
      </c>
      <c r="E2876" t="s">
        <v>1604</v>
      </c>
      <c r="F2876" t="s">
        <v>1605</v>
      </c>
      <c r="G2876" t="s">
        <v>1606</v>
      </c>
      <c r="H2876" t="s">
        <v>1607</v>
      </c>
      <c r="I2876" t="s">
        <v>839</v>
      </c>
      <c r="J2876" t="s">
        <v>601</v>
      </c>
      <c r="K2876" t="s">
        <v>19</v>
      </c>
      <c r="L2876">
        <v>6.28</v>
      </c>
      <c r="M2876" s="1">
        <v>45817</v>
      </c>
      <c r="N2876" t="s">
        <v>93</v>
      </c>
      <c r="O2876">
        <v>9</v>
      </c>
      <c r="P2876">
        <v>6</v>
      </c>
      <c r="Q2876">
        <v>2</v>
      </c>
      <c r="R2876">
        <v>2025</v>
      </c>
    </row>
    <row r="2877" spans="1:18">
      <c r="A2877">
        <v>461.06</v>
      </c>
      <c r="B2877">
        <v>2</v>
      </c>
      <c r="C2877">
        <v>2876</v>
      </c>
      <c r="D2877" s="2">
        <v>0.97177534722222225</v>
      </c>
      <c r="E2877" t="s">
        <v>3253</v>
      </c>
      <c r="F2877" t="s">
        <v>3254</v>
      </c>
      <c r="G2877" t="s">
        <v>2108</v>
      </c>
      <c r="H2877" t="s">
        <v>932</v>
      </c>
      <c r="I2877" t="s">
        <v>776</v>
      </c>
      <c r="J2877" t="s">
        <v>389</v>
      </c>
      <c r="K2877" t="s">
        <v>82</v>
      </c>
      <c r="L2877">
        <v>230.53</v>
      </c>
      <c r="M2877" s="1">
        <v>45983</v>
      </c>
      <c r="N2877" t="s">
        <v>14</v>
      </c>
      <c r="O2877">
        <v>22</v>
      </c>
      <c r="P2877">
        <v>11</v>
      </c>
      <c r="Q2877">
        <v>4</v>
      </c>
      <c r="R2877">
        <v>2025</v>
      </c>
    </row>
    <row r="2878" spans="1:18">
      <c r="A2878">
        <v>173.51</v>
      </c>
      <c r="B2878">
        <v>1</v>
      </c>
      <c r="C2878">
        <v>2877</v>
      </c>
      <c r="D2878" s="2">
        <v>0.65485023148148147</v>
      </c>
      <c r="E2878" t="s">
        <v>1702</v>
      </c>
      <c r="F2878" t="s">
        <v>1703</v>
      </c>
      <c r="G2878" t="s">
        <v>1324</v>
      </c>
      <c r="H2878" t="s">
        <v>1026</v>
      </c>
      <c r="I2878" t="s">
        <v>896</v>
      </c>
      <c r="J2878" t="s">
        <v>734</v>
      </c>
      <c r="K2878" t="s">
        <v>51</v>
      </c>
      <c r="L2878">
        <v>173.51</v>
      </c>
      <c r="M2878" s="1">
        <v>45721</v>
      </c>
      <c r="N2878" t="s">
        <v>34</v>
      </c>
      <c r="O2878">
        <v>5</v>
      </c>
      <c r="P2878">
        <v>3</v>
      </c>
      <c r="Q2878">
        <v>1</v>
      </c>
      <c r="R2878">
        <v>2025</v>
      </c>
    </row>
    <row r="2879" spans="1:18">
      <c r="A2879">
        <v>227.84</v>
      </c>
      <c r="B2879">
        <v>2</v>
      </c>
      <c r="C2879">
        <v>2878</v>
      </c>
      <c r="D2879" s="2">
        <v>0.37261028935185186</v>
      </c>
      <c r="E2879" t="s">
        <v>822</v>
      </c>
      <c r="F2879" t="s">
        <v>823</v>
      </c>
      <c r="G2879" t="s">
        <v>824</v>
      </c>
      <c r="H2879" t="s">
        <v>825</v>
      </c>
      <c r="I2879" t="s">
        <v>781</v>
      </c>
      <c r="J2879" t="s">
        <v>110</v>
      </c>
      <c r="K2879" t="s">
        <v>51</v>
      </c>
      <c r="L2879">
        <v>113.92</v>
      </c>
      <c r="M2879" s="1">
        <v>46091</v>
      </c>
      <c r="N2879" t="s">
        <v>48</v>
      </c>
      <c r="O2879">
        <v>10</v>
      </c>
      <c r="P2879">
        <v>3</v>
      </c>
      <c r="Q2879">
        <v>1</v>
      </c>
      <c r="R2879">
        <v>2026</v>
      </c>
    </row>
    <row r="2880" spans="1:18">
      <c r="A2880">
        <v>132.03</v>
      </c>
      <c r="B2880">
        <v>3</v>
      </c>
      <c r="C2880">
        <v>2879</v>
      </c>
      <c r="D2880" s="2">
        <v>0.57698351851851848</v>
      </c>
      <c r="E2880" t="s">
        <v>2266</v>
      </c>
      <c r="F2880" t="s">
        <v>2267</v>
      </c>
      <c r="G2880" t="s">
        <v>1440</v>
      </c>
      <c r="H2880" t="s">
        <v>1469</v>
      </c>
      <c r="I2880" t="s">
        <v>908</v>
      </c>
      <c r="J2880" t="s">
        <v>689</v>
      </c>
      <c r="K2880" t="s">
        <v>55</v>
      </c>
      <c r="L2880">
        <v>44.01</v>
      </c>
      <c r="M2880" s="1">
        <v>45783</v>
      </c>
      <c r="N2880" t="s">
        <v>48</v>
      </c>
      <c r="O2880">
        <v>6</v>
      </c>
      <c r="P2880">
        <v>5</v>
      </c>
      <c r="Q2880">
        <v>2</v>
      </c>
      <c r="R2880">
        <v>2025</v>
      </c>
    </row>
    <row r="2881" spans="1:18">
      <c r="A2881">
        <v>648.36</v>
      </c>
      <c r="B2881">
        <v>4</v>
      </c>
      <c r="C2881">
        <v>2880</v>
      </c>
      <c r="D2881" s="2">
        <v>0.60732103009259264</v>
      </c>
      <c r="E2881" t="s">
        <v>2819</v>
      </c>
      <c r="F2881" t="s">
        <v>2820</v>
      </c>
      <c r="G2881" t="s">
        <v>1619</v>
      </c>
      <c r="H2881" t="s">
        <v>1032</v>
      </c>
      <c r="I2881" t="s">
        <v>839</v>
      </c>
      <c r="J2881" t="s">
        <v>124</v>
      </c>
      <c r="K2881" t="s">
        <v>82</v>
      </c>
      <c r="L2881">
        <v>162.09</v>
      </c>
      <c r="M2881" s="1">
        <v>45929</v>
      </c>
      <c r="N2881" t="s">
        <v>93</v>
      </c>
      <c r="O2881">
        <v>29</v>
      </c>
      <c r="P2881">
        <v>9</v>
      </c>
      <c r="Q2881">
        <v>3</v>
      </c>
      <c r="R2881">
        <v>2025</v>
      </c>
    </row>
    <row r="2882" spans="1:18">
      <c r="A2882">
        <v>484.56</v>
      </c>
      <c r="B2882">
        <v>4</v>
      </c>
      <c r="C2882">
        <v>2881</v>
      </c>
      <c r="D2882" s="2">
        <v>9.9400983796296291E-2</v>
      </c>
      <c r="E2882" t="s">
        <v>1099</v>
      </c>
      <c r="F2882" t="s">
        <v>1100</v>
      </c>
      <c r="G2882" t="s">
        <v>1035</v>
      </c>
      <c r="H2882" t="s">
        <v>211</v>
      </c>
      <c r="I2882" t="s">
        <v>812</v>
      </c>
      <c r="J2882" t="s">
        <v>640</v>
      </c>
      <c r="K2882" t="s">
        <v>82</v>
      </c>
      <c r="L2882">
        <v>121.14</v>
      </c>
      <c r="M2882" s="1">
        <v>46099</v>
      </c>
      <c r="N2882" t="s">
        <v>34</v>
      </c>
      <c r="O2882">
        <v>18</v>
      </c>
      <c r="P2882">
        <v>3</v>
      </c>
      <c r="Q2882">
        <v>1</v>
      </c>
      <c r="R2882">
        <v>2026</v>
      </c>
    </row>
    <row r="2883" spans="1:18">
      <c r="A2883">
        <v>213.16</v>
      </c>
      <c r="B2883">
        <v>2</v>
      </c>
      <c r="C2883">
        <v>2882</v>
      </c>
      <c r="D2883" s="2">
        <v>0.11154414351851852</v>
      </c>
      <c r="E2883" t="s">
        <v>1051</v>
      </c>
      <c r="F2883" t="s">
        <v>1052</v>
      </c>
      <c r="G2883" t="s">
        <v>1053</v>
      </c>
      <c r="H2883" t="s">
        <v>1054</v>
      </c>
      <c r="I2883" t="s">
        <v>892</v>
      </c>
      <c r="J2883" t="s">
        <v>670</v>
      </c>
      <c r="K2883" t="s">
        <v>57</v>
      </c>
      <c r="L2883">
        <v>106.58</v>
      </c>
      <c r="M2883" s="1">
        <v>45864</v>
      </c>
      <c r="N2883" t="s">
        <v>14</v>
      </c>
      <c r="O2883">
        <v>26</v>
      </c>
      <c r="P2883">
        <v>7</v>
      </c>
      <c r="Q2883">
        <v>3</v>
      </c>
      <c r="R2883">
        <v>2025</v>
      </c>
    </row>
    <row r="2884" spans="1:18">
      <c r="A2884">
        <v>808.1</v>
      </c>
      <c r="B2884">
        <v>5</v>
      </c>
      <c r="C2884">
        <v>2883</v>
      </c>
      <c r="D2884" s="2">
        <v>0.86888283564814817</v>
      </c>
      <c r="E2884" t="s">
        <v>2318</v>
      </c>
      <c r="F2884" t="s">
        <v>1094</v>
      </c>
      <c r="G2884" t="s">
        <v>2319</v>
      </c>
      <c r="H2884" t="s">
        <v>829</v>
      </c>
      <c r="I2884" t="s">
        <v>830</v>
      </c>
      <c r="J2884" t="s">
        <v>224</v>
      </c>
      <c r="K2884" t="s">
        <v>39</v>
      </c>
      <c r="L2884">
        <v>161.62</v>
      </c>
      <c r="M2884" s="1">
        <v>45988</v>
      </c>
      <c r="N2884" t="s">
        <v>105</v>
      </c>
      <c r="O2884">
        <v>27</v>
      </c>
      <c r="P2884">
        <v>11</v>
      </c>
      <c r="Q2884">
        <v>4</v>
      </c>
      <c r="R2884">
        <v>2025</v>
      </c>
    </row>
    <row r="2885" spans="1:18">
      <c r="A2885">
        <v>36.1</v>
      </c>
      <c r="B2885">
        <v>2</v>
      </c>
      <c r="C2885">
        <v>2884</v>
      </c>
      <c r="D2885" s="2">
        <v>0.6471737847222222</v>
      </c>
      <c r="E2885" t="s">
        <v>2458</v>
      </c>
      <c r="F2885" t="s">
        <v>2459</v>
      </c>
      <c r="G2885" t="s">
        <v>1801</v>
      </c>
      <c r="H2885" t="s">
        <v>713</v>
      </c>
      <c r="I2885" t="s">
        <v>908</v>
      </c>
      <c r="J2885" t="s">
        <v>30</v>
      </c>
      <c r="K2885" t="s">
        <v>31</v>
      </c>
      <c r="L2885">
        <v>18.05</v>
      </c>
      <c r="M2885" s="1">
        <v>45737</v>
      </c>
      <c r="N2885" t="s">
        <v>79</v>
      </c>
      <c r="O2885">
        <v>21</v>
      </c>
      <c r="P2885">
        <v>3</v>
      </c>
      <c r="Q2885">
        <v>1</v>
      </c>
      <c r="R2885">
        <v>2025</v>
      </c>
    </row>
    <row r="2886" spans="1:18">
      <c r="A2886">
        <v>168.77</v>
      </c>
      <c r="B2886">
        <v>1</v>
      </c>
      <c r="C2886">
        <v>2885</v>
      </c>
      <c r="D2886" s="2">
        <v>0.29733890046296296</v>
      </c>
      <c r="E2886" t="s">
        <v>2843</v>
      </c>
      <c r="F2886" t="s">
        <v>2844</v>
      </c>
      <c r="G2886" t="s">
        <v>2845</v>
      </c>
      <c r="H2886" t="s">
        <v>345</v>
      </c>
      <c r="I2886" t="s">
        <v>892</v>
      </c>
      <c r="J2886" t="s">
        <v>287</v>
      </c>
      <c r="K2886" t="s">
        <v>46</v>
      </c>
      <c r="L2886">
        <v>168.77</v>
      </c>
      <c r="M2886" s="1">
        <v>45714</v>
      </c>
      <c r="N2886" t="s">
        <v>34</v>
      </c>
      <c r="O2886">
        <v>26</v>
      </c>
      <c r="P2886">
        <v>2</v>
      </c>
      <c r="Q2886">
        <v>1</v>
      </c>
      <c r="R2886">
        <v>2025</v>
      </c>
    </row>
    <row r="2887" spans="1:18">
      <c r="A2887">
        <v>316.11</v>
      </c>
      <c r="B2887">
        <v>3</v>
      </c>
      <c r="C2887">
        <v>2886</v>
      </c>
      <c r="D2887" s="2">
        <v>0.75981991898148149</v>
      </c>
      <c r="E2887" t="s">
        <v>1638</v>
      </c>
      <c r="F2887" t="s">
        <v>1639</v>
      </c>
      <c r="G2887" t="s">
        <v>1545</v>
      </c>
      <c r="H2887" t="s">
        <v>345</v>
      </c>
      <c r="I2887" t="s">
        <v>892</v>
      </c>
      <c r="J2887" t="s">
        <v>132</v>
      </c>
      <c r="K2887" t="s">
        <v>31</v>
      </c>
      <c r="L2887">
        <v>105.37</v>
      </c>
      <c r="M2887" s="1">
        <v>45606</v>
      </c>
      <c r="N2887" t="s">
        <v>28</v>
      </c>
      <c r="O2887">
        <v>10</v>
      </c>
      <c r="P2887">
        <v>11</v>
      </c>
      <c r="Q2887">
        <v>4</v>
      </c>
      <c r="R2887">
        <v>2024</v>
      </c>
    </row>
    <row r="2888" spans="1:18">
      <c r="A2888">
        <v>475.26</v>
      </c>
      <c r="B2888">
        <v>2</v>
      </c>
      <c r="C2888">
        <v>2887</v>
      </c>
      <c r="D2888" s="2">
        <v>0.24915193287037038</v>
      </c>
      <c r="E2888" t="s">
        <v>939</v>
      </c>
      <c r="F2888" t="s">
        <v>940</v>
      </c>
      <c r="G2888" t="s">
        <v>941</v>
      </c>
      <c r="H2888" t="s">
        <v>942</v>
      </c>
      <c r="I2888" t="s">
        <v>943</v>
      </c>
      <c r="J2888" t="s">
        <v>202</v>
      </c>
      <c r="K2888" t="s">
        <v>17</v>
      </c>
      <c r="L2888">
        <v>237.63</v>
      </c>
      <c r="M2888" s="1">
        <v>46044</v>
      </c>
      <c r="N2888" t="s">
        <v>105</v>
      </c>
      <c r="O2888">
        <v>22</v>
      </c>
      <c r="P2888">
        <v>1</v>
      </c>
      <c r="Q2888">
        <v>1</v>
      </c>
      <c r="R2888">
        <v>2026</v>
      </c>
    </row>
    <row r="2889" spans="1:18">
      <c r="A2889">
        <v>173.48</v>
      </c>
      <c r="B2889">
        <v>1</v>
      </c>
      <c r="C2889">
        <v>2888</v>
      </c>
      <c r="D2889" s="2">
        <v>0.37710373842592593</v>
      </c>
      <c r="E2889" t="s">
        <v>1760</v>
      </c>
      <c r="F2889" t="s">
        <v>1761</v>
      </c>
      <c r="G2889" t="s">
        <v>1603</v>
      </c>
      <c r="H2889" t="s">
        <v>380</v>
      </c>
      <c r="I2889" t="s">
        <v>896</v>
      </c>
      <c r="J2889" t="s">
        <v>728</v>
      </c>
      <c r="K2889" t="s">
        <v>46</v>
      </c>
      <c r="L2889">
        <v>173.48</v>
      </c>
      <c r="M2889" s="1">
        <v>45866</v>
      </c>
      <c r="N2889" t="s">
        <v>93</v>
      </c>
      <c r="O2889">
        <v>28</v>
      </c>
      <c r="P2889">
        <v>7</v>
      </c>
      <c r="Q2889">
        <v>3</v>
      </c>
      <c r="R2889">
        <v>2025</v>
      </c>
    </row>
    <row r="2890" spans="1:18">
      <c r="A2890">
        <v>646.48</v>
      </c>
      <c r="B2890">
        <v>4</v>
      </c>
      <c r="C2890">
        <v>2889</v>
      </c>
      <c r="D2890" s="2">
        <v>1.3546377314814815E-2</v>
      </c>
      <c r="E2890" t="s">
        <v>2456</v>
      </c>
      <c r="F2890" t="s">
        <v>2457</v>
      </c>
      <c r="G2890" t="s">
        <v>882</v>
      </c>
      <c r="H2890" t="s">
        <v>1280</v>
      </c>
      <c r="I2890" t="s">
        <v>908</v>
      </c>
      <c r="J2890" t="s">
        <v>224</v>
      </c>
      <c r="K2890" t="s">
        <v>39</v>
      </c>
      <c r="L2890">
        <v>161.62</v>
      </c>
      <c r="M2890" s="1">
        <v>46267</v>
      </c>
      <c r="N2890" t="s">
        <v>34</v>
      </c>
      <c r="O2890">
        <v>2</v>
      </c>
      <c r="P2890">
        <v>9</v>
      </c>
      <c r="Q2890">
        <v>3</v>
      </c>
      <c r="R2890">
        <v>2026</v>
      </c>
    </row>
    <row r="2891" spans="1:18">
      <c r="A2891">
        <v>83.88</v>
      </c>
      <c r="B2891">
        <v>4</v>
      </c>
      <c r="C2891">
        <v>2890</v>
      </c>
      <c r="D2891" s="2">
        <v>0.87810474537037042</v>
      </c>
      <c r="E2891" t="s">
        <v>2435</v>
      </c>
      <c r="F2891" t="s">
        <v>2436</v>
      </c>
      <c r="G2891" t="s">
        <v>1295</v>
      </c>
      <c r="H2891" t="s">
        <v>280</v>
      </c>
      <c r="I2891" t="s">
        <v>786</v>
      </c>
      <c r="J2891" t="s">
        <v>472</v>
      </c>
      <c r="K2891" t="s">
        <v>122</v>
      </c>
      <c r="L2891">
        <v>20.97</v>
      </c>
      <c r="M2891" s="1">
        <v>45948</v>
      </c>
      <c r="N2891" t="s">
        <v>14</v>
      </c>
      <c r="O2891">
        <v>18</v>
      </c>
      <c r="P2891">
        <v>10</v>
      </c>
      <c r="Q2891">
        <v>4</v>
      </c>
      <c r="R2891">
        <v>2025</v>
      </c>
    </row>
    <row r="2892" spans="1:18">
      <c r="A2892">
        <v>888.45</v>
      </c>
      <c r="B2892">
        <v>5</v>
      </c>
      <c r="C2892">
        <v>2891</v>
      </c>
      <c r="D2892" s="2">
        <v>0.10385331018518519</v>
      </c>
      <c r="E2892" t="s">
        <v>1480</v>
      </c>
      <c r="F2892" t="s">
        <v>1481</v>
      </c>
      <c r="G2892" t="s">
        <v>1482</v>
      </c>
      <c r="H2892" t="s">
        <v>15</v>
      </c>
      <c r="I2892" t="s">
        <v>834</v>
      </c>
      <c r="J2892" t="s">
        <v>52</v>
      </c>
      <c r="K2892" t="s">
        <v>21</v>
      </c>
      <c r="L2892">
        <v>177.69</v>
      </c>
      <c r="M2892" s="1">
        <v>45968</v>
      </c>
      <c r="N2892" t="s">
        <v>79</v>
      </c>
      <c r="O2892">
        <v>7</v>
      </c>
      <c r="P2892">
        <v>11</v>
      </c>
      <c r="Q2892">
        <v>4</v>
      </c>
      <c r="R2892">
        <v>2025</v>
      </c>
    </row>
    <row r="2893" spans="1:18">
      <c r="A2893">
        <v>769.92</v>
      </c>
      <c r="B2893">
        <v>4</v>
      </c>
      <c r="C2893">
        <v>2892</v>
      </c>
      <c r="D2893" s="2">
        <v>0.53430817129629626</v>
      </c>
      <c r="E2893" t="s">
        <v>1090</v>
      </c>
      <c r="F2893" t="s">
        <v>1091</v>
      </c>
      <c r="G2893" t="s">
        <v>925</v>
      </c>
      <c r="H2893" t="s">
        <v>1092</v>
      </c>
      <c r="I2893" t="s">
        <v>763</v>
      </c>
      <c r="J2893" t="s">
        <v>159</v>
      </c>
      <c r="K2893" t="s">
        <v>21</v>
      </c>
      <c r="L2893">
        <v>192.48</v>
      </c>
      <c r="M2893" s="1">
        <v>46068</v>
      </c>
      <c r="N2893" t="s">
        <v>28</v>
      </c>
      <c r="O2893">
        <v>15</v>
      </c>
      <c r="P2893">
        <v>2</v>
      </c>
      <c r="Q2893">
        <v>1</v>
      </c>
      <c r="R2893">
        <v>2026</v>
      </c>
    </row>
    <row r="2894" spans="1:18">
      <c r="A2894">
        <v>9.51</v>
      </c>
      <c r="B2894">
        <v>1</v>
      </c>
      <c r="C2894">
        <v>2893</v>
      </c>
      <c r="D2894" s="2">
        <v>0.81587805555555559</v>
      </c>
      <c r="E2894" t="s">
        <v>1557</v>
      </c>
      <c r="F2894" t="s">
        <v>1558</v>
      </c>
      <c r="G2894" t="s">
        <v>1559</v>
      </c>
      <c r="H2894" t="s">
        <v>635</v>
      </c>
      <c r="I2894" t="s">
        <v>768</v>
      </c>
      <c r="J2894" t="s">
        <v>727</v>
      </c>
      <c r="K2894" t="s">
        <v>97</v>
      </c>
      <c r="L2894">
        <v>9.51</v>
      </c>
      <c r="M2894" s="1">
        <v>45605</v>
      </c>
      <c r="N2894" t="s">
        <v>14</v>
      </c>
      <c r="O2894">
        <v>9</v>
      </c>
      <c r="P2894">
        <v>11</v>
      </c>
      <c r="Q2894">
        <v>4</v>
      </c>
      <c r="R2894">
        <v>2024</v>
      </c>
    </row>
    <row r="2895" spans="1:18">
      <c r="A2895">
        <v>205.24</v>
      </c>
      <c r="B2895">
        <v>2</v>
      </c>
      <c r="C2895">
        <v>2894</v>
      </c>
      <c r="D2895" s="2">
        <v>0.99140894675925928</v>
      </c>
      <c r="E2895" t="s">
        <v>3218</v>
      </c>
      <c r="F2895" t="s">
        <v>3219</v>
      </c>
      <c r="G2895" t="s">
        <v>2845</v>
      </c>
      <c r="H2895" t="s">
        <v>829</v>
      </c>
      <c r="I2895" t="s">
        <v>830</v>
      </c>
      <c r="J2895" t="s">
        <v>348</v>
      </c>
      <c r="K2895" t="s">
        <v>60</v>
      </c>
      <c r="L2895">
        <v>102.62</v>
      </c>
      <c r="M2895" s="1">
        <v>45737</v>
      </c>
      <c r="N2895" t="s">
        <v>79</v>
      </c>
      <c r="O2895">
        <v>21</v>
      </c>
      <c r="P2895">
        <v>3</v>
      </c>
      <c r="Q2895">
        <v>1</v>
      </c>
      <c r="R2895">
        <v>2025</v>
      </c>
    </row>
    <row r="2896" spans="1:18">
      <c r="A2896">
        <v>90.62</v>
      </c>
      <c r="B2896">
        <v>2</v>
      </c>
      <c r="C2896">
        <v>2895</v>
      </c>
      <c r="D2896" s="2">
        <v>0.63934348379629624</v>
      </c>
      <c r="E2896" t="s">
        <v>1402</v>
      </c>
      <c r="F2896" t="s">
        <v>1403</v>
      </c>
      <c r="G2896" t="s">
        <v>1404</v>
      </c>
      <c r="H2896" t="s">
        <v>691</v>
      </c>
      <c r="I2896" t="s">
        <v>776</v>
      </c>
      <c r="J2896" t="s">
        <v>537</v>
      </c>
      <c r="K2896" t="s">
        <v>31</v>
      </c>
      <c r="L2896">
        <v>45.31</v>
      </c>
      <c r="M2896" s="1">
        <v>45591</v>
      </c>
      <c r="N2896" t="s">
        <v>14</v>
      </c>
      <c r="O2896">
        <v>26</v>
      </c>
      <c r="P2896">
        <v>10</v>
      </c>
      <c r="Q2896">
        <v>4</v>
      </c>
      <c r="R2896">
        <v>2024</v>
      </c>
    </row>
    <row r="2897" spans="1:18">
      <c r="A2897">
        <v>23.18</v>
      </c>
      <c r="B2897">
        <v>2</v>
      </c>
      <c r="C2897">
        <v>2896</v>
      </c>
      <c r="D2897" s="2">
        <v>0.33656692129629628</v>
      </c>
      <c r="E2897" t="s">
        <v>2041</v>
      </c>
      <c r="F2897" t="s">
        <v>2042</v>
      </c>
      <c r="G2897" t="s">
        <v>2043</v>
      </c>
      <c r="H2897" t="s">
        <v>2044</v>
      </c>
      <c r="I2897" t="s">
        <v>748</v>
      </c>
      <c r="J2897" t="s">
        <v>579</v>
      </c>
      <c r="K2897" t="s">
        <v>31</v>
      </c>
      <c r="L2897">
        <v>11.59</v>
      </c>
      <c r="M2897" s="1">
        <v>45622</v>
      </c>
      <c r="N2897" t="s">
        <v>48</v>
      </c>
      <c r="O2897">
        <v>26</v>
      </c>
      <c r="P2897">
        <v>11</v>
      </c>
      <c r="Q2897">
        <v>4</v>
      </c>
      <c r="R2897">
        <v>2024</v>
      </c>
    </row>
    <row r="2898" spans="1:18">
      <c r="A2898">
        <v>972.45</v>
      </c>
      <c r="B2898">
        <v>5</v>
      </c>
      <c r="C2898">
        <v>2897</v>
      </c>
      <c r="D2898" s="2">
        <v>0.58232013888888889</v>
      </c>
      <c r="E2898" t="s">
        <v>1411</v>
      </c>
      <c r="F2898" t="s">
        <v>1412</v>
      </c>
      <c r="G2898" t="s">
        <v>1374</v>
      </c>
      <c r="H2898" t="s">
        <v>113</v>
      </c>
      <c r="I2898" t="s">
        <v>854</v>
      </c>
      <c r="J2898" t="s">
        <v>560</v>
      </c>
      <c r="K2898" t="s">
        <v>122</v>
      </c>
      <c r="L2898">
        <v>194.49</v>
      </c>
      <c r="M2898" s="1">
        <v>45929</v>
      </c>
      <c r="N2898" t="s">
        <v>93</v>
      </c>
      <c r="O2898">
        <v>29</v>
      </c>
      <c r="P2898">
        <v>9</v>
      </c>
      <c r="Q2898">
        <v>3</v>
      </c>
      <c r="R2898">
        <v>2025</v>
      </c>
    </row>
    <row r="2899" spans="1:18">
      <c r="A2899">
        <v>215.48</v>
      </c>
      <c r="B2899">
        <v>4</v>
      </c>
      <c r="C2899">
        <v>2898</v>
      </c>
      <c r="D2899" s="2">
        <v>1.6152685185185187E-2</v>
      </c>
      <c r="E2899" t="s">
        <v>2028</v>
      </c>
      <c r="F2899" t="s">
        <v>2029</v>
      </c>
      <c r="G2899" t="s">
        <v>2030</v>
      </c>
      <c r="H2899" t="s">
        <v>1002</v>
      </c>
      <c r="I2899" t="s">
        <v>892</v>
      </c>
      <c r="J2899" t="s">
        <v>2034</v>
      </c>
      <c r="K2899" t="s">
        <v>100</v>
      </c>
      <c r="L2899">
        <v>53.87</v>
      </c>
      <c r="M2899" s="1">
        <v>45642</v>
      </c>
      <c r="N2899" t="s">
        <v>93</v>
      </c>
      <c r="O2899">
        <v>16</v>
      </c>
      <c r="P2899">
        <v>12</v>
      </c>
      <c r="Q2899">
        <v>4</v>
      </c>
      <c r="R2899">
        <v>2024</v>
      </c>
    </row>
    <row r="2900" spans="1:18">
      <c r="A2900">
        <v>309.48</v>
      </c>
      <c r="B2900">
        <v>2</v>
      </c>
      <c r="C2900">
        <v>2899</v>
      </c>
      <c r="D2900" s="2">
        <v>5.6284189814814818E-2</v>
      </c>
      <c r="E2900" t="s">
        <v>1949</v>
      </c>
      <c r="F2900" t="s">
        <v>1950</v>
      </c>
      <c r="G2900" t="s">
        <v>1335</v>
      </c>
      <c r="H2900" t="s">
        <v>767</v>
      </c>
      <c r="I2900" t="s">
        <v>768</v>
      </c>
      <c r="J2900" t="s">
        <v>547</v>
      </c>
      <c r="K2900" t="s">
        <v>97</v>
      </c>
      <c r="L2900">
        <v>154.74</v>
      </c>
      <c r="M2900" s="1">
        <v>45901</v>
      </c>
      <c r="N2900" t="s">
        <v>93</v>
      </c>
      <c r="O2900">
        <v>1</v>
      </c>
      <c r="P2900">
        <v>9</v>
      </c>
      <c r="Q2900">
        <v>3</v>
      </c>
      <c r="R2900">
        <v>2025</v>
      </c>
    </row>
    <row r="2901" spans="1:18">
      <c r="A2901">
        <v>313.72000000000003</v>
      </c>
      <c r="B2901">
        <v>2</v>
      </c>
      <c r="C2901">
        <v>2900</v>
      </c>
      <c r="D2901" s="2">
        <v>0.11241760416666667</v>
      </c>
      <c r="E2901" t="s">
        <v>1405</v>
      </c>
      <c r="F2901" t="s">
        <v>1406</v>
      </c>
      <c r="G2901" t="s">
        <v>846</v>
      </c>
      <c r="H2901" t="s">
        <v>1371</v>
      </c>
      <c r="I2901" t="s">
        <v>786</v>
      </c>
      <c r="J2901" t="s">
        <v>602</v>
      </c>
      <c r="K2901" t="s">
        <v>17</v>
      </c>
      <c r="L2901">
        <v>156.86000000000001</v>
      </c>
      <c r="M2901" s="1">
        <v>46072</v>
      </c>
      <c r="N2901" t="s">
        <v>105</v>
      </c>
      <c r="O2901">
        <v>19</v>
      </c>
      <c r="P2901">
        <v>2</v>
      </c>
      <c r="Q2901">
        <v>1</v>
      </c>
      <c r="R2901">
        <v>2026</v>
      </c>
    </row>
    <row r="2902" spans="1:18">
      <c r="A2902">
        <v>657.93000000000006</v>
      </c>
      <c r="B2902">
        <v>3</v>
      </c>
      <c r="C2902">
        <v>2901</v>
      </c>
      <c r="D2902" s="2">
        <v>0.69130505787037033</v>
      </c>
      <c r="E2902" t="s">
        <v>2112</v>
      </c>
      <c r="F2902" t="s">
        <v>2113</v>
      </c>
      <c r="G2902" t="s">
        <v>2114</v>
      </c>
      <c r="H2902" t="s">
        <v>883</v>
      </c>
      <c r="I2902" t="s">
        <v>807</v>
      </c>
      <c r="J2902" t="s">
        <v>594</v>
      </c>
      <c r="K2902" t="s">
        <v>43</v>
      </c>
      <c r="L2902">
        <v>219.31</v>
      </c>
      <c r="M2902" s="1">
        <v>46056</v>
      </c>
      <c r="N2902" t="s">
        <v>48</v>
      </c>
      <c r="O2902">
        <v>3</v>
      </c>
      <c r="P2902">
        <v>2</v>
      </c>
      <c r="Q2902">
        <v>1</v>
      </c>
      <c r="R2902">
        <v>2026</v>
      </c>
    </row>
    <row r="2903" spans="1:18">
      <c r="A2903">
        <v>50.48</v>
      </c>
      <c r="B2903">
        <v>4</v>
      </c>
      <c r="C2903">
        <v>2902</v>
      </c>
      <c r="D2903" s="2">
        <v>0.13930408564814814</v>
      </c>
      <c r="E2903" t="s">
        <v>1836</v>
      </c>
      <c r="F2903" t="s">
        <v>1837</v>
      </c>
      <c r="G2903" t="s">
        <v>1838</v>
      </c>
      <c r="H2903" t="s">
        <v>64</v>
      </c>
      <c r="I2903" t="s">
        <v>892</v>
      </c>
      <c r="J2903" t="s">
        <v>256</v>
      </c>
      <c r="K2903" t="s">
        <v>31</v>
      </c>
      <c r="L2903">
        <v>12.62</v>
      </c>
      <c r="M2903" s="1">
        <v>46100</v>
      </c>
      <c r="N2903" t="s">
        <v>105</v>
      </c>
      <c r="O2903">
        <v>19</v>
      </c>
      <c r="P2903">
        <v>3</v>
      </c>
      <c r="Q2903">
        <v>1</v>
      </c>
      <c r="R2903">
        <v>2026</v>
      </c>
    </row>
    <row r="2904" spans="1:18">
      <c r="A2904">
        <v>296.10000000000002</v>
      </c>
      <c r="B2904">
        <v>5</v>
      </c>
      <c r="C2904">
        <v>2903</v>
      </c>
      <c r="D2904" s="2">
        <v>0.52949082175925921</v>
      </c>
      <c r="E2904" t="s">
        <v>2165</v>
      </c>
      <c r="F2904" t="s">
        <v>864</v>
      </c>
      <c r="G2904" t="s">
        <v>1155</v>
      </c>
      <c r="H2904" t="s">
        <v>780</v>
      </c>
      <c r="I2904" t="s">
        <v>781</v>
      </c>
      <c r="J2904" t="s">
        <v>516</v>
      </c>
      <c r="K2904" t="s">
        <v>31</v>
      </c>
      <c r="L2904">
        <v>59.22</v>
      </c>
      <c r="M2904" s="1">
        <v>46212</v>
      </c>
      <c r="N2904" t="s">
        <v>105</v>
      </c>
      <c r="O2904">
        <v>9</v>
      </c>
      <c r="P2904">
        <v>7</v>
      </c>
      <c r="Q2904">
        <v>3</v>
      </c>
      <c r="R2904">
        <v>2026</v>
      </c>
    </row>
    <row r="2905" spans="1:18">
      <c r="A2905">
        <v>26.45</v>
      </c>
      <c r="B2905">
        <v>5</v>
      </c>
      <c r="C2905">
        <v>2904</v>
      </c>
      <c r="D2905" s="2">
        <v>0.65593554398148146</v>
      </c>
      <c r="E2905" t="s">
        <v>3483</v>
      </c>
      <c r="F2905" t="s">
        <v>3484</v>
      </c>
      <c r="G2905" t="s">
        <v>2241</v>
      </c>
      <c r="H2905" t="s">
        <v>1017</v>
      </c>
      <c r="I2905" t="s">
        <v>966</v>
      </c>
      <c r="J2905" t="s">
        <v>394</v>
      </c>
      <c r="K2905" t="s">
        <v>122</v>
      </c>
      <c r="L2905">
        <v>5.29</v>
      </c>
      <c r="M2905" s="1">
        <v>46024</v>
      </c>
      <c r="N2905" t="s">
        <v>79</v>
      </c>
      <c r="O2905">
        <v>2</v>
      </c>
      <c r="P2905">
        <v>1</v>
      </c>
      <c r="Q2905">
        <v>1</v>
      </c>
      <c r="R2905">
        <v>2026</v>
      </c>
    </row>
    <row r="2906" spans="1:18">
      <c r="A2906">
        <v>213.16</v>
      </c>
      <c r="B2906">
        <v>2</v>
      </c>
      <c r="C2906">
        <v>2905</v>
      </c>
      <c r="D2906" s="2">
        <v>0.71188695601851848</v>
      </c>
      <c r="E2906" t="s">
        <v>2731</v>
      </c>
      <c r="F2906" t="s">
        <v>2732</v>
      </c>
      <c r="G2906" t="s">
        <v>1688</v>
      </c>
      <c r="H2906" t="s">
        <v>1032</v>
      </c>
      <c r="I2906" t="s">
        <v>839</v>
      </c>
      <c r="J2906" t="s">
        <v>670</v>
      </c>
      <c r="K2906" t="s">
        <v>57</v>
      </c>
      <c r="L2906">
        <v>106.58</v>
      </c>
      <c r="M2906" s="1">
        <v>45979</v>
      </c>
      <c r="N2906" t="s">
        <v>48</v>
      </c>
      <c r="O2906">
        <v>18</v>
      </c>
      <c r="P2906">
        <v>11</v>
      </c>
      <c r="Q2906">
        <v>4</v>
      </c>
      <c r="R2906">
        <v>2025</v>
      </c>
    </row>
    <row r="2907" spans="1:18">
      <c r="A2907">
        <v>47.62</v>
      </c>
      <c r="B2907">
        <v>1</v>
      </c>
      <c r="C2907">
        <v>2906</v>
      </c>
      <c r="D2907" s="2">
        <v>0.76131559027777773</v>
      </c>
      <c r="E2907" t="s">
        <v>1686</v>
      </c>
      <c r="F2907" t="s">
        <v>1687</v>
      </c>
      <c r="G2907" t="s">
        <v>1688</v>
      </c>
      <c r="H2907" t="s">
        <v>757</v>
      </c>
      <c r="I2907" t="s">
        <v>758</v>
      </c>
      <c r="J2907" t="s">
        <v>508</v>
      </c>
      <c r="K2907" t="s">
        <v>43</v>
      </c>
      <c r="L2907">
        <v>47.62</v>
      </c>
      <c r="M2907" s="1">
        <v>46123</v>
      </c>
      <c r="N2907" t="s">
        <v>14</v>
      </c>
      <c r="O2907">
        <v>11</v>
      </c>
      <c r="P2907">
        <v>4</v>
      </c>
      <c r="Q2907">
        <v>2</v>
      </c>
      <c r="R2907">
        <v>2026</v>
      </c>
    </row>
    <row r="2908" spans="1:18">
      <c r="A2908">
        <v>287.14999999999998</v>
      </c>
      <c r="B2908">
        <v>5</v>
      </c>
      <c r="C2908">
        <v>2907</v>
      </c>
      <c r="D2908" s="2">
        <v>7.6576435185185185E-2</v>
      </c>
      <c r="E2908" t="s">
        <v>2882</v>
      </c>
      <c r="F2908" t="s">
        <v>2883</v>
      </c>
      <c r="G2908" t="s">
        <v>2881</v>
      </c>
      <c r="H2908" t="s">
        <v>1502</v>
      </c>
      <c r="I2908" t="s">
        <v>817</v>
      </c>
      <c r="J2908" t="s">
        <v>730</v>
      </c>
      <c r="K2908" t="s">
        <v>51</v>
      </c>
      <c r="L2908">
        <v>57.43</v>
      </c>
      <c r="M2908" s="1">
        <v>46004</v>
      </c>
      <c r="N2908" t="s">
        <v>14</v>
      </c>
      <c r="O2908">
        <v>13</v>
      </c>
      <c r="P2908">
        <v>12</v>
      </c>
      <c r="Q2908">
        <v>4</v>
      </c>
      <c r="R2908">
        <v>2025</v>
      </c>
    </row>
    <row r="2909" spans="1:18">
      <c r="A2909">
        <v>672.35</v>
      </c>
      <c r="B2909">
        <v>5</v>
      </c>
      <c r="C2909">
        <v>2908</v>
      </c>
      <c r="D2909" s="2">
        <v>0.92078603009259263</v>
      </c>
      <c r="E2909" t="s">
        <v>3392</v>
      </c>
      <c r="F2909" t="s">
        <v>3393</v>
      </c>
      <c r="G2909" t="s">
        <v>1642</v>
      </c>
      <c r="H2909" t="s">
        <v>691</v>
      </c>
      <c r="I2909" t="s">
        <v>776</v>
      </c>
      <c r="J2909" t="s">
        <v>76</v>
      </c>
      <c r="K2909" t="s">
        <v>69</v>
      </c>
      <c r="L2909">
        <v>134.47</v>
      </c>
      <c r="M2909" s="1">
        <v>46166</v>
      </c>
      <c r="N2909" t="s">
        <v>28</v>
      </c>
      <c r="O2909">
        <v>24</v>
      </c>
      <c r="P2909">
        <v>5</v>
      </c>
      <c r="Q2909">
        <v>2</v>
      </c>
      <c r="R2909">
        <v>2026</v>
      </c>
    </row>
    <row r="2910" spans="1:18">
      <c r="A2910">
        <v>911.3</v>
      </c>
      <c r="B2910">
        <v>5</v>
      </c>
      <c r="C2910">
        <v>2909</v>
      </c>
      <c r="D2910" s="2">
        <v>0.76242318287037036</v>
      </c>
      <c r="E2910" t="s">
        <v>2281</v>
      </c>
      <c r="F2910" t="s">
        <v>2282</v>
      </c>
      <c r="G2910" t="s">
        <v>1965</v>
      </c>
      <c r="H2910" t="s">
        <v>29</v>
      </c>
      <c r="I2910" t="s">
        <v>821</v>
      </c>
      <c r="J2910" t="s">
        <v>378</v>
      </c>
      <c r="K2910" t="s">
        <v>57</v>
      </c>
      <c r="L2910">
        <v>182.26</v>
      </c>
      <c r="M2910" s="1">
        <v>45856</v>
      </c>
      <c r="N2910" t="s">
        <v>79</v>
      </c>
      <c r="O2910">
        <v>18</v>
      </c>
      <c r="P2910">
        <v>7</v>
      </c>
      <c r="Q2910">
        <v>3</v>
      </c>
      <c r="R2910">
        <v>2025</v>
      </c>
    </row>
    <row r="2911" spans="1:18">
      <c r="A2911">
        <v>14.29</v>
      </c>
      <c r="B2911">
        <v>1</v>
      </c>
      <c r="C2911">
        <v>2910</v>
      </c>
      <c r="D2911" s="2">
        <v>0.17715671296296295</v>
      </c>
      <c r="E2911" t="s">
        <v>1240</v>
      </c>
      <c r="F2911" t="s">
        <v>1241</v>
      </c>
      <c r="G2911" t="s">
        <v>1242</v>
      </c>
      <c r="H2911" t="s">
        <v>1092</v>
      </c>
      <c r="I2911" t="s">
        <v>763</v>
      </c>
      <c r="J2911" t="s">
        <v>685</v>
      </c>
      <c r="K2911" t="s">
        <v>69</v>
      </c>
      <c r="L2911">
        <v>14.29</v>
      </c>
      <c r="M2911" s="1">
        <v>46238</v>
      </c>
      <c r="N2911" t="s">
        <v>48</v>
      </c>
      <c r="O2911">
        <v>4</v>
      </c>
      <c r="P2911">
        <v>8</v>
      </c>
      <c r="Q2911">
        <v>3</v>
      </c>
      <c r="R2911">
        <v>2026</v>
      </c>
    </row>
    <row r="2912" spans="1:18">
      <c r="A2912">
        <v>198.44</v>
      </c>
      <c r="B2912">
        <v>1</v>
      </c>
      <c r="C2912">
        <v>2911</v>
      </c>
      <c r="D2912" s="2">
        <v>0.69154023148148147</v>
      </c>
      <c r="E2912" t="s">
        <v>2239</v>
      </c>
      <c r="F2912" t="s">
        <v>2240</v>
      </c>
      <c r="G2912" t="s">
        <v>2241</v>
      </c>
      <c r="H2912" t="s">
        <v>1002</v>
      </c>
      <c r="I2912" t="s">
        <v>1003</v>
      </c>
      <c r="J2912" t="s">
        <v>40</v>
      </c>
      <c r="K2912" t="s">
        <v>37</v>
      </c>
      <c r="L2912">
        <v>198.44</v>
      </c>
      <c r="M2912" s="1">
        <v>46148</v>
      </c>
      <c r="N2912" t="s">
        <v>34</v>
      </c>
      <c r="O2912">
        <v>6</v>
      </c>
      <c r="P2912">
        <v>5</v>
      </c>
      <c r="Q2912">
        <v>2</v>
      </c>
      <c r="R2912">
        <v>2026</v>
      </c>
    </row>
    <row r="2913" spans="1:18">
      <c r="A2913">
        <v>574.48</v>
      </c>
      <c r="B2913">
        <v>4</v>
      </c>
      <c r="C2913">
        <v>2912</v>
      </c>
      <c r="D2913" s="2">
        <v>0.64110746527777773</v>
      </c>
      <c r="E2913" t="s">
        <v>1251</v>
      </c>
      <c r="F2913" t="s">
        <v>1252</v>
      </c>
      <c r="G2913" t="s">
        <v>1253</v>
      </c>
      <c r="H2913" t="s">
        <v>1254</v>
      </c>
      <c r="I2913" t="s">
        <v>781</v>
      </c>
      <c r="J2913" t="s">
        <v>326</v>
      </c>
      <c r="K2913" t="s">
        <v>97</v>
      </c>
      <c r="L2913">
        <v>143.62</v>
      </c>
      <c r="M2913" s="1">
        <v>45607</v>
      </c>
      <c r="N2913" t="s">
        <v>93</v>
      </c>
      <c r="O2913">
        <v>11</v>
      </c>
      <c r="P2913">
        <v>11</v>
      </c>
      <c r="Q2913">
        <v>4</v>
      </c>
      <c r="R2913">
        <v>2024</v>
      </c>
    </row>
    <row r="2914" spans="1:18">
      <c r="A2914">
        <v>25.12</v>
      </c>
      <c r="B2914">
        <v>4</v>
      </c>
      <c r="C2914">
        <v>2913</v>
      </c>
      <c r="D2914" s="2">
        <v>0.86569714120370367</v>
      </c>
      <c r="E2914" t="s">
        <v>2400</v>
      </c>
      <c r="F2914" t="s">
        <v>2401</v>
      </c>
      <c r="G2914" t="s">
        <v>1536</v>
      </c>
      <c r="H2914" t="s">
        <v>1128</v>
      </c>
      <c r="I2914" t="s">
        <v>954</v>
      </c>
      <c r="J2914" t="s">
        <v>601</v>
      </c>
      <c r="K2914" t="s">
        <v>19</v>
      </c>
      <c r="L2914">
        <v>6.28</v>
      </c>
      <c r="M2914" s="1">
        <v>46022</v>
      </c>
      <c r="N2914" t="s">
        <v>34</v>
      </c>
      <c r="O2914">
        <v>31</v>
      </c>
      <c r="P2914">
        <v>12</v>
      </c>
      <c r="Q2914">
        <v>4</v>
      </c>
      <c r="R2914">
        <v>2025</v>
      </c>
    </row>
    <row r="2915" spans="1:18">
      <c r="A2915">
        <v>105</v>
      </c>
      <c r="B2915">
        <v>4</v>
      </c>
      <c r="C2915">
        <v>2914</v>
      </c>
      <c r="D2915" s="2">
        <v>0.25028084490740743</v>
      </c>
      <c r="E2915" t="s">
        <v>844</v>
      </c>
      <c r="F2915" t="s">
        <v>845</v>
      </c>
      <c r="G2915" t="s">
        <v>846</v>
      </c>
      <c r="H2915" t="s">
        <v>106</v>
      </c>
      <c r="I2915" t="s">
        <v>748</v>
      </c>
      <c r="J2915" t="s">
        <v>493</v>
      </c>
      <c r="K2915" t="s">
        <v>46</v>
      </c>
      <c r="L2915">
        <v>26.25</v>
      </c>
      <c r="M2915" s="1">
        <v>45843</v>
      </c>
      <c r="N2915" t="s">
        <v>14</v>
      </c>
      <c r="O2915">
        <v>5</v>
      </c>
      <c r="P2915">
        <v>7</v>
      </c>
      <c r="Q2915">
        <v>3</v>
      </c>
      <c r="R2915">
        <v>2025</v>
      </c>
    </row>
    <row r="2916" spans="1:18">
      <c r="A2916">
        <v>137.18</v>
      </c>
      <c r="B2916">
        <v>1</v>
      </c>
      <c r="C2916">
        <v>2915</v>
      </c>
      <c r="D2916" s="2">
        <v>0.8202101273148148</v>
      </c>
      <c r="E2916" t="s">
        <v>1141</v>
      </c>
      <c r="F2916" t="s">
        <v>1142</v>
      </c>
      <c r="G2916" t="s">
        <v>1143</v>
      </c>
      <c r="H2916" t="s">
        <v>862</v>
      </c>
      <c r="I2916" t="s">
        <v>908</v>
      </c>
      <c r="J2916" t="s">
        <v>219</v>
      </c>
      <c r="K2916" t="s">
        <v>39</v>
      </c>
      <c r="L2916">
        <v>137.18</v>
      </c>
      <c r="M2916" s="1">
        <v>46249</v>
      </c>
      <c r="N2916" t="s">
        <v>14</v>
      </c>
      <c r="O2916">
        <v>15</v>
      </c>
      <c r="P2916">
        <v>8</v>
      </c>
      <c r="Q2916">
        <v>3</v>
      </c>
      <c r="R2916">
        <v>2026</v>
      </c>
    </row>
    <row r="2917" spans="1:18">
      <c r="A2917">
        <v>205.36</v>
      </c>
      <c r="B2917">
        <v>4</v>
      </c>
      <c r="C2917">
        <v>2916</v>
      </c>
      <c r="D2917" s="2">
        <v>0.20365414351851852</v>
      </c>
      <c r="E2917" t="s">
        <v>1200</v>
      </c>
      <c r="F2917" t="s">
        <v>1201</v>
      </c>
      <c r="G2917" t="s">
        <v>1202</v>
      </c>
      <c r="H2917" t="s">
        <v>1137</v>
      </c>
      <c r="I2917" t="s">
        <v>748</v>
      </c>
      <c r="J2917" t="s">
        <v>376</v>
      </c>
      <c r="K2917" t="s">
        <v>51</v>
      </c>
      <c r="L2917">
        <v>51.34</v>
      </c>
      <c r="M2917" s="1">
        <v>45873</v>
      </c>
      <c r="N2917" t="s">
        <v>93</v>
      </c>
      <c r="O2917">
        <v>4</v>
      </c>
      <c r="P2917">
        <v>8</v>
      </c>
      <c r="Q2917">
        <v>3</v>
      </c>
      <c r="R2917">
        <v>2025</v>
      </c>
    </row>
    <row r="2918" spans="1:18">
      <c r="A2918">
        <v>201.53</v>
      </c>
      <c r="B2918">
        <v>1</v>
      </c>
      <c r="C2918">
        <v>2917</v>
      </c>
      <c r="D2918" s="2">
        <v>0.29136809027777777</v>
      </c>
      <c r="E2918" t="s">
        <v>2376</v>
      </c>
      <c r="F2918" t="s">
        <v>2377</v>
      </c>
      <c r="G2918" t="s">
        <v>2378</v>
      </c>
      <c r="H2918" t="s">
        <v>151</v>
      </c>
      <c r="I2918" t="s">
        <v>1003</v>
      </c>
      <c r="J2918" t="s">
        <v>476</v>
      </c>
      <c r="K2918" t="s">
        <v>31</v>
      </c>
      <c r="L2918">
        <v>201.53</v>
      </c>
      <c r="M2918" s="1">
        <v>45781</v>
      </c>
      <c r="N2918" t="s">
        <v>28</v>
      </c>
      <c r="O2918">
        <v>4</v>
      </c>
      <c r="P2918">
        <v>5</v>
      </c>
      <c r="Q2918">
        <v>2</v>
      </c>
      <c r="R2918">
        <v>2025</v>
      </c>
    </row>
    <row r="2919" spans="1:18">
      <c r="A2919">
        <v>413.45</v>
      </c>
      <c r="B2919">
        <v>5</v>
      </c>
      <c r="C2919">
        <v>2918</v>
      </c>
      <c r="D2919" s="2">
        <v>0.93755575231481481</v>
      </c>
      <c r="E2919" t="s">
        <v>1663</v>
      </c>
      <c r="F2919" t="s">
        <v>1664</v>
      </c>
      <c r="G2919" t="s">
        <v>1665</v>
      </c>
      <c r="H2919" t="s">
        <v>1666</v>
      </c>
      <c r="I2919" t="s">
        <v>830</v>
      </c>
      <c r="J2919" t="s">
        <v>650</v>
      </c>
      <c r="K2919" t="s">
        <v>37</v>
      </c>
      <c r="L2919">
        <v>82.69</v>
      </c>
      <c r="M2919" s="1">
        <v>45603</v>
      </c>
      <c r="N2919" t="s">
        <v>105</v>
      </c>
      <c r="O2919">
        <v>7</v>
      </c>
      <c r="P2919">
        <v>11</v>
      </c>
      <c r="Q2919">
        <v>4</v>
      </c>
      <c r="R2919">
        <v>2024</v>
      </c>
    </row>
    <row r="2920" spans="1:18">
      <c r="A2920">
        <v>449.25</v>
      </c>
      <c r="B2920">
        <v>5</v>
      </c>
      <c r="C2920">
        <v>2919</v>
      </c>
      <c r="D2920" s="2">
        <v>0.92355954861111111</v>
      </c>
      <c r="E2920" t="s">
        <v>2435</v>
      </c>
      <c r="F2920" t="s">
        <v>2436</v>
      </c>
      <c r="G2920" t="s">
        <v>1295</v>
      </c>
      <c r="H2920" t="s">
        <v>280</v>
      </c>
      <c r="I2920" t="s">
        <v>786</v>
      </c>
      <c r="J2920" t="s">
        <v>381</v>
      </c>
      <c r="K2920" t="s">
        <v>27</v>
      </c>
      <c r="L2920">
        <v>89.85</v>
      </c>
      <c r="M2920" s="1">
        <v>45914</v>
      </c>
      <c r="N2920" t="s">
        <v>28</v>
      </c>
      <c r="O2920">
        <v>14</v>
      </c>
      <c r="P2920">
        <v>9</v>
      </c>
      <c r="Q2920">
        <v>3</v>
      </c>
      <c r="R2920">
        <v>2025</v>
      </c>
    </row>
    <row r="2921" spans="1:18">
      <c r="A2921">
        <v>145.63</v>
      </c>
      <c r="B2921">
        <v>1</v>
      </c>
      <c r="C2921">
        <v>2920</v>
      </c>
      <c r="D2921" s="2">
        <v>0.89255523148148153</v>
      </c>
      <c r="E2921" t="s">
        <v>2350</v>
      </c>
      <c r="F2921" t="s">
        <v>2351</v>
      </c>
      <c r="G2921" t="s">
        <v>2346</v>
      </c>
      <c r="H2921" t="s">
        <v>1306</v>
      </c>
      <c r="I2921" t="s">
        <v>966</v>
      </c>
      <c r="J2921" t="s">
        <v>191</v>
      </c>
      <c r="K2921" t="s">
        <v>60</v>
      </c>
      <c r="L2921">
        <v>145.63</v>
      </c>
      <c r="M2921" s="1">
        <v>45653</v>
      </c>
      <c r="N2921" t="s">
        <v>79</v>
      </c>
      <c r="O2921">
        <v>27</v>
      </c>
      <c r="P2921">
        <v>12</v>
      </c>
      <c r="Q2921">
        <v>4</v>
      </c>
      <c r="R2921">
        <v>2024</v>
      </c>
    </row>
    <row r="2922" spans="1:18">
      <c r="A2922">
        <v>602.13</v>
      </c>
      <c r="B2922">
        <v>3</v>
      </c>
      <c r="C2922">
        <v>2921</v>
      </c>
      <c r="D2922" s="2">
        <v>0.52644574074074069</v>
      </c>
      <c r="E2922" t="s">
        <v>1612</v>
      </c>
      <c r="F2922" t="s">
        <v>1613</v>
      </c>
      <c r="G2922" t="s">
        <v>1508</v>
      </c>
      <c r="H2922" t="s">
        <v>919</v>
      </c>
      <c r="I2922" t="s">
        <v>786</v>
      </c>
      <c r="J2922" t="s">
        <v>298</v>
      </c>
      <c r="K2922" t="s">
        <v>31</v>
      </c>
      <c r="L2922">
        <v>200.71</v>
      </c>
      <c r="M2922" s="1">
        <v>45724</v>
      </c>
      <c r="N2922" t="s">
        <v>14</v>
      </c>
      <c r="O2922">
        <v>8</v>
      </c>
      <c r="P2922">
        <v>3</v>
      </c>
      <c r="Q2922">
        <v>1</v>
      </c>
      <c r="R2922">
        <v>2025</v>
      </c>
    </row>
    <row r="2923" spans="1:18">
      <c r="A2923">
        <v>735.72</v>
      </c>
      <c r="B2923">
        <v>4</v>
      </c>
      <c r="C2923">
        <v>2922</v>
      </c>
      <c r="D2923" s="2">
        <v>0.7820242824074074</v>
      </c>
      <c r="E2923" t="s">
        <v>2081</v>
      </c>
      <c r="F2923" t="s">
        <v>2082</v>
      </c>
      <c r="G2923" t="s">
        <v>2083</v>
      </c>
      <c r="H2923" t="s">
        <v>1944</v>
      </c>
      <c r="I2923" t="s">
        <v>1003</v>
      </c>
      <c r="J2923" t="s">
        <v>359</v>
      </c>
      <c r="K2923" t="s">
        <v>23</v>
      </c>
      <c r="L2923">
        <v>183.93</v>
      </c>
      <c r="M2923" s="1">
        <v>46004</v>
      </c>
      <c r="N2923" t="s">
        <v>14</v>
      </c>
      <c r="O2923">
        <v>13</v>
      </c>
      <c r="P2923">
        <v>12</v>
      </c>
      <c r="Q2923">
        <v>4</v>
      </c>
      <c r="R2923">
        <v>2025</v>
      </c>
    </row>
    <row r="2924" spans="1:18">
      <c r="A2924">
        <v>202.27</v>
      </c>
      <c r="B2924">
        <v>1</v>
      </c>
      <c r="C2924">
        <v>2923</v>
      </c>
      <c r="D2924" s="2">
        <v>0.86156690972222227</v>
      </c>
      <c r="E2924" t="s">
        <v>930</v>
      </c>
      <c r="F2924" t="s">
        <v>931</v>
      </c>
      <c r="G2924" t="s">
        <v>932</v>
      </c>
      <c r="H2924" t="s">
        <v>280</v>
      </c>
      <c r="I2924" t="s">
        <v>812</v>
      </c>
      <c r="J2924" t="s">
        <v>541</v>
      </c>
      <c r="K2924" t="s">
        <v>43</v>
      </c>
      <c r="L2924">
        <v>202.27</v>
      </c>
      <c r="M2924" s="1">
        <v>45703</v>
      </c>
      <c r="N2924" t="s">
        <v>14</v>
      </c>
      <c r="O2924">
        <v>15</v>
      </c>
      <c r="P2924">
        <v>2</v>
      </c>
      <c r="Q2924">
        <v>1</v>
      </c>
      <c r="R2924">
        <v>2025</v>
      </c>
    </row>
    <row r="2925" spans="1:18">
      <c r="A2925">
        <v>1086.8000000000002</v>
      </c>
      <c r="B2925">
        <v>5</v>
      </c>
      <c r="C2925">
        <v>2924</v>
      </c>
      <c r="D2925" s="2">
        <v>7.7980312499999996E-2</v>
      </c>
      <c r="E2925" t="s">
        <v>2112</v>
      </c>
      <c r="F2925" t="s">
        <v>2113</v>
      </c>
      <c r="G2925" t="s">
        <v>2114</v>
      </c>
      <c r="H2925" t="s">
        <v>883</v>
      </c>
      <c r="I2925" t="s">
        <v>807</v>
      </c>
      <c r="J2925" t="s">
        <v>582</v>
      </c>
      <c r="K2925" t="s">
        <v>97</v>
      </c>
      <c r="L2925">
        <v>217.36</v>
      </c>
      <c r="M2925" s="1">
        <v>45602</v>
      </c>
      <c r="N2925" t="s">
        <v>34</v>
      </c>
      <c r="O2925">
        <v>6</v>
      </c>
      <c r="P2925">
        <v>11</v>
      </c>
      <c r="Q2925">
        <v>4</v>
      </c>
      <c r="R2925">
        <v>2024</v>
      </c>
    </row>
    <row r="2926" spans="1:18">
      <c r="A2926">
        <v>1034.2</v>
      </c>
      <c r="B2926">
        <v>5</v>
      </c>
      <c r="C2926">
        <v>2925</v>
      </c>
      <c r="D2926" s="2">
        <v>0.72816112268518518</v>
      </c>
      <c r="E2926" t="s">
        <v>2228</v>
      </c>
      <c r="F2926" t="s">
        <v>2229</v>
      </c>
      <c r="G2926" t="s">
        <v>1192</v>
      </c>
      <c r="H2926" t="s">
        <v>64</v>
      </c>
      <c r="I2926" t="s">
        <v>892</v>
      </c>
      <c r="J2926" t="s">
        <v>192</v>
      </c>
      <c r="K2926" t="s">
        <v>46</v>
      </c>
      <c r="L2926">
        <v>206.84</v>
      </c>
      <c r="M2926" s="1">
        <v>45955</v>
      </c>
      <c r="N2926" t="s">
        <v>14</v>
      </c>
      <c r="O2926">
        <v>25</v>
      </c>
      <c r="P2926">
        <v>10</v>
      </c>
      <c r="Q2926">
        <v>4</v>
      </c>
      <c r="R2926">
        <v>2025</v>
      </c>
    </row>
    <row r="2927" spans="1:18">
      <c r="A2927">
        <v>334.53000000000003</v>
      </c>
      <c r="B2927">
        <v>3</v>
      </c>
      <c r="C2927">
        <v>2926</v>
      </c>
      <c r="D2927" s="2">
        <v>0.66756780092592594</v>
      </c>
      <c r="E2927" t="s">
        <v>2389</v>
      </c>
      <c r="F2927" t="s">
        <v>2390</v>
      </c>
      <c r="G2927" t="s">
        <v>1925</v>
      </c>
      <c r="H2927" t="s">
        <v>816</v>
      </c>
      <c r="I2927" t="s">
        <v>817</v>
      </c>
      <c r="J2927" t="s">
        <v>416</v>
      </c>
      <c r="K2927" t="s">
        <v>57</v>
      </c>
      <c r="L2927">
        <v>111.51</v>
      </c>
      <c r="M2927" s="1">
        <v>45674</v>
      </c>
      <c r="N2927" t="s">
        <v>79</v>
      </c>
      <c r="O2927">
        <v>17</v>
      </c>
      <c r="P2927">
        <v>1</v>
      </c>
      <c r="Q2927">
        <v>1</v>
      </c>
      <c r="R2927">
        <v>2025</v>
      </c>
    </row>
    <row r="2928" spans="1:18">
      <c r="A2928">
        <v>336.54</v>
      </c>
      <c r="B2928">
        <v>2</v>
      </c>
      <c r="C2928">
        <v>2927</v>
      </c>
      <c r="D2928" s="2">
        <v>0.840421087962963</v>
      </c>
      <c r="E2928" t="s">
        <v>2387</v>
      </c>
      <c r="F2928" t="s">
        <v>2388</v>
      </c>
      <c r="G2928" t="s">
        <v>1590</v>
      </c>
      <c r="H2928" t="s">
        <v>113</v>
      </c>
      <c r="I2928" t="s">
        <v>854</v>
      </c>
      <c r="J2928" t="s">
        <v>591</v>
      </c>
      <c r="K2928" t="s">
        <v>82</v>
      </c>
      <c r="L2928">
        <v>168.27</v>
      </c>
      <c r="M2928" s="1">
        <v>46117</v>
      </c>
      <c r="N2928" t="s">
        <v>28</v>
      </c>
      <c r="O2928">
        <v>5</v>
      </c>
      <c r="P2928">
        <v>4</v>
      </c>
      <c r="Q2928">
        <v>2</v>
      </c>
      <c r="R2928">
        <v>2026</v>
      </c>
    </row>
    <row r="2929" spans="1:18">
      <c r="A2929">
        <v>135.36000000000001</v>
      </c>
      <c r="B2929">
        <v>4</v>
      </c>
      <c r="C2929">
        <v>2928</v>
      </c>
      <c r="D2929" s="2">
        <v>0.71069766203703699</v>
      </c>
      <c r="E2929" t="s">
        <v>2016</v>
      </c>
      <c r="F2929" t="s">
        <v>2017</v>
      </c>
      <c r="G2929" t="s">
        <v>1585</v>
      </c>
      <c r="H2929" t="s">
        <v>29</v>
      </c>
      <c r="I2929" t="s">
        <v>763</v>
      </c>
      <c r="J2929" t="s">
        <v>692</v>
      </c>
      <c r="K2929" t="s">
        <v>69</v>
      </c>
      <c r="L2929">
        <v>33.840000000000003</v>
      </c>
      <c r="M2929" s="1">
        <v>45892</v>
      </c>
      <c r="N2929" t="s">
        <v>14</v>
      </c>
      <c r="O2929">
        <v>23</v>
      </c>
      <c r="P2929">
        <v>8</v>
      </c>
      <c r="Q2929">
        <v>3</v>
      </c>
      <c r="R2929">
        <v>2025</v>
      </c>
    </row>
    <row r="2930" spans="1:18">
      <c r="A2930">
        <v>74.489999999999995</v>
      </c>
      <c r="B2930">
        <v>3</v>
      </c>
      <c r="C2930">
        <v>2929</v>
      </c>
      <c r="D2930" s="2">
        <v>8.3175694444444448E-2</v>
      </c>
      <c r="E2930" t="s">
        <v>2897</v>
      </c>
      <c r="F2930" t="s">
        <v>2898</v>
      </c>
      <c r="G2930" t="s">
        <v>811</v>
      </c>
      <c r="H2930" t="s">
        <v>1318</v>
      </c>
      <c r="I2930" t="s">
        <v>807</v>
      </c>
      <c r="J2930" t="s">
        <v>338</v>
      </c>
      <c r="K2930" t="s">
        <v>82</v>
      </c>
      <c r="L2930">
        <v>24.83</v>
      </c>
      <c r="M2930" s="1">
        <v>46170</v>
      </c>
      <c r="N2930" t="s">
        <v>105</v>
      </c>
      <c r="O2930">
        <v>28</v>
      </c>
      <c r="P2930">
        <v>5</v>
      </c>
      <c r="Q2930">
        <v>2</v>
      </c>
      <c r="R2930">
        <v>2026</v>
      </c>
    </row>
    <row r="2931" spans="1:18">
      <c r="A2931">
        <v>63.099999999999994</v>
      </c>
      <c r="B2931">
        <v>5</v>
      </c>
      <c r="C2931">
        <v>2930</v>
      </c>
      <c r="D2931" s="2">
        <v>0.15664006944444445</v>
      </c>
      <c r="E2931" t="s">
        <v>2469</v>
      </c>
      <c r="F2931" t="s">
        <v>2470</v>
      </c>
      <c r="G2931" t="s">
        <v>2471</v>
      </c>
      <c r="H2931" t="s">
        <v>985</v>
      </c>
      <c r="I2931" t="s">
        <v>817</v>
      </c>
      <c r="J2931" t="s">
        <v>256</v>
      </c>
      <c r="K2931" t="s">
        <v>31</v>
      </c>
      <c r="L2931">
        <v>12.62</v>
      </c>
      <c r="M2931" s="1">
        <v>46167</v>
      </c>
      <c r="N2931" t="s">
        <v>93</v>
      </c>
      <c r="O2931">
        <v>25</v>
      </c>
      <c r="P2931">
        <v>5</v>
      </c>
      <c r="Q2931">
        <v>2</v>
      </c>
      <c r="R2931">
        <v>2026</v>
      </c>
    </row>
    <row r="2932" spans="1:18">
      <c r="A2932">
        <v>182.73</v>
      </c>
      <c r="B2932">
        <v>3</v>
      </c>
      <c r="C2932">
        <v>2931</v>
      </c>
      <c r="D2932" s="2">
        <v>0.85754820601851856</v>
      </c>
      <c r="E2932" t="s">
        <v>2936</v>
      </c>
      <c r="F2932" t="s">
        <v>2937</v>
      </c>
      <c r="G2932" t="s">
        <v>1035</v>
      </c>
      <c r="H2932" t="s">
        <v>1395</v>
      </c>
      <c r="I2932" t="s">
        <v>776</v>
      </c>
      <c r="J2932" t="s">
        <v>550</v>
      </c>
      <c r="K2932" t="s">
        <v>55</v>
      </c>
      <c r="L2932">
        <v>60.91</v>
      </c>
      <c r="M2932" s="1">
        <v>45985</v>
      </c>
      <c r="N2932" t="s">
        <v>93</v>
      </c>
      <c r="O2932">
        <v>24</v>
      </c>
      <c r="P2932">
        <v>11</v>
      </c>
      <c r="Q2932">
        <v>4</v>
      </c>
      <c r="R2932">
        <v>2025</v>
      </c>
    </row>
    <row r="2933" spans="1:18">
      <c r="A2933">
        <v>6.42</v>
      </c>
      <c r="B2933">
        <v>1</v>
      </c>
      <c r="C2933">
        <v>2932</v>
      </c>
      <c r="D2933" s="2">
        <v>0.64299957175925926</v>
      </c>
      <c r="E2933" t="s">
        <v>2508</v>
      </c>
      <c r="F2933" t="s">
        <v>2509</v>
      </c>
      <c r="G2933" t="s">
        <v>2510</v>
      </c>
      <c r="H2933" t="s">
        <v>1670</v>
      </c>
      <c r="I2933" t="s">
        <v>1247</v>
      </c>
      <c r="J2933" t="s">
        <v>316</v>
      </c>
      <c r="K2933" t="s">
        <v>97</v>
      </c>
      <c r="L2933">
        <v>6.42</v>
      </c>
      <c r="M2933" s="1">
        <v>45777</v>
      </c>
      <c r="N2933" t="s">
        <v>34</v>
      </c>
      <c r="O2933">
        <v>30</v>
      </c>
      <c r="P2933">
        <v>4</v>
      </c>
      <c r="Q2933">
        <v>2</v>
      </c>
      <c r="R2933">
        <v>2025</v>
      </c>
    </row>
    <row r="2934" spans="1:18">
      <c r="A2934">
        <v>44.64</v>
      </c>
      <c r="B2934">
        <v>3</v>
      </c>
      <c r="C2934">
        <v>2933</v>
      </c>
      <c r="D2934" s="2">
        <v>0.35809520833333336</v>
      </c>
      <c r="E2934" t="s">
        <v>2307</v>
      </c>
      <c r="F2934" t="s">
        <v>3282</v>
      </c>
      <c r="G2934" t="s">
        <v>1171</v>
      </c>
      <c r="H2934" t="s">
        <v>1566</v>
      </c>
      <c r="I2934" t="s">
        <v>763</v>
      </c>
      <c r="J2934" t="s">
        <v>349</v>
      </c>
      <c r="K2934" t="s">
        <v>51</v>
      </c>
      <c r="L2934">
        <v>14.88</v>
      </c>
      <c r="M2934" s="1">
        <v>46061</v>
      </c>
      <c r="N2934" t="s">
        <v>28</v>
      </c>
      <c r="O2934">
        <v>8</v>
      </c>
      <c r="P2934">
        <v>2</v>
      </c>
      <c r="Q2934">
        <v>1</v>
      </c>
      <c r="R2934">
        <v>2026</v>
      </c>
    </row>
    <row r="2935" spans="1:18">
      <c r="A2935">
        <v>13.22</v>
      </c>
      <c r="B2935">
        <v>2</v>
      </c>
      <c r="C2935">
        <v>2934</v>
      </c>
      <c r="D2935" s="2">
        <v>0.1252815162037037</v>
      </c>
      <c r="E2935" t="s">
        <v>1863</v>
      </c>
      <c r="F2935" t="s">
        <v>1864</v>
      </c>
      <c r="G2935" t="s">
        <v>1865</v>
      </c>
      <c r="H2935" t="s">
        <v>1168</v>
      </c>
      <c r="I2935" t="s">
        <v>758</v>
      </c>
      <c r="J2935" t="s">
        <v>447</v>
      </c>
      <c r="K2935" t="s">
        <v>21</v>
      </c>
      <c r="L2935">
        <v>6.61</v>
      </c>
      <c r="M2935" s="1">
        <v>46259</v>
      </c>
      <c r="N2935" t="s">
        <v>48</v>
      </c>
      <c r="O2935">
        <v>25</v>
      </c>
      <c r="P2935">
        <v>8</v>
      </c>
      <c r="Q2935">
        <v>3</v>
      </c>
      <c r="R2935">
        <v>2026</v>
      </c>
    </row>
    <row r="2936" spans="1:18">
      <c r="A2936">
        <v>389.66999999999996</v>
      </c>
      <c r="B2936">
        <v>3</v>
      </c>
      <c r="C2936">
        <v>2935</v>
      </c>
      <c r="D2936" s="2">
        <v>0.9241509722222222</v>
      </c>
      <c r="E2936" t="s">
        <v>2339</v>
      </c>
      <c r="F2936" t="s">
        <v>2340</v>
      </c>
      <c r="G2936" t="s">
        <v>2341</v>
      </c>
      <c r="H2936" t="s">
        <v>1469</v>
      </c>
      <c r="I2936" t="s">
        <v>908</v>
      </c>
      <c r="J2936" t="s">
        <v>271</v>
      </c>
      <c r="K2936" t="s">
        <v>25</v>
      </c>
      <c r="L2936">
        <v>129.88999999999999</v>
      </c>
      <c r="M2936" s="1">
        <v>46167</v>
      </c>
      <c r="N2936" t="s">
        <v>93</v>
      </c>
      <c r="O2936">
        <v>25</v>
      </c>
      <c r="P2936">
        <v>5</v>
      </c>
      <c r="Q2936">
        <v>2</v>
      </c>
      <c r="R2936">
        <v>2026</v>
      </c>
    </row>
    <row r="2937" spans="1:18">
      <c r="A2937">
        <v>244.16</v>
      </c>
      <c r="B2937">
        <v>2</v>
      </c>
      <c r="C2937">
        <v>2936</v>
      </c>
      <c r="D2937" s="2">
        <v>0.32358248842592591</v>
      </c>
      <c r="E2937" t="s">
        <v>1699</v>
      </c>
      <c r="F2937" t="s">
        <v>1700</v>
      </c>
      <c r="G2937" t="s">
        <v>1701</v>
      </c>
      <c r="H2937" t="s">
        <v>929</v>
      </c>
      <c r="I2937" t="s">
        <v>1247</v>
      </c>
      <c r="J2937" t="s">
        <v>646</v>
      </c>
      <c r="K2937" t="s">
        <v>21</v>
      </c>
      <c r="L2937">
        <v>122.08</v>
      </c>
      <c r="M2937" s="1">
        <v>46191</v>
      </c>
      <c r="N2937" t="s">
        <v>105</v>
      </c>
      <c r="O2937">
        <v>18</v>
      </c>
      <c r="P2937">
        <v>6</v>
      </c>
      <c r="Q2937">
        <v>2</v>
      </c>
      <c r="R2937">
        <v>2026</v>
      </c>
    </row>
    <row r="2938" spans="1:18">
      <c r="A2938">
        <v>88.17</v>
      </c>
      <c r="B2938">
        <v>1</v>
      </c>
      <c r="C2938">
        <v>2937</v>
      </c>
      <c r="D2938" s="2">
        <v>0.16329550925925926</v>
      </c>
      <c r="E2938" t="s">
        <v>2613</v>
      </c>
      <c r="F2938" t="s">
        <v>2614</v>
      </c>
      <c r="G2938" t="s">
        <v>2615</v>
      </c>
      <c r="H2938" t="s">
        <v>1574</v>
      </c>
      <c r="I2938" t="s">
        <v>1003</v>
      </c>
      <c r="J2938" t="s">
        <v>177</v>
      </c>
      <c r="K2938" t="s">
        <v>17</v>
      </c>
      <c r="L2938">
        <v>88.17</v>
      </c>
      <c r="M2938" s="1">
        <v>46143</v>
      </c>
      <c r="N2938" t="s">
        <v>79</v>
      </c>
      <c r="O2938">
        <v>1</v>
      </c>
      <c r="P2938">
        <v>5</v>
      </c>
      <c r="Q2938">
        <v>2</v>
      </c>
      <c r="R2938">
        <v>2026</v>
      </c>
    </row>
    <row r="2939" spans="1:18">
      <c r="A2939">
        <v>610.4</v>
      </c>
      <c r="B2939">
        <v>5</v>
      </c>
      <c r="C2939">
        <v>2938</v>
      </c>
      <c r="D2939" s="2">
        <v>0.11839028935185185</v>
      </c>
      <c r="E2939" t="s">
        <v>2304</v>
      </c>
      <c r="F2939" t="s">
        <v>2305</v>
      </c>
      <c r="G2939" t="s">
        <v>2306</v>
      </c>
      <c r="H2939" t="s">
        <v>608</v>
      </c>
      <c r="I2939" t="s">
        <v>966</v>
      </c>
      <c r="J2939" t="s">
        <v>646</v>
      </c>
      <c r="K2939" t="s">
        <v>21</v>
      </c>
      <c r="L2939">
        <v>122.08</v>
      </c>
      <c r="M2939" s="1">
        <v>45956</v>
      </c>
      <c r="N2939" t="s">
        <v>28</v>
      </c>
      <c r="O2939">
        <v>26</v>
      </c>
      <c r="P2939">
        <v>10</v>
      </c>
      <c r="Q2939">
        <v>4</v>
      </c>
      <c r="R2939">
        <v>2025</v>
      </c>
    </row>
    <row r="2940" spans="1:18">
      <c r="A2940">
        <v>230.27</v>
      </c>
      <c r="B2940">
        <v>1</v>
      </c>
      <c r="C2940">
        <v>2939</v>
      </c>
      <c r="D2940" s="2">
        <v>0.66815406249999998</v>
      </c>
      <c r="E2940" t="s">
        <v>3258</v>
      </c>
      <c r="F2940" t="s">
        <v>3259</v>
      </c>
      <c r="G2940" t="s">
        <v>820</v>
      </c>
      <c r="H2940" t="s">
        <v>794</v>
      </c>
      <c r="I2940" t="s">
        <v>795</v>
      </c>
      <c r="J2940" t="s">
        <v>200</v>
      </c>
      <c r="K2940" t="s">
        <v>17</v>
      </c>
      <c r="L2940">
        <v>230.27</v>
      </c>
      <c r="M2940" s="1">
        <v>46018</v>
      </c>
      <c r="N2940" t="s">
        <v>14</v>
      </c>
      <c r="O2940">
        <v>27</v>
      </c>
      <c r="P2940">
        <v>12</v>
      </c>
      <c r="Q2940">
        <v>4</v>
      </c>
      <c r="R2940">
        <v>2025</v>
      </c>
    </row>
    <row r="2941" spans="1:18">
      <c r="A2941">
        <v>344.45</v>
      </c>
      <c r="B2941">
        <v>5</v>
      </c>
      <c r="C2941">
        <v>2940</v>
      </c>
      <c r="D2941" s="2">
        <v>9.3054733796296293E-2</v>
      </c>
      <c r="E2941" t="s">
        <v>2211</v>
      </c>
      <c r="F2941" t="s">
        <v>2212</v>
      </c>
      <c r="G2941" t="s">
        <v>1298</v>
      </c>
      <c r="H2941" t="s">
        <v>862</v>
      </c>
      <c r="I2941" t="s">
        <v>807</v>
      </c>
      <c r="J2941" t="s">
        <v>606</v>
      </c>
      <c r="K2941" t="s">
        <v>82</v>
      </c>
      <c r="L2941">
        <v>68.89</v>
      </c>
      <c r="M2941" s="1">
        <v>45689</v>
      </c>
      <c r="N2941" t="s">
        <v>14</v>
      </c>
      <c r="O2941">
        <v>1</v>
      </c>
      <c r="P2941">
        <v>2</v>
      </c>
      <c r="Q2941">
        <v>1</v>
      </c>
      <c r="R2941">
        <v>2025</v>
      </c>
    </row>
    <row r="2942" spans="1:18">
      <c r="A2942">
        <v>214.95</v>
      </c>
      <c r="B2942">
        <v>1</v>
      </c>
      <c r="C2942">
        <v>2941</v>
      </c>
      <c r="D2942" s="2">
        <v>0.21818971064814816</v>
      </c>
      <c r="E2942" t="s">
        <v>2005</v>
      </c>
      <c r="F2942" t="s">
        <v>2006</v>
      </c>
      <c r="G2942" t="s">
        <v>2007</v>
      </c>
      <c r="H2942" t="s">
        <v>1156</v>
      </c>
      <c r="I2942" t="s">
        <v>821</v>
      </c>
      <c r="J2942" t="s">
        <v>195</v>
      </c>
      <c r="K2942" t="s">
        <v>31</v>
      </c>
      <c r="L2942">
        <v>214.95</v>
      </c>
      <c r="M2942" s="1">
        <v>46160</v>
      </c>
      <c r="N2942" t="s">
        <v>93</v>
      </c>
      <c r="O2942">
        <v>18</v>
      </c>
      <c r="P2942">
        <v>5</v>
      </c>
      <c r="Q2942">
        <v>2</v>
      </c>
      <c r="R2942">
        <v>2026</v>
      </c>
    </row>
    <row r="2943" spans="1:18">
      <c r="A2943">
        <v>72.849999999999994</v>
      </c>
      <c r="B2943">
        <v>5</v>
      </c>
      <c r="C2943">
        <v>2942</v>
      </c>
      <c r="D2943" s="2">
        <v>0.27876068287037037</v>
      </c>
      <c r="E2943" t="s">
        <v>2606</v>
      </c>
      <c r="F2943" t="s">
        <v>2607</v>
      </c>
      <c r="G2943" t="s">
        <v>2078</v>
      </c>
      <c r="H2943" t="s">
        <v>1032</v>
      </c>
      <c r="I2943" t="s">
        <v>839</v>
      </c>
      <c r="J2943" t="s">
        <v>166</v>
      </c>
      <c r="K2943" t="s">
        <v>23</v>
      </c>
      <c r="L2943">
        <v>14.57</v>
      </c>
      <c r="M2943" s="1">
        <v>46273</v>
      </c>
      <c r="N2943" t="s">
        <v>48</v>
      </c>
      <c r="O2943">
        <v>8</v>
      </c>
      <c r="P2943">
        <v>9</v>
      </c>
      <c r="Q2943">
        <v>3</v>
      </c>
      <c r="R2943">
        <v>2026</v>
      </c>
    </row>
    <row r="2944" spans="1:18">
      <c r="A2944">
        <v>205.95</v>
      </c>
      <c r="B2944">
        <v>1</v>
      </c>
      <c r="C2944">
        <v>2943</v>
      </c>
      <c r="D2944" s="2">
        <v>0.93175531249999999</v>
      </c>
      <c r="E2944" t="s">
        <v>1184</v>
      </c>
      <c r="F2944" t="s">
        <v>1185</v>
      </c>
      <c r="G2944" t="s">
        <v>994</v>
      </c>
      <c r="H2944" t="s">
        <v>915</v>
      </c>
      <c r="I2944" t="s">
        <v>908</v>
      </c>
      <c r="J2944" t="s">
        <v>705</v>
      </c>
      <c r="K2944" t="s">
        <v>60</v>
      </c>
      <c r="L2944">
        <v>205.95</v>
      </c>
      <c r="M2944" s="1">
        <v>45989</v>
      </c>
      <c r="N2944" t="s">
        <v>79</v>
      </c>
      <c r="O2944">
        <v>28</v>
      </c>
      <c r="P2944">
        <v>11</v>
      </c>
      <c r="Q2944">
        <v>4</v>
      </c>
      <c r="R2944">
        <v>2025</v>
      </c>
    </row>
    <row r="2945" spans="1:18">
      <c r="A2945">
        <v>823.8</v>
      </c>
      <c r="B2945">
        <v>4</v>
      </c>
      <c r="C2945">
        <v>2944</v>
      </c>
      <c r="D2945" s="2">
        <v>0.33001285879629627</v>
      </c>
      <c r="E2945" t="s">
        <v>2223</v>
      </c>
      <c r="F2945" t="s">
        <v>2224</v>
      </c>
      <c r="G2945" t="s">
        <v>1274</v>
      </c>
      <c r="H2945" t="s">
        <v>2225</v>
      </c>
      <c r="I2945" t="s">
        <v>786</v>
      </c>
      <c r="J2945" t="s">
        <v>705</v>
      </c>
      <c r="K2945" t="s">
        <v>60</v>
      </c>
      <c r="L2945">
        <v>205.95</v>
      </c>
      <c r="M2945" s="1">
        <v>45835</v>
      </c>
      <c r="N2945" t="s">
        <v>79</v>
      </c>
      <c r="O2945">
        <v>27</v>
      </c>
      <c r="P2945">
        <v>6</v>
      </c>
      <c r="Q2945">
        <v>2</v>
      </c>
      <c r="R2945">
        <v>2025</v>
      </c>
    </row>
    <row r="2946" spans="1:18">
      <c r="A2946">
        <v>117.54</v>
      </c>
      <c r="B2946">
        <v>2</v>
      </c>
      <c r="C2946">
        <v>2945</v>
      </c>
      <c r="D2946" s="2">
        <v>0.83691547453703707</v>
      </c>
      <c r="E2946" t="s">
        <v>3080</v>
      </c>
      <c r="F2946" t="s">
        <v>3081</v>
      </c>
      <c r="G2946" t="s">
        <v>2892</v>
      </c>
      <c r="H2946" t="s">
        <v>513</v>
      </c>
      <c r="I2946" t="s">
        <v>748</v>
      </c>
      <c r="J2946" t="s">
        <v>262</v>
      </c>
      <c r="K2946" t="s">
        <v>21</v>
      </c>
      <c r="L2946">
        <v>58.77</v>
      </c>
      <c r="M2946" s="1">
        <v>46089</v>
      </c>
      <c r="N2946" t="s">
        <v>28</v>
      </c>
      <c r="O2946">
        <v>8</v>
      </c>
      <c r="P2946">
        <v>3</v>
      </c>
      <c r="Q2946">
        <v>1</v>
      </c>
      <c r="R2946">
        <v>2026</v>
      </c>
    </row>
    <row r="2947" spans="1:18">
      <c r="A2947">
        <v>191.24</v>
      </c>
      <c r="B2947">
        <v>2</v>
      </c>
      <c r="C2947">
        <v>2946</v>
      </c>
      <c r="D2947" s="2">
        <v>0.36717783564814815</v>
      </c>
      <c r="E2947" t="s">
        <v>2959</v>
      </c>
      <c r="F2947" t="s">
        <v>2960</v>
      </c>
      <c r="G2947" t="s">
        <v>1559</v>
      </c>
      <c r="H2947" t="s">
        <v>1239</v>
      </c>
      <c r="I2947" t="s">
        <v>795</v>
      </c>
      <c r="J2947" t="s">
        <v>153</v>
      </c>
      <c r="K2947" t="s">
        <v>37</v>
      </c>
      <c r="L2947">
        <v>95.62</v>
      </c>
      <c r="M2947" s="1">
        <v>45839</v>
      </c>
      <c r="N2947" t="s">
        <v>48</v>
      </c>
      <c r="O2947">
        <v>1</v>
      </c>
      <c r="P2947">
        <v>7</v>
      </c>
      <c r="Q2947">
        <v>3</v>
      </c>
      <c r="R2947">
        <v>2025</v>
      </c>
    </row>
    <row r="2948" spans="1:18">
      <c r="A2948">
        <v>716.91</v>
      </c>
      <c r="B2948">
        <v>3</v>
      </c>
      <c r="C2948">
        <v>2947</v>
      </c>
      <c r="D2948" s="2">
        <v>0.94765947916666671</v>
      </c>
      <c r="E2948" t="s">
        <v>1385</v>
      </c>
      <c r="F2948" t="s">
        <v>1386</v>
      </c>
      <c r="G2948" t="s">
        <v>1387</v>
      </c>
      <c r="H2948" t="s">
        <v>199</v>
      </c>
      <c r="I2948" t="s">
        <v>781</v>
      </c>
      <c r="J2948" t="s">
        <v>180</v>
      </c>
      <c r="K2948" t="s">
        <v>55</v>
      </c>
      <c r="L2948">
        <v>238.97</v>
      </c>
      <c r="M2948" s="1">
        <v>46096</v>
      </c>
      <c r="N2948" t="s">
        <v>28</v>
      </c>
      <c r="O2948">
        <v>15</v>
      </c>
      <c r="P2948">
        <v>3</v>
      </c>
      <c r="Q2948">
        <v>1</v>
      </c>
      <c r="R2948">
        <v>2026</v>
      </c>
    </row>
    <row r="2949" spans="1:18">
      <c r="A2949">
        <v>725.93999999999994</v>
      </c>
      <c r="B2949">
        <v>3</v>
      </c>
      <c r="C2949">
        <v>2948</v>
      </c>
      <c r="D2949" s="2">
        <v>0.76533432870370366</v>
      </c>
      <c r="E2949" t="s">
        <v>3127</v>
      </c>
      <c r="F2949" t="s">
        <v>3128</v>
      </c>
      <c r="G2949" t="s">
        <v>1159</v>
      </c>
      <c r="H2949" t="s">
        <v>1092</v>
      </c>
      <c r="I2949" t="s">
        <v>763</v>
      </c>
      <c r="J2949" t="s">
        <v>203</v>
      </c>
      <c r="K2949" t="s">
        <v>100</v>
      </c>
      <c r="L2949">
        <v>241.98</v>
      </c>
      <c r="M2949" s="1">
        <v>46123</v>
      </c>
      <c r="N2949" t="s">
        <v>14</v>
      </c>
      <c r="O2949">
        <v>11</v>
      </c>
      <c r="P2949">
        <v>4</v>
      </c>
      <c r="Q2949">
        <v>2</v>
      </c>
      <c r="R2949">
        <v>2026</v>
      </c>
    </row>
    <row r="2950" spans="1:18">
      <c r="A2950">
        <v>25.24</v>
      </c>
      <c r="B2950">
        <v>2</v>
      </c>
      <c r="C2950">
        <v>2949</v>
      </c>
      <c r="D2950" s="2">
        <v>0.98020782407407403</v>
      </c>
      <c r="E2950" t="s">
        <v>1723</v>
      </c>
      <c r="F2950" t="s">
        <v>1724</v>
      </c>
      <c r="G2950" t="s">
        <v>1725</v>
      </c>
      <c r="H2950" t="s">
        <v>915</v>
      </c>
      <c r="I2950" t="s">
        <v>908</v>
      </c>
      <c r="J2950" t="s">
        <v>256</v>
      </c>
      <c r="K2950" t="s">
        <v>31</v>
      </c>
      <c r="L2950">
        <v>12.62</v>
      </c>
      <c r="M2950" s="1">
        <v>46249</v>
      </c>
      <c r="N2950" t="s">
        <v>14</v>
      </c>
      <c r="O2950">
        <v>15</v>
      </c>
      <c r="P2950">
        <v>8</v>
      </c>
      <c r="Q2950">
        <v>3</v>
      </c>
      <c r="R2950">
        <v>2026</v>
      </c>
    </row>
    <row r="2951" spans="1:18">
      <c r="A2951">
        <v>205.83</v>
      </c>
      <c r="B2951">
        <v>1</v>
      </c>
      <c r="C2951">
        <v>2950</v>
      </c>
      <c r="D2951" s="2">
        <v>0.28665968749999998</v>
      </c>
      <c r="E2951" t="s">
        <v>2200</v>
      </c>
      <c r="F2951" t="s">
        <v>2201</v>
      </c>
      <c r="G2951" t="s">
        <v>1140</v>
      </c>
      <c r="H2951" t="s">
        <v>1811</v>
      </c>
      <c r="I2951" t="s">
        <v>892</v>
      </c>
      <c r="J2951" t="s">
        <v>246</v>
      </c>
      <c r="K2951" t="s">
        <v>23</v>
      </c>
      <c r="L2951">
        <v>205.83</v>
      </c>
      <c r="M2951" s="1">
        <v>46141</v>
      </c>
      <c r="N2951" t="s">
        <v>34</v>
      </c>
      <c r="O2951">
        <v>29</v>
      </c>
      <c r="P2951">
        <v>4</v>
      </c>
      <c r="Q2951">
        <v>2</v>
      </c>
      <c r="R2951">
        <v>2026</v>
      </c>
    </row>
    <row r="2952" spans="1:18">
      <c r="A2952">
        <v>539.52</v>
      </c>
      <c r="B2952">
        <v>4</v>
      </c>
      <c r="C2952">
        <v>2951</v>
      </c>
      <c r="D2952" s="2">
        <v>0.63459101851851851</v>
      </c>
      <c r="E2952" t="s">
        <v>2984</v>
      </c>
      <c r="F2952" t="s">
        <v>2985</v>
      </c>
      <c r="G2952" t="s">
        <v>1338</v>
      </c>
      <c r="H2952" t="s">
        <v>965</v>
      </c>
      <c r="I2952" t="s">
        <v>966</v>
      </c>
      <c r="J2952" t="s">
        <v>595</v>
      </c>
      <c r="K2952" t="s">
        <v>27</v>
      </c>
      <c r="L2952">
        <v>134.88</v>
      </c>
      <c r="M2952" s="1">
        <v>45747</v>
      </c>
      <c r="N2952" t="s">
        <v>93</v>
      </c>
      <c r="O2952">
        <v>31</v>
      </c>
      <c r="P2952">
        <v>3</v>
      </c>
      <c r="Q2952">
        <v>1</v>
      </c>
      <c r="R2952">
        <v>2025</v>
      </c>
    </row>
    <row r="2953" spans="1:18">
      <c r="A2953">
        <v>220.04999999999998</v>
      </c>
      <c r="B2953">
        <v>5</v>
      </c>
      <c r="C2953">
        <v>2952</v>
      </c>
      <c r="D2953" s="2">
        <v>0.76781226851851847</v>
      </c>
      <c r="E2953" t="s">
        <v>1714</v>
      </c>
      <c r="F2953" t="s">
        <v>1715</v>
      </c>
      <c r="G2953" t="s">
        <v>1716</v>
      </c>
      <c r="H2953" t="s">
        <v>1032</v>
      </c>
      <c r="I2953" t="s">
        <v>839</v>
      </c>
      <c r="J2953" t="s">
        <v>689</v>
      </c>
      <c r="K2953" t="s">
        <v>55</v>
      </c>
      <c r="L2953">
        <v>44.01</v>
      </c>
      <c r="M2953" s="1">
        <v>46047</v>
      </c>
      <c r="N2953" t="s">
        <v>28</v>
      </c>
      <c r="O2953">
        <v>25</v>
      </c>
      <c r="P2953">
        <v>1</v>
      </c>
      <c r="Q2953">
        <v>1</v>
      </c>
      <c r="R2953">
        <v>2026</v>
      </c>
    </row>
    <row r="2954" spans="1:18">
      <c r="A2954">
        <v>47.16</v>
      </c>
      <c r="B2954">
        <v>2</v>
      </c>
      <c r="C2954">
        <v>2953</v>
      </c>
      <c r="D2954" s="2">
        <v>0.47364015046296298</v>
      </c>
      <c r="E2954" t="s">
        <v>989</v>
      </c>
      <c r="F2954" t="s">
        <v>990</v>
      </c>
      <c r="G2954" t="s">
        <v>991</v>
      </c>
      <c r="H2954" t="s">
        <v>915</v>
      </c>
      <c r="I2954" t="s">
        <v>768</v>
      </c>
      <c r="J2954" t="s">
        <v>466</v>
      </c>
      <c r="K2954" t="s">
        <v>46</v>
      </c>
      <c r="L2954">
        <v>23.58</v>
      </c>
      <c r="M2954" s="1">
        <v>45745</v>
      </c>
      <c r="N2954" t="s">
        <v>14</v>
      </c>
      <c r="O2954">
        <v>29</v>
      </c>
      <c r="P2954">
        <v>3</v>
      </c>
      <c r="Q2954">
        <v>1</v>
      </c>
      <c r="R2954">
        <v>2025</v>
      </c>
    </row>
    <row r="2955" spans="1:18">
      <c r="A2955">
        <v>319.68</v>
      </c>
      <c r="B2955">
        <v>4</v>
      </c>
      <c r="C2955">
        <v>2954</v>
      </c>
      <c r="D2955" s="2">
        <v>0.59565416666666671</v>
      </c>
      <c r="E2955" t="s">
        <v>1930</v>
      </c>
      <c r="F2955" t="s">
        <v>1931</v>
      </c>
      <c r="G2955" t="s">
        <v>938</v>
      </c>
      <c r="H2955" t="s">
        <v>903</v>
      </c>
      <c r="I2955" t="s">
        <v>786</v>
      </c>
      <c r="J2955" t="s">
        <v>209</v>
      </c>
      <c r="K2955" t="s">
        <v>25</v>
      </c>
      <c r="L2955">
        <v>79.92</v>
      </c>
      <c r="M2955" s="1">
        <v>46094</v>
      </c>
      <c r="N2955" t="s">
        <v>79</v>
      </c>
      <c r="O2955">
        <v>13</v>
      </c>
      <c r="P2955">
        <v>3</v>
      </c>
      <c r="Q2955">
        <v>1</v>
      </c>
      <c r="R2955">
        <v>2026</v>
      </c>
    </row>
    <row r="2956" spans="1:18">
      <c r="A2956">
        <v>297.12</v>
      </c>
      <c r="B2956">
        <v>4</v>
      </c>
      <c r="C2956">
        <v>2955</v>
      </c>
      <c r="D2956" s="2">
        <v>0.82309620370370373</v>
      </c>
      <c r="E2956" t="s">
        <v>2129</v>
      </c>
      <c r="F2956" t="s">
        <v>2130</v>
      </c>
      <c r="G2956" t="s">
        <v>998</v>
      </c>
      <c r="H2956" t="s">
        <v>380</v>
      </c>
      <c r="I2956" t="s">
        <v>776</v>
      </c>
      <c r="J2956" t="s">
        <v>54</v>
      </c>
      <c r="K2956" t="s">
        <v>55</v>
      </c>
      <c r="L2956">
        <v>74.28</v>
      </c>
      <c r="M2956" s="1">
        <v>45771</v>
      </c>
      <c r="N2956" t="s">
        <v>105</v>
      </c>
      <c r="O2956">
        <v>24</v>
      </c>
      <c r="P2956">
        <v>4</v>
      </c>
      <c r="Q2956">
        <v>2</v>
      </c>
      <c r="R2956">
        <v>2025</v>
      </c>
    </row>
    <row r="2957" spans="1:18">
      <c r="A2957">
        <v>95.95</v>
      </c>
      <c r="B2957">
        <v>5</v>
      </c>
      <c r="C2957">
        <v>2956</v>
      </c>
      <c r="D2957" s="2">
        <v>0.68573899305555552</v>
      </c>
      <c r="E2957" t="s">
        <v>1692</v>
      </c>
      <c r="F2957" t="s">
        <v>1693</v>
      </c>
      <c r="G2957" t="s">
        <v>941</v>
      </c>
      <c r="H2957" t="s">
        <v>211</v>
      </c>
      <c r="I2957" t="s">
        <v>812</v>
      </c>
      <c r="J2957" t="s">
        <v>71</v>
      </c>
      <c r="K2957" t="s">
        <v>23</v>
      </c>
      <c r="L2957">
        <v>19.190000000000001</v>
      </c>
      <c r="M2957" s="1">
        <v>45554</v>
      </c>
      <c r="N2957" t="s">
        <v>105</v>
      </c>
      <c r="O2957">
        <v>19</v>
      </c>
      <c r="P2957">
        <v>9</v>
      </c>
      <c r="Q2957">
        <v>3</v>
      </c>
      <c r="R2957">
        <v>2024</v>
      </c>
    </row>
    <row r="2958" spans="1:18">
      <c r="A2958">
        <v>200.92</v>
      </c>
      <c r="B2958">
        <v>2</v>
      </c>
      <c r="C2958">
        <v>2957</v>
      </c>
      <c r="D2958" s="2">
        <v>0.76355991898148146</v>
      </c>
      <c r="E2958" t="s">
        <v>1411</v>
      </c>
      <c r="F2958" t="s">
        <v>1412</v>
      </c>
      <c r="G2958" t="s">
        <v>1374</v>
      </c>
      <c r="H2958" t="s">
        <v>113</v>
      </c>
      <c r="I2958" t="s">
        <v>854</v>
      </c>
      <c r="J2958" t="s">
        <v>703</v>
      </c>
      <c r="K2958" t="s">
        <v>60</v>
      </c>
      <c r="L2958">
        <v>100.46</v>
      </c>
      <c r="M2958" s="1">
        <v>45575</v>
      </c>
      <c r="N2958" t="s">
        <v>105</v>
      </c>
      <c r="O2958">
        <v>10</v>
      </c>
      <c r="P2958">
        <v>10</v>
      </c>
      <c r="Q2958">
        <v>4</v>
      </c>
      <c r="R2958">
        <v>2024</v>
      </c>
    </row>
    <row r="2959" spans="1:18">
      <c r="A2959">
        <v>309.48</v>
      </c>
      <c r="B2959">
        <v>2</v>
      </c>
      <c r="C2959">
        <v>2958</v>
      </c>
      <c r="D2959" s="2">
        <v>0.4117279976851852</v>
      </c>
      <c r="E2959" t="s">
        <v>2290</v>
      </c>
      <c r="F2959" t="s">
        <v>2291</v>
      </c>
      <c r="G2959" t="s">
        <v>2292</v>
      </c>
      <c r="H2959" t="s">
        <v>328</v>
      </c>
      <c r="I2959" t="s">
        <v>1003</v>
      </c>
      <c r="J2959" t="s">
        <v>547</v>
      </c>
      <c r="K2959" t="s">
        <v>97</v>
      </c>
      <c r="L2959">
        <v>154.74</v>
      </c>
      <c r="M2959" s="1">
        <v>45670</v>
      </c>
      <c r="N2959" t="s">
        <v>93</v>
      </c>
      <c r="O2959">
        <v>13</v>
      </c>
      <c r="P2959">
        <v>1</v>
      </c>
      <c r="Q2959">
        <v>1</v>
      </c>
      <c r="R2959">
        <v>2025</v>
      </c>
    </row>
    <row r="2960" spans="1:18">
      <c r="A2960">
        <v>95.55</v>
      </c>
      <c r="B2960">
        <v>5</v>
      </c>
      <c r="C2960">
        <v>2959</v>
      </c>
      <c r="D2960" s="2">
        <v>0.92476697916666661</v>
      </c>
      <c r="E2960" t="s">
        <v>2899</v>
      </c>
      <c r="F2960" t="s">
        <v>2900</v>
      </c>
      <c r="G2960" t="s">
        <v>1152</v>
      </c>
      <c r="H2960" t="s">
        <v>464</v>
      </c>
      <c r="I2960" t="s">
        <v>896</v>
      </c>
      <c r="J2960" t="s">
        <v>410</v>
      </c>
      <c r="K2960" t="s">
        <v>97</v>
      </c>
      <c r="L2960">
        <v>19.11</v>
      </c>
      <c r="M2960" s="1">
        <v>46032</v>
      </c>
      <c r="N2960" t="s">
        <v>14</v>
      </c>
      <c r="O2960">
        <v>10</v>
      </c>
      <c r="P2960">
        <v>1</v>
      </c>
      <c r="Q2960">
        <v>1</v>
      </c>
      <c r="R2960">
        <v>2026</v>
      </c>
    </row>
    <row r="2961" spans="1:18">
      <c r="A2961">
        <v>545.64</v>
      </c>
      <c r="B2961">
        <v>3</v>
      </c>
      <c r="C2961">
        <v>2960</v>
      </c>
      <c r="D2961" s="2">
        <v>0.92774005787037039</v>
      </c>
      <c r="E2961" t="s">
        <v>1974</v>
      </c>
      <c r="F2961" t="s">
        <v>1975</v>
      </c>
      <c r="G2961" t="s">
        <v>1976</v>
      </c>
      <c r="H2961" t="s">
        <v>806</v>
      </c>
      <c r="I2961" t="s">
        <v>807</v>
      </c>
      <c r="J2961" t="s">
        <v>549</v>
      </c>
      <c r="K2961" t="s">
        <v>82</v>
      </c>
      <c r="L2961">
        <v>181.88</v>
      </c>
      <c r="M2961" s="1">
        <v>46261</v>
      </c>
      <c r="N2961" t="s">
        <v>105</v>
      </c>
      <c r="O2961">
        <v>27</v>
      </c>
      <c r="P2961">
        <v>8</v>
      </c>
      <c r="Q2961">
        <v>3</v>
      </c>
      <c r="R2961">
        <v>2026</v>
      </c>
    </row>
    <row r="2962" spans="1:18">
      <c r="A2962">
        <v>566.04</v>
      </c>
      <c r="B2962">
        <v>4</v>
      </c>
      <c r="C2962">
        <v>2961</v>
      </c>
      <c r="D2962" s="2">
        <v>0.48721001157407406</v>
      </c>
      <c r="E2962" t="s">
        <v>1018</v>
      </c>
      <c r="F2962" t="s">
        <v>1019</v>
      </c>
      <c r="G2962" t="s">
        <v>1020</v>
      </c>
      <c r="H2962" t="s">
        <v>995</v>
      </c>
      <c r="I2962" t="s">
        <v>781</v>
      </c>
      <c r="J2962" t="s">
        <v>437</v>
      </c>
      <c r="K2962" t="s">
        <v>122</v>
      </c>
      <c r="L2962">
        <v>141.51</v>
      </c>
      <c r="M2962" s="1">
        <v>46216</v>
      </c>
      <c r="N2962" t="s">
        <v>93</v>
      </c>
      <c r="O2962">
        <v>13</v>
      </c>
      <c r="P2962">
        <v>7</v>
      </c>
      <c r="Q2962">
        <v>3</v>
      </c>
      <c r="R2962">
        <v>2026</v>
      </c>
    </row>
    <row r="2963" spans="1:18">
      <c r="A2963">
        <v>35.159999999999997</v>
      </c>
      <c r="B2963">
        <v>2</v>
      </c>
      <c r="C2963">
        <v>2962</v>
      </c>
      <c r="D2963" s="2">
        <v>0.73839994212962967</v>
      </c>
      <c r="E2963" t="s">
        <v>1043</v>
      </c>
      <c r="F2963" t="s">
        <v>1044</v>
      </c>
      <c r="G2963" t="s">
        <v>1045</v>
      </c>
      <c r="H2963" t="s">
        <v>747</v>
      </c>
      <c r="I2963" t="s">
        <v>748</v>
      </c>
      <c r="J2963" t="s">
        <v>469</v>
      </c>
      <c r="K2963" t="s">
        <v>46</v>
      </c>
      <c r="L2963">
        <v>17.579999999999998</v>
      </c>
      <c r="M2963" s="1">
        <v>45568</v>
      </c>
      <c r="N2963" t="s">
        <v>105</v>
      </c>
      <c r="O2963">
        <v>3</v>
      </c>
      <c r="P2963">
        <v>10</v>
      </c>
      <c r="Q2963">
        <v>4</v>
      </c>
      <c r="R2963">
        <v>2024</v>
      </c>
    </row>
    <row r="2964" spans="1:18">
      <c r="A2964">
        <v>197.06</v>
      </c>
      <c r="B2964">
        <v>1</v>
      </c>
      <c r="C2964">
        <v>2963</v>
      </c>
      <c r="D2964" s="2">
        <v>0.6849452430555556</v>
      </c>
      <c r="E2964" t="s">
        <v>3280</v>
      </c>
      <c r="F2964" t="s">
        <v>3281</v>
      </c>
      <c r="G2964" t="s">
        <v>2615</v>
      </c>
      <c r="H2964" t="s">
        <v>387</v>
      </c>
      <c r="I2964" t="s">
        <v>821</v>
      </c>
      <c r="J2964" t="s">
        <v>179</v>
      </c>
      <c r="K2964" t="s">
        <v>37</v>
      </c>
      <c r="L2964">
        <v>197.06</v>
      </c>
      <c r="M2964" s="1">
        <v>45960</v>
      </c>
      <c r="N2964" t="s">
        <v>105</v>
      </c>
      <c r="O2964">
        <v>30</v>
      </c>
      <c r="P2964">
        <v>10</v>
      </c>
      <c r="Q2964">
        <v>4</v>
      </c>
      <c r="R2964">
        <v>2025</v>
      </c>
    </row>
    <row r="2965" spans="1:18">
      <c r="A2965">
        <v>142.84</v>
      </c>
      <c r="B2965">
        <v>1</v>
      </c>
      <c r="C2965">
        <v>2964</v>
      </c>
      <c r="D2965" s="2">
        <v>0.61518998842592587</v>
      </c>
      <c r="E2965" t="s">
        <v>2660</v>
      </c>
      <c r="F2965" t="s">
        <v>2661</v>
      </c>
      <c r="G2965" t="s">
        <v>1616</v>
      </c>
      <c r="H2965" t="s">
        <v>1920</v>
      </c>
      <c r="I2965" t="s">
        <v>807</v>
      </c>
      <c r="J2965" t="s">
        <v>465</v>
      </c>
      <c r="K2965" t="s">
        <v>31</v>
      </c>
      <c r="L2965">
        <v>142.84</v>
      </c>
      <c r="M2965" s="1">
        <v>45932</v>
      </c>
      <c r="N2965" t="s">
        <v>105</v>
      </c>
      <c r="O2965">
        <v>2</v>
      </c>
      <c r="P2965">
        <v>10</v>
      </c>
      <c r="Q2965">
        <v>4</v>
      </c>
      <c r="R2965">
        <v>2025</v>
      </c>
    </row>
    <row r="2966" spans="1:18">
      <c r="A2966">
        <v>1076.25</v>
      </c>
      <c r="B2966">
        <v>5</v>
      </c>
      <c r="C2966">
        <v>2965</v>
      </c>
      <c r="D2966" s="2">
        <v>0.99435510416666661</v>
      </c>
      <c r="E2966" t="s">
        <v>1083</v>
      </c>
      <c r="F2966" t="s">
        <v>1084</v>
      </c>
      <c r="G2966" t="s">
        <v>1085</v>
      </c>
      <c r="H2966" t="s">
        <v>1007</v>
      </c>
      <c r="I2966" t="s">
        <v>966</v>
      </c>
      <c r="J2966" t="s">
        <v>148</v>
      </c>
      <c r="K2966" t="s">
        <v>51</v>
      </c>
      <c r="L2966">
        <v>215.25</v>
      </c>
      <c r="M2966" s="1">
        <v>46130</v>
      </c>
      <c r="N2966" t="s">
        <v>14</v>
      </c>
      <c r="O2966">
        <v>18</v>
      </c>
      <c r="P2966">
        <v>4</v>
      </c>
      <c r="Q2966">
        <v>2</v>
      </c>
      <c r="R2966">
        <v>2026</v>
      </c>
    </row>
    <row r="2967" spans="1:18">
      <c r="A2967">
        <v>208.84</v>
      </c>
      <c r="B2967">
        <v>4</v>
      </c>
      <c r="C2967">
        <v>2966</v>
      </c>
      <c r="D2967" s="2">
        <v>0.46072202546296298</v>
      </c>
      <c r="E2967" t="s">
        <v>2192</v>
      </c>
      <c r="F2967" t="s">
        <v>2193</v>
      </c>
      <c r="G2967" t="s">
        <v>865</v>
      </c>
      <c r="H2967" t="s">
        <v>772</v>
      </c>
      <c r="I2967" t="s">
        <v>758</v>
      </c>
      <c r="J2967" t="s">
        <v>137</v>
      </c>
      <c r="K2967" t="s">
        <v>82</v>
      </c>
      <c r="L2967">
        <v>52.21</v>
      </c>
      <c r="M2967" s="1">
        <v>46147</v>
      </c>
      <c r="N2967" t="s">
        <v>48</v>
      </c>
      <c r="O2967">
        <v>5</v>
      </c>
      <c r="P2967">
        <v>5</v>
      </c>
      <c r="Q2967">
        <v>2</v>
      </c>
      <c r="R2967">
        <v>2026</v>
      </c>
    </row>
    <row r="2968" spans="1:18">
      <c r="A2968">
        <v>446.15000000000003</v>
      </c>
      <c r="B2968">
        <v>5</v>
      </c>
      <c r="C2968">
        <v>2967</v>
      </c>
      <c r="D2968" s="2">
        <v>0.39779451388888887</v>
      </c>
      <c r="E2968" t="s">
        <v>2316</v>
      </c>
      <c r="F2968" t="s">
        <v>2317</v>
      </c>
      <c r="G2968" t="s">
        <v>1909</v>
      </c>
      <c r="H2968" t="s">
        <v>915</v>
      </c>
      <c r="I2968" t="s">
        <v>908</v>
      </c>
      <c r="J2968" t="s">
        <v>401</v>
      </c>
      <c r="K2968" t="s">
        <v>31</v>
      </c>
      <c r="L2968">
        <v>89.23</v>
      </c>
      <c r="M2968" s="1">
        <v>46264</v>
      </c>
      <c r="N2968" t="s">
        <v>28</v>
      </c>
      <c r="O2968">
        <v>30</v>
      </c>
      <c r="P2968">
        <v>8</v>
      </c>
      <c r="Q2968">
        <v>3</v>
      </c>
      <c r="R2968">
        <v>2026</v>
      </c>
    </row>
    <row r="2969" spans="1:18">
      <c r="A2969">
        <v>194.43</v>
      </c>
      <c r="B2969">
        <v>3</v>
      </c>
      <c r="C2969">
        <v>2968</v>
      </c>
      <c r="D2969" s="2">
        <v>3.6863344907407405E-2</v>
      </c>
      <c r="E2969" t="s">
        <v>1378</v>
      </c>
      <c r="F2969" t="s">
        <v>1379</v>
      </c>
      <c r="G2969" t="s">
        <v>1380</v>
      </c>
      <c r="H2969" t="s">
        <v>757</v>
      </c>
      <c r="I2969" t="s">
        <v>758</v>
      </c>
      <c r="J2969" t="s">
        <v>471</v>
      </c>
      <c r="K2969" t="s">
        <v>19</v>
      </c>
      <c r="L2969">
        <v>64.81</v>
      </c>
      <c r="M2969" s="1">
        <v>46052</v>
      </c>
      <c r="N2969" t="s">
        <v>79</v>
      </c>
      <c r="O2969">
        <v>30</v>
      </c>
      <c r="P2969">
        <v>1</v>
      </c>
      <c r="Q2969">
        <v>1</v>
      </c>
      <c r="R2969">
        <v>2026</v>
      </c>
    </row>
    <row r="2970" spans="1:18">
      <c r="A2970">
        <v>967.92</v>
      </c>
      <c r="B2970">
        <v>4</v>
      </c>
      <c r="C2970">
        <v>2969</v>
      </c>
      <c r="D2970" s="2">
        <v>0.4412392361111111</v>
      </c>
      <c r="E2970" t="s">
        <v>2171</v>
      </c>
      <c r="F2970" t="s">
        <v>2172</v>
      </c>
      <c r="G2970" t="s">
        <v>2173</v>
      </c>
      <c r="H2970" t="s">
        <v>762</v>
      </c>
      <c r="I2970" t="s">
        <v>763</v>
      </c>
      <c r="J2970" t="s">
        <v>203</v>
      </c>
      <c r="K2970" t="s">
        <v>100</v>
      </c>
      <c r="L2970">
        <v>241.98</v>
      </c>
      <c r="M2970" s="1">
        <v>46146</v>
      </c>
      <c r="N2970" t="s">
        <v>93</v>
      </c>
      <c r="O2970">
        <v>4</v>
      </c>
      <c r="P2970">
        <v>5</v>
      </c>
      <c r="Q2970">
        <v>2</v>
      </c>
      <c r="R2970">
        <v>2026</v>
      </c>
    </row>
    <row r="2971" spans="1:18">
      <c r="A2971">
        <v>70.319999999999993</v>
      </c>
      <c r="B2971">
        <v>4</v>
      </c>
      <c r="C2971">
        <v>2970</v>
      </c>
      <c r="D2971" s="2">
        <v>3.1812037037037035E-2</v>
      </c>
      <c r="E2971" t="s">
        <v>1832</v>
      </c>
      <c r="F2971" t="s">
        <v>1833</v>
      </c>
      <c r="G2971" t="s">
        <v>1358</v>
      </c>
      <c r="H2971" t="s">
        <v>825</v>
      </c>
      <c r="I2971" t="s">
        <v>781</v>
      </c>
      <c r="J2971" t="s">
        <v>469</v>
      </c>
      <c r="K2971" t="s">
        <v>46</v>
      </c>
      <c r="L2971">
        <v>17.579999999999998</v>
      </c>
      <c r="M2971" s="1">
        <v>45820</v>
      </c>
      <c r="N2971" t="s">
        <v>105</v>
      </c>
      <c r="O2971">
        <v>12</v>
      </c>
      <c r="P2971">
        <v>6</v>
      </c>
      <c r="Q2971">
        <v>2</v>
      </c>
      <c r="R2971">
        <v>2025</v>
      </c>
    </row>
    <row r="2972" spans="1:18">
      <c r="A2972">
        <v>458.18</v>
      </c>
      <c r="B2972">
        <v>2</v>
      </c>
      <c r="C2972">
        <v>2971</v>
      </c>
      <c r="D2972" s="2">
        <v>0.14390601851851853</v>
      </c>
      <c r="E2972" t="s">
        <v>2487</v>
      </c>
      <c r="F2972" t="s">
        <v>2488</v>
      </c>
      <c r="G2972" t="s">
        <v>1515</v>
      </c>
      <c r="H2972" t="s">
        <v>2489</v>
      </c>
      <c r="I2972" t="s">
        <v>1247</v>
      </c>
      <c r="J2972" t="s">
        <v>622</v>
      </c>
      <c r="K2972" t="s">
        <v>37</v>
      </c>
      <c r="L2972">
        <v>229.09</v>
      </c>
      <c r="M2972" s="1">
        <v>46103</v>
      </c>
      <c r="N2972" t="s">
        <v>28</v>
      </c>
      <c r="O2972">
        <v>22</v>
      </c>
      <c r="P2972">
        <v>3</v>
      </c>
      <c r="Q2972">
        <v>1</v>
      </c>
      <c r="R2972">
        <v>2026</v>
      </c>
    </row>
    <row r="2973" spans="1:18">
      <c r="A2973">
        <v>141.36000000000001</v>
      </c>
      <c r="B2973">
        <v>1</v>
      </c>
      <c r="C2973">
        <v>2972</v>
      </c>
      <c r="D2973" s="2">
        <v>0.38954092592592593</v>
      </c>
      <c r="E2973" t="s">
        <v>1990</v>
      </c>
      <c r="F2973" t="s">
        <v>1991</v>
      </c>
      <c r="G2973" t="s">
        <v>779</v>
      </c>
      <c r="H2973" t="s">
        <v>562</v>
      </c>
      <c r="I2973" t="s">
        <v>753</v>
      </c>
      <c r="J2973" t="s">
        <v>181</v>
      </c>
      <c r="K2973" t="s">
        <v>82</v>
      </c>
      <c r="L2973">
        <v>141.36000000000001</v>
      </c>
      <c r="M2973" s="1">
        <v>46057</v>
      </c>
      <c r="N2973" t="s">
        <v>34</v>
      </c>
      <c r="O2973">
        <v>4</v>
      </c>
      <c r="P2973">
        <v>2</v>
      </c>
      <c r="Q2973">
        <v>1</v>
      </c>
      <c r="R2973">
        <v>2026</v>
      </c>
    </row>
    <row r="2974" spans="1:18">
      <c r="A2974">
        <v>430.9</v>
      </c>
      <c r="B2974">
        <v>2</v>
      </c>
      <c r="C2974">
        <v>2973</v>
      </c>
      <c r="D2974" s="2">
        <v>0.51811459490740741</v>
      </c>
      <c r="E2974" t="s">
        <v>2632</v>
      </c>
      <c r="F2974" t="s">
        <v>2633</v>
      </c>
      <c r="G2974" t="s">
        <v>1965</v>
      </c>
      <c r="H2974" t="s">
        <v>869</v>
      </c>
      <c r="I2974" t="s">
        <v>1247</v>
      </c>
      <c r="J2974" t="s">
        <v>395</v>
      </c>
      <c r="K2974" t="s">
        <v>19</v>
      </c>
      <c r="L2974">
        <v>215.45</v>
      </c>
      <c r="M2974" s="1">
        <v>46163</v>
      </c>
      <c r="N2974" t="s">
        <v>105</v>
      </c>
      <c r="O2974">
        <v>21</v>
      </c>
      <c r="P2974">
        <v>5</v>
      </c>
      <c r="Q2974">
        <v>2</v>
      </c>
      <c r="R2974">
        <v>2026</v>
      </c>
    </row>
    <row r="2975" spans="1:18">
      <c r="A2975">
        <v>624.94999999999993</v>
      </c>
      <c r="B2975">
        <v>5</v>
      </c>
      <c r="C2975">
        <v>2974</v>
      </c>
      <c r="D2975" s="2">
        <v>0.10799130787037037</v>
      </c>
      <c r="E2975" t="s">
        <v>3260</v>
      </c>
      <c r="F2975" t="s">
        <v>3261</v>
      </c>
      <c r="G2975" t="s">
        <v>766</v>
      </c>
      <c r="H2975" t="s">
        <v>380</v>
      </c>
      <c r="I2975" t="s">
        <v>896</v>
      </c>
      <c r="J2975" t="s">
        <v>512</v>
      </c>
      <c r="K2975" t="s">
        <v>27</v>
      </c>
      <c r="L2975">
        <v>124.99</v>
      </c>
      <c r="M2975" s="1">
        <v>45757</v>
      </c>
      <c r="N2975" t="s">
        <v>105</v>
      </c>
      <c r="O2975">
        <v>10</v>
      </c>
      <c r="P2975">
        <v>4</v>
      </c>
      <c r="Q2975">
        <v>2</v>
      </c>
      <c r="R2975">
        <v>2025</v>
      </c>
    </row>
    <row r="2976" spans="1:18">
      <c r="A2976">
        <v>939.12</v>
      </c>
      <c r="B2976">
        <v>4</v>
      </c>
      <c r="C2976">
        <v>2975</v>
      </c>
      <c r="D2976" s="2">
        <v>0.87285924768518519</v>
      </c>
      <c r="E2976" t="s">
        <v>2094</v>
      </c>
      <c r="F2976" t="s">
        <v>2095</v>
      </c>
      <c r="G2976" t="s">
        <v>1038</v>
      </c>
      <c r="H2976" t="s">
        <v>1107</v>
      </c>
      <c r="I2976" t="s">
        <v>892</v>
      </c>
      <c r="J2976" t="s">
        <v>45</v>
      </c>
      <c r="K2976" t="s">
        <v>46</v>
      </c>
      <c r="L2976">
        <v>234.78</v>
      </c>
      <c r="M2976" s="1">
        <v>46254</v>
      </c>
      <c r="N2976" t="s">
        <v>105</v>
      </c>
      <c r="O2976">
        <v>20</v>
      </c>
      <c r="P2976">
        <v>8</v>
      </c>
      <c r="Q2976">
        <v>3</v>
      </c>
      <c r="R2976">
        <v>2026</v>
      </c>
    </row>
    <row r="2977" spans="1:18">
      <c r="A2977">
        <v>297.12</v>
      </c>
      <c r="B2977">
        <v>4</v>
      </c>
      <c r="C2977">
        <v>2976</v>
      </c>
      <c r="D2977" s="2">
        <v>6.1904097222222225E-2</v>
      </c>
      <c r="E2977" t="s">
        <v>2963</v>
      </c>
      <c r="F2977" t="s">
        <v>2964</v>
      </c>
      <c r="G2977" t="s">
        <v>1286</v>
      </c>
      <c r="H2977" t="s">
        <v>1199</v>
      </c>
      <c r="I2977" t="s">
        <v>839</v>
      </c>
      <c r="J2977" t="s">
        <v>54</v>
      </c>
      <c r="K2977" t="s">
        <v>55</v>
      </c>
      <c r="L2977">
        <v>74.28</v>
      </c>
      <c r="M2977" s="1">
        <v>45998</v>
      </c>
      <c r="N2977" t="s">
        <v>28</v>
      </c>
      <c r="O2977">
        <v>7</v>
      </c>
      <c r="P2977">
        <v>12</v>
      </c>
      <c r="Q2977">
        <v>4</v>
      </c>
      <c r="R2977">
        <v>2025</v>
      </c>
    </row>
    <row r="2978" spans="1:18">
      <c r="A2978">
        <v>231.55</v>
      </c>
      <c r="B2978">
        <v>5</v>
      </c>
      <c r="C2978">
        <v>2977</v>
      </c>
      <c r="D2978" s="2">
        <v>0.16652140046296296</v>
      </c>
      <c r="E2978" t="s">
        <v>2079</v>
      </c>
      <c r="F2978" t="s">
        <v>2080</v>
      </c>
      <c r="G2978" t="s">
        <v>1698</v>
      </c>
      <c r="H2978" t="s">
        <v>1673</v>
      </c>
      <c r="I2978" t="s">
        <v>821</v>
      </c>
      <c r="J2978" t="s">
        <v>583</v>
      </c>
      <c r="K2978" t="s">
        <v>19</v>
      </c>
      <c r="L2978">
        <v>46.31</v>
      </c>
      <c r="M2978" s="1">
        <v>45796</v>
      </c>
      <c r="N2978" t="s">
        <v>93</v>
      </c>
      <c r="O2978">
        <v>19</v>
      </c>
      <c r="P2978">
        <v>5</v>
      </c>
      <c r="Q2978">
        <v>2</v>
      </c>
      <c r="R2978">
        <v>2025</v>
      </c>
    </row>
    <row r="2979" spans="1:18">
      <c r="A2979">
        <v>623.20000000000005</v>
      </c>
      <c r="B2979">
        <v>5</v>
      </c>
      <c r="C2979">
        <v>2978</v>
      </c>
      <c r="D2979" s="2">
        <v>0.95893158564814818</v>
      </c>
      <c r="E2979" t="s">
        <v>3494</v>
      </c>
      <c r="F2979" t="s">
        <v>3495</v>
      </c>
      <c r="G2979" t="s">
        <v>1133</v>
      </c>
      <c r="H2979" t="s">
        <v>816</v>
      </c>
      <c r="I2979" t="s">
        <v>817</v>
      </c>
      <c r="J2979" t="s">
        <v>356</v>
      </c>
      <c r="K2979" t="s">
        <v>69</v>
      </c>
      <c r="L2979">
        <v>124.64</v>
      </c>
      <c r="M2979" s="1">
        <v>45742</v>
      </c>
      <c r="N2979" t="s">
        <v>34</v>
      </c>
      <c r="O2979">
        <v>26</v>
      </c>
      <c r="P2979">
        <v>3</v>
      </c>
      <c r="Q2979">
        <v>1</v>
      </c>
      <c r="R2979">
        <v>2025</v>
      </c>
    </row>
    <row r="2980" spans="1:18">
      <c r="A2980">
        <v>127.38</v>
      </c>
      <c r="B2980">
        <v>1</v>
      </c>
      <c r="C2980">
        <v>2979</v>
      </c>
      <c r="D2980" s="2">
        <v>0.84534432870370368</v>
      </c>
      <c r="E2980" t="s">
        <v>3494</v>
      </c>
      <c r="F2980" t="s">
        <v>3495</v>
      </c>
      <c r="G2980" t="s">
        <v>1133</v>
      </c>
      <c r="H2980" t="s">
        <v>816</v>
      </c>
      <c r="I2980" t="s">
        <v>817</v>
      </c>
      <c r="J2980" t="s">
        <v>1217</v>
      </c>
      <c r="K2980" t="s">
        <v>122</v>
      </c>
      <c r="L2980">
        <v>127.38</v>
      </c>
      <c r="M2980" s="1">
        <v>46082</v>
      </c>
      <c r="N2980" t="s">
        <v>28</v>
      </c>
      <c r="O2980">
        <v>1</v>
      </c>
      <c r="P2980">
        <v>3</v>
      </c>
      <c r="Q2980">
        <v>1</v>
      </c>
      <c r="R2980">
        <v>2026</v>
      </c>
    </row>
    <row r="2981" spans="1:18">
      <c r="A2981">
        <v>493.64</v>
      </c>
      <c r="B2981">
        <v>2</v>
      </c>
      <c r="C2981">
        <v>2980</v>
      </c>
      <c r="D2981" s="2">
        <v>7.1759259259259259E-3</v>
      </c>
      <c r="E2981" t="s">
        <v>1438</v>
      </c>
      <c r="F2981" t="s">
        <v>1439</v>
      </c>
      <c r="G2981" t="s">
        <v>1440</v>
      </c>
      <c r="H2981" t="s">
        <v>29</v>
      </c>
      <c r="I2981" t="s">
        <v>763</v>
      </c>
      <c r="J2981" t="s">
        <v>369</v>
      </c>
      <c r="K2981" t="s">
        <v>43</v>
      </c>
      <c r="L2981">
        <v>246.82</v>
      </c>
      <c r="M2981" s="1">
        <v>45689</v>
      </c>
      <c r="N2981" t="s">
        <v>14</v>
      </c>
      <c r="O2981">
        <v>1</v>
      </c>
      <c r="P2981">
        <v>2</v>
      </c>
      <c r="Q2981">
        <v>1</v>
      </c>
      <c r="R2981">
        <v>2025</v>
      </c>
    </row>
    <row r="2982" spans="1:18">
      <c r="A2982">
        <v>67.12</v>
      </c>
      <c r="B2982">
        <v>2</v>
      </c>
      <c r="C2982">
        <v>2981</v>
      </c>
      <c r="D2982" s="2">
        <v>0.76301539351851855</v>
      </c>
      <c r="E2982" t="s">
        <v>3389</v>
      </c>
      <c r="F2982" t="s">
        <v>3390</v>
      </c>
      <c r="G2982" t="s">
        <v>3391</v>
      </c>
      <c r="H2982" t="s">
        <v>794</v>
      </c>
      <c r="I2982" t="s">
        <v>821</v>
      </c>
      <c r="J2982" t="s">
        <v>609</v>
      </c>
      <c r="K2982" t="s">
        <v>27</v>
      </c>
      <c r="L2982">
        <v>33.56</v>
      </c>
      <c r="M2982" s="1">
        <v>45936</v>
      </c>
      <c r="N2982" t="s">
        <v>93</v>
      </c>
      <c r="O2982">
        <v>6</v>
      </c>
      <c r="P2982">
        <v>10</v>
      </c>
      <c r="Q2982">
        <v>4</v>
      </c>
      <c r="R2982">
        <v>2025</v>
      </c>
    </row>
    <row r="2983" spans="1:18">
      <c r="A2983">
        <v>914.96</v>
      </c>
      <c r="B2983">
        <v>4</v>
      </c>
      <c r="C2983">
        <v>2982</v>
      </c>
      <c r="D2983" s="2">
        <v>0.37346640046296298</v>
      </c>
      <c r="E2983" t="s">
        <v>1689</v>
      </c>
      <c r="F2983" t="s">
        <v>1690</v>
      </c>
      <c r="G2983" t="s">
        <v>1559</v>
      </c>
      <c r="H2983" t="s">
        <v>1691</v>
      </c>
      <c r="I2983" t="s">
        <v>821</v>
      </c>
      <c r="J2983" t="s">
        <v>566</v>
      </c>
      <c r="K2983" t="s">
        <v>69</v>
      </c>
      <c r="L2983">
        <v>228.74</v>
      </c>
      <c r="M2983" s="1">
        <v>45733</v>
      </c>
      <c r="N2983" t="s">
        <v>93</v>
      </c>
      <c r="O2983">
        <v>17</v>
      </c>
      <c r="P2983">
        <v>3</v>
      </c>
      <c r="Q2983">
        <v>1</v>
      </c>
      <c r="R2983">
        <v>2025</v>
      </c>
    </row>
    <row r="2984" spans="1:18">
      <c r="A2984">
        <v>810.45</v>
      </c>
      <c r="B2984">
        <v>5</v>
      </c>
      <c r="C2984">
        <v>2983</v>
      </c>
      <c r="D2984" s="2">
        <v>0.71225075231481483</v>
      </c>
      <c r="E2984" t="s">
        <v>2912</v>
      </c>
      <c r="F2984" t="s">
        <v>2913</v>
      </c>
      <c r="G2984" t="s">
        <v>1657</v>
      </c>
      <c r="H2984" t="s">
        <v>907</v>
      </c>
      <c r="I2984" t="s">
        <v>908</v>
      </c>
      <c r="J2984" t="s">
        <v>124</v>
      </c>
      <c r="K2984" t="s">
        <v>82</v>
      </c>
      <c r="L2984">
        <v>162.09</v>
      </c>
      <c r="M2984" s="1">
        <v>45749</v>
      </c>
      <c r="N2984" t="s">
        <v>34</v>
      </c>
      <c r="O2984">
        <v>2</v>
      </c>
      <c r="P2984">
        <v>4</v>
      </c>
      <c r="Q2984">
        <v>2</v>
      </c>
      <c r="R2984">
        <v>2025</v>
      </c>
    </row>
    <row r="2985" spans="1:18">
      <c r="A2985">
        <v>163.62</v>
      </c>
      <c r="B2985">
        <v>3</v>
      </c>
      <c r="C2985">
        <v>2984</v>
      </c>
      <c r="D2985" s="2">
        <v>8.9412569444444451E-2</v>
      </c>
      <c r="E2985" t="s">
        <v>2219</v>
      </c>
      <c r="F2985" t="s">
        <v>2220</v>
      </c>
      <c r="G2985" t="s">
        <v>2133</v>
      </c>
      <c r="H2985" t="s">
        <v>1067</v>
      </c>
      <c r="I2985" t="s">
        <v>854</v>
      </c>
      <c r="J2985" t="s">
        <v>292</v>
      </c>
      <c r="K2985" t="s">
        <v>97</v>
      </c>
      <c r="L2985">
        <v>54.54</v>
      </c>
      <c r="M2985" s="1">
        <v>45641</v>
      </c>
      <c r="N2985" t="s">
        <v>28</v>
      </c>
      <c r="O2985">
        <v>15</v>
      </c>
      <c r="P2985">
        <v>12</v>
      </c>
      <c r="Q2985">
        <v>4</v>
      </c>
      <c r="R2985">
        <v>2024</v>
      </c>
    </row>
    <row r="2986" spans="1:18">
      <c r="A2986">
        <v>61.16</v>
      </c>
      <c r="B2986">
        <v>2</v>
      </c>
      <c r="C2986">
        <v>2985</v>
      </c>
      <c r="D2986" s="2">
        <v>0.68386824074074071</v>
      </c>
      <c r="E2986" t="s">
        <v>2123</v>
      </c>
      <c r="F2986" t="s">
        <v>2124</v>
      </c>
      <c r="G2986" t="s">
        <v>1291</v>
      </c>
      <c r="H2986" t="s">
        <v>106</v>
      </c>
      <c r="I2986" t="s">
        <v>748</v>
      </c>
      <c r="J2986" t="s">
        <v>574</v>
      </c>
      <c r="K2986" t="s">
        <v>19</v>
      </c>
      <c r="L2986">
        <v>30.58</v>
      </c>
      <c r="M2986" s="1">
        <v>45880</v>
      </c>
      <c r="N2986" t="s">
        <v>93</v>
      </c>
      <c r="O2986">
        <v>11</v>
      </c>
      <c r="P2986">
        <v>8</v>
      </c>
      <c r="Q2986">
        <v>3</v>
      </c>
      <c r="R2986">
        <v>2025</v>
      </c>
    </row>
    <row r="2987" spans="1:18">
      <c r="A2987">
        <v>87.62</v>
      </c>
      <c r="B2987">
        <v>2</v>
      </c>
      <c r="C2987">
        <v>2986</v>
      </c>
      <c r="D2987" s="2">
        <v>0.14954875000000001</v>
      </c>
      <c r="E2987" t="s">
        <v>2350</v>
      </c>
      <c r="F2987" t="s">
        <v>2351</v>
      </c>
      <c r="G2987" t="s">
        <v>2346</v>
      </c>
      <c r="H2987" t="s">
        <v>1306</v>
      </c>
      <c r="I2987" t="s">
        <v>966</v>
      </c>
      <c r="J2987" t="s">
        <v>354</v>
      </c>
      <c r="K2987" t="s">
        <v>31</v>
      </c>
      <c r="L2987">
        <v>43.81</v>
      </c>
      <c r="M2987" s="1">
        <v>45895</v>
      </c>
      <c r="N2987" t="s">
        <v>48</v>
      </c>
      <c r="O2987">
        <v>26</v>
      </c>
      <c r="P2987">
        <v>8</v>
      </c>
      <c r="Q2987">
        <v>3</v>
      </c>
      <c r="R2987">
        <v>2025</v>
      </c>
    </row>
    <row r="2988" spans="1:18">
      <c r="A2988">
        <v>5.0999999999999996</v>
      </c>
      <c r="B2988">
        <v>5</v>
      </c>
      <c r="C2988">
        <v>2987</v>
      </c>
      <c r="D2988" s="2">
        <v>0.26967035879629631</v>
      </c>
      <c r="E2988" t="s">
        <v>2016</v>
      </c>
      <c r="F2988" t="s">
        <v>2017</v>
      </c>
      <c r="G2988" t="s">
        <v>1585</v>
      </c>
      <c r="H2988" t="s">
        <v>29</v>
      </c>
      <c r="I2988" t="s">
        <v>763</v>
      </c>
      <c r="J2988" t="s">
        <v>477</v>
      </c>
      <c r="K2988" t="s">
        <v>39</v>
      </c>
      <c r="L2988">
        <v>1.02</v>
      </c>
      <c r="M2988" s="1">
        <v>45955</v>
      </c>
      <c r="N2988" t="s">
        <v>14</v>
      </c>
      <c r="O2988">
        <v>25</v>
      </c>
      <c r="P2988">
        <v>10</v>
      </c>
      <c r="Q2988">
        <v>4</v>
      </c>
      <c r="R2988">
        <v>2025</v>
      </c>
    </row>
    <row r="2989" spans="1:18">
      <c r="A2989">
        <v>160.43</v>
      </c>
      <c r="B2989">
        <v>1</v>
      </c>
      <c r="C2989">
        <v>2988</v>
      </c>
      <c r="D2989" s="2">
        <v>0.12336347222222223</v>
      </c>
      <c r="E2989" t="s">
        <v>759</v>
      </c>
      <c r="F2989" t="s">
        <v>760</v>
      </c>
      <c r="G2989" t="s">
        <v>761</v>
      </c>
      <c r="H2989" t="s">
        <v>762</v>
      </c>
      <c r="I2989" t="s">
        <v>763</v>
      </c>
      <c r="J2989" t="s">
        <v>424</v>
      </c>
      <c r="K2989" t="s">
        <v>69</v>
      </c>
      <c r="L2989">
        <v>160.43</v>
      </c>
      <c r="M2989" s="1">
        <v>46270</v>
      </c>
      <c r="N2989" t="s">
        <v>14</v>
      </c>
      <c r="O2989">
        <v>5</v>
      </c>
      <c r="P2989">
        <v>9</v>
      </c>
      <c r="Q2989">
        <v>3</v>
      </c>
      <c r="R2989">
        <v>2026</v>
      </c>
    </row>
    <row r="2990" spans="1:18">
      <c r="A2990">
        <v>140.52000000000001</v>
      </c>
      <c r="B2990">
        <v>4</v>
      </c>
      <c r="C2990">
        <v>2989</v>
      </c>
      <c r="D2990" s="2">
        <v>0.20544194444444444</v>
      </c>
      <c r="E2990" t="s">
        <v>2045</v>
      </c>
      <c r="F2990" t="s">
        <v>2046</v>
      </c>
      <c r="G2990" t="s">
        <v>833</v>
      </c>
      <c r="H2990" t="s">
        <v>1061</v>
      </c>
      <c r="I2990" t="s">
        <v>812</v>
      </c>
      <c r="J2990" t="s">
        <v>559</v>
      </c>
      <c r="K2990" t="s">
        <v>97</v>
      </c>
      <c r="L2990">
        <v>35.130000000000003</v>
      </c>
      <c r="M2990" s="1">
        <v>45859</v>
      </c>
      <c r="N2990" t="s">
        <v>93</v>
      </c>
      <c r="O2990">
        <v>21</v>
      </c>
      <c r="P2990">
        <v>7</v>
      </c>
      <c r="Q2990">
        <v>3</v>
      </c>
      <c r="R2990">
        <v>2025</v>
      </c>
    </row>
    <row r="2991" spans="1:18">
      <c r="A2991">
        <v>158.26</v>
      </c>
      <c r="B2991">
        <v>2</v>
      </c>
      <c r="C2991">
        <v>2990</v>
      </c>
      <c r="D2991" s="2">
        <v>0.75592840277777773</v>
      </c>
      <c r="E2991" t="s">
        <v>1680</v>
      </c>
      <c r="F2991" t="s">
        <v>1681</v>
      </c>
      <c r="G2991" t="s">
        <v>895</v>
      </c>
      <c r="H2991" t="s">
        <v>1682</v>
      </c>
      <c r="I2991" t="s">
        <v>892</v>
      </c>
      <c r="J2991" t="s">
        <v>83</v>
      </c>
      <c r="K2991" t="s">
        <v>51</v>
      </c>
      <c r="L2991">
        <v>79.13</v>
      </c>
      <c r="M2991" s="1">
        <v>45799</v>
      </c>
      <c r="N2991" t="s">
        <v>105</v>
      </c>
      <c r="O2991">
        <v>22</v>
      </c>
      <c r="P2991">
        <v>5</v>
      </c>
      <c r="Q2991">
        <v>2</v>
      </c>
      <c r="R2991">
        <v>2025</v>
      </c>
    </row>
    <row r="2992" spans="1:18">
      <c r="A2992">
        <v>244.32</v>
      </c>
      <c r="B2992">
        <v>1</v>
      </c>
      <c r="C2992">
        <v>2991</v>
      </c>
      <c r="D2992" s="2">
        <v>0.25406251157407406</v>
      </c>
      <c r="E2992" t="s">
        <v>1093</v>
      </c>
      <c r="F2992" t="s">
        <v>1094</v>
      </c>
      <c r="G2992" t="s">
        <v>1095</v>
      </c>
      <c r="H2992" t="s">
        <v>862</v>
      </c>
      <c r="I2992" t="s">
        <v>758</v>
      </c>
      <c r="J2992" t="s">
        <v>613</v>
      </c>
      <c r="K2992" t="s">
        <v>21</v>
      </c>
      <c r="L2992">
        <v>244.32</v>
      </c>
      <c r="M2992" s="1">
        <v>46097</v>
      </c>
      <c r="N2992" t="s">
        <v>93</v>
      </c>
      <c r="O2992">
        <v>16</v>
      </c>
      <c r="P2992">
        <v>3</v>
      </c>
      <c r="Q2992">
        <v>1</v>
      </c>
      <c r="R2992">
        <v>2026</v>
      </c>
    </row>
    <row r="2993" spans="1:18">
      <c r="A2993">
        <v>38.380000000000003</v>
      </c>
      <c r="B2993">
        <v>2</v>
      </c>
      <c r="C2993">
        <v>2992</v>
      </c>
      <c r="D2993" s="2">
        <v>0.42254285879629627</v>
      </c>
      <c r="E2993" t="s">
        <v>2722</v>
      </c>
      <c r="F2993" t="s">
        <v>2723</v>
      </c>
      <c r="G2993" t="s">
        <v>1440</v>
      </c>
      <c r="H2993" t="s">
        <v>380</v>
      </c>
      <c r="I2993" t="s">
        <v>776</v>
      </c>
      <c r="J2993" t="s">
        <v>71</v>
      </c>
      <c r="K2993" t="s">
        <v>23</v>
      </c>
      <c r="L2993">
        <v>19.190000000000001</v>
      </c>
      <c r="M2993" s="1">
        <v>46206</v>
      </c>
      <c r="N2993" t="s">
        <v>79</v>
      </c>
      <c r="O2993">
        <v>3</v>
      </c>
      <c r="P2993">
        <v>7</v>
      </c>
      <c r="Q2993">
        <v>3</v>
      </c>
      <c r="R2993">
        <v>2026</v>
      </c>
    </row>
    <row r="2994" spans="1:18">
      <c r="A2994">
        <v>437.49</v>
      </c>
      <c r="B2994">
        <v>3</v>
      </c>
      <c r="C2994">
        <v>2993</v>
      </c>
      <c r="D2994" s="2">
        <v>0.55709145833333329</v>
      </c>
      <c r="E2994" t="s">
        <v>920</v>
      </c>
      <c r="F2994" t="s">
        <v>921</v>
      </c>
      <c r="G2994" t="s">
        <v>922</v>
      </c>
      <c r="H2994" t="s">
        <v>380</v>
      </c>
      <c r="I2994" t="s">
        <v>776</v>
      </c>
      <c r="J2994" t="s">
        <v>171</v>
      </c>
      <c r="K2994" t="s">
        <v>46</v>
      </c>
      <c r="L2994">
        <v>145.83000000000001</v>
      </c>
      <c r="M2994" s="1">
        <v>46237</v>
      </c>
      <c r="N2994" t="s">
        <v>93</v>
      </c>
      <c r="O2994">
        <v>3</v>
      </c>
      <c r="P2994">
        <v>8</v>
      </c>
      <c r="Q2994">
        <v>3</v>
      </c>
      <c r="R2994">
        <v>2026</v>
      </c>
    </row>
    <row r="2995" spans="1:18">
      <c r="A2995">
        <v>180.26</v>
      </c>
      <c r="B2995">
        <v>2</v>
      </c>
      <c r="C2995">
        <v>2994</v>
      </c>
      <c r="D2995" s="2">
        <v>1.868138888888889E-2</v>
      </c>
      <c r="E2995" t="s">
        <v>2395</v>
      </c>
      <c r="F2995" t="s">
        <v>2396</v>
      </c>
      <c r="G2995" t="s">
        <v>761</v>
      </c>
      <c r="H2995" t="s">
        <v>2397</v>
      </c>
      <c r="I2995" t="s">
        <v>966</v>
      </c>
      <c r="J2995" t="s">
        <v>304</v>
      </c>
      <c r="K2995" t="s">
        <v>100</v>
      </c>
      <c r="L2995">
        <v>90.13</v>
      </c>
      <c r="M2995" s="1">
        <v>45677</v>
      </c>
      <c r="N2995" t="s">
        <v>93</v>
      </c>
      <c r="O2995">
        <v>20</v>
      </c>
      <c r="P2995">
        <v>1</v>
      </c>
      <c r="Q2995">
        <v>1</v>
      </c>
      <c r="R2995">
        <v>2025</v>
      </c>
    </row>
    <row r="2996" spans="1:18">
      <c r="A2996">
        <v>241.99</v>
      </c>
      <c r="B2996">
        <v>1</v>
      </c>
      <c r="C2996">
        <v>2995</v>
      </c>
      <c r="D2996" s="2">
        <v>0.35190694444444443</v>
      </c>
      <c r="E2996" t="s">
        <v>2087</v>
      </c>
      <c r="F2996" t="s">
        <v>2088</v>
      </c>
      <c r="G2996" t="s">
        <v>820</v>
      </c>
      <c r="H2996" t="s">
        <v>995</v>
      </c>
      <c r="I2996" t="s">
        <v>781</v>
      </c>
      <c r="J2996" t="s">
        <v>521</v>
      </c>
      <c r="K2996" t="s">
        <v>17</v>
      </c>
      <c r="L2996">
        <v>241.99</v>
      </c>
      <c r="M2996" s="1">
        <v>46066</v>
      </c>
      <c r="N2996" t="s">
        <v>79</v>
      </c>
      <c r="O2996">
        <v>13</v>
      </c>
      <c r="P2996">
        <v>2</v>
      </c>
      <c r="Q2996">
        <v>1</v>
      </c>
      <c r="R2996">
        <v>2026</v>
      </c>
    </row>
    <row r="2997" spans="1:18">
      <c r="A2997">
        <v>141.47999999999999</v>
      </c>
      <c r="B2997">
        <v>1</v>
      </c>
      <c r="C2997">
        <v>2996</v>
      </c>
      <c r="D2997" s="2">
        <v>0.7613574305555556</v>
      </c>
      <c r="E2997" t="s">
        <v>2638</v>
      </c>
      <c r="F2997" t="s">
        <v>2639</v>
      </c>
      <c r="G2997" t="s">
        <v>2640</v>
      </c>
      <c r="H2997" t="s">
        <v>328</v>
      </c>
      <c r="I2997" t="s">
        <v>1247</v>
      </c>
      <c r="J2997" t="s">
        <v>240</v>
      </c>
      <c r="K2997" t="s">
        <v>23</v>
      </c>
      <c r="L2997">
        <v>141.47999999999999</v>
      </c>
      <c r="M2997" s="1">
        <v>45918</v>
      </c>
      <c r="N2997" t="s">
        <v>105</v>
      </c>
      <c r="O2997">
        <v>18</v>
      </c>
      <c r="P2997">
        <v>9</v>
      </c>
      <c r="Q2997">
        <v>3</v>
      </c>
      <c r="R2997">
        <v>2025</v>
      </c>
    </row>
    <row r="2998" spans="1:18">
      <c r="A2998">
        <v>256.70000000000005</v>
      </c>
      <c r="B2998">
        <v>5</v>
      </c>
      <c r="C2998">
        <v>2997</v>
      </c>
      <c r="D2998" s="2">
        <v>0.93129989583333328</v>
      </c>
      <c r="E2998" t="s">
        <v>2261</v>
      </c>
      <c r="F2998" t="s">
        <v>2262</v>
      </c>
      <c r="G2998" t="s">
        <v>1660</v>
      </c>
      <c r="H2998" t="s">
        <v>1206</v>
      </c>
      <c r="I2998" t="s">
        <v>943</v>
      </c>
      <c r="J2998" t="s">
        <v>376</v>
      </c>
      <c r="K2998" t="s">
        <v>51</v>
      </c>
      <c r="L2998">
        <v>51.34</v>
      </c>
      <c r="M2998" s="1">
        <v>46041</v>
      </c>
      <c r="N2998" t="s">
        <v>93</v>
      </c>
      <c r="O2998">
        <v>19</v>
      </c>
      <c r="P2998">
        <v>1</v>
      </c>
      <c r="Q2998">
        <v>1</v>
      </c>
      <c r="R2998">
        <v>2026</v>
      </c>
    </row>
    <row r="2999" spans="1:18">
      <c r="A2999">
        <v>143.5</v>
      </c>
      <c r="B2999">
        <v>2</v>
      </c>
      <c r="C2999">
        <v>2998</v>
      </c>
      <c r="D2999" s="2">
        <v>0.41688862268518517</v>
      </c>
      <c r="E2999" t="s">
        <v>2545</v>
      </c>
      <c r="F2999" t="s">
        <v>2546</v>
      </c>
      <c r="G2999" t="s">
        <v>1590</v>
      </c>
      <c r="H2999" t="s">
        <v>1469</v>
      </c>
      <c r="I2999" t="s">
        <v>908</v>
      </c>
      <c r="J2999" t="s">
        <v>133</v>
      </c>
      <c r="K2999" t="s">
        <v>97</v>
      </c>
      <c r="L2999">
        <v>71.75</v>
      </c>
      <c r="M2999" s="1">
        <v>45566</v>
      </c>
      <c r="N2999" t="s">
        <v>48</v>
      </c>
      <c r="O2999">
        <v>1</v>
      </c>
      <c r="P2999">
        <v>10</v>
      </c>
      <c r="Q2999">
        <v>4</v>
      </c>
      <c r="R2999">
        <v>2024</v>
      </c>
    </row>
    <row r="3000" spans="1:18">
      <c r="A3000">
        <v>87.62</v>
      </c>
      <c r="B3000">
        <v>2</v>
      </c>
      <c r="C3000">
        <v>2999</v>
      </c>
      <c r="D3000" s="2">
        <v>0.78262954861111111</v>
      </c>
      <c r="E3000" t="s">
        <v>3278</v>
      </c>
      <c r="F3000" t="s">
        <v>3279</v>
      </c>
      <c r="G3000" t="s">
        <v>1725</v>
      </c>
      <c r="H3000" t="s">
        <v>929</v>
      </c>
      <c r="I3000" t="s">
        <v>786</v>
      </c>
      <c r="J3000" t="s">
        <v>354</v>
      </c>
      <c r="K3000" t="s">
        <v>31</v>
      </c>
      <c r="L3000">
        <v>43.81</v>
      </c>
      <c r="M3000" s="1">
        <v>45799</v>
      </c>
      <c r="N3000" t="s">
        <v>105</v>
      </c>
      <c r="O3000">
        <v>22</v>
      </c>
      <c r="P3000">
        <v>5</v>
      </c>
      <c r="Q3000">
        <v>2</v>
      </c>
      <c r="R3000">
        <v>2025</v>
      </c>
    </row>
    <row r="3001" spans="1:18">
      <c r="A3001">
        <v>90.25</v>
      </c>
      <c r="B3001">
        <v>5</v>
      </c>
      <c r="C3001">
        <v>3000</v>
      </c>
      <c r="D3001" s="2">
        <v>0.99509542824074071</v>
      </c>
      <c r="E3001" t="s">
        <v>1537</v>
      </c>
      <c r="F3001" t="s">
        <v>1538</v>
      </c>
      <c r="G3001" t="s">
        <v>1539</v>
      </c>
      <c r="H3001" t="s">
        <v>1540</v>
      </c>
      <c r="I3001" t="s">
        <v>768</v>
      </c>
      <c r="J3001" t="s">
        <v>30</v>
      </c>
      <c r="K3001" t="s">
        <v>31</v>
      </c>
      <c r="L3001">
        <v>18.05</v>
      </c>
      <c r="M3001" s="1">
        <v>45554</v>
      </c>
      <c r="N3001" t="s">
        <v>105</v>
      </c>
      <c r="O3001">
        <v>19</v>
      </c>
      <c r="P3001">
        <v>9</v>
      </c>
      <c r="Q3001">
        <v>3</v>
      </c>
      <c r="R3001">
        <v>2024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35AA-A2A5-4B4E-B0BD-514709103556}">
  <dimension ref="A1:P3001"/>
  <sheetViews>
    <sheetView topLeftCell="H1" workbookViewId="0">
      <selection activeCell="E2" sqref="E2"/>
    </sheetView>
  </sheetViews>
  <sheetFormatPr defaultRowHeight="14.6"/>
  <cols>
    <col min="1" max="1" width="18.61328125" bestFit="1" customWidth="1"/>
    <col min="2" max="2" width="23.84375" bestFit="1" customWidth="1"/>
    <col min="3" max="3" width="25.4609375" bestFit="1" customWidth="1"/>
    <col min="4" max="4" width="32.15234375" bestFit="1" customWidth="1"/>
    <col min="5" max="5" width="27.3828125" bestFit="1" customWidth="1"/>
    <col min="6" max="6" width="20.61328125" bestFit="1" customWidth="1"/>
    <col min="7" max="7" width="10.53515625" bestFit="1" customWidth="1"/>
    <col min="8" max="8" width="59.23046875" bestFit="1" customWidth="1"/>
    <col min="9" max="9" width="21.53515625" bestFit="1" customWidth="1"/>
    <col min="10" max="10" width="11.921875" bestFit="1" customWidth="1"/>
    <col min="11" max="11" width="16" bestFit="1" customWidth="1"/>
    <col min="12" max="12" width="16.15234375" bestFit="1" customWidth="1"/>
    <col min="13" max="13" width="5.69140625" bestFit="1" customWidth="1"/>
    <col min="14" max="14" width="6.61328125" bestFit="1" customWidth="1"/>
    <col min="15" max="15" width="11" bestFit="1" customWidth="1"/>
    <col min="16" max="16" width="6.15234375" bestFit="1" customWidth="1"/>
  </cols>
  <sheetData>
    <row r="1" spans="1:16">
      <c r="A1" t="s">
        <v>741</v>
      </c>
      <c r="B1" t="s">
        <v>742</v>
      </c>
      <c r="C1" t="s">
        <v>743</v>
      </c>
      <c r="D1" t="s">
        <v>3530</v>
      </c>
      <c r="E1" t="s">
        <v>3521</v>
      </c>
      <c r="F1" t="s">
        <v>3523</v>
      </c>
      <c r="G1" t="s">
        <v>3522</v>
      </c>
      <c r="H1" t="s">
        <v>9</v>
      </c>
      <c r="I1" t="s">
        <v>10</v>
      </c>
      <c r="J1" t="s">
        <v>3520</v>
      </c>
      <c r="K1" t="s">
        <v>2</v>
      </c>
      <c r="L1" t="s">
        <v>3</v>
      </c>
      <c r="M1" t="s">
        <v>4</v>
      </c>
      <c r="N1" t="s">
        <v>5</v>
      </c>
      <c r="O1" t="s">
        <v>3524</v>
      </c>
      <c r="P1" t="s">
        <v>7</v>
      </c>
    </row>
    <row r="2" spans="1:16">
      <c r="A2">
        <v>540.25</v>
      </c>
      <c r="B2">
        <v>5</v>
      </c>
      <c r="C2" t="s">
        <v>1186</v>
      </c>
      <c r="D2" t="s">
        <v>1187</v>
      </c>
      <c r="E2" t="s">
        <v>1188</v>
      </c>
      <c r="F2" t="s">
        <v>1189</v>
      </c>
      <c r="G2" t="s">
        <v>892</v>
      </c>
      <c r="H2" t="s">
        <v>682</v>
      </c>
      <c r="I2" t="s">
        <v>23</v>
      </c>
      <c r="J2">
        <v>108.05</v>
      </c>
      <c r="K2" s="1">
        <v>46032</v>
      </c>
      <c r="L2" t="s">
        <v>14</v>
      </c>
      <c r="M2">
        <v>10</v>
      </c>
      <c r="N2">
        <v>1</v>
      </c>
      <c r="O2">
        <v>1</v>
      </c>
      <c r="P2">
        <v>2026</v>
      </c>
    </row>
    <row r="3" spans="1:16">
      <c r="A3">
        <v>125.4</v>
      </c>
      <c r="B3">
        <v>4</v>
      </c>
      <c r="C3" t="s">
        <v>3335</v>
      </c>
      <c r="D3" t="s">
        <v>3336</v>
      </c>
      <c r="E3" t="s">
        <v>1146</v>
      </c>
      <c r="F3" t="s">
        <v>838</v>
      </c>
      <c r="G3" t="s">
        <v>839</v>
      </c>
      <c r="H3" t="s">
        <v>557</v>
      </c>
      <c r="I3" t="s">
        <v>46</v>
      </c>
      <c r="J3">
        <v>31.35</v>
      </c>
      <c r="K3" s="1">
        <v>45927</v>
      </c>
      <c r="L3" t="s">
        <v>14</v>
      </c>
      <c r="M3">
        <v>27</v>
      </c>
      <c r="N3">
        <v>9</v>
      </c>
      <c r="O3">
        <v>3</v>
      </c>
      <c r="P3">
        <v>2025</v>
      </c>
    </row>
    <row r="4" spans="1:16">
      <c r="A4">
        <v>866.94999999999993</v>
      </c>
      <c r="B4">
        <v>5</v>
      </c>
      <c r="C4" t="s">
        <v>3242</v>
      </c>
      <c r="D4" t="s">
        <v>3243</v>
      </c>
      <c r="E4" t="s">
        <v>861</v>
      </c>
      <c r="F4" t="s">
        <v>961</v>
      </c>
      <c r="G4" t="s">
        <v>807</v>
      </c>
      <c r="H4" t="s">
        <v>446</v>
      </c>
      <c r="I4" t="s">
        <v>57</v>
      </c>
      <c r="J4">
        <v>173.39</v>
      </c>
      <c r="K4" s="1">
        <v>46135</v>
      </c>
      <c r="L4" t="s">
        <v>105</v>
      </c>
      <c r="M4">
        <v>23</v>
      </c>
      <c r="N4">
        <v>4</v>
      </c>
      <c r="O4">
        <v>2</v>
      </c>
      <c r="P4">
        <v>2026</v>
      </c>
    </row>
    <row r="5" spans="1:16">
      <c r="A5">
        <v>386.84</v>
      </c>
      <c r="B5">
        <v>2</v>
      </c>
      <c r="C5" t="s">
        <v>3021</v>
      </c>
      <c r="D5" t="s">
        <v>3022</v>
      </c>
      <c r="E5" t="s">
        <v>2078</v>
      </c>
      <c r="F5" t="s">
        <v>915</v>
      </c>
      <c r="G5" t="s">
        <v>908</v>
      </c>
      <c r="H5" t="s">
        <v>294</v>
      </c>
      <c r="I5" t="s">
        <v>51</v>
      </c>
      <c r="J5">
        <v>193.42</v>
      </c>
      <c r="K5" s="1">
        <v>46199</v>
      </c>
      <c r="L5" t="s">
        <v>79</v>
      </c>
      <c r="M5">
        <v>26</v>
      </c>
      <c r="N5">
        <v>6</v>
      </c>
      <c r="O5">
        <v>2</v>
      </c>
      <c r="P5">
        <v>2026</v>
      </c>
    </row>
    <row r="6" spans="1:16">
      <c r="A6">
        <v>911.3</v>
      </c>
      <c r="B6">
        <v>5</v>
      </c>
      <c r="C6" t="s">
        <v>2281</v>
      </c>
      <c r="D6" t="s">
        <v>2282</v>
      </c>
      <c r="E6" t="s">
        <v>1965</v>
      </c>
      <c r="F6" t="s">
        <v>29</v>
      </c>
      <c r="G6" t="s">
        <v>821</v>
      </c>
      <c r="H6" t="s">
        <v>378</v>
      </c>
      <c r="I6" t="s">
        <v>57</v>
      </c>
      <c r="J6">
        <v>182.26</v>
      </c>
      <c r="K6" s="1">
        <v>45856</v>
      </c>
      <c r="L6" t="s">
        <v>79</v>
      </c>
      <c r="M6">
        <v>18</v>
      </c>
      <c r="N6">
        <v>7</v>
      </c>
      <c r="O6">
        <v>3</v>
      </c>
      <c r="P6">
        <v>2025</v>
      </c>
    </row>
    <row r="7" spans="1:16">
      <c r="A7">
        <v>310.98</v>
      </c>
      <c r="B7">
        <v>3</v>
      </c>
      <c r="C7" t="s">
        <v>2261</v>
      </c>
      <c r="D7" t="s">
        <v>2262</v>
      </c>
      <c r="E7" t="s">
        <v>1660</v>
      </c>
      <c r="F7" t="s">
        <v>1206</v>
      </c>
      <c r="G7" t="s">
        <v>943</v>
      </c>
      <c r="H7" t="s">
        <v>193</v>
      </c>
      <c r="I7" t="s">
        <v>55</v>
      </c>
      <c r="J7">
        <v>103.66</v>
      </c>
      <c r="K7" s="1">
        <v>45619</v>
      </c>
      <c r="L7" t="s">
        <v>14</v>
      </c>
      <c r="M7">
        <v>23</v>
      </c>
      <c r="N7">
        <v>11</v>
      </c>
      <c r="O7">
        <v>4</v>
      </c>
      <c r="P7">
        <v>2024</v>
      </c>
    </row>
    <row r="8" spans="1:16">
      <c r="A8">
        <v>79.680000000000007</v>
      </c>
      <c r="B8">
        <v>1</v>
      </c>
      <c r="C8" t="s">
        <v>1534</v>
      </c>
      <c r="D8" t="s">
        <v>1535</v>
      </c>
      <c r="E8" t="s">
        <v>1536</v>
      </c>
      <c r="F8" t="s">
        <v>995</v>
      </c>
      <c r="G8" t="s">
        <v>781</v>
      </c>
      <c r="H8" t="s">
        <v>565</v>
      </c>
      <c r="I8" t="s">
        <v>17</v>
      </c>
      <c r="J8">
        <v>79.680000000000007</v>
      </c>
      <c r="K8" s="1">
        <v>46143</v>
      </c>
      <c r="L8" t="s">
        <v>79</v>
      </c>
      <c r="M8">
        <v>1</v>
      </c>
      <c r="N8">
        <v>5</v>
      </c>
      <c r="O8">
        <v>2</v>
      </c>
      <c r="P8">
        <v>2026</v>
      </c>
    </row>
    <row r="9" spans="1:16">
      <c r="A9">
        <v>316.11</v>
      </c>
      <c r="B9">
        <v>3</v>
      </c>
      <c r="C9" t="s">
        <v>1638</v>
      </c>
      <c r="D9" t="s">
        <v>1639</v>
      </c>
      <c r="E9" t="s">
        <v>1545</v>
      </c>
      <c r="F9" t="s">
        <v>345</v>
      </c>
      <c r="G9" t="s">
        <v>892</v>
      </c>
      <c r="H9" t="s">
        <v>132</v>
      </c>
      <c r="I9" t="s">
        <v>31</v>
      </c>
      <c r="J9">
        <v>105.37</v>
      </c>
      <c r="K9" s="1">
        <v>45606</v>
      </c>
      <c r="L9" t="s">
        <v>28</v>
      </c>
      <c r="M9">
        <v>10</v>
      </c>
      <c r="N9">
        <v>11</v>
      </c>
      <c r="O9">
        <v>4</v>
      </c>
      <c r="P9">
        <v>2024</v>
      </c>
    </row>
    <row r="10" spans="1:16">
      <c r="A10">
        <v>70.41</v>
      </c>
      <c r="B10">
        <v>3</v>
      </c>
      <c r="C10" t="s">
        <v>2706</v>
      </c>
      <c r="D10" t="s">
        <v>2707</v>
      </c>
      <c r="E10" t="s">
        <v>1909</v>
      </c>
      <c r="F10" t="s">
        <v>15</v>
      </c>
      <c r="G10" t="s">
        <v>834</v>
      </c>
      <c r="H10" t="s">
        <v>492</v>
      </c>
      <c r="I10" t="s">
        <v>21</v>
      </c>
      <c r="J10">
        <v>23.47</v>
      </c>
      <c r="K10" s="1">
        <v>46268</v>
      </c>
      <c r="L10" t="s">
        <v>105</v>
      </c>
      <c r="M10">
        <v>3</v>
      </c>
      <c r="N10">
        <v>9</v>
      </c>
      <c r="O10">
        <v>3</v>
      </c>
      <c r="P10">
        <v>2026</v>
      </c>
    </row>
    <row r="11" spans="1:16">
      <c r="A11">
        <v>620.20000000000005</v>
      </c>
      <c r="B11">
        <v>5</v>
      </c>
      <c r="C11" t="s">
        <v>1822</v>
      </c>
      <c r="D11" t="s">
        <v>1823</v>
      </c>
      <c r="E11" t="s">
        <v>1824</v>
      </c>
      <c r="F11" t="s">
        <v>1540</v>
      </c>
      <c r="G11" t="s">
        <v>768</v>
      </c>
      <c r="H11" t="s">
        <v>543</v>
      </c>
      <c r="I11" t="s">
        <v>37</v>
      </c>
      <c r="J11">
        <v>124.04</v>
      </c>
      <c r="K11" s="1">
        <v>46168</v>
      </c>
      <c r="L11" t="s">
        <v>48</v>
      </c>
      <c r="M11">
        <v>26</v>
      </c>
      <c r="N11">
        <v>5</v>
      </c>
      <c r="O11">
        <v>2</v>
      </c>
      <c r="P11">
        <v>2026</v>
      </c>
    </row>
    <row r="12" spans="1:16">
      <c r="A12">
        <v>852.84999999999991</v>
      </c>
      <c r="B12">
        <v>5</v>
      </c>
      <c r="C12" t="s">
        <v>3087</v>
      </c>
      <c r="D12" t="s">
        <v>3088</v>
      </c>
      <c r="E12" t="s">
        <v>2241</v>
      </c>
      <c r="F12" t="s">
        <v>280</v>
      </c>
      <c r="G12" t="s">
        <v>786</v>
      </c>
      <c r="H12" t="s">
        <v>482</v>
      </c>
      <c r="I12" t="s">
        <v>82</v>
      </c>
      <c r="J12">
        <v>170.57</v>
      </c>
      <c r="K12" s="1">
        <v>45924</v>
      </c>
      <c r="L12" t="s">
        <v>34</v>
      </c>
      <c r="M12">
        <v>24</v>
      </c>
      <c r="N12">
        <v>9</v>
      </c>
      <c r="O12">
        <v>3</v>
      </c>
      <c r="P12">
        <v>2025</v>
      </c>
    </row>
    <row r="13" spans="1:16">
      <c r="A13">
        <v>173.32</v>
      </c>
      <c r="B13">
        <v>1</v>
      </c>
      <c r="C13" t="s">
        <v>2909</v>
      </c>
      <c r="D13" t="s">
        <v>2910</v>
      </c>
      <c r="E13" t="s">
        <v>2911</v>
      </c>
      <c r="F13" t="s">
        <v>1156</v>
      </c>
      <c r="G13" t="s">
        <v>821</v>
      </c>
      <c r="H13" t="s">
        <v>303</v>
      </c>
      <c r="I13" t="s">
        <v>19</v>
      </c>
      <c r="J13">
        <v>173.32</v>
      </c>
      <c r="K13" s="1">
        <v>45676</v>
      </c>
      <c r="L13" t="s">
        <v>28</v>
      </c>
      <c r="M13">
        <v>19</v>
      </c>
      <c r="N13">
        <v>1</v>
      </c>
      <c r="O13">
        <v>1</v>
      </c>
      <c r="P13">
        <v>2025</v>
      </c>
    </row>
    <row r="14" spans="1:16">
      <c r="A14">
        <v>430.38</v>
      </c>
      <c r="B14">
        <v>3</v>
      </c>
      <c r="C14" t="s">
        <v>1655</v>
      </c>
      <c r="D14" t="s">
        <v>1656</v>
      </c>
      <c r="E14" t="s">
        <v>1657</v>
      </c>
      <c r="F14" t="s">
        <v>199</v>
      </c>
      <c r="G14" t="s">
        <v>781</v>
      </c>
      <c r="H14" t="s">
        <v>299</v>
      </c>
      <c r="I14" t="s">
        <v>57</v>
      </c>
      <c r="J14">
        <v>143.46</v>
      </c>
      <c r="K14" s="1">
        <v>45673</v>
      </c>
      <c r="L14" t="s">
        <v>105</v>
      </c>
      <c r="M14">
        <v>16</v>
      </c>
      <c r="N14">
        <v>1</v>
      </c>
      <c r="O14">
        <v>1</v>
      </c>
      <c r="P14">
        <v>2025</v>
      </c>
    </row>
    <row r="15" spans="1:16">
      <c r="A15">
        <v>929.75</v>
      </c>
      <c r="B15">
        <v>5</v>
      </c>
      <c r="C15" t="s">
        <v>3019</v>
      </c>
      <c r="D15" t="s">
        <v>3020</v>
      </c>
      <c r="E15" t="s">
        <v>1404</v>
      </c>
      <c r="F15" t="s">
        <v>1002</v>
      </c>
      <c r="G15" t="s">
        <v>892</v>
      </c>
      <c r="H15" t="s">
        <v>556</v>
      </c>
      <c r="I15" t="s">
        <v>55</v>
      </c>
      <c r="J15">
        <v>185.95</v>
      </c>
      <c r="K15" s="1">
        <v>45926</v>
      </c>
      <c r="L15" t="s">
        <v>79</v>
      </c>
      <c r="M15">
        <v>26</v>
      </c>
      <c r="N15">
        <v>9</v>
      </c>
      <c r="O15">
        <v>3</v>
      </c>
      <c r="P15">
        <v>2025</v>
      </c>
    </row>
    <row r="16" spans="1:16">
      <c r="A16">
        <v>651.80000000000007</v>
      </c>
      <c r="B16">
        <v>5</v>
      </c>
      <c r="C16" t="s">
        <v>2244</v>
      </c>
      <c r="D16" t="s">
        <v>2245</v>
      </c>
      <c r="E16" t="s">
        <v>2246</v>
      </c>
      <c r="F16" t="s">
        <v>2247</v>
      </c>
      <c r="G16" t="s">
        <v>781</v>
      </c>
      <c r="H16" t="s">
        <v>118</v>
      </c>
      <c r="I16" t="s">
        <v>31</v>
      </c>
      <c r="J16">
        <v>130.36000000000001</v>
      </c>
      <c r="K16" s="1">
        <v>46002</v>
      </c>
      <c r="L16" t="s">
        <v>105</v>
      </c>
      <c r="M16">
        <v>11</v>
      </c>
      <c r="N16">
        <v>12</v>
      </c>
      <c r="O16">
        <v>4</v>
      </c>
      <c r="P16">
        <v>2025</v>
      </c>
    </row>
    <row r="17" spans="1:16">
      <c r="A17">
        <v>341.76</v>
      </c>
      <c r="B17">
        <v>3</v>
      </c>
      <c r="C17" t="s">
        <v>2608</v>
      </c>
      <c r="D17" t="s">
        <v>2609</v>
      </c>
      <c r="E17" t="s">
        <v>2610</v>
      </c>
      <c r="F17" t="s">
        <v>464</v>
      </c>
      <c r="G17" t="s">
        <v>896</v>
      </c>
      <c r="H17" t="s">
        <v>110</v>
      </c>
      <c r="I17" t="s">
        <v>51</v>
      </c>
      <c r="J17">
        <v>113.92</v>
      </c>
      <c r="K17" s="1">
        <v>46023</v>
      </c>
      <c r="L17" t="s">
        <v>105</v>
      </c>
      <c r="M17">
        <v>1</v>
      </c>
      <c r="N17">
        <v>1</v>
      </c>
      <c r="O17">
        <v>1</v>
      </c>
      <c r="P17">
        <v>2026</v>
      </c>
    </row>
    <row r="18" spans="1:16">
      <c r="A18">
        <v>426.32</v>
      </c>
      <c r="B18">
        <v>4</v>
      </c>
      <c r="C18" t="s">
        <v>2349</v>
      </c>
      <c r="D18" t="s">
        <v>1571</v>
      </c>
      <c r="E18" t="s">
        <v>1045</v>
      </c>
      <c r="F18" t="s">
        <v>919</v>
      </c>
      <c r="G18" t="s">
        <v>786</v>
      </c>
      <c r="H18" t="s">
        <v>670</v>
      </c>
      <c r="I18" t="s">
        <v>57</v>
      </c>
      <c r="J18">
        <v>106.58</v>
      </c>
      <c r="K18" s="1">
        <v>46044</v>
      </c>
      <c r="L18" t="s">
        <v>105</v>
      </c>
      <c r="M18">
        <v>22</v>
      </c>
      <c r="N18">
        <v>1</v>
      </c>
      <c r="O18">
        <v>1</v>
      </c>
      <c r="P18">
        <v>2026</v>
      </c>
    </row>
    <row r="19" spans="1:16">
      <c r="A19">
        <v>571.83000000000004</v>
      </c>
      <c r="B19">
        <v>3</v>
      </c>
      <c r="C19" t="s">
        <v>1560</v>
      </c>
      <c r="D19" t="s">
        <v>1561</v>
      </c>
      <c r="E19" t="s">
        <v>1562</v>
      </c>
      <c r="F19" t="s">
        <v>151</v>
      </c>
      <c r="G19" t="s">
        <v>1003</v>
      </c>
      <c r="H19" t="s">
        <v>156</v>
      </c>
      <c r="I19" t="s">
        <v>57</v>
      </c>
      <c r="J19">
        <v>190.61</v>
      </c>
      <c r="K19" s="1">
        <v>45970</v>
      </c>
      <c r="L19" t="s">
        <v>28</v>
      </c>
      <c r="M19">
        <v>9</v>
      </c>
      <c r="N19">
        <v>11</v>
      </c>
      <c r="O19">
        <v>4</v>
      </c>
      <c r="P19">
        <v>2025</v>
      </c>
    </row>
    <row r="20" spans="1:16">
      <c r="A20">
        <v>266.06</v>
      </c>
      <c r="B20">
        <v>2</v>
      </c>
      <c r="C20" t="s">
        <v>1157</v>
      </c>
      <c r="D20" t="s">
        <v>1158</v>
      </c>
      <c r="E20" t="s">
        <v>1159</v>
      </c>
      <c r="F20" t="s">
        <v>961</v>
      </c>
      <c r="G20" t="s">
        <v>753</v>
      </c>
      <c r="H20" t="s">
        <v>112</v>
      </c>
      <c r="I20" t="s">
        <v>21</v>
      </c>
      <c r="J20">
        <v>133.03</v>
      </c>
      <c r="K20" s="1">
        <v>45709</v>
      </c>
      <c r="L20" t="s">
        <v>79</v>
      </c>
      <c r="M20">
        <v>21</v>
      </c>
      <c r="N20">
        <v>2</v>
      </c>
      <c r="O20">
        <v>1</v>
      </c>
      <c r="P20">
        <v>2025</v>
      </c>
    </row>
    <row r="21" spans="1:16">
      <c r="A21">
        <v>12.84</v>
      </c>
      <c r="B21">
        <v>2</v>
      </c>
      <c r="C21" t="s">
        <v>2115</v>
      </c>
      <c r="D21" t="s">
        <v>2116</v>
      </c>
      <c r="E21" t="s">
        <v>2117</v>
      </c>
      <c r="F21" t="s">
        <v>29</v>
      </c>
      <c r="G21" t="s">
        <v>763</v>
      </c>
      <c r="H21" t="s">
        <v>316</v>
      </c>
      <c r="I21" t="s">
        <v>97</v>
      </c>
      <c r="J21">
        <v>6.42</v>
      </c>
      <c r="K21" s="1">
        <v>45549</v>
      </c>
      <c r="L21" t="s">
        <v>14</v>
      </c>
      <c r="M21">
        <v>14</v>
      </c>
      <c r="N21">
        <v>9</v>
      </c>
      <c r="O21">
        <v>3</v>
      </c>
      <c r="P21">
        <v>2024</v>
      </c>
    </row>
    <row r="22" spans="1:16">
      <c r="A22">
        <v>1188.1500000000001</v>
      </c>
      <c r="B22">
        <v>5</v>
      </c>
      <c r="C22" t="s">
        <v>2076</v>
      </c>
      <c r="D22" t="s">
        <v>2077</v>
      </c>
      <c r="E22" t="s">
        <v>2078</v>
      </c>
      <c r="F22" t="s">
        <v>1920</v>
      </c>
      <c r="G22" t="s">
        <v>807</v>
      </c>
      <c r="H22" t="s">
        <v>202</v>
      </c>
      <c r="I22" t="s">
        <v>17</v>
      </c>
      <c r="J22">
        <v>237.63</v>
      </c>
      <c r="K22" s="1">
        <v>45577</v>
      </c>
      <c r="L22" t="s">
        <v>14</v>
      </c>
      <c r="M22">
        <v>12</v>
      </c>
      <c r="N22">
        <v>10</v>
      </c>
      <c r="O22">
        <v>4</v>
      </c>
      <c r="P22">
        <v>2024</v>
      </c>
    </row>
    <row r="23" spans="1:16">
      <c r="A23">
        <v>173.48</v>
      </c>
      <c r="B23">
        <v>1</v>
      </c>
      <c r="C23" t="s">
        <v>2422</v>
      </c>
      <c r="D23" t="s">
        <v>2423</v>
      </c>
      <c r="E23" t="s">
        <v>2086</v>
      </c>
      <c r="F23" t="s">
        <v>985</v>
      </c>
      <c r="G23" t="s">
        <v>817</v>
      </c>
      <c r="H23" t="s">
        <v>728</v>
      </c>
      <c r="I23" t="s">
        <v>46</v>
      </c>
      <c r="J23">
        <v>173.48</v>
      </c>
      <c r="K23" s="1">
        <v>45872</v>
      </c>
      <c r="L23" t="s">
        <v>28</v>
      </c>
      <c r="M23">
        <v>3</v>
      </c>
      <c r="N23">
        <v>8</v>
      </c>
      <c r="O23">
        <v>3</v>
      </c>
      <c r="P23">
        <v>2025</v>
      </c>
    </row>
    <row r="24" spans="1:16">
      <c r="A24">
        <v>748.65</v>
      </c>
      <c r="B24">
        <v>5</v>
      </c>
      <c r="C24" t="s">
        <v>1620</v>
      </c>
      <c r="D24" t="s">
        <v>1621</v>
      </c>
      <c r="E24" t="s">
        <v>1622</v>
      </c>
      <c r="F24" t="s">
        <v>1566</v>
      </c>
      <c r="G24" t="s">
        <v>763</v>
      </c>
      <c r="H24" t="s">
        <v>425</v>
      </c>
      <c r="I24" t="s">
        <v>51</v>
      </c>
      <c r="J24">
        <v>149.72999999999999</v>
      </c>
      <c r="K24" s="1">
        <v>46181</v>
      </c>
      <c r="L24" t="s">
        <v>93</v>
      </c>
      <c r="M24">
        <v>8</v>
      </c>
      <c r="N24">
        <v>6</v>
      </c>
      <c r="O24">
        <v>2</v>
      </c>
      <c r="P24">
        <v>2026</v>
      </c>
    </row>
    <row r="25" spans="1:16">
      <c r="A25">
        <v>455.84</v>
      </c>
      <c r="B25">
        <v>4</v>
      </c>
      <c r="C25" t="s">
        <v>2698</v>
      </c>
      <c r="D25" t="s">
        <v>2699</v>
      </c>
      <c r="E25" t="s">
        <v>1124</v>
      </c>
      <c r="F25" t="s">
        <v>1666</v>
      </c>
      <c r="G25" t="s">
        <v>830</v>
      </c>
      <c r="H25" t="s">
        <v>18</v>
      </c>
      <c r="I25" t="s">
        <v>19</v>
      </c>
      <c r="J25">
        <v>113.96</v>
      </c>
      <c r="K25" s="1">
        <v>45782</v>
      </c>
      <c r="L25" t="s">
        <v>93</v>
      </c>
      <c r="M25">
        <v>5</v>
      </c>
      <c r="N25">
        <v>5</v>
      </c>
      <c r="O25">
        <v>2</v>
      </c>
      <c r="P25">
        <v>2025</v>
      </c>
    </row>
    <row r="26" spans="1:16">
      <c r="A26">
        <v>199.78</v>
      </c>
      <c r="B26">
        <v>1</v>
      </c>
      <c r="C26" t="s">
        <v>2370</v>
      </c>
      <c r="D26" t="s">
        <v>2371</v>
      </c>
      <c r="E26" t="s">
        <v>1633</v>
      </c>
      <c r="F26" t="s">
        <v>757</v>
      </c>
      <c r="G26" t="s">
        <v>758</v>
      </c>
      <c r="H26" t="s">
        <v>520</v>
      </c>
      <c r="I26" t="s">
        <v>122</v>
      </c>
      <c r="J26">
        <v>199.78</v>
      </c>
      <c r="K26" s="1">
        <v>45978</v>
      </c>
      <c r="L26" t="s">
        <v>93</v>
      </c>
      <c r="M26">
        <v>17</v>
      </c>
      <c r="N26">
        <v>11</v>
      </c>
      <c r="O26">
        <v>4</v>
      </c>
      <c r="P26">
        <v>2025</v>
      </c>
    </row>
    <row r="27" spans="1:16">
      <c r="A27">
        <v>1214.05</v>
      </c>
      <c r="B27">
        <v>5</v>
      </c>
      <c r="C27" t="s">
        <v>2453</v>
      </c>
      <c r="D27" t="s">
        <v>832</v>
      </c>
      <c r="E27" t="s">
        <v>756</v>
      </c>
      <c r="F27" t="s">
        <v>1280</v>
      </c>
      <c r="G27" t="s">
        <v>908</v>
      </c>
      <c r="H27" t="s">
        <v>329</v>
      </c>
      <c r="I27" t="s">
        <v>82</v>
      </c>
      <c r="J27">
        <v>242.81</v>
      </c>
      <c r="K27" s="1">
        <v>45866</v>
      </c>
      <c r="L27" t="s">
        <v>93</v>
      </c>
      <c r="M27">
        <v>28</v>
      </c>
      <c r="N27">
        <v>7</v>
      </c>
      <c r="O27">
        <v>3</v>
      </c>
      <c r="P27">
        <v>2025</v>
      </c>
    </row>
    <row r="28" spans="1:16">
      <c r="A28">
        <v>827.36</v>
      </c>
      <c r="B28">
        <v>4</v>
      </c>
      <c r="C28" t="s">
        <v>1598</v>
      </c>
      <c r="D28" t="s">
        <v>1599</v>
      </c>
      <c r="E28" t="s">
        <v>1283</v>
      </c>
      <c r="F28" t="s">
        <v>1600</v>
      </c>
      <c r="G28" t="s">
        <v>768</v>
      </c>
      <c r="H28" t="s">
        <v>192</v>
      </c>
      <c r="I28" t="s">
        <v>46</v>
      </c>
      <c r="J28">
        <v>206.84</v>
      </c>
      <c r="K28" s="1">
        <v>45716</v>
      </c>
      <c r="L28" t="s">
        <v>79</v>
      </c>
      <c r="M28">
        <v>28</v>
      </c>
      <c r="N28">
        <v>2</v>
      </c>
      <c r="O28">
        <v>1</v>
      </c>
      <c r="P28">
        <v>2025</v>
      </c>
    </row>
    <row r="29" spans="1:16">
      <c r="A29">
        <v>438.2</v>
      </c>
      <c r="B29">
        <v>5</v>
      </c>
      <c r="C29" t="s">
        <v>1855</v>
      </c>
      <c r="D29" t="s">
        <v>1856</v>
      </c>
      <c r="E29" t="s">
        <v>1532</v>
      </c>
      <c r="F29" t="s">
        <v>1302</v>
      </c>
      <c r="G29" t="s">
        <v>786</v>
      </c>
      <c r="H29" t="s">
        <v>561</v>
      </c>
      <c r="I29" t="s">
        <v>17</v>
      </c>
      <c r="J29">
        <v>87.64</v>
      </c>
      <c r="K29" s="1">
        <v>45576</v>
      </c>
      <c r="L29" t="s">
        <v>79</v>
      </c>
      <c r="M29">
        <v>11</v>
      </c>
      <c r="N29">
        <v>10</v>
      </c>
      <c r="O29">
        <v>4</v>
      </c>
      <c r="P29">
        <v>2024</v>
      </c>
    </row>
    <row r="30" spans="1:16">
      <c r="A30">
        <v>192.87</v>
      </c>
      <c r="B30">
        <v>3</v>
      </c>
      <c r="C30" t="s">
        <v>2855</v>
      </c>
      <c r="D30" t="s">
        <v>2856</v>
      </c>
      <c r="E30" t="s">
        <v>2857</v>
      </c>
      <c r="F30" t="s">
        <v>666</v>
      </c>
      <c r="G30" t="s">
        <v>954</v>
      </c>
      <c r="H30" t="s">
        <v>461</v>
      </c>
      <c r="I30" t="s">
        <v>60</v>
      </c>
      <c r="J30">
        <v>64.290000000000006</v>
      </c>
      <c r="K30" s="1">
        <v>45912</v>
      </c>
      <c r="L30" t="s">
        <v>79</v>
      </c>
      <c r="M30">
        <v>12</v>
      </c>
      <c r="N30">
        <v>9</v>
      </c>
      <c r="O30">
        <v>3</v>
      </c>
      <c r="P30">
        <v>2025</v>
      </c>
    </row>
    <row r="31" spans="1:16">
      <c r="A31">
        <v>346.64</v>
      </c>
      <c r="B31">
        <v>2</v>
      </c>
      <c r="C31" t="s">
        <v>1055</v>
      </c>
      <c r="D31" t="s">
        <v>1056</v>
      </c>
      <c r="E31" t="s">
        <v>1057</v>
      </c>
      <c r="F31" t="s">
        <v>380</v>
      </c>
      <c r="G31" t="s">
        <v>776</v>
      </c>
      <c r="H31" t="s">
        <v>303</v>
      </c>
      <c r="I31" t="s">
        <v>19</v>
      </c>
      <c r="J31">
        <v>173.32</v>
      </c>
      <c r="K31" s="1">
        <v>45777</v>
      </c>
      <c r="L31" t="s">
        <v>34</v>
      </c>
      <c r="M31">
        <v>30</v>
      </c>
      <c r="N31">
        <v>4</v>
      </c>
      <c r="O31">
        <v>2</v>
      </c>
      <c r="P31">
        <v>2025</v>
      </c>
    </row>
    <row r="32" spans="1:16">
      <c r="A32">
        <v>18.05</v>
      </c>
      <c r="B32">
        <v>1</v>
      </c>
      <c r="C32" t="s">
        <v>3316</v>
      </c>
      <c r="D32" t="s">
        <v>3317</v>
      </c>
      <c r="E32" t="s">
        <v>2479</v>
      </c>
      <c r="F32" t="s">
        <v>513</v>
      </c>
      <c r="G32" t="s">
        <v>786</v>
      </c>
      <c r="H32" t="s">
        <v>30</v>
      </c>
      <c r="I32" t="s">
        <v>31</v>
      </c>
      <c r="J32">
        <v>18.05</v>
      </c>
      <c r="K32" s="1">
        <v>45908</v>
      </c>
      <c r="L32" t="s">
        <v>93</v>
      </c>
      <c r="M32">
        <v>8</v>
      </c>
      <c r="N32">
        <v>9</v>
      </c>
      <c r="O32">
        <v>3</v>
      </c>
      <c r="P32">
        <v>2025</v>
      </c>
    </row>
    <row r="33" spans="1:16">
      <c r="A33">
        <v>52.400000000000006</v>
      </c>
      <c r="B33">
        <v>5</v>
      </c>
      <c r="C33" t="s">
        <v>2087</v>
      </c>
      <c r="D33" t="s">
        <v>2088</v>
      </c>
      <c r="E33" t="s">
        <v>820</v>
      </c>
      <c r="F33" t="s">
        <v>995</v>
      </c>
      <c r="G33" t="s">
        <v>781</v>
      </c>
      <c r="H33" t="s">
        <v>578</v>
      </c>
      <c r="I33" t="s">
        <v>82</v>
      </c>
      <c r="J33">
        <v>10.48</v>
      </c>
      <c r="K33" s="1">
        <v>46107</v>
      </c>
      <c r="L33" t="s">
        <v>105</v>
      </c>
      <c r="M33">
        <v>26</v>
      </c>
      <c r="N33">
        <v>3</v>
      </c>
      <c r="O33">
        <v>1</v>
      </c>
      <c r="P33">
        <v>2026</v>
      </c>
    </row>
    <row r="34" spans="1:16">
      <c r="A34">
        <v>106.53</v>
      </c>
      <c r="B34">
        <v>1</v>
      </c>
      <c r="C34" t="s">
        <v>3011</v>
      </c>
      <c r="D34" t="s">
        <v>3012</v>
      </c>
      <c r="E34" t="s">
        <v>1171</v>
      </c>
      <c r="F34" t="s">
        <v>1327</v>
      </c>
      <c r="G34" t="s">
        <v>795</v>
      </c>
      <c r="H34" t="s">
        <v>377</v>
      </c>
      <c r="I34" t="s">
        <v>27</v>
      </c>
      <c r="J34">
        <v>106.53</v>
      </c>
      <c r="K34" s="1">
        <v>45700</v>
      </c>
      <c r="L34" t="s">
        <v>34</v>
      </c>
      <c r="M34">
        <v>12</v>
      </c>
      <c r="N34">
        <v>2</v>
      </c>
      <c r="O34">
        <v>1</v>
      </c>
      <c r="P34">
        <v>2025</v>
      </c>
    </row>
    <row r="35" spans="1:16">
      <c r="A35">
        <v>20.74</v>
      </c>
      <c r="B35">
        <v>1</v>
      </c>
      <c r="C35" t="s">
        <v>3323</v>
      </c>
      <c r="D35" t="s">
        <v>3324</v>
      </c>
      <c r="E35" t="s">
        <v>2184</v>
      </c>
      <c r="F35" t="s">
        <v>15</v>
      </c>
      <c r="G35" t="s">
        <v>834</v>
      </c>
      <c r="H35" t="s">
        <v>70</v>
      </c>
      <c r="I35" t="s">
        <v>27</v>
      </c>
      <c r="J35">
        <v>20.74</v>
      </c>
      <c r="K35" s="1">
        <v>45849</v>
      </c>
      <c r="L35" t="s">
        <v>79</v>
      </c>
      <c r="M35">
        <v>11</v>
      </c>
      <c r="N35">
        <v>7</v>
      </c>
      <c r="O35">
        <v>3</v>
      </c>
      <c r="P35">
        <v>2025</v>
      </c>
    </row>
    <row r="36" spans="1:16">
      <c r="A36">
        <v>56.95</v>
      </c>
      <c r="B36">
        <v>5</v>
      </c>
      <c r="C36" t="s">
        <v>782</v>
      </c>
      <c r="D36" t="s">
        <v>783</v>
      </c>
      <c r="E36" t="s">
        <v>784</v>
      </c>
      <c r="F36" t="s">
        <v>785</v>
      </c>
      <c r="G36" t="s">
        <v>786</v>
      </c>
      <c r="H36" t="s">
        <v>325</v>
      </c>
      <c r="I36" t="s">
        <v>55</v>
      </c>
      <c r="J36">
        <v>11.39</v>
      </c>
      <c r="K36" s="1">
        <v>45970</v>
      </c>
      <c r="L36" t="s">
        <v>28</v>
      </c>
      <c r="M36">
        <v>9</v>
      </c>
      <c r="N36">
        <v>11</v>
      </c>
      <c r="O36">
        <v>4</v>
      </c>
      <c r="P36">
        <v>2025</v>
      </c>
    </row>
    <row r="37" spans="1:16">
      <c r="A37">
        <v>39.450000000000003</v>
      </c>
      <c r="B37">
        <v>1</v>
      </c>
      <c r="C37" t="s">
        <v>1021</v>
      </c>
      <c r="D37" t="s">
        <v>1022</v>
      </c>
      <c r="E37" t="s">
        <v>984</v>
      </c>
      <c r="F37" t="s">
        <v>929</v>
      </c>
      <c r="G37" t="s">
        <v>830</v>
      </c>
      <c r="H37" t="s">
        <v>668</v>
      </c>
      <c r="I37" t="s">
        <v>46</v>
      </c>
      <c r="J37">
        <v>39.450000000000003</v>
      </c>
      <c r="K37" s="1">
        <v>46181</v>
      </c>
      <c r="L37" t="s">
        <v>93</v>
      </c>
      <c r="M37">
        <v>8</v>
      </c>
      <c r="N37">
        <v>6</v>
      </c>
      <c r="O37">
        <v>2</v>
      </c>
      <c r="P37">
        <v>2026</v>
      </c>
    </row>
    <row r="38" spans="1:16">
      <c r="A38">
        <v>9.01</v>
      </c>
      <c r="B38">
        <v>1</v>
      </c>
      <c r="C38" t="s">
        <v>1233</v>
      </c>
      <c r="D38" t="s">
        <v>1234</v>
      </c>
      <c r="E38" t="s">
        <v>1235</v>
      </c>
      <c r="F38" t="s">
        <v>1236</v>
      </c>
      <c r="G38" t="s">
        <v>807</v>
      </c>
      <c r="H38" t="s">
        <v>455</v>
      </c>
      <c r="I38" t="s">
        <v>69</v>
      </c>
      <c r="J38">
        <v>9.01</v>
      </c>
      <c r="K38" s="1">
        <v>45908</v>
      </c>
      <c r="L38" t="s">
        <v>93</v>
      </c>
      <c r="M38">
        <v>8</v>
      </c>
      <c r="N38">
        <v>9</v>
      </c>
      <c r="O38">
        <v>3</v>
      </c>
      <c r="P38">
        <v>2025</v>
      </c>
    </row>
    <row r="39" spans="1:16">
      <c r="A39">
        <v>28.55</v>
      </c>
      <c r="B39">
        <v>5</v>
      </c>
      <c r="C39" t="s">
        <v>2258</v>
      </c>
      <c r="D39" t="s">
        <v>2259</v>
      </c>
      <c r="E39" t="s">
        <v>2260</v>
      </c>
      <c r="F39" t="s">
        <v>772</v>
      </c>
      <c r="G39" t="s">
        <v>758</v>
      </c>
      <c r="H39" t="s">
        <v>669</v>
      </c>
      <c r="I39" t="s">
        <v>97</v>
      </c>
      <c r="J39">
        <v>5.71</v>
      </c>
      <c r="K39" s="1">
        <v>46224</v>
      </c>
      <c r="L39" t="s">
        <v>48</v>
      </c>
      <c r="M39">
        <v>21</v>
      </c>
      <c r="N39">
        <v>7</v>
      </c>
      <c r="O39">
        <v>3</v>
      </c>
      <c r="P39">
        <v>2026</v>
      </c>
    </row>
    <row r="40" spans="1:16">
      <c r="A40">
        <v>147.63</v>
      </c>
      <c r="B40">
        <v>3</v>
      </c>
      <c r="C40" t="s">
        <v>3089</v>
      </c>
      <c r="D40" t="s">
        <v>3090</v>
      </c>
      <c r="E40" t="s">
        <v>1642</v>
      </c>
      <c r="F40" t="s">
        <v>2489</v>
      </c>
      <c r="G40" t="s">
        <v>1247</v>
      </c>
      <c r="H40" t="s">
        <v>717</v>
      </c>
      <c r="I40" t="s">
        <v>17</v>
      </c>
      <c r="J40">
        <v>49.21</v>
      </c>
      <c r="K40" s="1">
        <v>46141</v>
      </c>
      <c r="L40" t="s">
        <v>34</v>
      </c>
      <c r="M40">
        <v>29</v>
      </c>
      <c r="N40">
        <v>4</v>
      </c>
      <c r="O40">
        <v>2</v>
      </c>
      <c r="P40">
        <v>2026</v>
      </c>
    </row>
    <row r="41" spans="1:16">
      <c r="A41">
        <v>460.54</v>
      </c>
      <c r="B41">
        <v>2</v>
      </c>
      <c r="C41" t="s">
        <v>831</v>
      </c>
      <c r="D41" t="s">
        <v>832</v>
      </c>
      <c r="E41" t="s">
        <v>833</v>
      </c>
      <c r="F41" t="s">
        <v>392</v>
      </c>
      <c r="G41" t="s">
        <v>834</v>
      </c>
      <c r="H41" t="s">
        <v>200</v>
      </c>
      <c r="I41" t="s">
        <v>17</v>
      </c>
      <c r="J41">
        <v>230.27</v>
      </c>
      <c r="K41" s="1">
        <v>45971</v>
      </c>
      <c r="L41" t="s">
        <v>93</v>
      </c>
      <c r="M41">
        <v>10</v>
      </c>
      <c r="N41">
        <v>11</v>
      </c>
      <c r="O41">
        <v>4</v>
      </c>
      <c r="P41">
        <v>2025</v>
      </c>
    </row>
    <row r="42" spans="1:16">
      <c r="A42">
        <v>609.68999999999994</v>
      </c>
      <c r="B42">
        <v>3</v>
      </c>
      <c r="C42" t="s">
        <v>2226</v>
      </c>
      <c r="D42" t="s">
        <v>2227</v>
      </c>
      <c r="E42" t="s">
        <v>1188</v>
      </c>
      <c r="F42" t="s">
        <v>1089</v>
      </c>
      <c r="G42" t="s">
        <v>812</v>
      </c>
      <c r="H42" t="s">
        <v>417</v>
      </c>
      <c r="I42" t="s">
        <v>51</v>
      </c>
      <c r="J42">
        <v>203.23</v>
      </c>
      <c r="K42" s="1">
        <v>46125</v>
      </c>
      <c r="L42" t="s">
        <v>93</v>
      </c>
      <c r="M42">
        <v>13</v>
      </c>
      <c r="N42">
        <v>4</v>
      </c>
      <c r="O42">
        <v>2</v>
      </c>
      <c r="P42">
        <v>2026</v>
      </c>
    </row>
    <row r="43" spans="1:16">
      <c r="A43">
        <v>176.34</v>
      </c>
      <c r="B43">
        <v>2</v>
      </c>
      <c r="C43" t="s">
        <v>1248</v>
      </c>
      <c r="D43" t="s">
        <v>1249</v>
      </c>
      <c r="E43" t="s">
        <v>861</v>
      </c>
      <c r="F43" t="s">
        <v>1032</v>
      </c>
      <c r="G43" t="s">
        <v>839</v>
      </c>
      <c r="H43" t="s">
        <v>177</v>
      </c>
      <c r="I43" t="s">
        <v>17</v>
      </c>
      <c r="J43">
        <v>88.17</v>
      </c>
      <c r="K43" s="1">
        <v>46002</v>
      </c>
      <c r="L43" t="s">
        <v>105</v>
      </c>
      <c r="M43">
        <v>11</v>
      </c>
      <c r="N43">
        <v>12</v>
      </c>
      <c r="O43">
        <v>4</v>
      </c>
      <c r="P43">
        <v>2025</v>
      </c>
    </row>
    <row r="44" spans="1:16">
      <c r="A44">
        <v>679.08</v>
      </c>
      <c r="B44">
        <v>4</v>
      </c>
      <c r="C44" t="s">
        <v>1331</v>
      </c>
      <c r="D44" t="s">
        <v>1332</v>
      </c>
      <c r="E44" t="s">
        <v>1133</v>
      </c>
      <c r="F44" t="s">
        <v>825</v>
      </c>
      <c r="G44" t="s">
        <v>781</v>
      </c>
      <c r="H44" t="s">
        <v>300</v>
      </c>
      <c r="I44" t="s">
        <v>55</v>
      </c>
      <c r="J44">
        <v>169.77</v>
      </c>
      <c r="K44" s="1">
        <v>45850</v>
      </c>
      <c r="L44" t="s">
        <v>14</v>
      </c>
      <c r="M44">
        <v>12</v>
      </c>
      <c r="N44">
        <v>7</v>
      </c>
      <c r="O44">
        <v>3</v>
      </c>
      <c r="P44">
        <v>2025</v>
      </c>
    </row>
    <row r="45" spans="1:16">
      <c r="A45">
        <v>67.23</v>
      </c>
      <c r="B45">
        <v>3</v>
      </c>
      <c r="C45" t="s">
        <v>2171</v>
      </c>
      <c r="D45" t="s">
        <v>2172</v>
      </c>
      <c r="E45" t="s">
        <v>2173</v>
      </c>
      <c r="F45" t="s">
        <v>762</v>
      </c>
      <c r="G45" t="s">
        <v>763</v>
      </c>
      <c r="H45" t="s">
        <v>484</v>
      </c>
      <c r="I45" t="s">
        <v>25</v>
      </c>
      <c r="J45">
        <v>22.41</v>
      </c>
      <c r="K45" s="1">
        <v>45681</v>
      </c>
      <c r="L45" t="s">
        <v>79</v>
      </c>
      <c r="M45">
        <v>24</v>
      </c>
      <c r="N45">
        <v>1</v>
      </c>
      <c r="O45">
        <v>1</v>
      </c>
      <c r="P45">
        <v>2025</v>
      </c>
    </row>
    <row r="46" spans="1:16">
      <c r="A46">
        <v>82.320000000000007</v>
      </c>
      <c r="B46">
        <v>3</v>
      </c>
      <c r="C46" t="s">
        <v>2205</v>
      </c>
      <c r="D46" t="s">
        <v>2206</v>
      </c>
      <c r="E46" t="s">
        <v>1114</v>
      </c>
      <c r="F46" t="s">
        <v>635</v>
      </c>
      <c r="G46" t="s">
        <v>768</v>
      </c>
      <c r="H46" t="s">
        <v>722</v>
      </c>
      <c r="I46" t="s">
        <v>37</v>
      </c>
      <c r="J46">
        <v>27.44</v>
      </c>
      <c r="K46" s="1">
        <v>45939</v>
      </c>
      <c r="L46" t="s">
        <v>105</v>
      </c>
      <c r="M46">
        <v>9</v>
      </c>
      <c r="N46">
        <v>10</v>
      </c>
      <c r="O46">
        <v>4</v>
      </c>
      <c r="P46">
        <v>2025</v>
      </c>
    </row>
    <row r="47" spans="1:16">
      <c r="A47">
        <v>624.94999999999993</v>
      </c>
      <c r="B47">
        <v>5</v>
      </c>
      <c r="C47" t="s">
        <v>2893</v>
      </c>
      <c r="D47" t="s">
        <v>2894</v>
      </c>
      <c r="E47" t="s">
        <v>2141</v>
      </c>
      <c r="F47" t="s">
        <v>1302</v>
      </c>
      <c r="G47" t="s">
        <v>786</v>
      </c>
      <c r="H47" t="s">
        <v>512</v>
      </c>
      <c r="I47" t="s">
        <v>27</v>
      </c>
      <c r="J47">
        <v>124.99</v>
      </c>
      <c r="K47" s="1">
        <v>45726</v>
      </c>
      <c r="L47" t="s">
        <v>93</v>
      </c>
      <c r="M47">
        <v>10</v>
      </c>
      <c r="N47">
        <v>3</v>
      </c>
      <c r="O47">
        <v>1</v>
      </c>
      <c r="P47">
        <v>2025</v>
      </c>
    </row>
    <row r="48" spans="1:16">
      <c r="A48">
        <v>270.92</v>
      </c>
      <c r="B48">
        <v>2</v>
      </c>
      <c r="C48" t="s">
        <v>3349</v>
      </c>
      <c r="D48" t="s">
        <v>3350</v>
      </c>
      <c r="E48" t="s">
        <v>2013</v>
      </c>
      <c r="F48" t="s">
        <v>1206</v>
      </c>
      <c r="G48" t="s">
        <v>943</v>
      </c>
      <c r="H48" t="s">
        <v>503</v>
      </c>
      <c r="I48" t="s">
        <v>43</v>
      </c>
      <c r="J48">
        <v>135.46</v>
      </c>
      <c r="K48" s="1">
        <v>45746</v>
      </c>
      <c r="L48" t="s">
        <v>28</v>
      </c>
      <c r="M48">
        <v>30</v>
      </c>
      <c r="N48">
        <v>3</v>
      </c>
      <c r="O48">
        <v>1</v>
      </c>
      <c r="P48">
        <v>2025</v>
      </c>
    </row>
    <row r="49" spans="1:16">
      <c r="A49">
        <v>12.56</v>
      </c>
      <c r="B49">
        <v>2</v>
      </c>
      <c r="C49" t="s">
        <v>893</v>
      </c>
      <c r="D49" t="s">
        <v>894</v>
      </c>
      <c r="E49" t="s">
        <v>895</v>
      </c>
      <c r="F49" t="s">
        <v>106</v>
      </c>
      <c r="G49" t="s">
        <v>896</v>
      </c>
      <c r="H49" t="s">
        <v>601</v>
      </c>
      <c r="I49" t="s">
        <v>19</v>
      </c>
      <c r="J49">
        <v>6.28</v>
      </c>
      <c r="K49" s="1">
        <v>45811</v>
      </c>
      <c r="L49" t="s">
        <v>48</v>
      </c>
      <c r="M49">
        <v>3</v>
      </c>
      <c r="N49">
        <v>6</v>
      </c>
      <c r="O49">
        <v>2</v>
      </c>
      <c r="P49">
        <v>2025</v>
      </c>
    </row>
    <row r="50" spans="1:16">
      <c r="A50">
        <v>642.36</v>
      </c>
      <c r="B50">
        <v>4</v>
      </c>
      <c r="C50" t="s">
        <v>1570</v>
      </c>
      <c r="D50" t="s">
        <v>1571</v>
      </c>
      <c r="E50" t="s">
        <v>1274</v>
      </c>
      <c r="F50" t="s">
        <v>1502</v>
      </c>
      <c r="G50" t="s">
        <v>817</v>
      </c>
      <c r="H50" t="s">
        <v>267</v>
      </c>
      <c r="I50" t="s">
        <v>25</v>
      </c>
      <c r="J50">
        <v>160.59</v>
      </c>
      <c r="K50" s="1">
        <v>45703</v>
      </c>
      <c r="L50" t="s">
        <v>14</v>
      </c>
      <c r="M50">
        <v>15</v>
      </c>
      <c r="N50">
        <v>2</v>
      </c>
      <c r="O50">
        <v>1</v>
      </c>
      <c r="P50">
        <v>2025</v>
      </c>
    </row>
    <row r="51" spans="1:16">
      <c r="A51">
        <v>1212.25</v>
      </c>
      <c r="B51">
        <v>5</v>
      </c>
      <c r="C51" t="s">
        <v>3220</v>
      </c>
      <c r="D51" t="s">
        <v>3221</v>
      </c>
      <c r="E51" t="s">
        <v>2845</v>
      </c>
      <c r="F51" t="s">
        <v>785</v>
      </c>
      <c r="G51" t="s">
        <v>786</v>
      </c>
      <c r="H51" t="s">
        <v>214</v>
      </c>
      <c r="I51" t="s">
        <v>69</v>
      </c>
      <c r="J51">
        <v>242.45</v>
      </c>
      <c r="K51" s="1">
        <v>46223</v>
      </c>
      <c r="L51" t="s">
        <v>93</v>
      </c>
      <c r="M51">
        <v>20</v>
      </c>
      <c r="N51">
        <v>7</v>
      </c>
      <c r="O51">
        <v>3</v>
      </c>
      <c r="P51">
        <v>2026</v>
      </c>
    </row>
    <row r="52" spans="1:16">
      <c r="A52">
        <v>37.1</v>
      </c>
      <c r="B52">
        <v>5</v>
      </c>
      <c r="C52" t="s">
        <v>1655</v>
      </c>
      <c r="D52" t="s">
        <v>1656</v>
      </c>
      <c r="E52" t="s">
        <v>1657</v>
      </c>
      <c r="F52" t="s">
        <v>199</v>
      </c>
      <c r="G52" t="s">
        <v>781</v>
      </c>
      <c r="H52" t="s">
        <v>194</v>
      </c>
      <c r="I52" t="s">
        <v>39</v>
      </c>
      <c r="J52">
        <v>7.42</v>
      </c>
      <c r="K52" s="1">
        <v>45616</v>
      </c>
      <c r="L52" t="s">
        <v>34</v>
      </c>
      <c r="M52">
        <v>20</v>
      </c>
      <c r="N52">
        <v>11</v>
      </c>
      <c r="O52">
        <v>4</v>
      </c>
      <c r="P52">
        <v>2024</v>
      </c>
    </row>
    <row r="53" spans="1:16">
      <c r="A53">
        <v>31.35</v>
      </c>
      <c r="B53">
        <v>1</v>
      </c>
      <c r="C53" t="s">
        <v>847</v>
      </c>
      <c r="D53" t="s">
        <v>848</v>
      </c>
      <c r="E53" t="s">
        <v>849</v>
      </c>
      <c r="F53" t="s">
        <v>387</v>
      </c>
      <c r="G53" t="s">
        <v>821</v>
      </c>
      <c r="H53" t="s">
        <v>557</v>
      </c>
      <c r="I53" t="s">
        <v>46</v>
      </c>
      <c r="J53">
        <v>31.35</v>
      </c>
      <c r="K53" s="1">
        <v>45572</v>
      </c>
      <c r="L53" t="s">
        <v>93</v>
      </c>
      <c r="M53">
        <v>7</v>
      </c>
      <c r="N53">
        <v>10</v>
      </c>
      <c r="O53">
        <v>4</v>
      </c>
      <c r="P53">
        <v>2024</v>
      </c>
    </row>
    <row r="54" spans="1:16">
      <c r="A54">
        <v>675.42</v>
      </c>
      <c r="B54">
        <v>3</v>
      </c>
      <c r="C54" t="s">
        <v>1488</v>
      </c>
      <c r="D54" t="s">
        <v>1489</v>
      </c>
      <c r="E54" t="s">
        <v>1490</v>
      </c>
      <c r="F54" t="s">
        <v>280</v>
      </c>
      <c r="G54" t="s">
        <v>812</v>
      </c>
      <c r="H54" t="s">
        <v>281</v>
      </c>
      <c r="I54" t="s">
        <v>51</v>
      </c>
      <c r="J54">
        <v>225.14</v>
      </c>
      <c r="K54" s="1">
        <v>46197</v>
      </c>
      <c r="L54" t="s">
        <v>34</v>
      </c>
      <c r="M54">
        <v>24</v>
      </c>
      <c r="N54">
        <v>6</v>
      </c>
      <c r="O54">
        <v>2</v>
      </c>
      <c r="P54">
        <v>2026</v>
      </c>
    </row>
    <row r="55" spans="1:16">
      <c r="A55">
        <v>110.35</v>
      </c>
      <c r="B55">
        <v>5</v>
      </c>
      <c r="C55" t="s">
        <v>1702</v>
      </c>
      <c r="D55" t="s">
        <v>1703</v>
      </c>
      <c r="E55" t="s">
        <v>1324</v>
      </c>
      <c r="F55" t="s">
        <v>1026</v>
      </c>
      <c r="G55" t="s">
        <v>896</v>
      </c>
      <c r="H55" t="s">
        <v>700</v>
      </c>
      <c r="I55" t="s">
        <v>37</v>
      </c>
      <c r="J55">
        <v>22.07</v>
      </c>
      <c r="K55" s="1">
        <v>46263</v>
      </c>
      <c r="L55" t="s">
        <v>14</v>
      </c>
      <c r="M55">
        <v>29</v>
      </c>
      <c r="N55">
        <v>8</v>
      </c>
      <c r="O55">
        <v>3</v>
      </c>
      <c r="P55">
        <v>2026</v>
      </c>
    </row>
    <row r="56" spans="1:16">
      <c r="A56">
        <v>247.15</v>
      </c>
      <c r="B56">
        <v>5</v>
      </c>
      <c r="C56" t="s">
        <v>1612</v>
      </c>
      <c r="D56" t="s">
        <v>1613</v>
      </c>
      <c r="E56" t="s">
        <v>1508</v>
      </c>
      <c r="F56" t="s">
        <v>919</v>
      </c>
      <c r="G56" t="s">
        <v>786</v>
      </c>
      <c r="H56" t="s">
        <v>347</v>
      </c>
      <c r="I56" t="s">
        <v>69</v>
      </c>
      <c r="J56">
        <v>49.43</v>
      </c>
      <c r="K56" s="1">
        <v>46046</v>
      </c>
      <c r="L56" t="s">
        <v>14</v>
      </c>
      <c r="M56">
        <v>24</v>
      </c>
      <c r="N56">
        <v>1</v>
      </c>
      <c r="O56">
        <v>1</v>
      </c>
      <c r="P56">
        <v>2026</v>
      </c>
    </row>
    <row r="57" spans="1:16">
      <c r="A57">
        <v>209.92</v>
      </c>
      <c r="B57">
        <v>2</v>
      </c>
      <c r="C57" t="s">
        <v>1995</v>
      </c>
      <c r="D57" t="s">
        <v>1996</v>
      </c>
      <c r="E57" t="s">
        <v>1997</v>
      </c>
      <c r="F57" t="s">
        <v>1061</v>
      </c>
      <c r="G57" t="s">
        <v>821</v>
      </c>
      <c r="H57" t="s">
        <v>225</v>
      </c>
      <c r="I57" t="s">
        <v>21</v>
      </c>
      <c r="J57">
        <v>104.96</v>
      </c>
      <c r="K57" s="1">
        <v>45654</v>
      </c>
      <c r="L57" t="s">
        <v>14</v>
      </c>
      <c r="M57">
        <v>28</v>
      </c>
      <c r="N57">
        <v>12</v>
      </c>
      <c r="O57">
        <v>4</v>
      </c>
      <c r="P57">
        <v>2024</v>
      </c>
    </row>
    <row r="58" spans="1:16">
      <c r="A58">
        <v>295.58</v>
      </c>
      <c r="B58">
        <v>2</v>
      </c>
      <c r="C58" t="s">
        <v>3112</v>
      </c>
      <c r="D58" t="s">
        <v>3113</v>
      </c>
      <c r="E58" t="s">
        <v>3114</v>
      </c>
      <c r="F58" t="s">
        <v>1107</v>
      </c>
      <c r="G58" t="s">
        <v>763</v>
      </c>
      <c r="H58" t="s">
        <v>176</v>
      </c>
      <c r="I58" t="s">
        <v>21</v>
      </c>
      <c r="J58">
        <v>147.79</v>
      </c>
      <c r="K58" s="1">
        <v>46191</v>
      </c>
      <c r="L58" t="s">
        <v>105</v>
      </c>
      <c r="M58">
        <v>18</v>
      </c>
      <c r="N58">
        <v>6</v>
      </c>
      <c r="O58">
        <v>2</v>
      </c>
      <c r="P58">
        <v>2026</v>
      </c>
    </row>
    <row r="59" spans="1:16">
      <c r="A59">
        <v>414.64</v>
      </c>
      <c r="B59">
        <v>4</v>
      </c>
      <c r="C59" t="s">
        <v>1750</v>
      </c>
      <c r="D59" t="s">
        <v>1751</v>
      </c>
      <c r="E59" t="s">
        <v>771</v>
      </c>
      <c r="F59" t="s">
        <v>780</v>
      </c>
      <c r="G59" t="s">
        <v>781</v>
      </c>
      <c r="H59" t="s">
        <v>193</v>
      </c>
      <c r="I59" t="s">
        <v>55</v>
      </c>
      <c r="J59">
        <v>103.66</v>
      </c>
      <c r="K59" s="1">
        <v>45661</v>
      </c>
      <c r="L59" t="s">
        <v>14</v>
      </c>
      <c r="M59">
        <v>4</v>
      </c>
      <c r="N59">
        <v>1</v>
      </c>
      <c r="O59">
        <v>1</v>
      </c>
      <c r="P59">
        <v>2025</v>
      </c>
    </row>
    <row r="60" spans="1:16">
      <c r="A60">
        <v>141.36000000000001</v>
      </c>
      <c r="B60">
        <v>1</v>
      </c>
      <c r="C60" t="s">
        <v>1990</v>
      </c>
      <c r="D60" t="s">
        <v>1991</v>
      </c>
      <c r="E60" t="s">
        <v>779</v>
      </c>
      <c r="F60" t="s">
        <v>562</v>
      </c>
      <c r="G60" t="s">
        <v>753</v>
      </c>
      <c r="H60" t="s">
        <v>181</v>
      </c>
      <c r="I60" t="s">
        <v>82</v>
      </c>
      <c r="J60">
        <v>141.36000000000001</v>
      </c>
      <c r="K60" s="1">
        <v>46057</v>
      </c>
      <c r="L60" t="s">
        <v>34</v>
      </c>
      <c r="M60">
        <v>4</v>
      </c>
      <c r="N60">
        <v>2</v>
      </c>
      <c r="O60">
        <v>1</v>
      </c>
      <c r="P60">
        <v>2026</v>
      </c>
    </row>
    <row r="61" spans="1:16">
      <c r="A61">
        <v>35.11</v>
      </c>
      <c r="B61">
        <v>1</v>
      </c>
      <c r="C61" t="s">
        <v>2748</v>
      </c>
      <c r="D61" t="s">
        <v>2749</v>
      </c>
      <c r="E61" t="s">
        <v>911</v>
      </c>
      <c r="F61" t="s">
        <v>1209</v>
      </c>
      <c r="G61" t="s">
        <v>776</v>
      </c>
      <c r="H61" t="s">
        <v>400</v>
      </c>
      <c r="I61" t="s">
        <v>57</v>
      </c>
      <c r="J61">
        <v>35.11</v>
      </c>
      <c r="K61" s="1">
        <v>46270</v>
      </c>
      <c r="L61" t="s">
        <v>14</v>
      </c>
      <c r="M61">
        <v>5</v>
      </c>
      <c r="N61">
        <v>9</v>
      </c>
      <c r="O61">
        <v>3</v>
      </c>
      <c r="P61">
        <v>2026</v>
      </c>
    </row>
    <row r="62" spans="1:16">
      <c r="A62">
        <v>283.62</v>
      </c>
      <c r="B62">
        <v>2</v>
      </c>
      <c r="C62" t="s">
        <v>2978</v>
      </c>
      <c r="D62" t="s">
        <v>2979</v>
      </c>
      <c r="E62" t="s">
        <v>2306</v>
      </c>
      <c r="F62" t="s">
        <v>862</v>
      </c>
      <c r="G62" t="s">
        <v>807</v>
      </c>
      <c r="H62" t="s">
        <v>391</v>
      </c>
      <c r="I62" t="s">
        <v>60</v>
      </c>
      <c r="J62">
        <v>141.81</v>
      </c>
      <c r="K62" s="1">
        <v>45609</v>
      </c>
      <c r="L62" t="s">
        <v>34</v>
      </c>
      <c r="M62">
        <v>13</v>
      </c>
      <c r="N62">
        <v>11</v>
      </c>
      <c r="O62">
        <v>4</v>
      </c>
      <c r="P62">
        <v>2024</v>
      </c>
    </row>
    <row r="63" spans="1:16">
      <c r="A63">
        <v>524.79999999999995</v>
      </c>
      <c r="B63">
        <v>5</v>
      </c>
      <c r="C63" t="s">
        <v>2995</v>
      </c>
      <c r="D63" t="s">
        <v>2996</v>
      </c>
      <c r="E63" t="s">
        <v>2108</v>
      </c>
      <c r="F63" t="s">
        <v>1039</v>
      </c>
      <c r="G63" t="s">
        <v>758</v>
      </c>
      <c r="H63" t="s">
        <v>225</v>
      </c>
      <c r="I63" t="s">
        <v>21</v>
      </c>
      <c r="J63">
        <v>104.96</v>
      </c>
      <c r="K63" s="1">
        <v>46176</v>
      </c>
      <c r="L63" t="s">
        <v>34</v>
      </c>
      <c r="M63">
        <v>3</v>
      </c>
      <c r="N63">
        <v>6</v>
      </c>
      <c r="O63">
        <v>2</v>
      </c>
      <c r="P63">
        <v>2026</v>
      </c>
    </row>
    <row r="64" spans="1:16">
      <c r="A64">
        <v>81.03</v>
      </c>
      <c r="B64">
        <v>3</v>
      </c>
      <c r="C64" t="s">
        <v>2096</v>
      </c>
      <c r="D64" t="s">
        <v>2097</v>
      </c>
      <c r="E64" t="s">
        <v>2098</v>
      </c>
      <c r="F64" t="s">
        <v>464</v>
      </c>
      <c r="G64" t="s">
        <v>896</v>
      </c>
      <c r="H64" t="s">
        <v>117</v>
      </c>
      <c r="I64" t="s">
        <v>55</v>
      </c>
      <c r="J64">
        <v>27.01</v>
      </c>
      <c r="K64" s="1">
        <v>46275</v>
      </c>
      <c r="L64" t="s">
        <v>105</v>
      </c>
      <c r="M64">
        <v>10</v>
      </c>
      <c r="N64">
        <v>9</v>
      </c>
      <c r="O64">
        <v>3</v>
      </c>
      <c r="P64">
        <v>2026</v>
      </c>
    </row>
    <row r="65" spans="1:16">
      <c r="A65">
        <v>707.4</v>
      </c>
      <c r="B65">
        <v>5</v>
      </c>
      <c r="C65" t="s">
        <v>2084</v>
      </c>
      <c r="D65" t="s">
        <v>2085</v>
      </c>
      <c r="E65" t="s">
        <v>2086</v>
      </c>
      <c r="F65" t="s">
        <v>1209</v>
      </c>
      <c r="G65" t="s">
        <v>776</v>
      </c>
      <c r="H65" t="s">
        <v>240</v>
      </c>
      <c r="I65" t="s">
        <v>23</v>
      </c>
      <c r="J65">
        <v>141.47999999999999</v>
      </c>
      <c r="K65" s="1">
        <v>45992</v>
      </c>
      <c r="L65" t="s">
        <v>93</v>
      </c>
      <c r="M65">
        <v>1</v>
      </c>
      <c r="N65">
        <v>12</v>
      </c>
      <c r="O65">
        <v>4</v>
      </c>
      <c r="P65">
        <v>2025</v>
      </c>
    </row>
    <row r="66" spans="1:16">
      <c r="A66">
        <v>254.28000000000003</v>
      </c>
      <c r="B66">
        <v>3</v>
      </c>
      <c r="C66" t="s">
        <v>1223</v>
      </c>
      <c r="D66" t="s">
        <v>1224</v>
      </c>
      <c r="E66" t="s">
        <v>1225</v>
      </c>
      <c r="F66" t="s">
        <v>644</v>
      </c>
      <c r="G66" t="s">
        <v>748</v>
      </c>
      <c r="H66" t="s">
        <v>363</v>
      </c>
      <c r="I66" t="s">
        <v>100</v>
      </c>
      <c r="J66">
        <v>84.76</v>
      </c>
      <c r="K66" s="1">
        <v>45806</v>
      </c>
      <c r="L66" t="s">
        <v>105</v>
      </c>
      <c r="M66">
        <v>29</v>
      </c>
      <c r="N66">
        <v>5</v>
      </c>
      <c r="O66">
        <v>2</v>
      </c>
      <c r="P66">
        <v>2025</v>
      </c>
    </row>
    <row r="67" spans="1:16">
      <c r="A67">
        <v>583.32000000000005</v>
      </c>
      <c r="B67">
        <v>4</v>
      </c>
      <c r="C67" t="s">
        <v>2379</v>
      </c>
      <c r="D67" t="s">
        <v>2380</v>
      </c>
      <c r="E67" t="s">
        <v>820</v>
      </c>
      <c r="F67" t="s">
        <v>995</v>
      </c>
      <c r="G67" t="s">
        <v>781</v>
      </c>
      <c r="H67" t="s">
        <v>171</v>
      </c>
      <c r="I67" t="s">
        <v>46</v>
      </c>
      <c r="J67">
        <v>145.83000000000001</v>
      </c>
      <c r="K67" s="1">
        <v>45609</v>
      </c>
      <c r="L67" t="s">
        <v>34</v>
      </c>
      <c r="M67">
        <v>13</v>
      </c>
      <c r="N67">
        <v>11</v>
      </c>
      <c r="O67">
        <v>4</v>
      </c>
      <c r="P67">
        <v>2024</v>
      </c>
    </row>
    <row r="68" spans="1:16">
      <c r="A68">
        <v>40.04</v>
      </c>
      <c r="B68">
        <v>4</v>
      </c>
      <c r="C68" t="s">
        <v>2342</v>
      </c>
      <c r="D68" t="s">
        <v>2343</v>
      </c>
      <c r="E68" t="s">
        <v>211</v>
      </c>
      <c r="F68" t="s">
        <v>1206</v>
      </c>
      <c r="G68" t="s">
        <v>943</v>
      </c>
      <c r="H68" t="s">
        <v>163</v>
      </c>
      <c r="I68" t="s">
        <v>97</v>
      </c>
      <c r="J68">
        <v>10.01</v>
      </c>
      <c r="K68" s="1">
        <v>45720</v>
      </c>
      <c r="L68" t="s">
        <v>48</v>
      </c>
      <c r="M68">
        <v>4</v>
      </c>
      <c r="N68">
        <v>3</v>
      </c>
      <c r="O68">
        <v>1</v>
      </c>
      <c r="P68">
        <v>2025</v>
      </c>
    </row>
    <row r="69" spans="1:16">
      <c r="A69">
        <v>435.24</v>
      </c>
      <c r="B69">
        <v>4</v>
      </c>
      <c r="C69" t="s">
        <v>2002</v>
      </c>
      <c r="D69" t="s">
        <v>2003</v>
      </c>
      <c r="E69" t="s">
        <v>2004</v>
      </c>
      <c r="F69" t="s">
        <v>794</v>
      </c>
      <c r="G69" t="s">
        <v>821</v>
      </c>
      <c r="H69" t="s">
        <v>453</v>
      </c>
      <c r="I69" t="s">
        <v>55</v>
      </c>
      <c r="J69">
        <v>108.81</v>
      </c>
      <c r="K69" s="1">
        <v>45976</v>
      </c>
      <c r="L69" t="s">
        <v>14</v>
      </c>
      <c r="M69">
        <v>15</v>
      </c>
      <c r="N69">
        <v>11</v>
      </c>
      <c r="O69">
        <v>4</v>
      </c>
      <c r="P69">
        <v>2025</v>
      </c>
    </row>
    <row r="70" spans="1:16">
      <c r="A70">
        <v>1125.25</v>
      </c>
      <c r="B70">
        <v>5</v>
      </c>
      <c r="C70" t="s">
        <v>2552</v>
      </c>
      <c r="D70" t="s">
        <v>2553</v>
      </c>
      <c r="E70" t="s">
        <v>1524</v>
      </c>
      <c r="F70" t="s">
        <v>196</v>
      </c>
      <c r="G70" t="s">
        <v>1247</v>
      </c>
      <c r="H70" t="s">
        <v>320</v>
      </c>
      <c r="I70" t="s">
        <v>21</v>
      </c>
      <c r="J70">
        <v>225.05</v>
      </c>
      <c r="K70" s="1">
        <v>46136</v>
      </c>
      <c r="L70" t="s">
        <v>79</v>
      </c>
      <c r="M70">
        <v>24</v>
      </c>
      <c r="N70">
        <v>4</v>
      </c>
      <c r="O70">
        <v>2</v>
      </c>
      <c r="P70">
        <v>2026</v>
      </c>
    </row>
    <row r="71" spans="1:16">
      <c r="A71">
        <v>19.02</v>
      </c>
      <c r="B71">
        <v>2</v>
      </c>
      <c r="C71" t="s">
        <v>2815</v>
      </c>
      <c r="D71" t="s">
        <v>2816</v>
      </c>
      <c r="E71" t="s">
        <v>1909</v>
      </c>
      <c r="F71" t="s">
        <v>802</v>
      </c>
      <c r="G71" t="s">
        <v>748</v>
      </c>
      <c r="H71" t="s">
        <v>727</v>
      </c>
      <c r="I71" t="s">
        <v>97</v>
      </c>
      <c r="J71">
        <v>9.51</v>
      </c>
      <c r="K71" s="1">
        <v>46145</v>
      </c>
      <c r="L71" t="s">
        <v>28</v>
      </c>
      <c r="M71">
        <v>3</v>
      </c>
      <c r="N71">
        <v>5</v>
      </c>
      <c r="O71">
        <v>2</v>
      </c>
      <c r="P71">
        <v>2026</v>
      </c>
    </row>
    <row r="72" spans="1:16">
      <c r="A72">
        <v>116.64</v>
      </c>
      <c r="B72">
        <v>4</v>
      </c>
      <c r="C72" t="s">
        <v>1817</v>
      </c>
      <c r="D72" t="s">
        <v>1818</v>
      </c>
      <c r="E72" t="s">
        <v>914</v>
      </c>
      <c r="F72" t="s">
        <v>1574</v>
      </c>
      <c r="G72" t="s">
        <v>1003</v>
      </c>
      <c r="H72" t="s">
        <v>511</v>
      </c>
      <c r="I72" t="s">
        <v>27</v>
      </c>
      <c r="J72">
        <v>29.16</v>
      </c>
      <c r="K72" s="1">
        <v>45876</v>
      </c>
      <c r="L72" t="s">
        <v>105</v>
      </c>
      <c r="M72">
        <v>7</v>
      </c>
      <c r="N72">
        <v>8</v>
      </c>
      <c r="O72">
        <v>3</v>
      </c>
      <c r="P72">
        <v>2025</v>
      </c>
    </row>
    <row r="73" spans="1:16">
      <c r="A73">
        <v>651.80000000000007</v>
      </c>
      <c r="B73">
        <v>5</v>
      </c>
      <c r="C73" t="s">
        <v>2785</v>
      </c>
      <c r="D73" t="s">
        <v>2786</v>
      </c>
      <c r="E73" t="s">
        <v>2787</v>
      </c>
      <c r="F73" t="s">
        <v>838</v>
      </c>
      <c r="G73" t="s">
        <v>839</v>
      </c>
      <c r="H73" t="s">
        <v>118</v>
      </c>
      <c r="I73" t="s">
        <v>31</v>
      </c>
      <c r="J73">
        <v>130.36000000000001</v>
      </c>
      <c r="K73" s="1">
        <v>46200</v>
      </c>
      <c r="L73" t="s">
        <v>14</v>
      </c>
      <c r="M73">
        <v>27</v>
      </c>
      <c r="N73">
        <v>6</v>
      </c>
      <c r="O73">
        <v>2</v>
      </c>
      <c r="P73">
        <v>2026</v>
      </c>
    </row>
    <row r="74" spans="1:16">
      <c r="A74">
        <v>629.36</v>
      </c>
      <c r="B74">
        <v>4</v>
      </c>
      <c r="C74" t="s">
        <v>947</v>
      </c>
      <c r="D74" t="s">
        <v>948</v>
      </c>
      <c r="E74" t="s">
        <v>949</v>
      </c>
      <c r="F74" t="s">
        <v>392</v>
      </c>
      <c r="G74" t="s">
        <v>834</v>
      </c>
      <c r="H74" t="s">
        <v>147</v>
      </c>
      <c r="I74" t="s">
        <v>27</v>
      </c>
      <c r="J74">
        <v>157.34</v>
      </c>
      <c r="K74" s="1">
        <v>46027</v>
      </c>
      <c r="L74" t="s">
        <v>93</v>
      </c>
      <c r="M74">
        <v>5</v>
      </c>
      <c r="N74">
        <v>1</v>
      </c>
      <c r="O74">
        <v>1</v>
      </c>
      <c r="P74">
        <v>2026</v>
      </c>
    </row>
    <row r="75" spans="1:16">
      <c r="A75">
        <v>537.88</v>
      </c>
      <c r="B75">
        <v>4</v>
      </c>
      <c r="C75" t="s">
        <v>1141</v>
      </c>
      <c r="D75" t="s">
        <v>1142</v>
      </c>
      <c r="E75" t="s">
        <v>1143</v>
      </c>
      <c r="F75" t="s">
        <v>862</v>
      </c>
      <c r="G75" t="s">
        <v>908</v>
      </c>
      <c r="H75" t="s">
        <v>76</v>
      </c>
      <c r="I75" t="s">
        <v>69</v>
      </c>
      <c r="J75">
        <v>134.47</v>
      </c>
      <c r="K75" s="1">
        <v>45864</v>
      </c>
      <c r="L75" t="s">
        <v>14</v>
      </c>
      <c r="M75">
        <v>26</v>
      </c>
      <c r="N75">
        <v>7</v>
      </c>
      <c r="O75">
        <v>3</v>
      </c>
      <c r="P75">
        <v>2025</v>
      </c>
    </row>
    <row r="76" spans="1:16">
      <c r="A76">
        <v>97.710000000000008</v>
      </c>
      <c r="B76">
        <v>3</v>
      </c>
      <c r="C76" t="s">
        <v>3471</v>
      </c>
      <c r="D76" t="s">
        <v>3472</v>
      </c>
      <c r="E76" t="s">
        <v>872</v>
      </c>
      <c r="F76" t="s">
        <v>49</v>
      </c>
      <c r="G76" t="s">
        <v>892</v>
      </c>
      <c r="H76" t="s">
        <v>258</v>
      </c>
      <c r="I76" t="s">
        <v>57</v>
      </c>
      <c r="J76">
        <v>32.57</v>
      </c>
      <c r="K76" s="1">
        <v>45586</v>
      </c>
      <c r="L76" t="s">
        <v>93</v>
      </c>
      <c r="M76">
        <v>21</v>
      </c>
      <c r="N76">
        <v>10</v>
      </c>
      <c r="O76">
        <v>4</v>
      </c>
      <c r="P76">
        <v>2024</v>
      </c>
    </row>
    <row r="77" spans="1:16">
      <c r="A77">
        <v>33.840000000000003</v>
      </c>
      <c r="B77">
        <v>1</v>
      </c>
      <c r="C77" t="s">
        <v>1702</v>
      </c>
      <c r="D77" t="s">
        <v>1703</v>
      </c>
      <c r="E77" t="s">
        <v>1324</v>
      </c>
      <c r="F77" t="s">
        <v>1026</v>
      </c>
      <c r="G77" t="s">
        <v>896</v>
      </c>
      <c r="H77" t="s">
        <v>692</v>
      </c>
      <c r="I77" t="s">
        <v>69</v>
      </c>
      <c r="J77">
        <v>33.840000000000003</v>
      </c>
      <c r="K77" s="1">
        <v>45788</v>
      </c>
      <c r="L77" t="s">
        <v>28</v>
      </c>
      <c r="M77">
        <v>11</v>
      </c>
      <c r="N77">
        <v>5</v>
      </c>
      <c r="O77">
        <v>2</v>
      </c>
      <c r="P77">
        <v>2025</v>
      </c>
    </row>
    <row r="78" spans="1:16">
      <c r="A78">
        <v>105.24</v>
      </c>
      <c r="B78">
        <v>2</v>
      </c>
      <c r="C78" t="s">
        <v>2641</v>
      </c>
      <c r="D78" t="s">
        <v>2642</v>
      </c>
      <c r="E78" t="s">
        <v>2643</v>
      </c>
      <c r="F78" t="s">
        <v>785</v>
      </c>
      <c r="G78" t="s">
        <v>786</v>
      </c>
      <c r="H78" t="s">
        <v>270</v>
      </c>
      <c r="I78" t="s">
        <v>55</v>
      </c>
      <c r="J78">
        <v>52.62</v>
      </c>
      <c r="K78" s="1">
        <v>46241</v>
      </c>
      <c r="L78" t="s">
        <v>79</v>
      </c>
      <c r="M78">
        <v>7</v>
      </c>
      <c r="N78">
        <v>8</v>
      </c>
      <c r="O78">
        <v>3</v>
      </c>
      <c r="P78">
        <v>2026</v>
      </c>
    </row>
    <row r="79" spans="1:16">
      <c r="A79">
        <v>156.86000000000001</v>
      </c>
      <c r="B79">
        <v>1</v>
      </c>
      <c r="C79" t="s">
        <v>3445</v>
      </c>
      <c r="D79" t="s">
        <v>3446</v>
      </c>
      <c r="E79" t="s">
        <v>1387</v>
      </c>
      <c r="F79" t="s">
        <v>691</v>
      </c>
      <c r="G79" t="s">
        <v>776</v>
      </c>
      <c r="H79" t="s">
        <v>602</v>
      </c>
      <c r="I79" t="s">
        <v>17</v>
      </c>
      <c r="J79">
        <v>156.86000000000001</v>
      </c>
      <c r="K79" s="1">
        <v>45921</v>
      </c>
      <c r="L79" t="s">
        <v>28</v>
      </c>
      <c r="M79">
        <v>21</v>
      </c>
      <c r="N79">
        <v>9</v>
      </c>
      <c r="O79">
        <v>3</v>
      </c>
      <c r="P79">
        <v>2025</v>
      </c>
    </row>
    <row r="80" spans="1:16">
      <c r="A80">
        <v>11.42</v>
      </c>
      <c r="B80">
        <v>2</v>
      </c>
      <c r="C80" t="s">
        <v>1522</v>
      </c>
      <c r="D80" t="s">
        <v>1523</v>
      </c>
      <c r="E80" t="s">
        <v>1524</v>
      </c>
      <c r="F80" t="s">
        <v>1525</v>
      </c>
      <c r="G80" t="s">
        <v>763</v>
      </c>
      <c r="H80" t="s">
        <v>669</v>
      </c>
      <c r="I80" t="s">
        <v>97</v>
      </c>
      <c r="J80">
        <v>5.71</v>
      </c>
      <c r="K80" s="1">
        <v>45662</v>
      </c>
      <c r="L80" t="s">
        <v>28</v>
      </c>
      <c r="M80">
        <v>5</v>
      </c>
      <c r="N80">
        <v>1</v>
      </c>
      <c r="O80">
        <v>1</v>
      </c>
      <c r="P80">
        <v>2025</v>
      </c>
    </row>
    <row r="81" spans="1:16">
      <c r="A81">
        <v>15.870000000000001</v>
      </c>
      <c r="B81">
        <v>3</v>
      </c>
      <c r="C81" t="s">
        <v>2278</v>
      </c>
      <c r="D81" t="s">
        <v>2279</v>
      </c>
      <c r="E81" t="s">
        <v>2280</v>
      </c>
      <c r="F81" t="s">
        <v>1239</v>
      </c>
      <c r="G81" t="s">
        <v>795</v>
      </c>
      <c r="H81" t="s">
        <v>394</v>
      </c>
      <c r="I81" t="s">
        <v>122</v>
      </c>
      <c r="J81">
        <v>5.29</v>
      </c>
      <c r="K81" s="1">
        <v>45783</v>
      </c>
      <c r="L81" t="s">
        <v>48</v>
      </c>
      <c r="M81">
        <v>6</v>
      </c>
      <c r="N81">
        <v>5</v>
      </c>
      <c r="O81">
        <v>2</v>
      </c>
      <c r="P81">
        <v>2025</v>
      </c>
    </row>
    <row r="82" spans="1:16">
      <c r="A82">
        <v>129.62</v>
      </c>
      <c r="B82">
        <v>2</v>
      </c>
      <c r="C82" t="s">
        <v>2737</v>
      </c>
      <c r="D82" t="s">
        <v>2738</v>
      </c>
      <c r="E82" t="s">
        <v>1110</v>
      </c>
      <c r="F82" t="s">
        <v>825</v>
      </c>
      <c r="G82" t="s">
        <v>781</v>
      </c>
      <c r="H82" t="s">
        <v>471</v>
      </c>
      <c r="I82" t="s">
        <v>19</v>
      </c>
      <c r="J82">
        <v>64.81</v>
      </c>
      <c r="K82" s="1">
        <v>46030</v>
      </c>
      <c r="L82" t="s">
        <v>105</v>
      </c>
      <c r="M82">
        <v>8</v>
      </c>
      <c r="N82">
        <v>1</v>
      </c>
      <c r="O82">
        <v>1</v>
      </c>
      <c r="P82">
        <v>2026</v>
      </c>
    </row>
    <row r="83" spans="1:16">
      <c r="A83">
        <v>914.64</v>
      </c>
      <c r="B83">
        <v>4</v>
      </c>
      <c r="C83" t="s">
        <v>3150</v>
      </c>
      <c r="D83" t="s">
        <v>3151</v>
      </c>
      <c r="E83" t="s">
        <v>1231</v>
      </c>
      <c r="F83" t="s">
        <v>562</v>
      </c>
      <c r="G83" t="s">
        <v>753</v>
      </c>
      <c r="H83" t="s">
        <v>480</v>
      </c>
      <c r="I83" t="s">
        <v>57</v>
      </c>
      <c r="J83">
        <v>228.66</v>
      </c>
      <c r="K83" s="1">
        <v>45580</v>
      </c>
      <c r="L83" t="s">
        <v>48</v>
      </c>
      <c r="M83">
        <v>15</v>
      </c>
      <c r="N83">
        <v>10</v>
      </c>
      <c r="O83">
        <v>4</v>
      </c>
      <c r="P83">
        <v>2024</v>
      </c>
    </row>
    <row r="84" spans="1:16">
      <c r="A84">
        <v>450.65</v>
      </c>
      <c r="B84">
        <v>5</v>
      </c>
      <c r="C84" t="s">
        <v>1912</v>
      </c>
      <c r="D84" t="s">
        <v>1913</v>
      </c>
      <c r="E84" t="s">
        <v>1565</v>
      </c>
      <c r="F84" t="s">
        <v>806</v>
      </c>
      <c r="G84" t="s">
        <v>807</v>
      </c>
      <c r="H84" t="s">
        <v>304</v>
      </c>
      <c r="I84" t="s">
        <v>100</v>
      </c>
      <c r="J84">
        <v>90.13</v>
      </c>
      <c r="K84" s="1">
        <v>45656</v>
      </c>
      <c r="L84" t="s">
        <v>93</v>
      </c>
      <c r="M84">
        <v>30</v>
      </c>
      <c r="N84">
        <v>12</v>
      </c>
      <c r="O84">
        <v>4</v>
      </c>
      <c r="P84">
        <v>2024</v>
      </c>
    </row>
    <row r="85" spans="1:16">
      <c r="A85">
        <v>163.22999999999999</v>
      </c>
      <c r="B85">
        <v>1</v>
      </c>
      <c r="C85" t="s">
        <v>1699</v>
      </c>
      <c r="D85" t="s">
        <v>1700</v>
      </c>
      <c r="E85" t="s">
        <v>1701</v>
      </c>
      <c r="F85" t="s">
        <v>929</v>
      </c>
      <c r="G85" t="s">
        <v>1247</v>
      </c>
      <c r="H85" t="s">
        <v>593</v>
      </c>
      <c r="I85" t="s">
        <v>97</v>
      </c>
      <c r="J85">
        <v>163.22999999999999</v>
      </c>
      <c r="K85" s="1">
        <v>46078</v>
      </c>
      <c r="L85" t="s">
        <v>34</v>
      </c>
      <c r="M85">
        <v>25</v>
      </c>
      <c r="N85">
        <v>2</v>
      </c>
      <c r="O85">
        <v>1</v>
      </c>
      <c r="P85">
        <v>2026</v>
      </c>
    </row>
    <row r="86" spans="1:16">
      <c r="A86">
        <v>54.150000000000006</v>
      </c>
      <c r="B86">
        <v>3</v>
      </c>
      <c r="C86" t="s">
        <v>2722</v>
      </c>
      <c r="D86" t="s">
        <v>2723</v>
      </c>
      <c r="E86" t="s">
        <v>1440</v>
      </c>
      <c r="F86" t="s">
        <v>380</v>
      </c>
      <c r="G86" t="s">
        <v>776</v>
      </c>
      <c r="H86" t="s">
        <v>30</v>
      </c>
      <c r="I86" t="s">
        <v>31</v>
      </c>
      <c r="J86">
        <v>18.05</v>
      </c>
      <c r="K86" s="1">
        <v>45897</v>
      </c>
      <c r="L86" t="s">
        <v>105</v>
      </c>
      <c r="M86">
        <v>28</v>
      </c>
      <c r="N86">
        <v>8</v>
      </c>
      <c r="O86">
        <v>3</v>
      </c>
      <c r="P86">
        <v>2025</v>
      </c>
    </row>
    <row r="87" spans="1:16">
      <c r="A87">
        <v>239.19</v>
      </c>
      <c r="B87">
        <v>3</v>
      </c>
      <c r="C87" t="s">
        <v>977</v>
      </c>
      <c r="D87" t="s">
        <v>978</v>
      </c>
      <c r="E87" t="s">
        <v>979</v>
      </c>
      <c r="F87" t="s">
        <v>980</v>
      </c>
      <c r="G87" t="s">
        <v>981</v>
      </c>
      <c r="H87" t="s">
        <v>621</v>
      </c>
      <c r="I87" t="s">
        <v>19</v>
      </c>
      <c r="J87">
        <v>79.73</v>
      </c>
      <c r="K87" s="1">
        <v>45915</v>
      </c>
      <c r="L87" t="s">
        <v>93</v>
      </c>
      <c r="M87">
        <v>15</v>
      </c>
      <c r="N87">
        <v>9</v>
      </c>
      <c r="O87">
        <v>3</v>
      </c>
      <c r="P87">
        <v>2025</v>
      </c>
    </row>
    <row r="88" spans="1:16">
      <c r="A88">
        <v>104.96</v>
      </c>
      <c r="B88">
        <v>1</v>
      </c>
      <c r="C88" t="s">
        <v>866</v>
      </c>
      <c r="D88" t="s">
        <v>867</v>
      </c>
      <c r="E88" t="s">
        <v>868</v>
      </c>
      <c r="F88" t="s">
        <v>869</v>
      </c>
      <c r="G88" t="s">
        <v>812</v>
      </c>
      <c r="H88" t="s">
        <v>225</v>
      </c>
      <c r="I88" t="s">
        <v>21</v>
      </c>
      <c r="J88">
        <v>104.96</v>
      </c>
      <c r="K88" s="1">
        <v>46026</v>
      </c>
      <c r="L88" t="s">
        <v>28</v>
      </c>
      <c r="M88">
        <v>4</v>
      </c>
      <c r="N88">
        <v>1</v>
      </c>
      <c r="O88">
        <v>1</v>
      </c>
      <c r="P88">
        <v>2026</v>
      </c>
    </row>
    <row r="89" spans="1:16">
      <c r="A89">
        <v>290.85000000000002</v>
      </c>
      <c r="B89">
        <v>5</v>
      </c>
      <c r="C89" t="s">
        <v>3046</v>
      </c>
      <c r="D89" t="s">
        <v>3047</v>
      </c>
      <c r="E89" t="s">
        <v>2513</v>
      </c>
      <c r="F89" t="s">
        <v>829</v>
      </c>
      <c r="G89" t="s">
        <v>830</v>
      </c>
      <c r="H89" t="s">
        <v>615</v>
      </c>
      <c r="I89" t="s">
        <v>100</v>
      </c>
      <c r="J89">
        <v>58.17</v>
      </c>
      <c r="K89" s="1">
        <v>45947</v>
      </c>
      <c r="L89" t="s">
        <v>79</v>
      </c>
      <c r="M89">
        <v>17</v>
      </c>
      <c r="N89">
        <v>10</v>
      </c>
      <c r="O89">
        <v>4</v>
      </c>
      <c r="P89">
        <v>2025</v>
      </c>
    </row>
    <row r="90" spans="1:16">
      <c r="A90">
        <v>165.38</v>
      </c>
      <c r="B90">
        <v>2</v>
      </c>
      <c r="C90" t="s">
        <v>2063</v>
      </c>
      <c r="D90" t="s">
        <v>2064</v>
      </c>
      <c r="E90" t="s">
        <v>2065</v>
      </c>
      <c r="F90" t="s">
        <v>1156</v>
      </c>
      <c r="G90" t="s">
        <v>821</v>
      </c>
      <c r="H90" t="s">
        <v>650</v>
      </c>
      <c r="I90" t="s">
        <v>37</v>
      </c>
      <c r="J90">
        <v>82.69</v>
      </c>
      <c r="K90" s="1">
        <v>45848</v>
      </c>
      <c r="L90" t="s">
        <v>105</v>
      </c>
      <c r="M90">
        <v>10</v>
      </c>
      <c r="N90">
        <v>7</v>
      </c>
      <c r="O90">
        <v>3</v>
      </c>
      <c r="P90">
        <v>2025</v>
      </c>
    </row>
    <row r="91" spans="1:16">
      <c r="A91">
        <v>377.79</v>
      </c>
      <c r="B91">
        <v>3</v>
      </c>
      <c r="C91" t="s">
        <v>3117</v>
      </c>
      <c r="D91" t="s">
        <v>3118</v>
      </c>
      <c r="E91" t="s">
        <v>2103</v>
      </c>
      <c r="F91" t="s">
        <v>562</v>
      </c>
      <c r="G91" t="s">
        <v>753</v>
      </c>
      <c r="H91" t="s">
        <v>533</v>
      </c>
      <c r="I91" t="s">
        <v>122</v>
      </c>
      <c r="J91">
        <v>125.93</v>
      </c>
      <c r="K91" s="1">
        <v>45785</v>
      </c>
      <c r="L91" t="s">
        <v>105</v>
      </c>
      <c r="M91">
        <v>8</v>
      </c>
      <c r="N91">
        <v>5</v>
      </c>
      <c r="O91">
        <v>2</v>
      </c>
      <c r="P91">
        <v>2025</v>
      </c>
    </row>
    <row r="92" spans="1:16">
      <c r="A92">
        <v>1095.05</v>
      </c>
      <c r="B92">
        <v>5</v>
      </c>
      <c r="C92" t="s">
        <v>3318</v>
      </c>
      <c r="D92" t="s">
        <v>3319</v>
      </c>
      <c r="E92" t="s">
        <v>1345</v>
      </c>
      <c r="F92" t="s">
        <v>1306</v>
      </c>
      <c r="G92" t="s">
        <v>966</v>
      </c>
      <c r="H92" t="s">
        <v>279</v>
      </c>
      <c r="I92" t="s">
        <v>82</v>
      </c>
      <c r="J92">
        <v>219.01</v>
      </c>
      <c r="K92" s="1">
        <v>45706</v>
      </c>
      <c r="L92" t="s">
        <v>48</v>
      </c>
      <c r="M92">
        <v>18</v>
      </c>
      <c r="N92">
        <v>2</v>
      </c>
      <c r="O92">
        <v>1</v>
      </c>
      <c r="P92">
        <v>2025</v>
      </c>
    </row>
    <row r="93" spans="1:16">
      <c r="A93">
        <v>35.49</v>
      </c>
      <c r="B93">
        <v>3</v>
      </c>
      <c r="C93" t="s">
        <v>1832</v>
      </c>
      <c r="D93" t="s">
        <v>1833</v>
      </c>
      <c r="E93" t="s">
        <v>1358</v>
      </c>
      <c r="F93" t="s">
        <v>825</v>
      </c>
      <c r="G93" t="s">
        <v>781</v>
      </c>
      <c r="H93" t="s">
        <v>220</v>
      </c>
      <c r="I93" t="s">
        <v>97</v>
      </c>
      <c r="J93">
        <v>11.83</v>
      </c>
      <c r="K93" s="1">
        <v>45557</v>
      </c>
      <c r="L93" t="s">
        <v>28</v>
      </c>
      <c r="M93">
        <v>22</v>
      </c>
      <c r="N93">
        <v>9</v>
      </c>
      <c r="O93">
        <v>3</v>
      </c>
      <c r="P93">
        <v>2024</v>
      </c>
    </row>
    <row r="94" spans="1:16">
      <c r="A94">
        <v>90.42</v>
      </c>
      <c r="B94">
        <v>2</v>
      </c>
      <c r="C94" t="s">
        <v>2572</v>
      </c>
      <c r="D94" t="s">
        <v>2573</v>
      </c>
      <c r="E94" t="s">
        <v>1688</v>
      </c>
      <c r="F94" t="s">
        <v>2574</v>
      </c>
      <c r="G94" t="s">
        <v>839</v>
      </c>
      <c r="H94" t="s">
        <v>542</v>
      </c>
      <c r="I94" t="s">
        <v>46</v>
      </c>
      <c r="J94">
        <v>45.21</v>
      </c>
      <c r="K94" s="1">
        <v>45820</v>
      </c>
      <c r="L94" t="s">
        <v>105</v>
      </c>
      <c r="M94">
        <v>12</v>
      </c>
      <c r="N94">
        <v>6</v>
      </c>
      <c r="O94">
        <v>2</v>
      </c>
      <c r="P94">
        <v>2025</v>
      </c>
    </row>
    <row r="95" spans="1:16">
      <c r="A95">
        <v>933.68</v>
      </c>
      <c r="B95">
        <v>4</v>
      </c>
      <c r="C95" t="s">
        <v>2853</v>
      </c>
      <c r="D95" t="s">
        <v>2854</v>
      </c>
      <c r="E95" t="s">
        <v>2522</v>
      </c>
      <c r="F95" t="s">
        <v>2332</v>
      </c>
      <c r="G95" t="s">
        <v>1003</v>
      </c>
      <c r="H95" t="s">
        <v>632</v>
      </c>
      <c r="I95" t="s">
        <v>57</v>
      </c>
      <c r="J95">
        <v>233.42</v>
      </c>
      <c r="K95" s="1">
        <v>45700</v>
      </c>
      <c r="L95" t="s">
        <v>34</v>
      </c>
      <c r="M95">
        <v>12</v>
      </c>
      <c r="N95">
        <v>2</v>
      </c>
      <c r="O95">
        <v>1</v>
      </c>
      <c r="P95">
        <v>2025</v>
      </c>
    </row>
    <row r="96" spans="1:16">
      <c r="A96">
        <v>216.1</v>
      </c>
      <c r="B96">
        <v>2</v>
      </c>
      <c r="C96" t="s">
        <v>1845</v>
      </c>
      <c r="D96" t="s">
        <v>1846</v>
      </c>
      <c r="E96" t="s">
        <v>1263</v>
      </c>
      <c r="F96" t="s">
        <v>953</v>
      </c>
      <c r="G96" t="s">
        <v>954</v>
      </c>
      <c r="H96" t="s">
        <v>682</v>
      </c>
      <c r="I96" t="s">
        <v>23</v>
      </c>
      <c r="J96">
        <v>108.05</v>
      </c>
      <c r="K96" s="1">
        <v>46013</v>
      </c>
      <c r="L96" t="s">
        <v>93</v>
      </c>
      <c r="M96">
        <v>22</v>
      </c>
      <c r="N96">
        <v>12</v>
      </c>
      <c r="O96">
        <v>4</v>
      </c>
      <c r="P96">
        <v>2025</v>
      </c>
    </row>
    <row r="97" spans="1:16">
      <c r="A97">
        <v>220.47</v>
      </c>
      <c r="B97">
        <v>1</v>
      </c>
      <c r="C97" t="s">
        <v>3044</v>
      </c>
      <c r="D97" t="s">
        <v>3045</v>
      </c>
      <c r="E97" t="s">
        <v>2831</v>
      </c>
      <c r="F97" t="s">
        <v>980</v>
      </c>
      <c r="G97" t="s">
        <v>981</v>
      </c>
      <c r="H97" t="s">
        <v>496</v>
      </c>
      <c r="I97" t="s">
        <v>17</v>
      </c>
      <c r="J97">
        <v>220.47</v>
      </c>
      <c r="K97" s="1">
        <v>45572</v>
      </c>
      <c r="L97" t="s">
        <v>93</v>
      </c>
      <c r="M97">
        <v>7</v>
      </c>
      <c r="N97">
        <v>10</v>
      </c>
      <c r="O97">
        <v>4</v>
      </c>
      <c r="P97">
        <v>2024</v>
      </c>
    </row>
    <row r="98" spans="1:16">
      <c r="A98">
        <v>9.42</v>
      </c>
      <c r="B98">
        <v>2</v>
      </c>
      <c r="C98" t="s">
        <v>2207</v>
      </c>
      <c r="D98" t="s">
        <v>2208</v>
      </c>
      <c r="E98" t="s">
        <v>1854</v>
      </c>
      <c r="F98" t="s">
        <v>1920</v>
      </c>
      <c r="G98" t="s">
        <v>807</v>
      </c>
      <c r="H98" t="s">
        <v>454</v>
      </c>
      <c r="I98" t="s">
        <v>23</v>
      </c>
      <c r="J98">
        <v>4.71</v>
      </c>
      <c r="K98" s="1">
        <v>45982</v>
      </c>
      <c r="L98" t="s">
        <v>79</v>
      </c>
      <c r="M98">
        <v>21</v>
      </c>
      <c r="N98">
        <v>11</v>
      </c>
      <c r="O98">
        <v>4</v>
      </c>
      <c r="P98">
        <v>2025</v>
      </c>
    </row>
    <row r="99" spans="1:16">
      <c r="A99">
        <v>79.92</v>
      </c>
      <c r="B99">
        <v>1</v>
      </c>
      <c r="C99" t="s">
        <v>1923</v>
      </c>
      <c r="D99" t="s">
        <v>1924</v>
      </c>
      <c r="E99" t="s">
        <v>1925</v>
      </c>
      <c r="F99" t="s">
        <v>29</v>
      </c>
      <c r="G99" t="s">
        <v>821</v>
      </c>
      <c r="H99" t="s">
        <v>209</v>
      </c>
      <c r="I99" t="s">
        <v>25</v>
      </c>
      <c r="J99">
        <v>79.92</v>
      </c>
      <c r="K99" s="1">
        <v>45703</v>
      </c>
      <c r="L99" t="s">
        <v>14</v>
      </c>
      <c r="M99">
        <v>15</v>
      </c>
      <c r="N99">
        <v>2</v>
      </c>
      <c r="O99">
        <v>1</v>
      </c>
      <c r="P99">
        <v>2025</v>
      </c>
    </row>
    <row r="100" spans="1:16">
      <c r="A100">
        <v>5.05</v>
      </c>
      <c r="B100">
        <v>1</v>
      </c>
      <c r="C100" t="s">
        <v>2618</v>
      </c>
      <c r="D100" t="s">
        <v>2619</v>
      </c>
      <c r="E100" t="s">
        <v>1025</v>
      </c>
      <c r="F100" t="s">
        <v>2044</v>
      </c>
      <c r="G100" t="s">
        <v>748</v>
      </c>
      <c r="H100" t="s">
        <v>182</v>
      </c>
      <c r="I100" t="s">
        <v>39</v>
      </c>
      <c r="J100">
        <v>5.05</v>
      </c>
      <c r="K100" s="1">
        <v>45946</v>
      </c>
      <c r="L100" t="s">
        <v>105</v>
      </c>
      <c r="M100">
        <v>16</v>
      </c>
      <c r="N100">
        <v>10</v>
      </c>
      <c r="O100">
        <v>4</v>
      </c>
      <c r="P100">
        <v>2025</v>
      </c>
    </row>
    <row r="101" spans="1:16">
      <c r="A101">
        <v>71.75</v>
      </c>
      <c r="B101">
        <v>1</v>
      </c>
      <c r="C101" t="s">
        <v>1134</v>
      </c>
      <c r="D101" t="s">
        <v>1135</v>
      </c>
      <c r="E101" t="s">
        <v>1136</v>
      </c>
      <c r="F101" t="s">
        <v>1137</v>
      </c>
      <c r="G101" t="s">
        <v>748</v>
      </c>
      <c r="H101" t="s">
        <v>645</v>
      </c>
      <c r="I101" t="s">
        <v>51</v>
      </c>
      <c r="J101">
        <v>71.75</v>
      </c>
      <c r="K101" s="1">
        <v>45703</v>
      </c>
      <c r="L101" t="s">
        <v>14</v>
      </c>
      <c r="M101">
        <v>15</v>
      </c>
      <c r="N101">
        <v>2</v>
      </c>
      <c r="O101">
        <v>1</v>
      </c>
      <c r="P101">
        <v>2025</v>
      </c>
    </row>
    <row r="102" spans="1:16">
      <c r="A102">
        <v>1110.95</v>
      </c>
      <c r="B102">
        <v>5</v>
      </c>
      <c r="C102" t="s">
        <v>3199</v>
      </c>
      <c r="D102" t="s">
        <v>3200</v>
      </c>
      <c r="E102" t="s">
        <v>1212</v>
      </c>
      <c r="F102" t="s">
        <v>619</v>
      </c>
      <c r="G102" t="s">
        <v>758</v>
      </c>
      <c r="H102" t="s">
        <v>1082</v>
      </c>
      <c r="I102" t="s">
        <v>69</v>
      </c>
      <c r="J102">
        <v>222.19</v>
      </c>
      <c r="K102" s="1">
        <v>45961</v>
      </c>
      <c r="L102" t="s">
        <v>79</v>
      </c>
      <c r="M102">
        <v>31</v>
      </c>
      <c r="N102">
        <v>10</v>
      </c>
      <c r="O102">
        <v>4</v>
      </c>
      <c r="P102">
        <v>2025</v>
      </c>
    </row>
    <row r="103" spans="1:16">
      <c r="A103">
        <v>728.15</v>
      </c>
      <c r="B103">
        <v>5</v>
      </c>
      <c r="C103" t="s">
        <v>3060</v>
      </c>
      <c r="D103" t="s">
        <v>2894</v>
      </c>
      <c r="E103" t="s">
        <v>925</v>
      </c>
      <c r="F103" t="s">
        <v>513</v>
      </c>
      <c r="G103" t="s">
        <v>786</v>
      </c>
      <c r="H103" t="s">
        <v>191</v>
      </c>
      <c r="I103" t="s">
        <v>60</v>
      </c>
      <c r="J103">
        <v>145.63</v>
      </c>
      <c r="K103" s="1">
        <v>46272</v>
      </c>
      <c r="L103" t="s">
        <v>93</v>
      </c>
      <c r="M103">
        <v>7</v>
      </c>
      <c r="N103">
        <v>9</v>
      </c>
      <c r="O103">
        <v>3</v>
      </c>
      <c r="P103">
        <v>2026</v>
      </c>
    </row>
    <row r="104" spans="1:16">
      <c r="A104">
        <v>364.74</v>
      </c>
      <c r="B104">
        <v>2</v>
      </c>
      <c r="C104" t="s">
        <v>1534</v>
      </c>
      <c r="D104" t="s">
        <v>1535</v>
      </c>
      <c r="E104" t="s">
        <v>1536</v>
      </c>
      <c r="F104" t="s">
        <v>995</v>
      </c>
      <c r="G104" t="s">
        <v>781</v>
      </c>
      <c r="H104" t="s">
        <v>661</v>
      </c>
      <c r="I104" t="s">
        <v>122</v>
      </c>
      <c r="J104">
        <v>182.37</v>
      </c>
      <c r="K104" s="1">
        <v>45758</v>
      </c>
      <c r="L104" t="s">
        <v>79</v>
      </c>
      <c r="M104">
        <v>11</v>
      </c>
      <c r="N104">
        <v>4</v>
      </c>
      <c r="O104">
        <v>2</v>
      </c>
      <c r="P104">
        <v>2025</v>
      </c>
    </row>
    <row r="105" spans="1:16">
      <c r="A105">
        <v>131.25</v>
      </c>
      <c r="B105">
        <v>5</v>
      </c>
      <c r="C105" t="s">
        <v>2552</v>
      </c>
      <c r="D105" t="s">
        <v>2553</v>
      </c>
      <c r="E105" t="s">
        <v>1524</v>
      </c>
      <c r="F105" t="s">
        <v>196</v>
      </c>
      <c r="G105" t="s">
        <v>1247</v>
      </c>
      <c r="H105" t="s">
        <v>493</v>
      </c>
      <c r="I105" t="s">
        <v>46</v>
      </c>
      <c r="J105">
        <v>26.25</v>
      </c>
      <c r="K105" s="1">
        <v>45745</v>
      </c>
      <c r="L105" t="s">
        <v>14</v>
      </c>
      <c r="M105">
        <v>29</v>
      </c>
      <c r="N105">
        <v>3</v>
      </c>
      <c r="O105">
        <v>1</v>
      </c>
      <c r="P105">
        <v>2025</v>
      </c>
    </row>
    <row r="106" spans="1:16">
      <c r="A106">
        <v>446.15000000000003</v>
      </c>
      <c r="B106">
        <v>5</v>
      </c>
      <c r="C106" t="s">
        <v>2501</v>
      </c>
      <c r="D106" t="s">
        <v>2502</v>
      </c>
      <c r="E106" t="s">
        <v>2503</v>
      </c>
      <c r="F106" t="s">
        <v>548</v>
      </c>
      <c r="G106" t="s">
        <v>790</v>
      </c>
      <c r="H106" t="s">
        <v>401</v>
      </c>
      <c r="I106" t="s">
        <v>31</v>
      </c>
      <c r="J106">
        <v>89.23</v>
      </c>
      <c r="K106" s="1">
        <v>45620</v>
      </c>
      <c r="L106" t="s">
        <v>28</v>
      </c>
      <c r="M106">
        <v>24</v>
      </c>
      <c r="N106">
        <v>11</v>
      </c>
      <c r="O106">
        <v>4</v>
      </c>
      <c r="P106">
        <v>2024</v>
      </c>
    </row>
    <row r="107" spans="1:16">
      <c r="A107">
        <v>91.42</v>
      </c>
      <c r="B107">
        <v>1</v>
      </c>
      <c r="C107" t="s">
        <v>2589</v>
      </c>
      <c r="D107" t="s">
        <v>2590</v>
      </c>
      <c r="E107" t="s">
        <v>1220</v>
      </c>
      <c r="F107" t="s">
        <v>1434</v>
      </c>
      <c r="G107" t="s">
        <v>786</v>
      </c>
      <c r="H107" t="s">
        <v>479</v>
      </c>
      <c r="I107" t="s">
        <v>17</v>
      </c>
      <c r="J107">
        <v>91.42</v>
      </c>
      <c r="K107" s="1">
        <v>46244</v>
      </c>
      <c r="L107" t="s">
        <v>93</v>
      </c>
      <c r="M107">
        <v>10</v>
      </c>
      <c r="N107">
        <v>8</v>
      </c>
      <c r="O107">
        <v>3</v>
      </c>
      <c r="P107">
        <v>2026</v>
      </c>
    </row>
    <row r="108" spans="1:16">
      <c r="A108">
        <v>104.85</v>
      </c>
      <c r="B108">
        <v>5</v>
      </c>
      <c r="C108" t="s">
        <v>1702</v>
      </c>
      <c r="D108" t="s">
        <v>1703</v>
      </c>
      <c r="E108" t="s">
        <v>1324</v>
      </c>
      <c r="F108" t="s">
        <v>1026</v>
      </c>
      <c r="G108" t="s">
        <v>896</v>
      </c>
      <c r="H108" t="s">
        <v>472</v>
      </c>
      <c r="I108" t="s">
        <v>122</v>
      </c>
      <c r="J108">
        <v>20.97</v>
      </c>
      <c r="K108" s="1">
        <v>45937</v>
      </c>
      <c r="L108" t="s">
        <v>48</v>
      </c>
      <c r="M108">
        <v>7</v>
      </c>
      <c r="N108">
        <v>10</v>
      </c>
      <c r="O108">
        <v>4</v>
      </c>
      <c r="P108">
        <v>2025</v>
      </c>
    </row>
    <row r="109" spans="1:16">
      <c r="A109">
        <v>3.09</v>
      </c>
      <c r="B109">
        <v>3</v>
      </c>
      <c r="C109" t="s">
        <v>1954</v>
      </c>
      <c r="D109" t="s">
        <v>1955</v>
      </c>
      <c r="E109" t="s">
        <v>1679</v>
      </c>
      <c r="F109" t="s">
        <v>1257</v>
      </c>
      <c r="G109" t="s">
        <v>839</v>
      </c>
      <c r="H109" t="s">
        <v>711</v>
      </c>
      <c r="I109" t="s">
        <v>122</v>
      </c>
      <c r="J109">
        <v>1.03</v>
      </c>
      <c r="K109" s="1">
        <v>46236</v>
      </c>
      <c r="L109" t="s">
        <v>28</v>
      </c>
      <c r="M109">
        <v>2</v>
      </c>
      <c r="N109">
        <v>8</v>
      </c>
      <c r="O109">
        <v>3</v>
      </c>
      <c r="P109">
        <v>2026</v>
      </c>
    </row>
    <row r="110" spans="1:16">
      <c r="A110">
        <v>189.85</v>
      </c>
      <c r="B110">
        <v>1</v>
      </c>
      <c r="C110" t="s">
        <v>986</v>
      </c>
      <c r="D110" t="s">
        <v>987</v>
      </c>
      <c r="E110" t="s">
        <v>988</v>
      </c>
      <c r="F110" t="s">
        <v>708</v>
      </c>
      <c r="G110" t="s">
        <v>834</v>
      </c>
      <c r="H110" t="s">
        <v>569</v>
      </c>
      <c r="I110" t="s">
        <v>43</v>
      </c>
      <c r="J110">
        <v>189.85</v>
      </c>
      <c r="K110" s="1">
        <v>45831</v>
      </c>
      <c r="L110" t="s">
        <v>93</v>
      </c>
      <c r="M110">
        <v>23</v>
      </c>
      <c r="N110">
        <v>6</v>
      </c>
      <c r="O110">
        <v>2</v>
      </c>
      <c r="P110">
        <v>2025</v>
      </c>
    </row>
    <row r="111" spans="1:16">
      <c r="A111">
        <v>129.30000000000001</v>
      </c>
      <c r="B111">
        <v>5</v>
      </c>
      <c r="C111" t="s">
        <v>1752</v>
      </c>
      <c r="D111" t="s">
        <v>1753</v>
      </c>
      <c r="E111" t="s">
        <v>1754</v>
      </c>
      <c r="F111" t="s">
        <v>1755</v>
      </c>
      <c r="G111" t="s">
        <v>786</v>
      </c>
      <c r="H111" t="s">
        <v>282</v>
      </c>
      <c r="I111" t="s">
        <v>21</v>
      </c>
      <c r="J111">
        <v>25.86</v>
      </c>
      <c r="K111" s="1">
        <v>45726</v>
      </c>
      <c r="L111" t="s">
        <v>93</v>
      </c>
      <c r="M111">
        <v>10</v>
      </c>
      <c r="N111">
        <v>3</v>
      </c>
      <c r="O111">
        <v>1</v>
      </c>
      <c r="P111">
        <v>2025</v>
      </c>
    </row>
    <row r="112" spans="1:16">
      <c r="A112">
        <v>810.45</v>
      </c>
      <c r="B112">
        <v>5</v>
      </c>
      <c r="C112" t="s">
        <v>2912</v>
      </c>
      <c r="D112" t="s">
        <v>2913</v>
      </c>
      <c r="E112" t="s">
        <v>1657</v>
      </c>
      <c r="F112" t="s">
        <v>907</v>
      </c>
      <c r="G112" t="s">
        <v>908</v>
      </c>
      <c r="H112" t="s">
        <v>124</v>
      </c>
      <c r="I112" t="s">
        <v>82</v>
      </c>
      <c r="J112">
        <v>162.09</v>
      </c>
      <c r="K112" s="1">
        <v>45749</v>
      </c>
      <c r="L112" t="s">
        <v>34</v>
      </c>
      <c r="M112">
        <v>2</v>
      </c>
      <c r="N112">
        <v>4</v>
      </c>
      <c r="O112">
        <v>2</v>
      </c>
      <c r="P112">
        <v>2025</v>
      </c>
    </row>
    <row r="113" spans="1:16">
      <c r="A113">
        <v>22.48</v>
      </c>
      <c r="B113">
        <v>1</v>
      </c>
      <c r="C113" t="s">
        <v>870</v>
      </c>
      <c r="D113" t="s">
        <v>871</v>
      </c>
      <c r="E113" t="s">
        <v>872</v>
      </c>
      <c r="F113" t="s">
        <v>869</v>
      </c>
      <c r="G113" t="s">
        <v>807</v>
      </c>
      <c r="H113" t="s">
        <v>41</v>
      </c>
      <c r="I113" t="s">
        <v>39</v>
      </c>
      <c r="J113">
        <v>22.48</v>
      </c>
      <c r="K113" s="1">
        <v>45656</v>
      </c>
      <c r="L113" t="s">
        <v>93</v>
      </c>
      <c r="M113">
        <v>30</v>
      </c>
      <c r="N113">
        <v>12</v>
      </c>
      <c r="O113">
        <v>4</v>
      </c>
      <c r="P113">
        <v>2024</v>
      </c>
    </row>
    <row r="114" spans="1:16">
      <c r="A114">
        <v>216.1</v>
      </c>
      <c r="B114">
        <v>2</v>
      </c>
      <c r="C114" t="s">
        <v>1806</v>
      </c>
      <c r="D114" t="s">
        <v>1807</v>
      </c>
      <c r="E114" t="s">
        <v>1235</v>
      </c>
      <c r="F114" t="s">
        <v>1061</v>
      </c>
      <c r="G114" t="s">
        <v>834</v>
      </c>
      <c r="H114" t="s">
        <v>682</v>
      </c>
      <c r="I114" t="s">
        <v>23</v>
      </c>
      <c r="J114">
        <v>108.05</v>
      </c>
      <c r="K114" s="1">
        <v>45987</v>
      </c>
      <c r="L114" t="s">
        <v>34</v>
      </c>
      <c r="M114">
        <v>26</v>
      </c>
      <c r="N114">
        <v>11</v>
      </c>
      <c r="O114">
        <v>4</v>
      </c>
      <c r="P114">
        <v>2025</v>
      </c>
    </row>
    <row r="115" spans="1:16">
      <c r="A115">
        <v>50.28</v>
      </c>
      <c r="B115">
        <v>1</v>
      </c>
      <c r="C115" t="s">
        <v>1193</v>
      </c>
      <c r="D115" t="s">
        <v>1194</v>
      </c>
      <c r="E115" t="s">
        <v>1195</v>
      </c>
      <c r="F115" t="s">
        <v>199</v>
      </c>
      <c r="G115" t="s">
        <v>781</v>
      </c>
      <c r="H115" t="s">
        <v>519</v>
      </c>
      <c r="I115" t="s">
        <v>51</v>
      </c>
      <c r="J115">
        <v>50.28</v>
      </c>
      <c r="K115" s="1">
        <v>46191</v>
      </c>
      <c r="L115" t="s">
        <v>105</v>
      </c>
      <c r="M115">
        <v>18</v>
      </c>
      <c r="N115">
        <v>6</v>
      </c>
      <c r="O115">
        <v>2</v>
      </c>
      <c r="P115">
        <v>2026</v>
      </c>
    </row>
    <row r="116" spans="1:16">
      <c r="A116">
        <v>424.7</v>
      </c>
      <c r="B116">
        <v>5</v>
      </c>
      <c r="C116" t="s">
        <v>1825</v>
      </c>
      <c r="D116" t="s">
        <v>1826</v>
      </c>
      <c r="E116" t="s">
        <v>1098</v>
      </c>
      <c r="F116" t="s">
        <v>862</v>
      </c>
      <c r="G116" t="s">
        <v>908</v>
      </c>
      <c r="H116" t="s">
        <v>554</v>
      </c>
      <c r="I116" t="s">
        <v>17</v>
      </c>
      <c r="J116">
        <v>84.94</v>
      </c>
      <c r="K116" s="1">
        <v>45785</v>
      </c>
      <c r="L116" t="s">
        <v>105</v>
      </c>
      <c r="M116">
        <v>8</v>
      </c>
      <c r="N116">
        <v>5</v>
      </c>
      <c r="O116">
        <v>2</v>
      </c>
      <c r="P116">
        <v>2025</v>
      </c>
    </row>
    <row r="117" spans="1:16">
      <c r="A117">
        <v>56.95</v>
      </c>
      <c r="B117">
        <v>5</v>
      </c>
      <c r="C117" t="s">
        <v>1435</v>
      </c>
      <c r="D117" t="s">
        <v>1436</v>
      </c>
      <c r="E117" t="s">
        <v>1437</v>
      </c>
      <c r="F117" t="s">
        <v>387</v>
      </c>
      <c r="G117" t="s">
        <v>821</v>
      </c>
      <c r="H117" t="s">
        <v>325</v>
      </c>
      <c r="I117" t="s">
        <v>55</v>
      </c>
      <c r="J117">
        <v>11.39</v>
      </c>
      <c r="K117" s="1">
        <v>45902</v>
      </c>
      <c r="L117" t="s">
        <v>48</v>
      </c>
      <c r="M117">
        <v>2</v>
      </c>
      <c r="N117">
        <v>9</v>
      </c>
      <c r="O117">
        <v>3</v>
      </c>
      <c r="P117">
        <v>2025</v>
      </c>
    </row>
    <row r="118" spans="1:16">
      <c r="A118">
        <v>56.92</v>
      </c>
      <c r="B118">
        <v>2</v>
      </c>
      <c r="C118" t="s">
        <v>1475</v>
      </c>
      <c r="D118" t="s">
        <v>1476</v>
      </c>
      <c r="E118" t="s">
        <v>1477</v>
      </c>
      <c r="F118" t="s">
        <v>1137</v>
      </c>
      <c r="G118" t="s">
        <v>748</v>
      </c>
      <c r="H118" t="s">
        <v>250</v>
      </c>
      <c r="I118" t="s">
        <v>19</v>
      </c>
      <c r="J118">
        <v>28.46</v>
      </c>
      <c r="K118" s="1">
        <v>46093</v>
      </c>
      <c r="L118" t="s">
        <v>105</v>
      </c>
      <c r="M118">
        <v>12</v>
      </c>
      <c r="N118">
        <v>3</v>
      </c>
      <c r="O118">
        <v>1</v>
      </c>
      <c r="P118">
        <v>2026</v>
      </c>
    </row>
    <row r="119" spans="1:16">
      <c r="A119">
        <v>83.88</v>
      </c>
      <c r="B119">
        <v>4</v>
      </c>
      <c r="C119" t="s">
        <v>1686</v>
      </c>
      <c r="D119" t="s">
        <v>1687</v>
      </c>
      <c r="E119" t="s">
        <v>1688</v>
      </c>
      <c r="F119" t="s">
        <v>757</v>
      </c>
      <c r="G119" t="s">
        <v>758</v>
      </c>
      <c r="H119" t="s">
        <v>472</v>
      </c>
      <c r="I119" t="s">
        <v>122</v>
      </c>
      <c r="J119">
        <v>20.97</v>
      </c>
      <c r="K119" s="1">
        <v>45746</v>
      </c>
      <c r="L119" t="s">
        <v>28</v>
      </c>
      <c r="M119">
        <v>30</v>
      </c>
      <c r="N119">
        <v>3</v>
      </c>
      <c r="O119">
        <v>1</v>
      </c>
      <c r="P119">
        <v>2025</v>
      </c>
    </row>
    <row r="120" spans="1:16">
      <c r="A120">
        <v>735.66</v>
      </c>
      <c r="B120">
        <v>3</v>
      </c>
      <c r="C120" t="s">
        <v>2556</v>
      </c>
      <c r="D120" t="s">
        <v>2557</v>
      </c>
      <c r="E120" t="s">
        <v>976</v>
      </c>
      <c r="F120" t="s">
        <v>136</v>
      </c>
      <c r="G120" t="s">
        <v>776</v>
      </c>
      <c r="H120" t="s">
        <v>168</v>
      </c>
      <c r="I120" t="s">
        <v>46</v>
      </c>
      <c r="J120">
        <v>245.22</v>
      </c>
      <c r="K120" s="1">
        <v>45742</v>
      </c>
      <c r="L120" t="s">
        <v>34</v>
      </c>
      <c r="M120">
        <v>26</v>
      </c>
      <c r="N120">
        <v>3</v>
      </c>
      <c r="O120">
        <v>1</v>
      </c>
      <c r="P120">
        <v>2025</v>
      </c>
    </row>
    <row r="121" spans="1:16">
      <c r="A121">
        <v>108.05</v>
      </c>
      <c r="B121">
        <v>1</v>
      </c>
      <c r="C121" t="s">
        <v>1914</v>
      </c>
      <c r="D121" t="s">
        <v>1915</v>
      </c>
      <c r="E121" t="s">
        <v>976</v>
      </c>
      <c r="F121" t="s">
        <v>1199</v>
      </c>
      <c r="G121" t="s">
        <v>839</v>
      </c>
      <c r="H121" t="s">
        <v>682</v>
      </c>
      <c r="I121" t="s">
        <v>23</v>
      </c>
      <c r="J121">
        <v>108.05</v>
      </c>
      <c r="K121" s="1">
        <v>45823</v>
      </c>
      <c r="L121" t="s">
        <v>28</v>
      </c>
      <c r="M121">
        <v>15</v>
      </c>
      <c r="N121">
        <v>6</v>
      </c>
      <c r="O121">
        <v>2</v>
      </c>
      <c r="P121">
        <v>2025</v>
      </c>
    </row>
    <row r="122" spans="1:16">
      <c r="A122">
        <v>888.76</v>
      </c>
      <c r="B122">
        <v>4</v>
      </c>
      <c r="C122" t="s">
        <v>1068</v>
      </c>
      <c r="D122" t="s">
        <v>1069</v>
      </c>
      <c r="E122" t="s">
        <v>1070</v>
      </c>
      <c r="F122" t="s">
        <v>1071</v>
      </c>
      <c r="G122" t="s">
        <v>817</v>
      </c>
      <c r="H122" t="s">
        <v>1082</v>
      </c>
      <c r="I122" t="s">
        <v>69</v>
      </c>
      <c r="J122">
        <v>222.19</v>
      </c>
      <c r="K122" s="1">
        <v>46056</v>
      </c>
      <c r="L122" t="s">
        <v>48</v>
      </c>
      <c r="M122">
        <v>3</v>
      </c>
      <c r="N122">
        <v>2</v>
      </c>
      <c r="O122">
        <v>1</v>
      </c>
      <c r="P122">
        <v>2026</v>
      </c>
    </row>
    <row r="123" spans="1:16">
      <c r="A123">
        <v>39.15</v>
      </c>
      <c r="B123">
        <v>5</v>
      </c>
      <c r="C123" t="s">
        <v>2855</v>
      </c>
      <c r="D123" t="s">
        <v>2856</v>
      </c>
      <c r="E123" t="s">
        <v>2857</v>
      </c>
      <c r="F123" t="s">
        <v>666</v>
      </c>
      <c r="G123" t="s">
        <v>954</v>
      </c>
      <c r="H123" t="s">
        <v>489</v>
      </c>
      <c r="I123" t="s">
        <v>51</v>
      </c>
      <c r="J123">
        <v>7.83</v>
      </c>
      <c r="K123" s="1">
        <v>45886</v>
      </c>
      <c r="L123" t="s">
        <v>28</v>
      </c>
      <c r="M123">
        <v>17</v>
      </c>
      <c r="N123">
        <v>8</v>
      </c>
      <c r="O123">
        <v>3</v>
      </c>
      <c r="P123">
        <v>2025</v>
      </c>
    </row>
    <row r="124" spans="1:16">
      <c r="A124">
        <v>239.16</v>
      </c>
      <c r="B124">
        <v>2</v>
      </c>
      <c r="C124" t="s">
        <v>2035</v>
      </c>
      <c r="D124" t="s">
        <v>2036</v>
      </c>
      <c r="E124" t="s">
        <v>1793</v>
      </c>
      <c r="F124" t="s">
        <v>1920</v>
      </c>
      <c r="G124" t="s">
        <v>807</v>
      </c>
      <c r="H124" t="s">
        <v>143</v>
      </c>
      <c r="I124" t="s">
        <v>69</v>
      </c>
      <c r="J124">
        <v>119.58</v>
      </c>
      <c r="K124" s="1">
        <v>45879</v>
      </c>
      <c r="L124" t="s">
        <v>28</v>
      </c>
      <c r="M124">
        <v>10</v>
      </c>
      <c r="N124">
        <v>8</v>
      </c>
      <c r="O124">
        <v>3</v>
      </c>
      <c r="P124">
        <v>2025</v>
      </c>
    </row>
    <row r="125" spans="1:16">
      <c r="A125">
        <v>266.39999999999998</v>
      </c>
      <c r="B125">
        <v>5</v>
      </c>
      <c r="C125" t="s">
        <v>1251</v>
      </c>
      <c r="D125" t="s">
        <v>1252</v>
      </c>
      <c r="E125" t="s">
        <v>1253</v>
      </c>
      <c r="F125" t="s">
        <v>1254</v>
      </c>
      <c r="G125" t="s">
        <v>781</v>
      </c>
      <c r="H125" t="s">
        <v>459</v>
      </c>
      <c r="I125" t="s">
        <v>43</v>
      </c>
      <c r="J125">
        <v>53.28</v>
      </c>
      <c r="K125" s="1">
        <v>45736</v>
      </c>
      <c r="L125" t="s">
        <v>105</v>
      </c>
      <c r="M125">
        <v>20</v>
      </c>
      <c r="N125">
        <v>3</v>
      </c>
      <c r="O125">
        <v>1</v>
      </c>
      <c r="P125">
        <v>2025</v>
      </c>
    </row>
    <row r="126" spans="1:16">
      <c r="A126">
        <v>169.59</v>
      </c>
      <c r="B126">
        <v>3</v>
      </c>
      <c r="C126" t="s">
        <v>1372</v>
      </c>
      <c r="D126" t="s">
        <v>1373</v>
      </c>
      <c r="E126" t="s">
        <v>1374</v>
      </c>
      <c r="F126" t="s">
        <v>49</v>
      </c>
      <c r="G126" t="s">
        <v>807</v>
      </c>
      <c r="H126" t="s">
        <v>123</v>
      </c>
      <c r="I126" t="s">
        <v>43</v>
      </c>
      <c r="J126">
        <v>56.53</v>
      </c>
      <c r="K126" s="1">
        <v>46088</v>
      </c>
      <c r="L126" t="s">
        <v>14</v>
      </c>
      <c r="M126">
        <v>7</v>
      </c>
      <c r="N126">
        <v>3</v>
      </c>
      <c r="O126">
        <v>1</v>
      </c>
      <c r="P126">
        <v>2026</v>
      </c>
    </row>
    <row r="127" spans="1:16">
      <c r="A127">
        <v>1173.9000000000001</v>
      </c>
      <c r="B127">
        <v>5</v>
      </c>
      <c r="C127" t="s">
        <v>2134</v>
      </c>
      <c r="D127" t="s">
        <v>2135</v>
      </c>
      <c r="E127" t="s">
        <v>1559</v>
      </c>
      <c r="F127" t="s">
        <v>619</v>
      </c>
      <c r="G127" t="s">
        <v>758</v>
      </c>
      <c r="H127" t="s">
        <v>45</v>
      </c>
      <c r="I127" t="s">
        <v>46</v>
      </c>
      <c r="J127">
        <v>234.78</v>
      </c>
      <c r="K127" s="1">
        <v>46116</v>
      </c>
      <c r="L127" t="s">
        <v>14</v>
      </c>
      <c r="M127">
        <v>4</v>
      </c>
      <c r="N127">
        <v>4</v>
      </c>
      <c r="O127">
        <v>2</v>
      </c>
      <c r="P127">
        <v>2026</v>
      </c>
    </row>
    <row r="128" spans="1:16">
      <c r="A128">
        <v>162.16</v>
      </c>
      <c r="B128">
        <v>1</v>
      </c>
      <c r="C128" t="s">
        <v>2934</v>
      </c>
      <c r="D128" t="s">
        <v>2935</v>
      </c>
      <c r="E128" t="s">
        <v>2043</v>
      </c>
      <c r="F128" t="s">
        <v>1509</v>
      </c>
      <c r="G128" t="s">
        <v>821</v>
      </c>
      <c r="H128" t="s">
        <v>651</v>
      </c>
      <c r="I128" t="s">
        <v>122</v>
      </c>
      <c r="J128">
        <v>162.16</v>
      </c>
      <c r="K128" s="1">
        <v>45826</v>
      </c>
      <c r="L128" t="s">
        <v>34</v>
      </c>
      <c r="M128">
        <v>18</v>
      </c>
      <c r="N128">
        <v>6</v>
      </c>
      <c r="O128">
        <v>2</v>
      </c>
      <c r="P128">
        <v>2025</v>
      </c>
    </row>
    <row r="129" spans="1:16">
      <c r="A129">
        <v>484.88</v>
      </c>
      <c r="B129">
        <v>4</v>
      </c>
      <c r="C129" t="s">
        <v>1971</v>
      </c>
      <c r="D129" t="s">
        <v>1972</v>
      </c>
      <c r="E129" t="s">
        <v>1973</v>
      </c>
      <c r="F129" t="s">
        <v>513</v>
      </c>
      <c r="G129" t="s">
        <v>786</v>
      </c>
      <c r="H129" t="s">
        <v>47</v>
      </c>
      <c r="I129" t="s">
        <v>46</v>
      </c>
      <c r="J129">
        <v>121.22</v>
      </c>
      <c r="K129" s="1">
        <v>46191</v>
      </c>
      <c r="L129" t="s">
        <v>105</v>
      </c>
      <c r="M129">
        <v>18</v>
      </c>
      <c r="N129">
        <v>6</v>
      </c>
      <c r="O129">
        <v>2</v>
      </c>
      <c r="P129">
        <v>2026</v>
      </c>
    </row>
    <row r="130" spans="1:16">
      <c r="A130">
        <v>313.72000000000003</v>
      </c>
      <c r="B130">
        <v>2</v>
      </c>
      <c r="C130" t="s">
        <v>2127</v>
      </c>
      <c r="D130" t="s">
        <v>2128</v>
      </c>
      <c r="E130" t="s">
        <v>1050</v>
      </c>
      <c r="F130" t="s">
        <v>1371</v>
      </c>
      <c r="G130" t="s">
        <v>786</v>
      </c>
      <c r="H130" t="s">
        <v>602</v>
      </c>
      <c r="I130" t="s">
        <v>17</v>
      </c>
      <c r="J130">
        <v>156.86000000000001</v>
      </c>
      <c r="K130" s="1">
        <v>45812</v>
      </c>
      <c r="L130" t="s">
        <v>34</v>
      </c>
      <c r="M130">
        <v>4</v>
      </c>
      <c r="N130">
        <v>6</v>
      </c>
      <c r="O130">
        <v>2</v>
      </c>
      <c r="P130">
        <v>2025</v>
      </c>
    </row>
    <row r="131" spans="1:16">
      <c r="A131">
        <v>732.88</v>
      </c>
      <c r="B131">
        <v>4</v>
      </c>
      <c r="C131" t="s">
        <v>1883</v>
      </c>
      <c r="D131" t="s">
        <v>1884</v>
      </c>
      <c r="E131" t="s">
        <v>1885</v>
      </c>
      <c r="F131" t="s">
        <v>1886</v>
      </c>
      <c r="G131" t="s">
        <v>753</v>
      </c>
      <c r="H131" t="s">
        <v>491</v>
      </c>
      <c r="I131" t="s">
        <v>25</v>
      </c>
      <c r="J131">
        <v>183.22</v>
      </c>
      <c r="K131" s="1">
        <v>45611</v>
      </c>
      <c r="L131" t="s">
        <v>79</v>
      </c>
      <c r="M131">
        <v>15</v>
      </c>
      <c r="N131">
        <v>11</v>
      </c>
      <c r="O131">
        <v>4</v>
      </c>
      <c r="P131">
        <v>2024</v>
      </c>
    </row>
    <row r="132" spans="1:16">
      <c r="A132">
        <v>314.68</v>
      </c>
      <c r="B132">
        <v>2</v>
      </c>
      <c r="C132" t="s">
        <v>1949</v>
      </c>
      <c r="D132" t="s">
        <v>1950</v>
      </c>
      <c r="E132" t="s">
        <v>1335</v>
      </c>
      <c r="F132" t="s">
        <v>767</v>
      </c>
      <c r="G132" t="s">
        <v>768</v>
      </c>
      <c r="H132" t="s">
        <v>147</v>
      </c>
      <c r="I132" t="s">
        <v>27</v>
      </c>
      <c r="J132">
        <v>157.34</v>
      </c>
      <c r="K132" s="1">
        <v>46125</v>
      </c>
      <c r="L132" t="s">
        <v>93</v>
      </c>
      <c r="M132">
        <v>13</v>
      </c>
      <c r="N132">
        <v>4</v>
      </c>
      <c r="O132">
        <v>2</v>
      </c>
      <c r="P132">
        <v>2026</v>
      </c>
    </row>
    <row r="133" spans="1:16">
      <c r="A133">
        <v>213.82</v>
      </c>
      <c r="B133">
        <v>1</v>
      </c>
      <c r="C133" t="s">
        <v>859</v>
      </c>
      <c r="D133" t="s">
        <v>860</v>
      </c>
      <c r="E133" t="s">
        <v>861</v>
      </c>
      <c r="F133" t="s">
        <v>862</v>
      </c>
      <c r="G133" t="s">
        <v>758</v>
      </c>
      <c r="H133" t="s">
        <v>266</v>
      </c>
      <c r="I133" t="s">
        <v>19</v>
      </c>
      <c r="J133">
        <v>213.82</v>
      </c>
      <c r="K133" s="1">
        <v>45568</v>
      </c>
      <c r="L133" t="s">
        <v>105</v>
      </c>
      <c r="M133">
        <v>3</v>
      </c>
      <c r="N133">
        <v>10</v>
      </c>
      <c r="O133">
        <v>4</v>
      </c>
      <c r="P133">
        <v>2024</v>
      </c>
    </row>
    <row r="134" spans="1:16">
      <c r="A134">
        <v>287</v>
      </c>
      <c r="B134">
        <v>4</v>
      </c>
      <c r="C134" t="s">
        <v>1399</v>
      </c>
      <c r="D134" t="s">
        <v>1400</v>
      </c>
      <c r="E134" t="s">
        <v>922</v>
      </c>
      <c r="F134" t="s">
        <v>1401</v>
      </c>
      <c r="G134" t="s">
        <v>943</v>
      </c>
      <c r="H134" t="s">
        <v>133</v>
      </c>
      <c r="I134" t="s">
        <v>97</v>
      </c>
      <c r="J134">
        <v>71.75</v>
      </c>
      <c r="K134" s="1">
        <v>46086</v>
      </c>
      <c r="L134" t="s">
        <v>105</v>
      </c>
      <c r="M134">
        <v>5</v>
      </c>
      <c r="N134">
        <v>3</v>
      </c>
      <c r="O134">
        <v>1</v>
      </c>
      <c r="P134">
        <v>2026</v>
      </c>
    </row>
    <row r="135" spans="1:16">
      <c r="A135">
        <v>245.22</v>
      </c>
      <c r="B135">
        <v>1</v>
      </c>
      <c r="C135" t="s">
        <v>2886</v>
      </c>
      <c r="D135" t="s">
        <v>2887</v>
      </c>
      <c r="E135" t="s">
        <v>935</v>
      </c>
      <c r="F135" t="s">
        <v>843</v>
      </c>
      <c r="G135" t="s">
        <v>753</v>
      </c>
      <c r="H135" t="s">
        <v>168</v>
      </c>
      <c r="I135" t="s">
        <v>46</v>
      </c>
      <c r="J135">
        <v>245.22</v>
      </c>
      <c r="K135" s="1">
        <v>46087</v>
      </c>
      <c r="L135" t="s">
        <v>79</v>
      </c>
      <c r="M135">
        <v>6</v>
      </c>
      <c r="N135">
        <v>3</v>
      </c>
      <c r="O135">
        <v>1</v>
      </c>
      <c r="P135">
        <v>2026</v>
      </c>
    </row>
    <row r="136" spans="1:16">
      <c r="A136">
        <v>49.43</v>
      </c>
      <c r="B136">
        <v>1</v>
      </c>
      <c r="C136" t="s">
        <v>3017</v>
      </c>
      <c r="D136" t="s">
        <v>3018</v>
      </c>
      <c r="E136" t="s">
        <v>2007</v>
      </c>
      <c r="F136" t="s">
        <v>1359</v>
      </c>
      <c r="G136" t="s">
        <v>768</v>
      </c>
      <c r="H136" t="s">
        <v>347</v>
      </c>
      <c r="I136" t="s">
        <v>69</v>
      </c>
      <c r="J136">
        <v>49.43</v>
      </c>
      <c r="K136" s="1">
        <v>46160</v>
      </c>
      <c r="L136" t="s">
        <v>93</v>
      </c>
      <c r="M136">
        <v>18</v>
      </c>
      <c r="N136">
        <v>5</v>
      </c>
      <c r="O136">
        <v>2</v>
      </c>
      <c r="P136">
        <v>2026</v>
      </c>
    </row>
    <row r="137" spans="1:16">
      <c r="A137">
        <v>227.92</v>
      </c>
      <c r="B137">
        <v>2</v>
      </c>
      <c r="C137" t="s">
        <v>2713</v>
      </c>
      <c r="D137" t="s">
        <v>2714</v>
      </c>
      <c r="E137" t="s">
        <v>2365</v>
      </c>
      <c r="F137" t="s">
        <v>1682</v>
      </c>
      <c r="G137" t="s">
        <v>892</v>
      </c>
      <c r="H137" t="s">
        <v>18</v>
      </c>
      <c r="I137" t="s">
        <v>19</v>
      </c>
      <c r="J137">
        <v>113.96</v>
      </c>
      <c r="K137" s="1">
        <v>45895</v>
      </c>
      <c r="L137" t="s">
        <v>48</v>
      </c>
      <c r="M137">
        <v>26</v>
      </c>
      <c r="N137">
        <v>8</v>
      </c>
      <c r="O137">
        <v>3</v>
      </c>
      <c r="P137">
        <v>2025</v>
      </c>
    </row>
    <row r="138" spans="1:16">
      <c r="A138">
        <v>809.08</v>
      </c>
      <c r="B138">
        <v>4</v>
      </c>
      <c r="C138" t="s">
        <v>2096</v>
      </c>
      <c r="D138" t="s">
        <v>2097</v>
      </c>
      <c r="E138" t="s">
        <v>2098</v>
      </c>
      <c r="F138" t="s">
        <v>464</v>
      </c>
      <c r="G138" t="s">
        <v>896</v>
      </c>
      <c r="H138" t="s">
        <v>541</v>
      </c>
      <c r="I138" t="s">
        <v>43</v>
      </c>
      <c r="J138">
        <v>202.27</v>
      </c>
      <c r="K138" s="1">
        <v>45704</v>
      </c>
      <c r="L138" t="s">
        <v>28</v>
      </c>
      <c r="M138">
        <v>16</v>
      </c>
      <c r="N138">
        <v>2</v>
      </c>
      <c r="O138">
        <v>1</v>
      </c>
      <c r="P138">
        <v>2025</v>
      </c>
    </row>
    <row r="139" spans="1:16">
      <c r="A139">
        <v>154.02000000000001</v>
      </c>
      <c r="B139">
        <v>3</v>
      </c>
      <c r="C139" t="s">
        <v>936</v>
      </c>
      <c r="D139" t="s">
        <v>937</v>
      </c>
      <c r="E139" t="s">
        <v>938</v>
      </c>
      <c r="F139" t="s">
        <v>794</v>
      </c>
      <c r="G139" t="s">
        <v>795</v>
      </c>
      <c r="H139" t="s">
        <v>376</v>
      </c>
      <c r="I139" t="s">
        <v>51</v>
      </c>
      <c r="J139">
        <v>51.34</v>
      </c>
      <c r="K139" s="1">
        <v>46271</v>
      </c>
      <c r="L139" t="s">
        <v>28</v>
      </c>
      <c r="M139">
        <v>6</v>
      </c>
      <c r="N139">
        <v>9</v>
      </c>
      <c r="O139">
        <v>3</v>
      </c>
      <c r="P139">
        <v>2026</v>
      </c>
    </row>
    <row r="140" spans="1:16">
      <c r="A140">
        <v>43.84</v>
      </c>
      <c r="B140">
        <v>1</v>
      </c>
      <c r="C140" t="s">
        <v>2925</v>
      </c>
      <c r="D140" t="s">
        <v>2926</v>
      </c>
      <c r="E140" t="s">
        <v>2927</v>
      </c>
      <c r="F140" t="s">
        <v>1107</v>
      </c>
      <c r="G140" t="s">
        <v>892</v>
      </c>
      <c r="H140" t="s">
        <v>335</v>
      </c>
      <c r="I140" t="s">
        <v>37</v>
      </c>
      <c r="J140">
        <v>43.84</v>
      </c>
      <c r="K140" s="1">
        <v>45982</v>
      </c>
      <c r="L140" t="s">
        <v>79</v>
      </c>
      <c r="M140">
        <v>21</v>
      </c>
      <c r="N140">
        <v>11</v>
      </c>
      <c r="O140">
        <v>4</v>
      </c>
      <c r="P140">
        <v>2025</v>
      </c>
    </row>
    <row r="141" spans="1:16">
      <c r="A141">
        <v>199.05</v>
      </c>
      <c r="B141">
        <v>5</v>
      </c>
      <c r="C141" t="s">
        <v>884</v>
      </c>
      <c r="D141" t="s">
        <v>885</v>
      </c>
      <c r="E141" t="s">
        <v>837</v>
      </c>
      <c r="F141" t="s">
        <v>762</v>
      </c>
      <c r="G141" t="s">
        <v>763</v>
      </c>
      <c r="H141" t="s">
        <v>154</v>
      </c>
      <c r="I141" t="s">
        <v>37</v>
      </c>
      <c r="J141">
        <v>39.81</v>
      </c>
      <c r="K141" s="1">
        <v>46073</v>
      </c>
      <c r="L141" t="s">
        <v>79</v>
      </c>
      <c r="M141">
        <v>20</v>
      </c>
      <c r="N141">
        <v>2</v>
      </c>
      <c r="O141">
        <v>1</v>
      </c>
      <c r="P141">
        <v>2026</v>
      </c>
    </row>
    <row r="142" spans="1:16">
      <c r="A142">
        <v>126.57</v>
      </c>
      <c r="B142">
        <v>1</v>
      </c>
      <c r="C142" t="s">
        <v>1522</v>
      </c>
      <c r="D142" t="s">
        <v>1523</v>
      </c>
      <c r="E142" t="s">
        <v>1524</v>
      </c>
      <c r="F142" t="s">
        <v>1525</v>
      </c>
      <c r="G142" t="s">
        <v>763</v>
      </c>
      <c r="H142" t="s">
        <v>367</v>
      </c>
      <c r="I142" t="s">
        <v>31</v>
      </c>
      <c r="J142">
        <v>126.57</v>
      </c>
      <c r="K142" s="1">
        <v>46187</v>
      </c>
      <c r="L142" t="s">
        <v>28</v>
      </c>
      <c r="M142">
        <v>14</v>
      </c>
      <c r="N142">
        <v>6</v>
      </c>
      <c r="O142">
        <v>2</v>
      </c>
      <c r="P142">
        <v>2026</v>
      </c>
    </row>
    <row r="143" spans="1:16">
      <c r="A143">
        <v>449.18</v>
      </c>
      <c r="B143">
        <v>2</v>
      </c>
      <c r="C143" t="s">
        <v>1631</v>
      </c>
      <c r="D143" t="s">
        <v>1632</v>
      </c>
      <c r="E143" t="s">
        <v>1633</v>
      </c>
      <c r="F143" t="s">
        <v>136</v>
      </c>
      <c r="G143" t="s">
        <v>776</v>
      </c>
      <c r="H143" t="s">
        <v>121</v>
      </c>
      <c r="I143" t="s">
        <v>122</v>
      </c>
      <c r="J143">
        <v>224.59</v>
      </c>
      <c r="K143" s="1">
        <v>45698</v>
      </c>
      <c r="L143" t="s">
        <v>93</v>
      </c>
      <c r="M143">
        <v>10</v>
      </c>
      <c r="N143">
        <v>2</v>
      </c>
      <c r="O143">
        <v>1</v>
      </c>
      <c r="P143">
        <v>2025</v>
      </c>
    </row>
    <row r="144" spans="1:16">
      <c r="A144">
        <v>297.8</v>
      </c>
      <c r="B144">
        <v>5</v>
      </c>
      <c r="C144" t="s">
        <v>2041</v>
      </c>
      <c r="D144" t="s">
        <v>2042</v>
      </c>
      <c r="E144" t="s">
        <v>2043</v>
      </c>
      <c r="F144" t="s">
        <v>2044</v>
      </c>
      <c r="G144" t="s">
        <v>748</v>
      </c>
      <c r="H144" t="s">
        <v>573</v>
      </c>
      <c r="I144" t="s">
        <v>55</v>
      </c>
      <c r="J144">
        <v>59.56</v>
      </c>
      <c r="K144" s="1">
        <v>46192</v>
      </c>
      <c r="L144" t="s">
        <v>79</v>
      </c>
      <c r="M144">
        <v>19</v>
      </c>
      <c r="N144">
        <v>6</v>
      </c>
      <c r="O144">
        <v>2</v>
      </c>
      <c r="P144">
        <v>2026</v>
      </c>
    </row>
    <row r="145" spans="1:16">
      <c r="A145">
        <v>102.62</v>
      </c>
      <c r="B145">
        <v>1</v>
      </c>
      <c r="C145" t="s">
        <v>3502</v>
      </c>
      <c r="D145" t="s">
        <v>3503</v>
      </c>
      <c r="E145" t="s">
        <v>2594</v>
      </c>
      <c r="F145" t="s">
        <v>1342</v>
      </c>
      <c r="G145" t="s">
        <v>776</v>
      </c>
      <c r="H145" t="s">
        <v>348</v>
      </c>
      <c r="I145" t="s">
        <v>60</v>
      </c>
      <c r="J145">
        <v>102.62</v>
      </c>
      <c r="K145" s="1">
        <v>46021</v>
      </c>
      <c r="L145" t="s">
        <v>48</v>
      </c>
      <c r="M145">
        <v>30</v>
      </c>
      <c r="N145">
        <v>12</v>
      </c>
      <c r="O145">
        <v>4</v>
      </c>
      <c r="P145">
        <v>2025</v>
      </c>
    </row>
    <row r="146" spans="1:16">
      <c r="A146">
        <v>244.98</v>
      </c>
      <c r="B146">
        <v>2</v>
      </c>
      <c r="C146" t="s">
        <v>2700</v>
      </c>
      <c r="D146" t="s">
        <v>2701</v>
      </c>
      <c r="E146" t="s">
        <v>1688</v>
      </c>
      <c r="F146" t="s">
        <v>635</v>
      </c>
      <c r="G146" t="s">
        <v>768</v>
      </c>
      <c r="H146" t="s">
        <v>449</v>
      </c>
      <c r="I146" t="s">
        <v>82</v>
      </c>
      <c r="J146">
        <v>122.49</v>
      </c>
      <c r="K146" s="1">
        <v>45683</v>
      </c>
      <c r="L146" t="s">
        <v>28</v>
      </c>
      <c r="M146">
        <v>26</v>
      </c>
      <c r="N146">
        <v>1</v>
      </c>
      <c r="O146">
        <v>1</v>
      </c>
      <c r="P146">
        <v>2025</v>
      </c>
    </row>
    <row r="147" spans="1:16">
      <c r="A147">
        <v>33.17</v>
      </c>
      <c r="B147">
        <v>1</v>
      </c>
      <c r="C147" t="s">
        <v>1995</v>
      </c>
      <c r="D147" t="s">
        <v>1996</v>
      </c>
      <c r="E147" t="s">
        <v>1997</v>
      </c>
      <c r="F147" t="s">
        <v>1061</v>
      </c>
      <c r="G147" t="s">
        <v>821</v>
      </c>
      <c r="H147" t="s">
        <v>481</v>
      </c>
      <c r="I147" t="s">
        <v>69</v>
      </c>
      <c r="J147">
        <v>33.17</v>
      </c>
      <c r="K147" s="1">
        <v>45568</v>
      </c>
      <c r="L147" t="s">
        <v>105</v>
      </c>
      <c r="M147">
        <v>3</v>
      </c>
      <c r="N147">
        <v>10</v>
      </c>
      <c r="O147">
        <v>4</v>
      </c>
      <c r="P147">
        <v>2024</v>
      </c>
    </row>
    <row r="148" spans="1:16">
      <c r="A148">
        <v>285.92</v>
      </c>
      <c r="B148">
        <v>4</v>
      </c>
      <c r="C148" t="s">
        <v>1068</v>
      </c>
      <c r="D148" t="s">
        <v>1069</v>
      </c>
      <c r="E148" t="s">
        <v>1070</v>
      </c>
      <c r="F148" t="s">
        <v>1071</v>
      </c>
      <c r="G148" t="s">
        <v>817</v>
      </c>
      <c r="H148" t="s">
        <v>610</v>
      </c>
      <c r="I148" t="s">
        <v>69</v>
      </c>
      <c r="J148">
        <v>71.48</v>
      </c>
      <c r="K148" s="1">
        <v>46125</v>
      </c>
      <c r="L148" t="s">
        <v>93</v>
      </c>
      <c r="M148">
        <v>13</v>
      </c>
      <c r="N148">
        <v>4</v>
      </c>
      <c r="O148">
        <v>2</v>
      </c>
      <c r="P148">
        <v>2026</v>
      </c>
    </row>
    <row r="149" spans="1:16">
      <c r="A149">
        <v>135.32</v>
      </c>
      <c r="B149">
        <v>2</v>
      </c>
      <c r="C149" t="s">
        <v>1378</v>
      </c>
      <c r="D149" t="s">
        <v>1379</v>
      </c>
      <c r="E149" t="s">
        <v>1380</v>
      </c>
      <c r="F149" t="s">
        <v>757</v>
      </c>
      <c r="G149" t="s">
        <v>758</v>
      </c>
      <c r="H149" t="s">
        <v>2624</v>
      </c>
      <c r="I149" t="s">
        <v>82</v>
      </c>
      <c r="J149">
        <v>67.66</v>
      </c>
      <c r="K149" s="1">
        <v>46275</v>
      </c>
      <c r="L149" t="s">
        <v>105</v>
      </c>
      <c r="M149">
        <v>10</v>
      </c>
      <c r="N149">
        <v>9</v>
      </c>
      <c r="O149">
        <v>3</v>
      </c>
      <c r="P149">
        <v>2026</v>
      </c>
    </row>
    <row r="150" spans="1:16">
      <c r="A150">
        <v>700.68000000000006</v>
      </c>
      <c r="B150">
        <v>3</v>
      </c>
      <c r="C150" t="s">
        <v>3100</v>
      </c>
      <c r="D150" t="s">
        <v>3101</v>
      </c>
      <c r="E150" t="s">
        <v>1791</v>
      </c>
      <c r="F150" t="s">
        <v>392</v>
      </c>
      <c r="G150" t="s">
        <v>943</v>
      </c>
      <c r="H150" t="s">
        <v>247</v>
      </c>
      <c r="I150" t="s">
        <v>55</v>
      </c>
      <c r="J150">
        <v>233.56</v>
      </c>
      <c r="K150" s="1">
        <v>45761</v>
      </c>
      <c r="L150" t="s">
        <v>93</v>
      </c>
      <c r="M150">
        <v>14</v>
      </c>
      <c r="N150">
        <v>4</v>
      </c>
      <c r="O150">
        <v>2</v>
      </c>
      <c r="P150">
        <v>2025</v>
      </c>
    </row>
    <row r="151" spans="1:16">
      <c r="A151">
        <v>990.08</v>
      </c>
      <c r="B151">
        <v>4</v>
      </c>
      <c r="C151" t="s">
        <v>855</v>
      </c>
      <c r="D151" t="s">
        <v>856</v>
      </c>
      <c r="E151" t="s">
        <v>857</v>
      </c>
      <c r="F151" t="s">
        <v>858</v>
      </c>
      <c r="G151" t="s">
        <v>753</v>
      </c>
      <c r="H151" t="s">
        <v>372</v>
      </c>
      <c r="I151" t="s">
        <v>23</v>
      </c>
      <c r="J151">
        <v>247.52</v>
      </c>
      <c r="K151" s="1">
        <v>45888</v>
      </c>
      <c r="L151" t="s">
        <v>48</v>
      </c>
      <c r="M151">
        <v>19</v>
      </c>
      <c r="N151">
        <v>8</v>
      </c>
      <c r="O151">
        <v>3</v>
      </c>
      <c r="P151">
        <v>2025</v>
      </c>
    </row>
    <row r="152" spans="1:16">
      <c r="A152">
        <v>242.45</v>
      </c>
      <c r="B152">
        <v>1</v>
      </c>
      <c r="C152" t="s">
        <v>3183</v>
      </c>
      <c r="D152" t="s">
        <v>3184</v>
      </c>
      <c r="E152" t="s">
        <v>1981</v>
      </c>
      <c r="F152" t="s">
        <v>2332</v>
      </c>
      <c r="G152" t="s">
        <v>1003</v>
      </c>
      <c r="H152" t="s">
        <v>214</v>
      </c>
      <c r="I152" t="s">
        <v>69</v>
      </c>
      <c r="J152">
        <v>242.45</v>
      </c>
      <c r="K152" s="1">
        <v>46179</v>
      </c>
      <c r="L152" t="s">
        <v>14</v>
      </c>
      <c r="M152">
        <v>6</v>
      </c>
      <c r="N152">
        <v>6</v>
      </c>
      <c r="O152">
        <v>2</v>
      </c>
      <c r="P152">
        <v>2026</v>
      </c>
    </row>
    <row r="153" spans="1:16">
      <c r="A153">
        <v>5.73</v>
      </c>
      <c r="B153">
        <v>1</v>
      </c>
      <c r="C153" t="s">
        <v>1680</v>
      </c>
      <c r="D153" t="s">
        <v>1681</v>
      </c>
      <c r="E153" t="s">
        <v>895</v>
      </c>
      <c r="F153" t="s">
        <v>1682</v>
      </c>
      <c r="G153" t="s">
        <v>892</v>
      </c>
      <c r="H153" t="s">
        <v>407</v>
      </c>
      <c r="I153" t="s">
        <v>21</v>
      </c>
      <c r="J153">
        <v>5.73</v>
      </c>
      <c r="K153" s="1">
        <v>45553</v>
      </c>
      <c r="L153" t="s">
        <v>34</v>
      </c>
      <c r="M153">
        <v>18</v>
      </c>
      <c r="N153">
        <v>9</v>
      </c>
      <c r="O153">
        <v>3</v>
      </c>
      <c r="P153">
        <v>2024</v>
      </c>
    </row>
    <row r="154" spans="1:16">
      <c r="A154">
        <v>43.84</v>
      </c>
      <c r="B154">
        <v>2</v>
      </c>
      <c r="C154" t="s">
        <v>1530</v>
      </c>
      <c r="D154" t="s">
        <v>1531</v>
      </c>
      <c r="E154" t="s">
        <v>1532</v>
      </c>
      <c r="F154" t="s">
        <v>1533</v>
      </c>
      <c r="G154" t="s">
        <v>781</v>
      </c>
      <c r="H154" t="s">
        <v>217</v>
      </c>
      <c r="I154" t="s">
        <v>60</v>
      </c>
      <c r="J154">
        <v>21.92</v>
      </c>
      <c r="K154" s="1">
        <v>45573</v>
      </c>
      <c r="L154" t="s">
        <v>48</v>
      </c>
      <c r="M154">
        <v>8</v>
      </c>
      <c r="N154">
        <v>10</v>
      </c>
      <c r="O154">
        <v>4</v>
      </c>
      <c r="P154">
        <v>2024</v>
      </c>
    </row>
    <row r="155" spans="1:16">
      <c r="A155">
        <v>129.88999999999999</v>
      </c>
      <c r="B155">
        <v>1</v>
      </c>
      <c r="C155" t="s">
        <v>1422</v>
      </c>
      <c r="D155" t="s">
        <v>1423</v>
      </c>
      <c r="E155" t="s">
        <v>1424</v>
      </c>
      <c r="F155" t="s">
        <v>1039</v>
      </c>
      <c r="G155" t="s">
        <v>758</v>
      </c>
      <c r="H155" t="s">
        <v>271</v>
      </c>
      <c r="I155" t="s">
        <v>25</v>
      </c>
      <c r="J155">
        <v>129.88999999999999</v>
      </c>
      <c r="K155" s="1">
        <v>46184</v>
      </c>
      <c r="L155" t="s">
        <v>105</v>
      </c>
      <c r="M155">
        <v>11</v>
      </c>
      <c r="N155">
        <v>6</v>
      </c>
      <c r="O155">
        <v>2</v>
      </c>
      <c r="P155">
        <v>2026</v>
      </c>
    </row>
    <row r="156" spans="1:16">
      <c r="A156">
        <v>94.050000000000011</v>
      </c>
      <c r="B156">
        <v>3</v>
      </c>
      <c r="C156" t="s">
        <v>2391</v>
      </c>
      <c r="D156" t="s">
        <v>2392</v>
      </c>
      <c r="E156" t="s">
        <v>1374</v>
      </c>
      <c r="F156" t="s">
        <v>1755</v>
      </c>
      <c r="G156" t="s">
        <v>786</v>
      </c>
      <c r="H156" t="s">
        <v>557</v>
      </c>
      <c r="I156" t="s">
        <v>46</v>
      </c>
      <c r="J156">
        <v>31.35</v>
      </c>
      <c r="K156" s="1">
        <v>46014</v>
      </c>
      <c r="L156" t="s">
        <v>48</v>
      </c>
      <c r="M156">
        <v>23</v>
      </c>
      <c r="N156">
        <v>12</v>
      </c>
      <c r="O156">
        <v>4</v>
      </c>
      <c r="P156">
        <v>2025</v>
      </c>
    </row>
    <row r="157" spans="1:16">
      <c r="A157">
        <v>194.04</v>
      </c>
      <c r="B157">
        <v>4</v>
      </c>
      <c r="C157" t="s">
        <v>3437</v>
      </c>
      <c r="D157" t="s">
        <v>3438</v>
      </c>
      <c r="E157" t="s">
        <v>3439</v>
      </c>
      <c r="F157" t="s">
        <v>942</v>
      </c>
      <c r="G157" t="s">
        <v>943</v>
      </c>
      <c r="H157" t="s">
        <v>243</v>
      </c>
      <c r="I157" t="s">
        <v>57</v>
      </c>
      <c r="J157">
        <v>48.51</v>
      </c>
      <c r="K157" s="1">
        <v>45574</v>
      </c>
      <c r="L157" t="s">
        <v>34</v>
      </c>
      <c r="M157">
        <v>9</v>
      </c>
      <c r="N157">
        <v>10</v>
      </c>
      <c r="O157">
        <v>4</v>
      </c>
      <c r="P157">
        <v>2024</v>
      </c>
    </row>
    <row r="158" spans="1:16">
      <c r="A158">
        <v>323.83999999999997</v>
      </c>
      <c r="B158">
        <v>2</v>
      </c>
      <c r="C158" t="s">
        <v>2047</v>
      </c>
      <c r="D158" t="s">
        <v>2048</v>
      </c>
      <c r="E158" t="s">
        <v>2043</v>
      </c>
      <c r="F158" t="s">
        <v>49</v>
      </c>
      <c r="G158" t="s">
        <v>807</v>
      </c>
      <c r="H158" t="s">
        <v>546</v>
      </c>
      <c r="I158" t="s">
        <v>25</v>
      </c>
      <c r="J158">
        <v>161.91999999999999</v>
      </c>
      <c r="K158" s="1">
        <v>45791</v>
      </c>
      <c r="L158" t="s">
        <v>34</v>
      </c>
      <c r="M158">
        <v>14</v>
      </c>
      <c r="N158">
        <v>5</v>
      </c>
      <c r="O158">
        <v>2</v>
      </c>
      <c r="P158">
        <v>2025</v>
      </c>
    </row>
    <row r="159" spans="1:16">
      <c r="A159">
        <v>418.1</v>
      </c>
      <c r="B159">
        <v>5</v>
      </c>
      <c r="C159" t="s">
        <v>1108</v>
      </c>
      <c r="D159" t="s">
        <v>1109</v>
      </c>
      <c r="E159" t="s">
        <v>1110</v>
      </c>
      <c r="F159" t="s">
        <v>1111</v>
      </c>
      <c r="G159" t="s">
        <v>981</v>
      </c>
      <c r="H159" t="s">
        <v>649</v>
      </c>
      <c r="I159" t="s">
        <v>23</v>
      </c>
      <c r="J159">
        <v>83.62</v>
      </c>
      <c r="K159" s="1">
        <v>46109</v>
      </c>
      <c r="L159" t="s">
        <v>14</v>
      </c>
      <c r="M159">
        <v>28</v>
      </c>
      <c r="N159">
        <v>3</v>
      </c>
      <c r="O159">
        <v>1</v>
      </c>
      <c r="P159">
        <v>2026</v>
      </c>
    </row>
    <row r="160" spans="1:16">
      <c r="A160">
        <v>22.56</v>
      </c>
      <c r="B160">
        <v>1</v>
      </c>
      <c r="C160" t="s">
        <v>3405</v>
      </c>
      <c r="D160" t="s">
        <v>3406</v>
      </c>
      <c r="E160" t="s">
        <v>3156</v>
      </c>
      <c r="F160" t="s">
        <v>970</v>
      </c>
      <c r="G160" t="s">
        <v>790</v>
      </c>
      <c r="H160" t="s">
        <v>371</v>
      </c>
      <c r="I160" t="s">
        <v>21</v>
      </c>
      <c r="J160">
        <v>22.56</v>
      </c>
      <c r="K160" s="1">
        <v>45987</v>
      </c>
      <c r="L160" t="s">
        <v>34</v>
      </c>
      <c r="M160">
        <v>26</v>
      </c>
      <c r="N160">
        <v>11</v>
      </c>
      <c r="O160">
        <v>4</v>
      </c>
      <c r="P160">
        <v>2025</v>
      </c>
    </row>
    <row r="161" spans="1:16">
      <c r="A161">
        <v>84.63</v>
      </c>
      <c r="B161">
        <v>1</v>
      </c>
      <c r="C161" t="s">
        <v>1378</v>
      </c>
      <c r="D161" t="s">
        <v>1379</v>
      </c>
      <c r="E161" t="s">
        <v>1380</v>
      </c>
      <c r="F161" t="s">
        <v>757</v>
      </c>
      <c r="G161" t="s">
        <v>758</v>
      </c>
      <c r="H161" t="s">
        <v>495</v>
      </c>
      <c r="I161" t="s">
        <v>39</v>
      </c>
      <c r="J161">
        <v>84.63</v>
      </c>
      <c r="K161" s="1">
        <v>46035</v>
      </c>
      <c r="L161" t="s">
        <v>48</v>
      </c>
      <c r="M161">
        <v>13</v>
      </c>
      <c r="N161">
        <v>1</v>
      </c>
      <c r="O161">
        <v>1</v>
      </c>
      <c r="P161">
        <v>2026</v>
      </c>
    </row>
    <row r="162" spans="1:16">
      <c r="A162">
        <v>231.29999999999998</v>
      </c>
      <c r="B162">
        <v>5</v>
      </c>
      <c r="C162" t="s">
        <v>1173</v>
      </c>
      <c r="D162" t="s">
        <v>1174</v>
      </c>
      <c r="E162" t="s">
        <v>969</v>
      </c>
      <c r="F162" t="s">
        <v>345</v>
      </c>
      <c r="G162" t="s">
        <v>892</v>
      </c>
      <c r="H162" t="s">
        <v>190</v>
      </c>
      <c r="I162" t="s">
        <v>39</v>
      </c>
      <c r="J162">
        <v>46.26</v>
      </c>
      <c r="K162" s="1">
        <v>46175</v>
      </c>
      <c r="L162" t="s">
        <v>48</v>
      </c>
      <c r="M162">
        <v>2</v>
      </c>
      <c r="N162">
        <v>6</v>
      </c>
      <c r="O162">
        <v>2</v>
      </c>
      <c r="P162">
        <v>2026</v>
      </c>
    </row>
    <row r="163" spans="1:16">
      <c r="A163">
        <v>200.71</v>
      </c>
      <c r="B163">
        <v>1</v>
      </c>
      <c r="C163" t="s">
        <v>1614</v>
      </c>
      <c r="D163" t="s">
        <v>1615</v>
      </c>
      <c r="E163" t="s">
        <v>1616</v>
      </c>
      <c r="F163" t="s">
        <v>29</v>
      </c>
      <c r="G163" t="s">
        <v>763</v>
      </c>
      <c r="H163" t="s">
        <v>298</v>
      </c>
      <c r="I163" t="s">
        <v>31</v>
      </c>
      <c r="J163">
        <v>200.71</v>
      </c>
      <c r="K163" s="1">
        <v>45825</v>
      </c>
      <c r="L163" t="s">
        <v>48</v>
      </c>
      <c r="M163">
        <v>17</v>
      </c>
      <c r="N163">
        <v>6</v>
      </c>
      <c r="O163">
        <v>2</v>
      </c>
      <c r="P163">
        <v>2025</v>
      </c>
    </row>
    <row r="164" spans="1:16">
      <c r="A164">
        <v>11.13</v>
      </c>
      <c r="B164">
        <v>1</v>
      </c>
      <c r="C164" t="s">
        <v>2575</v>
      </c>
      <c r="D164" t="s">
        <v>2576</v>
      </c>
      <c r="E164" t="s">
        <v>875</v>
      </c>
      <c r="F164" t="s">
        <v>907</v>
      </c>
      <c r="G164" t="s">
        <v>908</v>
      </c>
      <c r="H164" t="s">
        <v>42</v>
      </c>
      <c r="I164" t="s">
        <v>43</v>
      </c>
      <c r="J164">
        <v>11.13</v>
      </c>
      <c r="K164" s="1">
        <v>45628</v>
      </c>
      <c r="L164" t="s">
        <v>93</v>
      </c>
      <c r="M164">
        <v>2</v>
      </c>
      <c r="N164">
        <v>12</v>
      </c>
      <c r="O164">
        <v>4</v>
      </c>
      <c r="P164">
        <v>2024</v>
      </c>
    </row>
    <row r="165" spans="1:16">
      <c r="A165">
        <v>104.42</v>
      </c>
      <c r="B165">
        <v>2</v>
      </c>
      <c r="C165" t="s">
        <v>1530</v>
      </c>
      <c r="D165" t="s">
        <v>1902</v>
      </c>
      <c r="E165" t="s">
        <v>1903</v>
      </c>
      <c r="F165" t="s">
        <v>49</v>
      </c>
      <c r="G165" t="s">
        <v>892</v>
      </c>
      <c r="H165" t="s">
        <v>137</v>
      </c>
      <c r="I165" t="s">
        <v>82</v>
      </c>
      <c r="J165">
        <v>52.21</v>
      </c>
      <c r="K165" s="1">
        <v>46033</v>
      </c>
      <c r="L165" t="s">
        <v>28</v>
      </c>
      <c r="M165">
        <v>11</v>
      </c>
      <c r="N165">
        <v>1</v>
      </c>
      <c r="O165">
        <v>1</v>
      </c>
      <c r="P165">
        <v>2026</v>
      </c>
    </row>
    <row r="166" spans="1:16">
      <c r="A166">
        <v>224.2</v>
      </c>
      <c r="B166">
        <v>4</v>
      </c>
      <c r="C166" t="s">
        <v>1627</v>
      </c>
      <c r="D166" t="s">
        <v>1628</v>
      </c>
      <c r="E166" t="s">
        <v>1629</v>
      </c>
      <c r="F166" t="s">
        <v>1630</v>
      </c>
      <c r="G166" t="s">
        <v>763</v>
      </c>
      <c r="H166" t="s">
        <v>32</v>
      </c>
      <c r="I166" t="s">
        <v>19</v>
      </c>
      <c r="J166">
        <v>56.05</v>
      </c>
      <c r="K166" s="1">
        <v>46035</v>
      </c>
      <c r="L166" t="s">
        <v>48</v>
      </c>
      <c r="M166">
        <v>13</v>
      </c>
      <c r="N166">
        <v>1</v>
      </c>
      <c r="O166">
        <v>1</v>
      </c>
      <c r="P166">
        <v>2026</v>
      </c>
    </row>
    <row r="167" spans="1:16">
      <c r="A167">
        <v>400.24</v>
      </c>
      <c r="B167">
        <v>2</v>
      </c>
      <c r="C167" t="s">
        <v>1093</v>
      </c>
      <c r="D167" t="s">
        <v>1094</v>
      </c>
      <c r="E167" t="s">
        <v>1095</v>
      </c>
      <c r="F167" t="s">
        <v>862</v>
      </c>
      <c r="G167" t="s">
        <v>758</v>
      </c>
      <c r="H167" t="s">
        <v>239</v>
      </c>
      <c r="I167" t="s">
        <v>23</v>
      </c>
      <c r="J167">
        <v>200.12</v>
      </c>
      <c r="K167" s="1">
        <v>45992</v>
      </c>
      <c r="L167" t="s">
        <v>93</v>
      </c>
      <c r="M167">
        <v>1</v>
      </c>
      <c r="N167">
        <v>12</v>
      </c>
      <c r="O167">
        <v>4</v>
      </c>
      <c r="P167">
        <v>2025</v>
      </c>
    </row>
    <row r="168" spans="1:16">
      <c r="A168">
        <v>643.6</v>
      </c>
      <c r="B168">
        <v>5</v>
      </c>
      <c r="C168" t="s">
        <v>2194</v>
      </c>
      <c r="D168" t="s">
        <v>2195</v>
      </c>
      <c r="E168" t="s">
        <v>914</v>
      </c>
      <c r="F168" t="s">
        <v>414</v>
      </c>
      <c r="G168" t="s">
        <v>795</v>
      </c>
      <c r="H168" t="s">
        <v>693</v>
      </c>
      <c r="I168" t="s">
        <v>46</v>
      </c>
      <c r="J168">
        <v>128.72</v>
      </c>
      <c r="K168" s="1">
        <v>46206</v>
      </c>
      <c r="L168" t="s">
        <v>79</v>
      </c>
      <c r="M168">
        <v>3</v>
      </c>
      <c r="N168">
        <v>7</v>
      </c>
      <c r="O168">
        <v>3</v>
      </c>
      <c r="P168">
        <v>2026</v>
      </c>
    </row>
    <row r="169" spans="1:16">
      <c r="A169">
        <v>69.89</v>
      </c>
      <c r="B169">
        <v>1</v>
      </c>
      <c r="C169" t="s">
        <v>2194</v>
      </c>
      <c r="D169" t="s">
        <v>2195</v>
      </c>
      <c r="E169" t="s">
        <v>914</v>
      </c>
      <c r="F169" t="s">
        <v>414</v>
      </c>
      <c r="G169" t="s">
        <v>795</v>
      </c>
      <c r="H169" t="s">
        <v>366</v>
      </c>
      <c r="I169" t="s">
        <v>19</v>
      </c>
      <c r="J169">
        <v>69.89</v>
      </c>
      <c r="K169" s="1">
        <v>45548</v>
      </c>
      <c r="L169" t="s">
        <v>79</v>
      </c>
      <c r="M169">
        <v>13</v>
      </c>
      <c r="N169">
        <v>9</v>
      </c>
      <c r="O169">
        <v>3</v>
      </c>
      <c r="P169">
        <v>2024</v>
      </c>
    </row>
    <row r="170" spans="1:16">
      <c r="A170">
        <v>1003.5500000000001</v>
      </c>
      <c r="B170">
        <v>5</v>
      </c>
      <c r="C170" t="s">
        <v>886</v>
      </c>
      <c r="D170" t="s">
        <v>887</v>
      </c>
      <c r="E170" t="s">
        <v>888</v>
      </c>
      <c r="F170" t="s">
        <v>806</v>
      </c>
      <c r="G170" t="s">
        <v>807</v>
      </c>
      <c r="H170" t="s">
        <v>298</v>
      </c>
      <c r="I170" t="s">
        <v>31</v>
      </c>
      <c r="J170">
        <v>200.71</v>
      </c>
      <c r="K170" s="1">
        <v>46044</v>
      </c>
      <c r="L170" t="s">
        <v>105</v>
      </c>
      <c r="M170">
        <v>22</v>
      </c>
      <c r="N170">
        <v>1</v>
      </c>
      <c r="O170">
        <v>1</v>
      </c>
      <c r="P170">
        <v>2026</v>
      </c>
    </row>
    <row r="171" spans="1:16">
      <c r="A171">
        <v>90.42</v>
      </c>
      <c r="B171">
        <v>2</v>
      </c>
      <c r="C171" t="s">
        <v>1827</v>
      </c>
      <c r="D171" t="s">
        <v>1828</v>
      </c>
      <c r="E171" t="s">
        <v>1829</v>
      </c>
      <c r="F171" t="s">
        <v>1339</v>
      </c>
      <c r="G171" t="s">
        <v>1247</v>
      </c>
      <c r="H171" t="s">
        <v>542</v>
      </c>
      <c r="I171" t="s">
        <v>46</v>
      </c>
      <c r="J171">
        <v>45.21</v>
      </c>
      <c r="K171" s="1">
        <v>46134</v>
      </c>
      <c r="L171" t="s">
        <v>34</v>
      </c>
      <c r="M171">
        <v>22</v>
      </c>
      <c r="N171">
        <v>4</v>
      </c>
      <c r="O171">
        <v>2</v>
      </c>
      <c r="P171">
        <v>2026</v>
      </c>
    </row>
    <row r="172" spans="1:16">
      <c r="A172">
        <v>901.56</v>
      </c>
      <c r="B172">
        <v>4</v>
      </c>
      <c r="C172" t="s">
        <v>2258</v>
      </c>
      <c r="D172" t="s">
        <v>2259</v>
      </c>
      <c r="E172" t="s">
        <v>2260</v>
      </c>
      <c r="F172" t="s">
        <v>772</v>
      </c>
      <c r="G172" t="s">
        <v>758</v>
      </c>
      <c r="H172" t="s">
        <v>152</v>
      </c>
      <c r="I172" t="s">
        <v>19</v>
      </c>
      <c r="J172">
        <v>225.39</v>
      </c>
      <c r="K172" s="1">
        <v>45791</v>
      </c>
      <c r="L172" t="s">
        <v>34</v>
      </c>
      <c r="M172">
        <v>14</v>
      </c>
      <c r="N172">
        <v>5</v>
      </c>
      <c r="O172">
        <v>2</v>
      </c>
      <c r="P172">
        <v>2025</v>
      </c>
    </row>
    <row r="173" spans="1:16">
      <c r="A173">
        <v>547.91999999999996</v>
      </c>
      <c r="B173">
        <v>3</v>
      </c>
      <c r="C173" t="s">
        <v>2744</v>
      </c>
      <c r="D173" t="s">
        <v>2745</v>
      </c>
      <c r="E173" t="s">
        <v>1025</v>
      </c>
      <c r="F173" t="s">
        <v>380</v>
      </c>
      <c r="G173" t="s">
        <v>896</v>
      </c>
      <c r="H173" t="s">
        <v>505</v>
      </c>
      <c r="I173" t="s">
        <v>100</v>
      </c>
      <c r="J173">
        <v>182.64</v>
      </c>
      <c r="K173" s="1">
        <v>45588</v>
      </c>
      <c r="L173" t="s">
        <v>34</v>
      </c>
      <c r="M173">
        <v>23</v>
      </c>
      <c r="N173">
        <v>10</v>
      </c>
      <c r="O173">
        <v>4</v>
      </c>
      <c r="P173">
        <v>2024</v>
      </c>
    </row>
    <row r="174" spans="1:16">
      <c r="A174">
        <v>858.28</v>
      </c>
      <c r="B174">
        <v>4</v>
      </c>
      <c r="C174" t="s">
        <v>2233</v>
      </c>
      <c r="D174" t="s">
        <v>2234</v>
      </c>
      <c r="E174" t="s">
        <v>2235</v>
      </c>
      <c r="F174" t="s">
        <v>1755</v>
      </c>
      <c r="G174" t="s">
        <v>786</v>
      </c>
      <c r="H174" t="s">
        <v>383</v>
      </c>
      <c r="I174" t="s">
        <v>39</v>
      </c>
      <c r="J174">
        <v>214.57</v>
      </c>
      <c r="K174" s="1">
        <v>46257</v>
      </c>
      <c r="L174" t="s">
        <v>28</v>
      </c>
      <c r="M174">
        <v>23</v>
      </c>
      <c r="N174">
        <v>8</v>
      </c>
      <c r="O174">
        <v>3</v>
      </c>
      <c r="P174">
        <v>2026</v>
      </c>
    </row>
    <row r="175" spans="1:16">
      <c r="A175">
        <v>455.68</v>
      </c>
      <c r="B175">
        <v>4</v>
      </c>
      <c r="C175" t="s">
        <v>1163</v>
      </c>
      <c r="D175" t="s">
        <v>1164</v>
      </c>
      <c r="E175" t="s">
        <v>1165</v>
      </c>
      <c r="F175" t="s">
        <v>464</v>
      </c>
      <c r="G175" t="s">
        <v>896</v>
      </c>
      <c r="H175" t="s">
        <v>110</v>
      </c>
      <c r="I175" t="s">
        <v>51</v>
      </c>
      <c r="J175">
        <v>113.92</v>
      </c>
      <c r="K175" s="1">
        <v>45891</v>
      </c>
      <c r="L175" t="s">
        <v>79</v>
      </c>
      <c r="M175">
        <v>22</v>
      </c>
      <c r="N175">
        <v>8</v>
      </c>
      <c r="O175">
        <v>3</v>
      </c>
      <c r="P175">
        <v>2025</v>
      </c>
    </row>
    <row r="176" spans="1:16">
      <c r="A176">
        <v>1126.9499999999998</v>
      </c>
      <c r="B176">
        <v>5</v>
      </c>
      <c r="C176" t="s">
        <v>796</v>
      </c>
      <c r="D176" t="s">
        <v>797</v>
      </c>
      <c r="E176" t="s">
        <v>798</v>
      </c>
      <c r="F176" t="s">
        <v>780</v>
      </c>
      <c r="G176" t="s">
        <v>781</v>
      </c>
      <c r="H176" t="s">
        <v>152</v>
      </c>
      <c r="I176" t="s">
        <v>19</v>
      </c>
      <c r="J176">
        <v>225.39</v>
      </c>
      <c r="K176" s="1">
        <v>45560</v>
      </c>
      <c r="L176" t="s">
        <v>34</v>
      </c>
      <c r="M176">
        <v>25</v>
      </c>
      <c r="N176">
        <v>9</v>
      </c>
      <c r="O176">
        <v>3</v>
      </c>
      <c r="P176">
        <v>2024</v>
      </c>
    </row>
    <row r="177" spans="1:16">
      <c r="A177">
        <v>240.58</v>
      </c>
      <c r="B177">
        <v>1</v>
      </c>
      <c r="C177" t="s">
        <v>2157</v>
      </c>
      <c r="D177" t="s">
        <v>2158</v>
      </c>
      <c r="E177" t="s">
        <v>849</v>
      </c>
      <c r="F177" t="s">
        <v>1339</v>
      </c>
      <c r="G177" t="s">
        <v>1247</v>
      </c>
      <c r="H177" t="s">
        <v>475</v>
      </c>
      <c r="I177" t="s">
        <v>27</v>
      </c>
      <c r="J177">
        <v>240.58</v>
      </c>
      <c r="K177" s="1">
        <v>46175</v>
      </c>
      <c r="L177" t="s">
        <v>48</v>
      </c>
      <c r="M177">
        <v>2</v>
      </c>
      <c r="N177">
        <v>6</v>
      </c>
      <c r="O177">
        <v>2</v>
      </c>
      <c r="P177">
        <v>2026</v>
      </c>
    </row>
    <row r="178" spans="1:16">
      <c r="A178">
        <v>11.46</v>
      </c>
      <c r="B178">
        <v>2</v>
      </c>
      <c r="C178" t="s">
        <v>1079</v>
      </c>
      <c r="D178" t="s">
        <v>1080</v>
      </c>
      <c r="E178" t="s">
        <v>1081</v>
      </c>
      <c r="F178" t="s">
        <v>772</v>
      </c>
      <c r="G178" t="s">
        <v>758</v>
      </c>
      <c r="H178" t="s">
        <v>407</v>
      </c>
      <c r="I178" t="s">
        <v>21</v>
      </c>
      <c r="J178">
        <v>5.73</v>
      </c>
      <c r="K178" s="1">
        <v>45912</v>
      </c>
      <c r="L178" t="s">
        <v>79</v>
      </c>
      <c r="M178">
        <v>12</v>
      </c>
      <c r="N178">
        <v>9</v>
      </c>
      <c r="O178">
        <v>3</v>
      </c>
      <c r="P178">
        <v>2025</v>
      </c>
    </row>
    <row r="179" spans="1:16">
      <c r="A179">
        <v>438.33000000000004</v>
      </c>
      <c r="B179">
        <v>3</v>
      </c>
      <c r="C179" t="s">
        <v>2827</v>
      </c>
      <c r="D179" t="s">
        <v>2828</v>
      </c>
      <c r="E179" t="s">
        <v>991</v>
      </c>
      <c r="F179" t="s">
        <v>1213</v>
      </c>
      <c r="G179" t="s">
        <v>839</v>
      </c>
      <c r="H179" t="s">
        <v>382</v>
      </c>
      <c r="I179" t="s">
        <v>122</v>
      </c>
      <c r="J179">
        <v>146.11000000000001</v>
      </c>
      <c r="K179" s="1">
        <v>45567</v>
      </c>
      <c r="L179" t="s">
        <v>34</v>
      </c>
      <c r="M179">
        <v>2</v>
      </c>
      <c r="N179">
        <v>10</v>
      </c>
      <c r="O179">
        <v>4</v>
      </c>
      <c r="P179">
        <v>2024</v>
      </c>
    </row>
    <row r="180" spans="1:16">
      <c r="A180">
        <v>297.12</v>
      </c>
      <c r="B180">
        <v>4</v>
      </c>
      <c r="C180" t="s">
        <v>2963</v>
      </c>
      <c r="D180" t="s">
        <v>2964</v>
      </c>
      <c r="E180" t="s">
        <v>1286</v>
      </c>
      <c r="F180" t="s">
        <v>1199</v>
      </c>
      <c r="G180" t="s">
        <v>839</v>
      </c>
      <c r="H180" t="s">
        <v>54</v>
      </c>
      <c r="I180" t="s">
        <v>55</v>
      </c>
      <c r="J180">
        <v>74.28</v>
      </c>
      <c r="K180" s="1">
        <v>45998</v>
      </c>
      <c r="L180" t="s">
        <v>28</v>
      </c>
      <c r="M180">
        <v>7</v>
      </c>
      <c r="N180">
        <v>12</v>
      </c>
      <c r="O180">
        <v>4</v>
      </c>
      <c r="P180">
        <v>2025</v>
      </c>
    </row>
    <row r="181" spans="1:16">
      <c r="A181">
        <v>180.31</v>
      </c>
      <c r="B181">
        <v>1</v>
      </c>
      <c r="C181" t="s">
        <v>2387</v>
      </c>
      <c r="D181" t="s">
        <v>2388</v>
      </c>
      <c r="E181" t="s">
        <v>1590</v>
      </c>
      <c r="F181" t="s">
        <v>113</v>
      </c>
      <c r="G181" t="s">
        <v>854</v>
      </c>
      <c r="H181" t="s">
        <v>643</v>
      </c>
      <c r="I181" t="s">
        <v>37</v>
      </c>
      <c r="J181">
        <v>180.31</v>
      </c>
      <c r="K181" s="1">
        <v>46214</v>
      </c>
      <c r="L181" t="s">
        <v>14</v>
      </c>
      <c r="M181">
        <v>11</v>
      </c>
      <c r="N181">
        <v>7</v>
      </c>
      <c r="O181">
        <v>3</v>
      </c>
      <c r="P181">
        <v>2026</v>
      </c>
    </row>
    <row r="182" spans="1:16">
      <c r="A182">
        <v>189.7</v>
      </c>
      <c r="B182">
        <v>5</v>
      </c>
      <c r="C182" t="s">
        <v>3496</v>
      </c>
      <c r="D182" t="s">
        <v>3497</v>
      </c>
      <c r="E182" t="s">
        <v>969</v>
      </c>
      <c r="F182" t="s">
        <v>1673</v>
      </c>
      <c r="G182" t="s">
        <v>821</v>
      </c>
      <c r="H182" t="s">
        <v>73</v>
      </c>
      <c r="I182" t="s">
        <v>39</v>
      </c>
      <c r="J182">
        <v>37.94</v>
      </c>
      <c r="K182" s="1">
        <v>45698</v>
      </c>
      <c r="L182" t="s">
        <v>93</v>
      </c>
      <c r="M182">
        <v>10</v>
      </c>
      <c r="N182">
        <v>2</v>
      </c>
      <c r="O182">
        <v>1</v>
      </c>
      <c r="P182">
        <v>2025</v>
      </c>
    </row>
    <row r="183" spans="1:16">
      <c r="A183">
        <v>129.62</v>
      </c>
      <c r="B183">
        <v>2</v>
      </c>
      <c r="C183" t="s">
        <v>1780</v>
      </c>
      <c r="D183" t="s">
        <v>1781</v>
      </c>
      <c r="E183" t="s">
        <v>1709</v>
      </c>
      <c r="F183" t="s">
        <v>1054</v>
      </c>
      <c r="G183" t="s">
        <v>892</v>
      </c>
      <c r="H183" t="s">
        <v>471</v>
      </c>
      <c r="I183" t="s">
        <v>19</v>
      </c>
      <c r="J183">
        <v>64.81</v>
      </c>
      <c r="K183" s="1">
        <v>45672</v>
      </c>
      <c r="L183" t="s">
        <v>34</v>
      </c>
      <c r="M183">
        <v>15</v>
      </c>
      <c r="N183">
        <v>1</v>
      </c>
      <c r="O183">
        <v>1</v>
      </c>
      <c r="P183">
        <v>2025</v>
      </c>
    </row>
    <row r="184" spans="1:16">
      <c r="A184">
        <v>103.9</v>
      </c>
      <c r="B184">
        <v>2</v>
      </c>
      <c r="C184" t="s">
        <v>2918</v>
      </c>
      <c r="D184" t="s">
        <v>2919</v>
      </c>
      <c r="E184" t="s">
        <v>2920</v>
      </c>
      <c r="F184" t="s">
        <v>1649</v>
      </c>
      <c r="G184" t="s">
        <v>790</v>
      </c>
      <c r="H184" t="s">
        <v>315</v>
      </c>
      <c r="I184" t="s">
        <v>27</v>
      </c>
      <c r="J184">
        <v>51.95</v>
      </c>
      <c r="K184" s="1">
        <v>46051</v>
      </c>
      <c r="L184" t="s">
        <v>105</v>
      </c>
      <c r="M184">
        <v>29</v>
      </c>
      <c r="N184">
        <v>1</v>
      </c>
      <c r="O184">
        <v>1</v>
      </c>
      <c r="P184">
        <v>2026</v>
      </c>
    </row>
    <row r="185" spans="1:16">
      <c r="A185">
        <v>740.19999999999993</v>
      </c>
      <c r="B185">
        <v>5</v>
      </c>
      <c r="C185" t="s">
        <v>2104</v>
      </c>
      <c r="D185" t="s">
        <v>2105</v>
      </c>
      <c r="E185" t="s">
        <v>991</v>
      </c>
      <c r="F185" t="s">
        <v>29</v>
      </c>
      <c r="G185" t="s">
        <v>821</v>
      </c>
      <c r="H185" t="s">
        <v>260</v>
      </c>
      <c r="I185" t="s">
        <v>46</v>
      </c>
      <c r="J185">
        <v>148.04</v>
      </c>
      <c r="K185" s="1">
        <v>45963</v>
      </c>
      <c r="L185" t="s">
        <v>28</v>
      </c>
      <c r="M185">
        <v>2</v>
      </c>
      <c r="N185">
        <v>11</v>
      </c>
      <c r="O185">
        <v>4</v>
      </c>
      <c r="P185">
        <v>2025</v>
      </c>
    </row>
    <row r="186" spans="1:16">
      <c r="A186">
        <v>64.14</v>
      </c>
      <c r="B186">
        <v>3</v>
      </c>
      <c r="C186" t="s">
        <v>3040</v>
      </c>
      <c r="D186" t="s">
        <v>3041</v>
      </c>
      <c r="E186" t="s">
        <v>1962</v>
      </c>
      <c r="F186" t="s">
        <v>160</v>
      </c>
      <c r="G186" t="s">
        <v>790</v>
      </c>
      <c r="H186" t="s">
        <v>600</v>
      </c>
      <c r="I186" t="s">
        <v>69</v>
      </c>
      <c r="J186">
        <v>21.38</v>
      </c>
      <c r="K186" s="1">
        <v>45846</v>
      </c>
      <c r="L186" t="s">
        <v>48</v>
      </c>
      <c r="M186">
        <v>8</v>
      </c>
      <c r="N186">
        <v>7</v>
      </c>
      <c r="O186">
        <v>3</v>
      </c>
      <c r="P186">
        <v>2025</v>
      </c>
    </row>
    <row r="187" spans="1:16">
      <c r="A187">
        <v>52.21</v>
      </c>
      <c r="B187">
        <v>1</v>
      </c>
      <c r="C187" t="s">
        <v>2690</v>
      </c>
      <c r="D187" t="s">
        <v>2691</v>
      </c>
      <c r="E187" t="s">
        <v>2692</v>
      </c>
      <c r="F187" t="s">
        <v>2489</v>
      </c>
      <c r="G187" t="s">
        <v>1247</v>
      </c>
      <c r="H187" t="s">
        <v>137</v>
      </c>
      <c r="I187" t="s">
        <v>82</v>
      </c>
      <c r="J187">
        <v>52.21</v>
      </c>
      <c r="K187" s="1">
        <v>46133</v>
      </c>
      <c r="L187" t="s">
        <v>48</v>
      </c>
      <c r="M187">
        <v>21</v>
      </c>
      <c r="N187">
        <v>4</v>
      </c>
      <c r="O187">
        <v>2</v>
      </c>
      <c r="P187">
        <v>2026</v>
      </c>
    </row>
    <row r="188" spans="1:16">
      <c r="A188">
        <v>699.08</v>
      </c>
      <c r="B188">
        <v>4</v>
      </c>
      <c r="C188" t="s">
        <v>1563</v>
      </c>
      <c r="D188" t="s">
        <v>1564</v>
      </c>
      <c r="E188" t="s">
        <v>1565</v>
      </c>
      <c r="F188" t="s">
        <v>1566</v>
      </c>
      <c r="G188" t="s">
        <v>763</v>
      </c>
      <c r="H188" t="s">
        <v>483</v>
      </c>
      <c r="I188" t="s">
        <v>100</v>
      </c>
      <c r="J188">
        <v>174.77</v>
      </c>
      <c r="K188" s="1">
        <v>45844</v>
      </c>
      <c r="L188" t="s">
        <v>28</v>
      </c>
      <c r="M188">
        <v>6</v>
      </c>
      <c r="N188">
        <v>7</v>
      </c>
      <c r="O188">
        <v>3</v>
      </c>
      <c r="P188">
        <v>2025</v>
      </c>
    </row>
    <row r="189" spans="1:16">
      <c r="A189">
        <v>143.46</v>
      </c>
      <c r="B189">
        <v>1</v>
      </c>
      <c r="C189" t="s">
        <v>2444</v>
      </c>
      <c r="D189" t="s">
        <v>2445</v>
      </c>
      <c r="E189" t="s">
        <v>1629</v>
      </c>
      <c r="F189" t="s">
        <v>838</v>
      </c>
      <c r="G189" t="s">
        <v>839</v>
      </c>
      <c r="H189" t="s">
        <v>299</v>
      </c>
      <c r="I189" t="s">
        <v>57</v>
      </c>
      <c r="J189">
        <v>143.46</v>
      </c>
      <c r="K189" s="1">
        <v>45550</v>
      </c>
      <c r="L189" t="s">
        <v>28</v>
      </c>
      <c r="M189">
        <v>15</v>
      </c>
      <c r="N189">
        <v>9</v>
      </c>
      <c r="O189">
        <v>3</v>
      </c>
      <c r="P189">
        <v>2024</v>
      </c>
    </row>
    <row r="190" spans="1:16">
      <c r="A190">
        <v>23.43</v>
      </c>
      <c r="B190">
        <v>3</v>
      </c>
      <c r="C190" t="s">
        <v>2051</v>
      </c>
      <c r="D190" t="s">
        <v>2052</v>
      </c>
      <c r="E190" t="s">
        <v>1603</v>
      </c>
      <c r="F190" t="s">
        <v>1156</v>
      </c>
      <c r="G190" t="s">
        <v>839</v>
      </c>
      <c r="H190" t="s">
        <v>532</v>
      </c>
      <c r="I190" t="s">
        <v>55</v>
      </c>
      <c r="J190">
        <v>7.81</v>
      </c>
      <c r="K190" s="1">
        <v>45705</v>
      </c>
      <c r="L190" t="s">
        <v>93</v>
      </c>
      <c r="M190">
        <v>17</v>
      </c>
      <c r="N190">
        <v>2</v>
      </c>
      <c r="O190">
        <v>1</v>
      </c>
      <c r="P190">
        <v>2025</v>
      </c>
    </row>
    <row r="191" spans="1:16">
      <c r="A191">
        <v>174.64</v>
      </c>
      <c r="B191">
        <v>4</v>
      </c>
      <c r="C191" t="s">
        <v>1210</v>
      </c>
      <c r="D191" t="s">
        <v>1211</v>
      </c>
      <c r="E191" t="s">
        <v>1212</v>
      </c>
      <c r="F191" t="s">
        <v>1213</v>
      </c>
      <c r="G191" t="s">
        <v>839</v>
      </c>
      <c r="H191" t="s">
        <v>675</v>
      </c>
      <c r="I191" t="s">
        <v>97</v>
      </c>
      <c r="J191">
        <v>43.66</v>
      </c>
      <c r="K191" s="1">
        <v>46177</v>
      </c>
      <c r="L191" t="s">
        <v>105</v>
      </c>
      <c r="M191">
        <v>4</v>
      </c>
      <c r="N191">
        <v>6</v>
      </c>
      <c r="O191">
        <v>2</v>
      </c>
      <c r="P191">
        <v>2026</v>
      </c>
    </row>
    <row r="192" spans="1:16">
      <c r="A192">
        <v>61.08</v>
      </c>
      <c r="B192">
        <v>1</v>
      </c>
      <c r="C192" t="s">
        <v>3506</v>
      </c>
      <c r="D192" t="s">
        <v>3507</v>
      </c>
      <c r="E192" t="s">
        <v>2292</v>
      </c>
      <c r="F192" t="s">
        <v>1292</v>
      </c>
      <c r="G192" t="s">
        <v>1247</v>
      </c>
      <c r="H192" t="s">
        <v>385</v>
      </c>
      <c r="I192" t="s">
        <v>39</v>
      </c>
      <c r="J192">
        <v>61.08</v>
      </c>
      <c r="K192" s="1">
        <v>46202</v>
      </c>
      <c r="L192" t="s">
        <v>93</v>
      </c>
      <c r="M192">
        <v>29</v>
      </c>
      <c r="N192">
        <v>6</v>
      </c>
      <c r="O192">
        <v>2</v>
      </c>
      <c r="P192">
        <v>2026</v>
      </c>
    </row>
    <row r="193" spans="1:16">
      <c r="A193">
        <v>433.43999999999994</v>
      </c>
      <c r="B193">
        <v>3</v>
      </c>
      <c r="C193" t="s">
        <v>2779</v>
      </c>
      <c r="D193" t="s">
        <v>2780</v>
      </c>
      <c r="E193" t="s">
        <v>1020</v>
      </c>
      <c r="F193" t="s">
        <v>883</v>
      </c>
      <c r="G193" t="s">
        <v>807</v>
      </c>
      <c r="H193" t="s">
        <v>1441</v>
      </c>
      <c r="I193" t="s">
        <v>19</v>
      </c>
      <c r="J193">
        <v>144.47999999999999</v>
      </c>
      <c r="K193" s="1">
        <v>46073</v>
      </c>
      <c r="L193" t="s">
        <v>79</v>
      </c>
      <c r="M193">
        <v>20</v>
      </c>
      <c r="N193">
        <v>2</v>
      </c>
      <c r="O193">
        <v>1</v>
      </c>
      <c r="P193">
        <v>2026</v>
      </c>
    </row>
    <row r="194" spans="1:16">
      <c r="A194">
        <v>217.62</v>
      </c>
      <c r="B194">
        <v>2</v>
      </c>
      <c r="C194" t="s">
        <v>1450</v>
      </c>
      <c r="D194" t="s">
        <v>1451</v>
      </c>
      <c r="E194" t="s">
        <v>1452</v>
      </c>
      <c r="F194" t="s">
        <v>915</v>
      </c>
      <c r="G194" t="s">
        <v>908</v>
      </c>
      <c r="H194" t="s">
        <v>453</v>
      </c>
      <c r="I194" t="s">
        <v>55</v>
      </c>
      <c r="J194">
        <v>108.81</v>
      </c>
      <c r="K194" s="1">
        <v>45940</v>
      </c>
      <c r="L194" t="s">
        <v>79</v>
      </c>
      <c r="M194">
        <v>10</v>
      </c>
      <c r="N194">
        <v>10</v>
      </c>
      <c r="O194">
        <v>4</v>
      </c>
      <c r="P194">
        <v>2025</v>
      </c>
    </row>
    <row r="195" spans="1:16">
      <c r="A195">
        <v>113.92</v>
      </c>
      <c r="B195">
        <v>1</v>
      </c>
      <c r="C195" t="s">
        <v>2912</v>
      </c>
      <c r="D195" t="s">
        <v>2913</v>
      </c>
      <c r="E195" t="s">
        <v>1657</v>
      </c>
      <c r="F195" t="s">
        <v>907</v>
      </c>
      <c r="G195" t="s">
        <v>908</v>
      </c>
      <c r="H195" t="s">
        <v>110</v>
      </c>
      <c r="I195" t="s">
        <v>51</v>
      </c>
      <c r="J195">
        <v>113.92</v>
      </c>
      <c r="K195" s="1">
        <v>45652</v>
      </c>
      <c r="L195" t="s">
        <v>105</v>
      </c>
      <c r="M195">
        <v>26</v>
      </c>
      <c r="N195">
        <v>12</v>
      </c>
      <c r="O195">
        <v>4</v>
      </c>
      <c r="P195">
        <v>2024</v>
      </c>
    </row>
    <row r="196" spans="1:16">
      <c r="A196">
        <v>827.36</v>
      </c>
      <c r="B196">
        <v>4</v>
      </c>
      <c r="C196" t="s">
        <v>2781</v>
      </c>
      <c r="D196" t="s">
        <v>2782</v>
      </c>
      <c r="E196" t="s">
        <v>2419</v>
      </c>
      <c r="F196" t="s">
        <v>136</v>
      </c>
      <c r="G196" t="s">
        <v>776</v>
      </c>
      <c r="H196" t="s">
        <v>192</v>
      </c>
      <c r="I196" t="s">
        <v>46</v>
      </c>
      <c r="J196">
        <v>206.84</v>
      </c>
      <c r="K196" s="1">
        <v>46230</v>
      </c>
      <c r="L196" t="s">
        <v>93</v>
      </c>
      <c r="M196">
        <v>27</v>
      </c>
      <c r="N196">
        <v>7</v>
      </c>
      <c r="O196">
        <v>3</v>
      </c>
      <c r="P196">
        <v>2026</v>
      </c>
    </row>
    <row r="197" spans="1:16">
      <c r="A197">
        <v>979.32</v>
      </c>
      <c r="B197">
        <v>4</v>
      </c>
      <c r="C197" t="s">
        <v>1814</v>
      </c>
      <c r="D197" t="s">
        <v>1815</v>
      </c>
      <c r="E197" t="s">
        <v>824</v>
      </c>
      <c r="F197" t="s">
        <v>757</v>
      </c>
      <c r="G197" t="s">
        <v>758</v>
      </c>
      <c r="H197" t="s">
        <v>589</v>
      </c>
      <c r="I197" t="s">
        <v>46</v>
      </c>
      <c r="J197">
        <v>244.83</v>
      </c>
      <c r="K197" s="1">
        <v>45970</v>
      </c>
      <c r="L197" t="s">
        <v>28</v>
      </c>
      <c r="M197">
        <v>9</v>
      </c>
      <c r="N197">
        <v>11</v>
      </c>
      <c r="O197">
        <v>4</v>
      </c>
      <c r="P197">
        <v>2025</v>
      </c>
    </row>
    <row r="198" spans="1:16">
      <c r="A198">
        <v>909.88</v>
      </c>
      <c r="B198">
        <v>4</v>
      </c>
      <c r="C198" t="s">
        <v>1065</v>
      </c>
      <c r="D198" t="s">
        <v>1066</v>
      </c>
      <c r="E198" t="s">
        <v>984</v>
      </c>
      <c r="F198" t="s">
        <v>1067</v>
      </c>
      <c r="G198" t="s">
        <v>854</v>
      </c>
      <c r="H198" t="s">
        <v>116</v>
      </c>
      <c r="I198" t="s">
        <v>57</v>
      </c>
      <c r="J198">
        <v>227.47</v>
      </c>
      <c r="K198" s="1">
        <v>45551</v>
      </c>
      <c r="L198" t="s">
        <v>93</v>
      </c>
      <c r="M198">
        <v>16</v>
      </c>
      <c r="N198">
        <v>9</v>
      </c>
      <c r="O198">
        <v>3</v>
      </c>
      <c r="P198">
        <v>2024</v>
      </c>
    </row>
    <row r="199" spans="1:16">
      <c r="A199">
        <v>71.72</v>
      </c>
      <c r="B199">
        <v>1</v>
      </c>
      <c r="C199" t="s">
        <v>1737</v>
      </c>
      <c r="D199" t="s">
        <v>1738</v>
      </c>
      <c r="E199" t="s">
        <v>1739</v>
      </c>
      <c r="F199" t="s">
        <v>1740</v>
      </c>
      <c r="G199" t="s">
        <v>954</v>
      </c>
      <c r="H199" t="s">
        <v>141</v>
      </c>
      <c r="I199" t="s">
        <v>46</v>
      </c>
      <c r="J199">
        <v>71.72</v>
      </c>
      <c r="K199" s="1">
        <v>45837</v>
      </c>
      <c r="L199" t="s">
        <v>28</v>
      </c>
      <c r="M199">
        <v>29</v>
      </c>
      <c r="N199">
        <v>6</v>
      </c>
      <c r="O199">
        <v>2</v>
      </c>
      <c r="P199">
        <v>2025</v>
      </c>
    </row>
    <row r="200" spans="1:16">
      <c r="A200">
        <v>690.68</v>
      </c>
      <c r="B200">
        <v>4</v>
      </c>
      <c r="C200" t="s">
        <v>974</v>
      </c>
      <c r="D200" t="s">
        <v>975</v>
      </c>
      <c r="E200" t="s">
        <v>976</v>
      </c>
      <c r="F200" t="s">
        <v>106</v>
      </c>
      <c r="G200" t="s">
        <v>748</v>
      </c>
      <c r="H200" t="s">
        <v>551</v>
      </c>
      <c r="I200" t="s">
        <v>122</v>
      </c>
      <c r="J200">
        <v>172.67</v>
      </c>
      <c r="K200" s="1">
        <v>46162</v>
      </c>
      <c r="L200" t="s">
        <v>34</v>
      </c>
      <c r="M200">
        <v>20</v>
      </c>
      <c r="N200">
        <v>5</v>
      </c>
      <c r="O200">
        <v>2</v>
      </c>
      <c r="P200">
        <v>2026</v>
      </c>
    </row>
    <row r="201" spans="1:16">
      <c r="A201">
        <v>1002.65</v>
      </c>
      <c r="B201">
        <v>5</v>
      </c>
      <c r="C201" t="s">
        <v>2011</v>
      </c>
      <c r="D201" t="s">
        <v>2012</v>
      </c>
      <c r="E201" t="s">
        <v>2013</v>
      </c>
      <c r="F201" t="s">
        <v>1172</v>
      </c>
      <c r="G201" t="s">
        <v>830</v>
      </c>
      <c r="H201" t="s">
        <v>429</v>
      </c>
      <c r="I201" t="s">
        <v>19</v>
      </c>
      <c r="J201">
        <v>200.53</v>
      </c>
      <c r="K201" s="1">
        <v>45715</v>
      </c>
      <c r="L201" t="s">
        <v>105</v>
      </c>
      <c r="M201">
        <v>27</v>
      </c>
      <c r="N201">
        <v>2</v>
      </c>
      <c r="O201">
        <v>1</v>
      </c>
      <c r="P201">
        <v>2025</v>
      </c>
    </row>
    <row r="202" spans="1:16">
      <c r="A202">
        <v>270.48</v>
      </c>
      <c r="B202">
        <v>4</v>
      </c>
      <c r="C202" t="s">
        <v>1945</v>
      </c>
      <c r="D202" t="s">
        <v>1946</v>
      </c>
      <c r="E202" t="s">
        <v>1556</v>
      </c>
      <c r="F202" t="s">
        <v>1061</v>
      </c>
      <c r="G202" t="s">
        <v>834</v>
      </c>
      <c r="H202" t="s">
        <v>697</v>
      </c>
      <c r="I202" t="s">
        <v>17</v>
      </c>
      <c r="J202">
        <v>67.62</v>
      </c>
      <c r="K202" s="1">
        <v>45639</v>
      </c>
      <c r="L202" t="s">
        <v>79</v>
      </c>
      <c r="M202">
        <v>13</v>
      </c>
      <c r="N202">
        <v>12</v>
      </c>
      <c r="O202">
        <v>4</v>
      </c>
      <c r="P202">
        <v>2024</v>
      </c>
    </row>
    <row r="203" spans="1:16">
      <c r="A203">
        <v>103.42</v>
      </c>
      <c r="B203">
        <v>2</v>
      </c>
      <c r="C203" t="s">
        <v>1011</v>
      </c>
      <c r="D203" t="s">
        <v>1012</v>
      </c>
      <c r="E203" t="s">
        <v>1013</v>
      </c>
      <c r="F203" t="s">
        <v>883</v>
      </c>
      <c r="G203" t="s">
        <v>807</v>
      </c>
      <c r="H203" t="s">
        <v>26</v>
      </c>
      <c r="I203" t="s">
        <v>27</v>
      </c>
      <c r="J203">
        <v>51.71</v>
      </c>
      <c r="K203" s="1">
        <v>45601</v>
      </c>
      <c r="L203" t="s">
        <v>48</v>
      </c>
      <c r="M203">
        <v>5</v>
      </c>
      <c r="N203">
        <v>11</v>
      </c>
      <c r="O203">
        <v>4</v>
      </c>
      <c r="P203">
        <v>2024</v>
      </c>
    </row>
    <row r="204" spans="1:16">
      <c r="A204">
        <v>557.76</v>
      </c>
      <c r="B204">
        <v>3</v>
      </c>
      <c r="C204" t="s">
        <v>3407</v>
      </c>
      <c r="D204" t="s">
        <v>3408</v>
      </c>
      <c r="E204" t="s">
        <v>2503</v>
      </c>
      <c r="F204" t="s">
        <v>1239</v>
      </c>
      <c r="G204" t="s">
        <v>795</v>
      </c>
      <c r="H204" t="s">
        <v>683</v>
      </c>
      <c r="I204" t="s">
        <v>55</v>
      </c>
      <c r="J204">
        <v>185.92</v>
      </c>
      <c r="K204" s="1">
        <v>46230</v>
      </c>
      <c r="L204" t="s">
        <v>93</v>
      </c>
      <c r="M204">
        <v>27</v>
      </c>
      <c r="N204">
        <v>7</v>
      </c>
      <c r="O204">
        <v>3</v>
      </c>
      <c r="P204">
        <v>2026</v>
      </c>
    </row>
    <row r="205" spans="1:16">
      <c r="A205">
        <v>972.45</v>
      </c>
      <c r="B205">
        <v>5</v>
      </c>
      <c r="C205" t="s">
        <v>1411</v>
      </c>
      <c r="D205" t="s">
        <v>1412</v>
      </c>
      <c r="E205" t="s">
        <v>1374</v>
      </c>
      <c r="F205" t="s">
        <v>113</v>
      </c>
      <c r="G205" t="s">
        <v>854</v>
      </c>
      <c r="H205" t="s">
        <v>560</v>
      </c>
      <c r="I205" t="s">
        <v>122</v>
      </c>
      <c r="J205">
        <v>194.49</v>
      </c>
      <c r="K205" s="1">
        <v>45929</v>
      </c>
      <c r="L205" t="s">
        <v>93</v>
      </c>
      <c r="M205">
        <v>29</v>
      </c>
      <c r="N205">
        <v>9</v>
      </c>
      <c r="O205">
        <v>3</v>
      </c>
      <c r="P205">
        <v>2025</v>
      </c>
    </row>
    <row r="206" spans="1:16">
      <c r="A206">
        <v>601.45000000000005</v>
      </c>
      <c r="B206">
        <v>5</v>
      </c>
      <c r="C206" t="s">
        <v>2480</v>
      </c>
      <c r="D206" t="s">
        <v>2308</v>
      </c>
      <c r="E206" t="s">
        <v>789</v>
      </c>
      <c r="F206" t="s">
        <v>708</v>
      </c>
      <c r="G206" t="s">
        <v>834</v>
      </c>
      <c r="H206" t="s">
        <v>290</v>
      </c>
      <c r="I206" t="s">
        <v>17</v>
      </c>
      <c r="J206">
        <v>120.29</v>
      </c>
      <c r="K206" s="1">
        <v>45898</v>
      </c>
      <c r="L206" t="s">
        <v>79</v>
      </c>
      <c r="M206">
        <v>29</v>
      </c>
      <c r="N206">
        <v>8</v>
      </c>
      <c r="O206">
        <v>3</v>
      </c>
      <c r="P206">
        <v>2025</v>
      </c>
    </row>
    <row r="207" spans="1:16">
      <c r="A207">
        <v>5.48</v>
      </c>
      <c r="B207">
        <v>4</v>
      </c>
      <c r="C207" t="s">
        <v>2569</v>
      </c>
      <c r="D207" t="s">
        <v>2570</v>
      </c>
      <c r="E207" t="s">
        <v>2571</v>
      </c>
      <c r="F207" t="s">
        <v>1026</v>
      </c>
      <c r="G207" t="s">
        <v>896</v>
      </c>
      <c r="H207" t="s">
        <v>85</v>
      </c>
      <c r="I207" t="s">
        <v>37</v>
      </c>
      <c r="J207">
        <v>1.37</v>
      </c>
      <c r="K207" s="1">
        <v>46235</v>
      </c>
      <c r="L207" t="s">
        <v>14</v>
      </c>
      <c r="M207">
        <v>1</v>
      </c>
      <c r="N207">
        <v>8</v>
      </c>
      <c r="O207">
        <v>3</v>
      </c>
      <c r="P207">
        <v>2026</v>
      </c>
    </row>
    <row r="208" spans="1:16">
      <c r="A208">
        <v>648.36</v>
      </c>
      <c r="B208">
        <v>4</v>
      </c>
      <c r="C208" t="s">
        <v>2819</v>
      </c>
      <c r="D208" t="s">
        <v>2820</v>
      </c>
      <c r="E208" t="s">
        <v>1619</v>
      </c>
      <c r="F208" t="s">
        <v>1032</v>
      </c>
      <c r="G208" t="s">
        <v>839</v>
      </c>
      <c r="H208" t="s">
        <v>124</v>
      </c>
      <c r="I208" t="s">
        <v>82</v>
      </c>
      <c r="J208">
        <v>162.09</v>
      </c>
      <c r="K208" s="1">
        <v>45929</v>
      </c>
      <c r="L208" t="s">
        <v>93</v>
      </c>
      <c r="M208">
        <v>29</v>
      </c>
      <c r="N208">
        <v>9</v>
      </c>
      <c r="O208">
        <v>3</v>
      </c>
      <c r="P208">
        <v>2025</v>
      </c>
    </row>
    <row r="209" spans="1:16">
      <c r="A209">
        <v>722.4</v>
      </c>
      <c r="B209">
        <v>5</v>
      </c>
      <c r="C209" t="s">
        <v>2318</v>
      </c>
      <c r="D209" t="s">
        <v>1094</v>
      </c>
      <c r="E209" t="s">
        <v>2319</v>
      </c>
      <c r="F209" t="s">
        <v>829</v>
      </c>
      <c r="G209" t="s">
        <v>830</v>
      </c>
      <c r="H209" t="s">
        <v>1441</v>
      </c>
      <c r="I209" t="s">
        <v>19</v>
      </c>
      <c r="J209">
        <v>144.47999999999999</v>
      </c>
      <c r="K209" s="1">
        <v>46210</v>
      </c>
      <c r="L209" t="s">
        <v>48</v>
      </c>
      <c r="M209">
        <v>7</v>
      </c>
      <c r="N209">
        <v>7</v>
      </c>
      <c r="O209">
        <v>3</v>
      </c>
      <c r="P209">
        <v>2026</v>
      </c>
    </row>
    <row r="210" spans="1:16">
      <c r="A210">
        <v>31.44</v>
      </c>
      <c r="B210">
        <v>3</v>
      </c>
      <c r="C210" t="s">
        <v>1240</v>
      </c>
      <c r="D210" t="s">
        <v>1241</v>
      </c>
      <c r="E210" t="s">
        <v>1242</v>
      </c>
      <c r="F210" t="s">
        <v>1092</v>
      </c>
      <c r="G210" t="s">
        <v>763</v>
      </c>
      <c r="H210" t="s">
        <v>578</v>
      </c>
      <c r="I210" t="s">
        <v>82</v>
      </c>
      <c r="J210">
        <v>10.48</v>
      </c>
      <c r="K210" s="1">
        <v>46035</v>
      </c>
      <c r="L210" t="s">
        <v>48</v>
      </c>
      <c r="M210">
        <v>13</v>
      </c>
      <c r="N210">
        <v>1</v>
      </c>
      <c r="O210">
        <v>1</v>
      </c>
      <c r="P210">
        <v>2026</v>
      </c>
    </row>
    <row r="211" spans="1:16">
      <c r="A211">
        <v>577.1</v>
      </c>
      <c r="B211">
        <v>5</v>
      </c>
      <c r="C211" t="s">
        <v>749</v>
      </c>
      <c r="D211" t="s">
        <v>750</v>
      </c>
      <c r="E211" t="s">
        <v>751</v>
      </c>
      <c r="F211" t="s">
        <v>752</v>
      </c>
      <c r="G211" t="s">
        <v>753</v>
      </c>
      <c r="H211" t="s">
        <v>598</v>
      </c>
      <c r="I211" t="s">
        <v>31</v>
      </c>
      <c r="J211">
        <v>115.42</v>
      </c>
      <c r="K211" s="1">
        <v>46155</v>
      </c>
      <c r="L211" t="s">
        <v>34</v>
      </c>
      <c r="M211">
        <v>13</v>
      </c>
      <c r="N211">
        <v>5</v>
      </c>
      <c r="O211">
        <v>2</v>
      </c>
      <c r="P211">
        <v>2026</v>
      </c>
    </row>
    <row r="212" spans="1:16">
      <c r="A212">
        <v>22.44</v>
      </c>
      <c r="B212">
        <v>4</v>
      </c>
      <c r="C212" t="s">
        <v>1466</v>
      </c>
      <c r="D212" t="s">
        <v>1467</v>
      </c>
      <c r="E212" t="s">
        <v>1468</v>
      </c>
      <c r="F212" t="s">
        <v>1469</v>
      </c>
      <c r="G212" t="s">
        <v>908</v>
      </c>
      <c r="H212" t="s">
        <v>352</v>
      </c>
      <c r="I212" t="s">
        <v>82</v>
      </c>
      <c r="J212">
        <v>5.61</v>
      </c>
      <c r="K212" s="1">
        <v>46082</v>
      </c>
      <c r="L212" t="s">
        <v>28</v>
      </c>
      <c r="M212">
        <v>1</v>
      </c>
      <c r="N212">
        <v>3</v>
      </c>
      <c r="O212">
        <v>1</v>
      </c>
      <c r="P212">
        <v>2026</v>
      </c>
    </row>
    <row r="213" spans="1:16">
      <c r="A213">
        <v>716.91</v>
      </c>
      <c r="B213">
        <v>3</v>
      </c>
      <c r="C213" t="s">
        <v>1427</v>
      </c>
      <c r="D213" t="s">
        <v>1428</v>
      </c>
      <c r="E213" t="s">
        <v>1429</v>
      </c>
      <c r="F213" t="s">
        <v>1168</v>
      </c>
      <c r="G213" t="s">
        <v>758</v>
      </c>
      <c r="H213" t="s">
        <v>180</v>
      </c>
      <c r="I213" t="s">
        <v>55</v>
      </c>
      <c r="J213">
        <v>238.97</v>
      </c>
      <c r="K213" s="1">
        <v>45655</v>
      </c>
      <c r="L213" t="s">
        <v>28</v>
      </c>
      <c r="M213">
        <v>29</v>
      </c>
      <c r="N213">
        <v>12</v>
      </c>
      <c r="O213">
        <v>4</v>
      </c>
      <c r="P213">
        <v>2024</v>
      </c>
    </row>
    <row r="214" spans="1:16">
      <c r="A214">
        <v>89.02</v>
      </c>
      <c r="B214">
        <v>1</v>
      </c>
      <c r="C214" t="s">
        <v>2706</v>
      </c>
      <c r="D214" t="s">
        <v>2707</v>
      </c>
      <c r="E214" t="s">
        <v>1909</v>
      </c>
      <c r="F214" t="s">
        <v>15</v>
      </c>
      <c r="G214" t="s">
        <v>834</v>
      </c>
      <c r="H214" t="s">
        <v>399</v>
      </c>
      <c r="I214" t="s">
        <v>55</v>
      </c>
      <c r="J214">
        <v>89.02</v>
      </c>
      <c r="K214" s="1">
        <v>45626</v>
      </c>
      <c r="L214" t="s">
        <v>14</v>
      </c>
      <c r="M214">
        <v>30</v>
      </c>
      <c r="N214">
        <v>11</v>
      </c>
      <c r="O214">
        <v>4</v>
      </c>
      <c r="P214">
        <v>2024</v>
      </c>
    </row>
    <row r="215" spans="1:16">
      <c r="A215">
        <v>103.94</v>
      </c>
      <c r="B215">
        <v>1</v>
      </c>
      <c r="C215" t="s">
        <v>2755</v>
      </c>
      <c r="D215" t="s">
        <v>2753</v>
      </c>
      <c r="E215" t="s">
        <v>865</v>
      </c>
      <c r="F215" t="s">
        <v>1111</v>
      </c>
      <c r="G215" t="s">
        <v>981</v>
      </c>
      <c r="H215" t="s">
        <v>210</v>
      </c>
      <c r="I215" t="s">
        <v>55</v>
      </c>
      <c r="J215">
        <v>103.94</v>
      </c>
      <c r="K215" s="1">
        <v>45807</v>
      </c>
      <c r="L215" t="s">
        <v>79</v>
      </c>
      <c r="M215">
        <v>30</v>
      </c>
      <c r="N215">
        <v>5</v>
      </c>
      <c r="O215">
        <v>2</v>
      </c>
      <c r="P215">
        <v>2025</v>
      </c>
    </row>
    <row r="216" spans="1:16">
      <c r="A216">
        <v>104.9</v>
      </c>
      <c r="B216">
        <v>5</v>
      </c>
      <c r="C216" t="s">
        <v>2616</v>
      </c>
      <c r="D216" t="s">
        <v>2617</v>
      </c>
      <c r="E216" t="s">
        <v>932</v>
      </c>
      <c r="F216" t="s">
        <v>1111</v>
      </c>
      <c r="G216" t="s">
        <v>981</v>
      </c>
      <c r="H216" t="s">
        <v>456</v>
      </c>
      <c r="I216" t="s">
        <v>19</v>
      </c>
      <c r="J216">
        <v>20.98</v>
      </c>
      <c r="K216" s="1">
        <v>45932</v>
      </c>
      <c r="L216" t="s">
        <v>105</v>
      </c>
      <c r="M216">
        <v>2</v>
      </c>
      <c r="N216">
        <v>10</v>
      </c>
      <c r="O216">
        <v>4</v>
      </c>
      <c r="P216">
        <v>2025</v>
      </c>
    </row>
    <row r="217" spans="1:16">
      <c r="A217">
        <v>12.56</v>
      </c>
      <c r="B217">
        <v>2</v>
      </c>
      <c r="C217" t="s">
        <v>744</v>
      </c>
      <c r="D217" t="s">
        <v>745</v>
      </c>
      <c r="E217" t="s">
        <v>746</v>
      </c>
      <c r="F217" t="s">
        <v>747</v>
      </c>
      <c r="G217" t="s">
        <v>748</v>
      </c>
      <c r="H217" t="s">
        <v>274</v>
      </c>
      <c r="I217" t="s">
        <v>19</v>
      </c>
      <c r="J217">
        <v>6.28</v>
      </c>
      <c r="K217" s="1">
        <v>45981</v>
      </c>
      <c r="L217" t="s">
        <v>105</v>
      </c>
      <c r="M217">
        <v>20</v>
      </c>
      <c r="N217">
        <v>11</v>
      </c>
      <c r="O217">
        <v>4</v>
      </c>
      <c r="P217">
        <v>2025</v>
      </c>
    </row>
    <row r="218" spans="1:16">
      <c r="A218">
        <v>164.27</v>
      </c>
      <c r="B218">
        <v>1</v>
      </c>
      <c r="C218" t="s">
        <v>1894</v>
      </c>
      <c r="D218" t="s">
        <v>1895</v>
      </c>
      <c r="E218" t="s">
        <v>1387</v>
      </c>
      <c r="F218" t="s">
        <v>1213</v>
      </c>
      <c r="G218" t="s">
        <v>839</v>
      </c>
      <c r="H218" t="s">
        <v>127</v>
      </c>
      <c r="I218" t="s">
        <v>21</v>
      </c>
      <c r="J218">
        <v>164.27</v>
      </c>
      <c r="K218" s="1">
        <v>45624</v>
      </c>
      <c r="L218" t="s">
        <v>105</v>
      </c>
      <c r="M218">
        <v>28</v>
      </c>
      <c r="N218">
        <v>11</v>
      </c>
      <c r="O218">
        <v>4</v>
      </c>
      <c r="P218">
        <v>2024</v>
      </c>
    </row>
    <row r="219" spans="1:16">
      <c r="A219">
        <v>144.47999999999999</v>
      </c>
      <c r="B219">
        <v>1</v>
      </c>
      <c r="C219" t="s">
        <v>1196</v>
      </c>
      <c r="D219" t="s">
        <v>1197</v>
      </c>
      <c r="E219" t="s">
        <v>1198</v>
      </c>
      <c r="F219" t="s">
        <v>1199</v>
      </c>
      <c r="G219" t="s">
        <v>839</v>
      </c>
      <c r="H219" t="s">
        <v>1441</v>
      </c>
      <c r="I219" t="s">
        <v>19</v>
      </c>
      <c r="J219">
        <v>144.47999999999999</v>
      </c>
      <c r="K219" s="1">
        <v>45820</v>
      </c>
      <c r="L219" t="s">
        <v>105</v>
      </c>
      <c r="M219">
        <v>12</v>
      </c>
      <c r="N219">
        <v>6</v>
      </c>
      <c r="O219">
        <v>2</v>
      </c>
      <c r="P219">
        <v>2025</v>
      </c>
    </row>
    <row r="220" spans="1:16">
      <c r="A220">
        <v>43.75</v>
      </c>
      <c r="B220">
        <v>1</v>
      </c>
      <c r="C220" t="s">
        <v>2151</v>
      </c>
      <c r="D220" t="s">
        <v>2152</v>
      </c>
      <c r="E220" t="s">
        <v>2153</v>
      </c>
      <c r="F220" t="s">
        <v>2154</v>
      </c>
      <c r="G220" t="s">
        <v>1003</v>
      </c>
      <c r="H220" t="s">
        <v>386</v>
      </c>
      <c r="I220" t="s">
        <v>21</v>
      </c>
      <c r="J220">
        <v>43.75</v>
      </c>
      <c r="K220" s="1">
        <v>45700</v>
      </c>
      <c r="L220" t="s">
        <v>34</v>
      </c>
      <c r="M220">
        <v>12</v>
      </c>
      <c r="N220">
        <v>2</v>
      </c>
      <c r="O220">
        <v>1</v>
      </c>
      <c r="P220">
        <v>2025</v>
      </c>
    </row>
    <row r="221" spans="1:16">
      <c r="A221">
        <v>37.119999999999997</v>
      </c>
      <c r="B221">
        <v>2</v>
      </c>
      <c r="C221" t="s">
        <v>2561</v>
      </c>
      <c r="D221" t="s">
        <v>2562</v>
      </c>
      <c r="E221" t="s">
        <v>2563</v>
      </c>
      <c r="F221" t="s">
        <v>691</v>
      </c>
      <c r="G221" t="s">
        <v>776</v>
      </c>
      <c r="H221" t="s">
        <v>672</v>
      </c>
      <c r="I221" t="s">
        <v>55</v>
      </c>
      <c r="J221">
        <v>18.559999999999999</v>
      </c>
      <c r="K221" s="1">
        <v>46036</v>
      </c>
      <c r="L221" t="s">
        <v>34</v>
      </c>
      <c r="M221">
        <v>14</v>
      </c>
      <c r="N221">
        <v>1</v>
      </c>
      <c r="O221">
        <v>1</v>
      </c>
      <c r="P221">
        <v>2026</v>
      </c>
    </row>
    <row r="222" spans="1:16">
      <c r="A222">
        <v>691.59</v>
      </c>
      <c r="B222">
        <v>3</v>
      </c>
      <c r="C222" t="s">
        <v>1036</v>
      </c>
      <c r="D222" t="s">
        <v>1037</v>
      </c>
      <c r="E222" t="s">
        <v>1038</v>
      </c>
      <c r="F222" t="s">
        <v>1039</v>
      </c>
      <c r="G222" t="s">
        <v>758</v>
      </c>
      <c r="H222" t="s">
        <v>389</v>
      </c>
      <c r="I222" t="s">
        <v>82</v>
      </c>
      <c r="J222">
        <v>230.53</v>
      </c>
      <c r="K222" s="1">
        <v>46056</v>
      </c>
      <c r="L222" t="s">
        <v>48</v>
      </c>
      <c r="M222">
        <v>3</v>
      </c>
      <c r="N222">
        <v>2</v>
      </c>
      <c r="O222">
        <v>1</v>
      </c>
      <c r="P222">
        <v>2026</v>
      </c>
    </row>
    <row r="223" spans="1:16">
      <c r="A223">
        <v>349.45</v>
      </c>
      <c r="B223">
        <v>5</v>
      </c>
      <c r="C223" t="s">
        <v>1723</v>
      </c>
      <c r="D223" t="s">
        <v>1724</v>
      </c>
      <c r="E223" t="s">
        <v>1725</v>
      </c>
      <c r="F223" t="s">
        <v>915</v>
      </c>
      <c r="G223" t="s">
        <v>908</v>
      </c>
      <c r="H223" t="s">
        <v>366</v>
      </c>
      <c r="I223" t="s">
        <v>19</v>
      </c>
      <c r="J223">
        <v>69.89</v>
      </c>
      <c r="K223" s="1">
        <v>45559</v>
      </c>
      <c r="L223" t="s">
        <v>48</v>
      </c>
      <c r="M223">
        <v>24</v>
      </c>
      <c r="N223">
        <v>9</v>
      </c>
      <c r="O223">
        <v>3</v>
      </c>
      <c r="P223">
        <v>2024</v>
      </c>
    </row>
    <row r="224" spans="1:16">
      <c r="A224">
        <v>490.44</v>
      </c>
      <c r="B224">
        <v>2</v>
      </c>
      <c r="C224" t="s">
        <v>1855</v>
      </c>
      <c r="D224" t="s">
        <v>1856</v>
      </c>
      <c r="E224" t="s">
        <v>1532</v>
      </c>
      <c r="F224" t="s">
        <v>1302</v>
      </c>
      <c r="G224" t="s">
        <v>786</v>
      </c>
      <c r="H224" t="s">
        <v>168</v>
      </c>
      <c r="I224" t="s">
        <v>46</v>
      </c>
      <c r="J224">
        <v>245.22</v>
      </c>
      <c r="K224" s="1">
        <v>45863</v>
      </c>
      <c r="L224" t="s">
        <v>79</v>
      </c>
      <c r="M224">
        <v>25</v>
      </c>
      <c r="N224">
        <v>7</v>
      </c>
      <c r="O224">
        <v>3</v>
      </c>
      <c r="P224">
        <v>2025</v>
      </c>
    </row>
    <row r="225" spans="1:16">
      <c r="A225">
        <v>44.14</v>
      </c>
      <c r="B225">
        <v>2</v>
      </c>
      <c r="C225" t="s">
        <v>2888</v>
      </c>
      <c r="D225" t="s">
        <v>2889</v>
      </c>
      <c r="E225" t="s">
        <v>2114</v>
      </c>
      <c r="F225" t="s">
        <v>929</v>
      </c>
      <c r="G225" t="s">
        <v>830</v>
      </c>
      <c r="H225" t="s">
        <v>700</v>
      </c>
      <c r="I225" t="s">
        <v>37</v>
      </c>
      <c r="J225">
        <v>22.07</v>
      </c>
      <c r="K225" s="1">
        <v>45827</v>
      </c>
      <c r="L225" t="s">
        <v>105</v>
      </c>
      <c r="M225">
        <v>19</v>
      </c>
      <c r="N225">
        <v>6</v>
      </c>
      <c r="O225">
        <v>2</v>
      </c>
      <c r="P225">
        <v>2025</v>
      </c>
    </row>
    <row r="226" spans="1:16">
      <c r="A226">
        <v>823.8</v>
      </c>
      <c r="B226">
        <v>4</v>
      </c>
      <c r="C226" t="s">
        <v>847</v>
      </c>
      <c r="D226" t="s">
        <v>848</v>
      </c>
      <c r="E226" t="s">
        <v>849</v>
      </c>
      <c r="F226" t="s">
        <v>387</v>
      </c>
      <c r="G226" t="s">
        <v>821</v>
      </c>
      <c r="H226" t="s">
        <v>705</v>
      </c>
      <c r="I226" t="s">
        <v>60</v>
      </c>
      <c r="J226">
        <v>205.95</v>
      </c>
      <c r="K226" s="1">
        <v>45681</v>
      </c>
      <c r="L226" t="s">
        <v>79</v>
      </c>
      <c r="M226">
        <v>24</v>
      </c>
      <c r="N226">
        <v>1</v>
      </c>
      <c r="O226">
        <v>1</v>
      </c>
      <c r="P226">
        <v>2025</v>
      </c>
    </row>
    <row r="227" spans="1:16">
      <c r="A227">
        <v>122.89</v>
      </c>
      <c r="B227">
        <v>1</v>
      </c>
      <c r="C227" t="s">
        <v>1147</v>
      </c>
      <c r="D227" t="s">
        <v>1148</v>
      </c>
      <c r="E227" t="s">
        <v>1149</v>
      </c>
      <c r="F227" t="s">
        <v>1071</v>
      </c>
      <c r="G227" t="s">
        <v>817</v>
      </c>
      <c r="H227" t="s">
        <v>665</v>
      </c>
      <c r="I227" t="s">
        <v>17</v>
      </c>
      <c r="J227">
        <v>122.89</v>
      </c>
      <c r="K227" s="1">
        <v>45656</v>
      </c>
      <c r="L227" t="s">
        <v>93</v>
      </c>
      <c r="M227">
        <v>30</v>
      </c>
      <c r="N227">
        <v>12</v>
      </c>
      <c r="O227">
        <v>4</v>
      </c>
      <c r="P227">
        <v>2024</v>
      </c>
    </row>
    <row r="228" spans="1:16">
      <c r="A228">
        <v>488.48</v>
      </c>
      <c r="B228">
        <v>2</v>
      </c>
      <c r="C228" t="s">
        <v>1463</v>
      </c>
      <c r="D228" t="s">
        <v>1464</v>
      </c>
      <c r="E228" t="s">
        <v>882</v>
      </c>
      <c r="F228" t="s">
        <v>1465</v>
      </c>
      <c r="G228" t="s">
        <v>817</v>
      </c>
      <c r="H228" t="s">
        <v>61</v>
      </c>
      <c r="I228" t="s">
        <v>55</v>
      </c>
      <c r="J228">
        <v>244.24</v>
      </c>
      <c r="K228" s="1">
        <v>45797</v>
      </c>
      <c r="L228" t="s">
        <v>48</v>
      </c>
      <c r="M228">
        <v>20</v>
      </c>
      <c r="N228">
        <v>5</v>
      </c>
      <c r="O228">
        <v>2</v>
      </c>
      <c r="P228">
        <v>2025</v>
      </c>
    </row>
    <row r="229" spans="1:16">
      <c r="A229">
        <v>157.72</v>
      </c>
      <c r="B229">
        <v>2</v>
      </c>
      <c r="C229" t="s">
        <v>2630</v>
      </c>
      <c r="D229" t="s">
        <v>2631</v>
      </c>
      <c r="E229" t="s">
        <v>1633</v>
      </c>
      <c r="F229" t="s">
        <v>1421</v>
      </c>
      <c r="G229" t="s">
        <v>776</v>
      </c>
      <c r="H229" t="s">
        <v>208</v>
      </c>
      <c r="I229" t="s">
        <v>43</v>
      </c>
      <c r="J229">
        <v>78.86</v>
      </c>
      <c r="K229" s="1">
        <v>45861</v>
      </c>
      <c r="L229" t="s">
        <v>34</v>
      </c>
      <c r="M229">
        <v>23</v>
      </c>
      <c r="N229">
        <v>7</v>
      </c>
      <c r="O229">
        <v>3</v>
      </c>
      <c r="P229">
        <v>2025</v>
      </c>
    </row>
    <row r="230" spans="1:16">
      <c r="A230">
        <v>436.89</v>
      </c>
      <c r="B230">
        <v>3</v>
      </c>
      <c r="C230" t="s">
        <v>936</v>
      </c>
      <c r="D230" t="s">
        <v>937</v>
      </c>
      <c r="E230" t="s">
        <v>938</v>
      </c>
      <c r="F230" t="s">
        <v>794</v>
      </c>
      <c r="G230" t="s">
        <v>795</v>
      </c>
      <c r="H230" t="s">
        <v>191</v>
      </c>
      <c r="I230" t="s">
        <v>60</v>
      </c>
      <c r="J230">
        <v>145.63</v>
      </c>
      <c r="K230" s="1">
        <v>45711</v>
      </c>
      <c r="L230" t="s">
        <v>28</v>
      </c>
      <c r="M230">
        <v>23</v>
      </c>
      <c r="N230">
        <v>2</v>
      </c>
      <c r="O230">
        <v>1</v>
      </c>
      <c r="P230">
        <v>2025</v>
      </c>
    </row>
    <row r="231" spans="1:16">
      <c r="A231">
        <v>1072.8499999999999</v>
      </c>
      <c r="B231">
        <v>5</v>
      </c>
      <c r="C231" t="s">
        <v>2890</v>
      </c>
      <c r="D231" t="s">
        <v>2891</v>
      </c>
      <c r="E231" t="s">
        <v>2892</v>
      </c>
      <c r="F231" t="s">
        <v>708</v>
      </c>
      <c r="G231" t="s">
        <v>834</v>
      </c>
      <c r="H231" t="s">
        <v>383</v>
      </c>
      <c r="I231" t="s">
        <v>39</v>
      </c>
      <c r="J231">
        <v>214.57</v>
      </c>
      <c r="K231" s="1">
        <v>45819</v>
      </c>
      <c r="L231" t="s">
        <v>34</v>
      </c>
      <c r="M231">
        <v>11</v>
      </c>
      <c r="N231">
        <v>6</v>
      </c>
      <c r="O231">
        <v>2</v>
      </c>
      <c r="P231">
        <v>2025</v>
      </c>
    </row>
    <row r="232" spans="1:16">
      <c r="A232">
        <v>22.26</v>
      </c>
      <c r="B232">
        <v>2</v>
      </c>
      <c r="C232" t="s">
        <v>1340</v>
      </c>
      <c r="D232" t="s">
        <v>1341</v>
      </c>
      <c r="E232" t="s">
        <v>1152</v>
      </c>
      <c r="F232" t="s">
        <v>1342</v>
      </c>
      <c r="G232" t="s">
        <v>776</v>
      </c>
      <c r="H232" t="s">
        <v>42</v>
      </c>
      <c r="I232" t="s">
        <v>43</v>
      </c>
      <c r="J232">
        <v>11.13</v>
      </c>
      <c r="K232" s="1">
        <v>45887</v>
      </c>
      <c r="L232" t="s">
        <v>93</v>
      </c>
      <c r="M232">
        <v>18</v>
      </c>
      <c r="N232">
        <v>8</v>
      </c>
      <c r="O232">
        <v>3</v>
      </c>
      <c r="P232">
        <v>2025</v>
      </c>
    </row>
    <row r="233" spans="1:16">
      <c r="A233">
        <v>117.9</v>
      </c>
      <c r="B233">
        <v>2</v>
      </c>
      <c r="C233" t="s">
        <v>3242</v>
      </c>
      <c r="D233" t="s">
        <v>3243</v>
      </c>
      <c r="E233" t="s">
        <v>861</v>
      </c>
      <c r="F233" t="s">
        <v>961</v>
      </c>
      <c r="G233" t="s">
        <v>807</v>
      </c>
      <c r="H233" t="s">
        <v>75</v>
      </c>
      <c r="I233" t="s">
        <v>27</v>
      </c>
      <c r="J233">
        <v>58.95</v>
      </c>
      <c r="K233" s="1">
        <v>46065</v>
      </c>
      <c r="L233" t="s">
        <v>105</v>
      </c>
      <c r="M233">
        <v>12</v>
      </c>
      <c r="N233">
        <v>2</v>
      </c>
      <c r="O233">
        <v>1</v>
      </c>
      <c r="P233">
        <v>2026</v>
      </c>
    </row>
    <row r="234" spans="1:16">
      <c r="A234">
        <v>166.26</v>
      </c>
      <c r="B234">
        <v>1</v>
      </c>
      <c r="C234" t="s">
        <v>3195</v>
      </c>
      <c r="D234" t="s">
        <v>3196</v>
      </c>
      <c r="E234" t="s">
        <v>2004</v>
      </c>
      <c r="F234" t="s">
        <v>713</v>
      </c>
      <c r="G234" t="s">
        <v>908</v>
      </c>
      <c r="H234" t="s">
        <v>72</v>
      </c>
      <c r="I234" t="s">
        <v>37</v>
      </c>
      <c r="J234">
        <v>166.26</v>
      </c>
      <c r="K234" s="1">
        <v>46119</v>
      </c>
      <c r="L234" t="s">
        <v>48</v>
      </c>
      <c r="M234">
        <v>7</v>
      </c>
      <c r="N234">
        <v>4</v>
      </c>
      <c r="O234">
        <v>2</v>
      </c>
      <c r="P234">
        <v>2026</v>
      </c>
    </row>
    <row r="235" spans="1:16">
      <c r="A235">
        <v>291.66000000000003</v>
      </c>
      <c r="B235">
        <v>2</v>
      </c>
      <c r="C235" t="s">
        <v>1877</v>
      </c>
      <c r="D235" t="s">
        <v>1878</v>
      </c>
      <c r="E235" t="s">
        <v>1380</v>
      </c>
      <c r="F235" t="s">
        <v>932</v>
      </c>
      <c r="G235" t="s">
        <v>776</v>
      </c>
      <c r="H235" t="s">
        <v>171</v>
      </c>
      <c r="I235" t="s">
        <v>46</v>
      </c>
      <c r="J235">
        <v>145.83000000000001</v>
      </c>
      <c r="K235" s="1">
        <v>45910</v>
      </c>
      <c r="L235" t="s">
        <v>34</v>
      </c>
      <c r="M235">
        <v>10</v>
      </c>
      <c r="N235">
        <v>9</v>
      </c>
      <c r="O235">
        <v>3</v>
      </c>
      <c r="P235">
        <v>2025</v>
      </c>
    </row>
    <row r="236" spans="1:16">
      <c r="A236">
        <v>56.85</v>
      </c>
      <c r="B236">
        <v>1</v>
      </c>
      <c r="C236" t="s">
        <v>3347</v>
      </c>
      <c r="D236" t="s">
        <v>3348</v>
      </c>
      <c r="E236" t="s">
        <v>2114</v>
      </c>
      <c r="F236" t="s">
        <v>1755</v>
      </c>
      <c r="G236" t="s">
        <v>786</v>
      </c>
      <c r="H236" t="s">
        <v>342</v>
      </c>
      <c r="I236" t="s">
        <v>55</v>
      </c>
      <c r="J236">
        <v>56.85</v>
      </c>
      <c r="K236" s="1">
        <v>45866</v>
      </c>
      <c r="L236" t="s">
        <v>93</v>
      </c>
      <c r="M236">
        <v>28</v>
      </c>
      <c r="N236">
        <v>7</v>
      </c>
      <c r="O236">
        <v>3</v>
      </c>
      <c r="P236">
        <v>2025</v>
      </c>
    </row>
    <row r="237" spans="1:16">
      <c r="A237">
        <v>717.28</v>
      </c>
      <c r="B237">
        <v>4</v>
      </c>
      <c r="C237" t="s">
        <v>1027</v>
      </c>
      <c r="D237" t="s">
        <v>1028</v>
      </c>
      <c r="E237" t="s">
        <v>805</v>
      </c>
      <c r="F237" t="s">
        <v>825</v>
      </c>
      <c r="G237" t="s">
        <v>781</v>
      </c>
      <c r="H237" t="s">
        <v>174</v>
      </c>
      <c r="I237" t="s">
        <v>122</v>
      </c>
      <c r="J237">
        <v>179.32</v>
      </c>
      <c r="K237" s="1">
        <v>46087</v>
      </c>
      <c r="L237" t="s">
        <v>79</v>
      </c>
      <c r="M237">
        <v>6</v>
      </c>
      <c r="N237">
        <v>3</v>
      </c>
      <c r="O237">
        <v>1</v>
      </c>
      <c r="P237">
        <v>2026</v>
      </c>
    </row>
    <row r="238" spans="1:16">
      <c r="A238">
        <v>144.47999999999999</v>
      </c>
      <c r="B238">
        <v>1</v>
      </c>
      <c r="C238" t="s">
        <v>1674</v>
      </c>
      <c r="D238" t="s">
        <v>1675</v>
      </c>
      <c r="E238" t="s">
        <v>1676</v>
      </c>
      <c r="F238" t="s">
        <v>995</v>
      </c>
      <c r="G238" t="s">
        <v>781</v>
      </c>
      <c r="H238" t="s">
        <v>1441</v>
      </c>
      <c r="I238" t="s">
        <v>19</v>
      </c>
      <c r="J238">
        <v>144.47999999999999</v>
      </c>
      <c r="K238" s="1">
        <v>46086</v>
      </c>
      <c r="L238" t="s">
        <v>105</v>
      </c>
      <c r="M238">
        <v>5</v>
      </c>
      <c r="N238">
        <v>3</v>
      </c>
      <c r="O238">
        <v>1</v>
      </c>
      <c r="P238">
        <v>2026</v>
      </c>
    </row>
    <row r="239" spans="1:16">
      <c r="A239">
        <v>987.28</v>
      </c>
      <c r="B239">
        <v>4</v>
      </c>
      <c r="C239" t="s">
        <v>1847</v>
      </c>
      <c r="D239" t="s">
        <v>1848</v>
      </c>
      <c r="E239" t="s">
        <v>1849</v>
      </c>
      <c r="F239" t="s">
        <v>825</v>
      </c>
      <c r="G239" t="s">
        <v>781</v>
      </c>
      <c r="H239" t="s">
        <v>369</v>
      </c>
      <c r="I239" t="s">
        <v>43</v>
      </c>
      <c r="J239">
        <v>246.82</v>
      </c>
      <c r="K239" s="1">
        <v>46225</v>
      </c>
      <c r="L239" t="s">
        <v>34</v>
      </c>
      <c r="M239">
        <v>22</v>
      </c>
      <c r="N239">
        <v>7</v>
      </c>
      <c r="O239">
        <v>3</v>
      </c>
      <c r="P239">
        <v>2026</v>
      </c>
    </row>
    <row r="240" spans="1:16">
      <c r="A240">
        <v>64.290000000000006</v>
      </c>
      <c r="B240">
        <v>1</v>
      </c>
      <c r="C240" t="s">
        <v>1671</v>
      </c>
      <c r="D240" t="s">
        <v>1672</v>
      </c>
      <c r="E240" t="s">
        <v>1013</v>
      </c>
      <c r="F240" t="s">
        <v>1673</v>
      </c>
      <c r="G240" t="s">
        <v>821</v>
      </c>
      <c r="H240" t="s">
        <v>461</v>
      </c>
      <c r="I240" t="s">
        <v>60</v>
      </c>
      <c r="J240">
        <v>64.290000000000006</v>
      </c>
      <c r="K240" s="1">
        <v>45631</v>
      </c>
      <c r="L240" t="s">
        <v>105</v>
      </c>
      <c r="M240">
        <v>5</v>
      </c>
      <c r="N240">
        <v>12</v>
      </c>
      <c r="O240">
        <v>4</v>
      </c>
      <c r="P240">
        <v>2024</v>
      </c>
    </row>
    <row r="241" spans="1:16">
      <c r="A241">
        <v>63.25</v>
      </c>
      <c r="B241">
        <v>1</v>
      </c>
      <c r="C241" t="s">
        <v>2575</v>
      </c>
      <c r="D241" t="s">
        <v>2576</v>
      </c>
      <c r="E241" t="s">
        <v>875</v>
      </c>
      <c r="F241" t="s">
        <v>907</v>
      </c>
      <c r="G241" t="s">
        <v>908</v>
      </c>
      <c r="H241" t="s">
        <v>740</v>
      </c>
      <c r="I241" t="s">
        <v>46</v>
      </c>
      <c r="J241">
        <v>63.25</v>
      </c>
      <c r="K241" s="1">
        <v>45989</v>
      </c>
      <c r="L241" t="s">
        <v>79</v>
      </c>
      <c r="M241">
        <v>28</v>
      </c>
      <c r="N241">
        <v>11</v>
      </c>
      <c r="O241">
        <v>4</v>
      </c>
      <c r="P241">
        <v>2025</v>
      </c>
    </row>
    <row r="242" spans="1:16">
      <c r="A242">
        <v>324.92</v>
      </c>
      <c r="B242">
        <v>2</v>
      </c>
      <c r="C242" t="s">
        <v>1466</v>
      </c>
      <c r="D242" t="s">
        <v>1467</v>
      </c>
      <c r="E242" t="s">
        <v>1468</v>
      </c>
      <c r="F242" t="s">
        <v>1469</v>
      </c>
      <c r="G242" t="s">
        <v>908</v>
      </c>
      <c r="H242" t="s">
        <v>218</v>
      </c>
      <c r="I242" t="s">
        <v>97</v>
      </c>
      <c r="J242">
        <v>162.46</v>
      </c>
      <c r="K242" s="1">
        <v>45612</v>
      </c>
      <c r="L242" t="s">
        <v>14</v>
      </c>
      <c r="M242">
        <v>16</v>
      </c>
      <c r="N242">
        <v>11</v>
      </c>
      <c r="O242">
        <v>4</v>
      </c>
      <c r="P242">
        <v>2024</v>
      </c>
    </row>
    <row r="243" spans="1:16">
      <c r="A243">
        <v>90.13</v>
      </c>
      <c r="B243">
        <v>1</v>
      </c>
      <c r="C243" t="s">
        <v>876</v>
      </c>
      <c r="D243" t="s">
        <v>877</v>
      </c>
      <c r="E243" t="s">
        <v>878</v>
      </c>
      <c r="F243" t="s">
        <v>879</v>
      </c>
      <c r="G243" t="s">
        <v>748</v>
      </c>
      <c r="H243" t="s">
        <v>304</v>
      </c>
      <c r="I243" t="s">
        <v>100</v>
      </c>
      <c r="J243">
        <v>90.13</v>
      </c>
      <c r="K243" s="1">
        <v>45797</v>
      </c>
      <c r="L243" t="s">
        <v>48</v>
      </c>
      <c r="M243">
        <v>20</v>
      </c>
      <c r="N243">
        <v>5</v>
      </c>
      <c r="O243">
        <v>2</v>
      </c>
      <c r="P243">
        <v>2025</v>
      </c>
    </row>
    <row r="244" spans="1:16">
      <c r="A244">
        <v>686.22</v>
      </c>
      <c r="B244">
        <v>3</v>
      </c>
      <c r="C244" t="s">
        <v>2988</v>
      </c>
      <c r="D244" t="s">
        <v>2989</v>
      </c>
      <c r="E244" t="s">
        <v>2362</v>
      </c>
      <c r="F244" t="s">
        <v>1415</v>
      </c>
      <c r="G244" t="s">
        <v>812</v>
      </c>
      <c r="H244" t="s">
        <v>566</v>
      </c>
      <c r="I244" t="s">
        <v>69</v>
      </c>
      <c r="J244">
        <v>228.74</v>
      </c>
      <c r="K244" s="1">
        <v>46146</v>
      </c>
      <c r="L244" t="s">
        <v>93</v>
      </c>
      <c r="M244">
        <v>4</v>
      </c>
      <c r="N244">
        <v>5</v>
      </c>
      <c r="O244">
        <v>2</v>
      </c>
      <c r="P244">
        <v>2026</v>
      </c>
    </row>
    <row r="245" spans="1:16">
      <c r="A245">
        <v>80.239999999999995</v>
      </c>
      <c r="B245">
        <v>2</v>
      </c>
      <c r="C245" t="s">
        <v>2023</v>
      </c>
      <c r="D245" t="s">
        <v>2024</v>
      </c>
      <c r="E245" t="s">
        <v>1865</v>
      </c>
      <c r="F245" t="s">
        <v>1246</v>
      </c>
      <c r="G245" t="s">
        <v>1247</v>
      </c>
      <c r="H245" t="s">
        <v>56</v>
      </c>
      <c r="I245" t="s">
        <v>57</v>
      </c>
      <c r="J245">
        <v>40.119999999999997</v>
      </c>
      <c r="K245" s="1">
        <v>46134</v>
      </c>
      <c r="L245" t="s">
        <v>34</v>
      </c>
      <c r="M245">
        <v>22</v>
      </c>
      <c r="N245">
        <v>4</v>
      </c>
      <c r="O245">
        <v>2</v>
      </c>
      <c r="P245">
        <v>2026</v>
      </c>
    </row>
    <row r="246" spans="1:16">
      <c r="A246">
        <v>160.77000000000001</v>
      </c>
      <c r="B246">
        <v>1</v>
      </c>
      <c r="C246" t="s">
        <v>1528</v>
      </c>
      <c r="D246" t="s">
        <v>1529</v>
      </c>
      <c r="E246" t="s">
        <v>998</v>
      </c>
      <c r="F246" t="s">
        <v>1465</v>
      </c>
      <c r="G246" t="s">
        <v>817</v>
      </c>
      <c r="H246" t="s">
        <v>44</v>
      </c>
      <c r="I246" t="s">
        <v>31</v>
      </c>
      <c r="J246">
        <v>160.77000000000001</v>
      </c>
      <c r="K246" s="1">
        <v>45803</v>
      </c>
      <c r="L246" t="s">
        <v>93</v>
      </c>
      <c r="M246">
        <v>26</v>
      </c>
      <c r="N246">
        <v>5</v>
      </c>
      <c r="O246">
        <v>2</v>
      </c>
      <c r="P246">
        <v>2025</v>
      </c>
    </row>
    <row r="247" spans="1:16">
      <c r="A247">
        <v>717.30000000000007</v>
      </c>
      <c r="B247">
        <v>5</v>
      </c>
      <c r="C247" t="s">
        <v>2273</v>
      </c>
      <c r="D247" t="s">
        <v>2274</v>
      </c>
      <c r="E247" t="s">
        <v>2275</v>
      </c>
      <c r="F247" t="s">
        <v>1339</v>
      </c>
      <c r="G247" t="s">
        <v>1247</v>
      </c>
      <c r="H247" t="s">
        <v>299</v>
      </c>
      <c r="I247" t="s">
        <v>57</v>
      </c>
      <c r="J247">
        <v>143.46</v>
      </c>
      <c r="K247" s="1">
        <v>45700</v>
      </c>
      <c r="L247" t="s">
        <v>34</v>
      </c>
      <c r="M247">
        <v>12</v>
      </c>
      <c r="N247">
        <v>2</v>
      </c>
      <c r="O247">
        <v>1</v>
      </c>
      <c r="P247">
        <v>2025</v>
      </c>
    </row>
    <row r="248" spans="1:16">
      <c r="A248">
        <v>583.36</v>
      </c>
      <c r="B248">
        <v>4</v>
      </c>
      <c r="C248" t="s">
        <v>947</v>
      </c>
      <c r="D248" t="s">
        <v>948</v>
      </c>
      <c r="E248" t="s">
        <v>949</v>
      </c>
      <c r="F248" t="s">
        <v>392</v>
      </c>
      <c r="G248" t="s">
        <v>834</v>
      </c>
      <c r="H248" t="s">
        <v>178</v>
      </c>
      <c r="I248" t="s">
        <v>122</v>
      </c>
      <c r="J248">
        <v>145.84</v>
      </c>
      <c r="K248" s="1">
        <v>46065</v>
      </c>
      <c r="L248" t="s">
        <v>105</v>
      </c>
      <c r="M248">
        <v>12</v>
      </c>
      <c r="N248">
        <v>2</v>
      </c>
      <c r="O248">
        <v>1</v>
      </c>
      <c r="P248">
        <v>2026</v>
      </c>
    </row>
    <row r="249" spans="1:16">
      <c r="A249">
        <v>56.02</v>
      </c>
      <c r="B249">
        <v>2</v>
      </c>
      <c r="C249" t="s">
        <v>2263</v>
      </c>
      <c r="D249" t="s">
        <v>2264</v>
      </c>
      <c r="E249" t="s">
        <v>957</v>
      </c>
      <c r="F249" t="s">
        <v>2265</v>
      </c>
      <c r="G249" t="s">
        <v>830</v>
      </c>
      <c r="H249" t="s">
        <v>463</v>
      </c>
      <c r="I249" t="s">
        <v>43</v>
      </c>
      <c r="J249">
        <v>28.01</v>
      </c>
      <c r="K249" s="1">
        <v>45571</v>
      </c>
      <c r="L249" t="s">
        <v>28</v>
      </c>
      <c r="M249">
        <v>6</v>
      </c>
      <c r="N249">
        <v>10</v>
      </c>
      <c r="O249">
        <v>4</v>
      </c>
      <c r="P249">
        <v>2024</v>
      </c>
    </row>
    <row r="250" spans="1:16">
      <c r="A250">
        <v>230.53</v>
      </c>
      <c r="B250">
        <v>1</v>
      </c>
      <c r="C250" t="s">
        <v>1466</v>
      </c>
      <c r="D250" t="s">
        <v>1467</v>
      </c>
      <c r="E250" t="s">
        <v>1468</v>
      </c>
      <c r="F250" t="s">
        <v>1469</v>
      </c>
      <c r="G250" t="s">
        <v>908</v>
      </c>
      <c r="H250" t="s">
        <v>389</v>
      </c>
      <c r="I250" t="s">
        <v>82</v>
      </c>
      <c r="J250">
        <v>230.53</v>
      </c>
      <c r="K250" s="1">
        <v>45769</v>
      </c>
      <c r="L250" t="s">
        <v>48</v>
      </c>
      <c r="M250">
        <v>22</v>
      </c>
      <c r="N250">
        <v>4</v>
      </c>
      <c r="O250">
        <v>2</v>
      </c>
      <c r="P250">
        <v>2025</v>
      </c>
    </row>
    <row r="251" spans="1:16">
      <c r="A251">
        <v>169.88</v>
      </c>
      <c r="B251">
        <v>2</v>
      </c>
      <c r="C251" t="s">
        <v>1806</v>
      </c>
      <c r="D251" t="s">
        <v>1807</v>
      </c>
      <c r="E251" t="s">
        <v>1235</v>
      </c>
      <c r="F251" t="s">
        <v>1061</v>
      </c>
      <c r="G251" t="s">
        <v>834</v>
      </c>
      <c r="H251" t="s">
        <v>554</v>
      </c>
      <c r="I251" t="s">
        <v>17</v>
      </c>
      <c r="J251">
        <v>84.94</v>
      </c>
      <c r="K251" s="1">
        <v>45620</v>
      </c>
      <c r="L251" t="s">
        <v>28</v>
      </c>
      <c r="M251">
        <v>24</v>
      </c>
      <c r="N251">
        <v>11</v>
      </c>
      <c r="O251">
        <v>4</v>
      </c>
      <c r="P251">
        <v>2024</v>
      </c>
    </row>
    <row r="252" spans="1:16">
      <c r="A252">
        <v>567.09</v>
      </c>
      <c r="B252">
        <v>3</v>
      </c>
      <c r="C252" t="s">
        <v>1350</v>
      </c>
      <c r="D252" t="s">
        <v>1351</v>
      </c>
      <c r="E252" t="s">
        <v>1031</v>
      </c>
      <c r="F252" t="s">
        <v>1156</v>
      </c>
      <c r="G252" t="s">
        <v>821</v>
      </c>
      <c r="H252" t="s">
        <v>654</v>
      </c>
      <c r="I252" t="s">
        <v>60</v>
      </c>
      <c r="J252">
        <v>189.03</v>
      </c>
      <c r="K252" s="1">
        <v>45555</v>
      </c>
      <c r="L252" t="s">
        <v>79</v>
      </c>
      <c r="M252">
        <v>20</v>
      </c>
      <c r="N252">
        <v>9</v>
      </c>
      <c r="O252">
        <v>3</v>
      </c>
      <c r="P252">
        <v>2024</v>
      </c>
    </row>
    <row r="253" spans="1:16">
      <c r="A253">
        <v>1240.5500000000002</v>
      </c>
      <c r="B253">
        <v>5</v>
      </c>
      <c r="C253" t="s">
        <v>803</v>
      </c>
      <c r="D253" t="s">
        <v>804</v>
      </c>
      <c r="E253" t="s">
        <v>805</v>
      </c>
      <c r="F253" t="s">
        <v>806</v>
      </c>
      <c r="G253" t="s">
        <v>807</v>
      </c>
      <c r="H253" t="s">
        <v>808</v>
      </c>
      <c r="I253" t="s">
        <v>17</v>
      </c>
      <c r="J253">
        <v>248.11</v>
      </c>
      <c r="K253" s="1">
        <v>46258</v>
      </c>
      <c r="L253" t="s">
        <v>93</v>
      </c>
      <c r="M253">
        <v>24</v>
      </c>
      <c r="N253">
        <v>8</v>
      </c>
      <c r="O253">
        <v>3</v>
      </c>
      <c r="P253">
        <v>2026</v>
      </c>
    </row>
    <row r="254" spans="1:16">
      <c r="A254">
        <v>302.26</v>
      </c>
      <c r="B254">
        <v>2</v>
      </c>
      <c r="C254" t="s">
        <v>2011</v>
      </c>
      <c r="D254" t="s">
        <v>2012</v>
      </c>
      <c r="E254" t="s">
        <v>2013</v>
      </c>
      <c r="F254" t="s">
        <v>1172</v>
      </c>
      <c r="G254" t="s">
        <v>830</v>
      </c>
      <c r="H254" t="s">
        <v>655</v>
      </c>
      <c r="I254" t="s">
        <v>82</v>
      </c>
      <c r="J254">
        <v>151.13</v>
      </c>
      <c r="K254" s="1">
        <v>45597</v>
      </c>
      <c r="L254" t="s">
        <v>79</v>
      </c>
      <c r="M254">
        <v>1</v>
      </c>
      <c r="N254">
        <v>11</v>
      </c>
      <c r="O254">
        <v>4</v>
      </c>
      <c r="P254">
        <v>2024</v>
      </c>
    </row>
    <row r="255" spans="1:16">
      <c r="A255">
        <v>46.31</v>
      </c>
      <c r="B255">
        <v>1</v>
      </c>
      <c r="C255" t="s">
        <v>2219</v>
      </c>
      <c r="D255" t="s">
        <v>2220</v>
      </c>
      <c r="E255" t="s">
        <v>2133</v>
      </c>
      <c r="F255" t="s">
        <v>1067</v>
      </c>
      <c r="G255" t="s">
        <v>854</v>
      </c>
      <c r="H255" t="s">
        <v>583</v>
      </c>
      <c r="I255" t="s">
        <v>19</v>
      </c>
      <c r="J255">
        <v>46.31</v>
      </c>
      <c r="K255" s="1">
        <v>45779</v>
      </c>
      <c r="L255" t="s">
        <v>79</v>
      </c>
      <c r="M255">
        <v>2</v>
      </c>
      <c r="N255">
        <v>5</v>
      </c>
      <c r="O255">
        <v>2</v>
      </c>
      <c r="P255">
        <v>2025</v>
      </c>
    </row>
    <row r="256" spans="1:16">
      <c r="A256">
        <v>135.05000000000001</v>
      </c>
      <c r="B256">
        <v>5</v>
      </c>
      <c r="C256" t="s">
        <v>2819</v>
      </c>
      <c r="D256" t="s">
        <v>2820</v>
      </c>
      <c r="E256" t="s">
        <v>1619</v>
      </c>
      <c r="F256" t="s">
        <v>1032</v>
      </c>
      <c r="G256" t="s">
        <v>839</v>
      </c>
      <c r="H256" t="s">
        <v>117</v>
      </c>
      <c r="I256" t="s">
        <v>55</v>
      </c>
      <c r="J256">
        <v>27.01</v>
      </c>
      <c r="K256" s="1">
        <v>45839</v>
      </c>
      <c r="L256" t="s">
        <v>48</v>
      </c>
      <c r="M256">
        <v>1</v>
      </c>
      <c r="N256">
        <v>7</v>
      </c>
      <c r="O256">
        <v>3</v>
      </c>
      <c r="P256">
        <v>2025</v>
      </c>
    </row>
    <row r="257" spans="1:16">
      <c r="A257">
        <v>13.600000000000001</v>
      </c>
      <c r="B257">
        <v>5</v>
      </c>
      <c r="C257" t="s">
        <v>3314</v>
      </c>
      <c r="D257" t="s">
        <v>3315</v>
      </c>
      <c r="E257" t="s">
        <v>1965</v>
      </c>
      <c r="F257" t="s">
        <v>1061</v>
      </c>
      <c r="G257" t="s">
        <v>812</v>
      </c>
      <c r="H257" t="s">
        <v>99</v>
      </c>
      <c r="I257" t="s">
        <v>100</v>
      </c>
      <c r="J257">
        <v>2.72</v>
      </c>
      <c r="K257" s="1">
        <v>45897</v>
      </c>
      <c r="L257" t="s">
        <v>105</v>
      </c>
      <c r="M257">
        <v>28</v>
      </c>
      <c r="N257">
        <v>8</v>
      </c>
      <c r="O257">
        <v>3</v>
      </c>
      <c r="P257">
        <v>2025</v>
      </c>
    </row>
    <row r="258" spans="1:16">
      <c r="A258">
        <v>134.9</v>
      </c>
      <c r="B258">
        <v>5</v>
      </c>
      <c r="C258" t="s">
        <v>3030</v>
      </c>
      <c r="D258" t="s">
        <v>3031</v>
      </c>
      <c r="E258" t="s">
        <v>2341</v>
      </c>
      <c r="F258" t="s">
        <v>1092</v>
      </c>
      <c r="G258" t="s">
        <v>763</v>
      </c>
      <c r="H258" t="s">
        <v>458</v>
      </c>
      <c r="I258" t="s">
        <v>37</v>
      </c>
      <c r="J258">
        <v>26.98</v>
      </c>
      <c r="K258" s="1">
        <v>46258</v>
      </c>
      <c r="L258" t="s">
        <v>93</v>
      </c>
      <c r="M258">
        <v>24</v>
      </c>
      <c r="N258">
        <v>8</v>
      </c>
      <c r="O258">
        <v>3</v>
      </c>
      <c r="P258">
        <v>2026</v>
      </c>
    </row>
    <row r="259" spans="1:16">
      <c r="A259">
        <v>184.98</v>
      </c>
      <c r="B259">
        <v>2</v>
      </c>
      <c r="C259" t="s">
        <v>1546</v>
      </c>
      <c r="D259" t="s">
        <v>1547</v>
      </c>
      <c r="E259" t="s">
        <v>952</v>
      </c>
      <c r="F259" t="s">
        <v>380</v>
      </c>
      <c r="G259" t="s">
        <v>776</v>
      </c>
      <c r="H259" t="s">
        <v>36</v>
      </c>
      <c r="I259" t="s">
        <v>37</v>
      </c>
      <c r="J259">
        <v>92.49</v>
      </c>
      <c r="K259" s="1">
        <v>46276</v>
      </c>
      <c r="L259" t="s">
        <v>79</v>
      </c>
      <c r="M259">
        <v>11</v>
      </c>
      <c r="N259">
        <v>9</v>
      </c>
      <c r="O259">
        <v>3</v>
      </c>
      <c r="P259">
        <v>2026</v>
      </c>
    </row>
    <row r="260" spans="1:16">
      <c r="A260">
        <v>425.43</v>
      </c>
      <c r="B260">
        <v>3</v>
      </c>
      <c r="C260" t="s">
        <v>3337</v>
      </c>
      <c r="D260" t="s">
        <v>3338</v>
      </c>
      <c r="E260" t="s">
        <v>1524</v>
      </c>
      <c r="F260" t="s">
        <v>1172</v>
      </c>
      <c r="G260" t="s">
        <v>830</v>
      </c>
      <c r="H260" t="s">
        <v>391</v>
      </c>
      <c r="I260" t="s">
        <v>60</v>
      </c>
      <c r="J260">
        <v>141.81</v>
      </c>
      <c r="K260" s="1">
        <v>46228</v>
      </c>
      <c r="L260" t="s">
        <v>14</v>
      </c>
      <c r="M260">
        <v>25</v>
      </c>
      <c r="N260">
        <v>7</v>
      </c>
      <c r="O260">
        <v>3</v>
      </c>
      <c r="P260">
        <v>2026</v>
      </c>
    </row>
    <row r="261" spans="1:16">
      <c r="A261">
        <v>38.380000000000003</v>
      </c>
      <c r="B261">
        <v>2</v>
      </c>
      <c r="C261" t="s">
        <v>2722</v>
      </c>
      <c r="D261" t="s">
        <v>2723</v>
      </c>
      <c r="E261" t="s">
        <v>1440</v>
      </c>
      <c r="F261" t="s">
        <v>380</v>
      </c>
      <c r="G261" t="s">
        <v>776</v>
      </c>
      <c r="H261" t="s">
        <v>71</v>
      </c>
      <c r="I261" t="s">
        <v>23</v>
      </c>
      <c r="J261">
        <v>19.190000000000001</v>
      </c>
      <c r="K261" s="1">
        <v>46206</v>
      </c>
      <c r="L261" t="s">
        <v>79</v>
      </c>
      <c r="M261">
        <v>3</v>
      </c>
      <c r="N261">
        <v>7</v>
      </c>
      <c r="O261">
        <v>3</v>
      </c>
      <c r="P261">
        <v>2026</v>
      </c>
    </row>
    <row r="262" spans="1:16">
      <c r="A262">
        <v>128.72</v>
      </c>
      <c r="B262">
        <v>1</v>
      </c>
      <c r="C262" t="s">
        <v>1819</v>
      </c>
      <c r="D262" t="s">
        <v>1820</v>
      </c>
      <c r="E262" t="s">
        <v>1821</v>
      </c>
      <c r="F262" t="s">
        <v>1199</v>
      </c>
      <c r="G262" t="s">
        <v>839</v>
      </c>
      <c r="H262" t="s">
        <v>693</v>
      </c>
      <c r="I262" t="s">
        <v>46</v>
      </c>
      <c r="J262">
        <v>128.72</v>
      </c>
      <c r="K262" s="1">
        <v>45993</v>
      </c>
      <c r="L262" t="s">
        <v>48</v>
      </c>
      <c r="M262">
        <v>2</v>
      </c>
      <c r="N262">
        <v>12</v>
      </c>
      <c r="O262">
        <v>4</v>
      </c>
      <c r="P262">
        <v>2025</v>
      </c>
    </row>
    <row r="263" spans="1:16">
      <c r="A263">
        <v>27.44</v>
      </c>
      <c r="B263">
        <v>1</v>
      </c>
      <c r="C263" t="s">
        <v>982</v>
      </c>
      <c r="D263" t="s">
        <v>983</v>
      </c>
      <c r="E263" t="s">
        <v>984</v>
      </c>
      <c r="F263" t="s">
        <v>985</v>
      </c>
      <c r="G263" t="s">
        <v>817</v>
      </c>
      <c r="H263" t="s">
        <v>722</v>
      </c>
      <c r="I263" t="s">
        <v>37</v>
      </c>
      <c r="J263">
        <v>27.44</v>
      </c>
      <c r="K263" s="1">
        <v>46055</v>
      </c>
      <c r="L263" t="s">
        <v>93</v>
      </c>
      <c r="M263">
        <v>2</v>
      </c>
      <c r="N263">
        <v>2</v>
      </c>
      <c r="O263">
        <v>1</v>
      </c>
      <c r="P263">
        <v>2026</v>
      </c>
    </row>
    <row r="264" spans="1:16">
      <c r="A264">
        <v>1016.85</v>
      </c>
      <c r="B264">
        <v>5</v>
      </c>
      <c r="C264" t="s">
        <v>1460</v>
      </c>
      <c r="D264" t="s">
        <v>1461</v>
      </c>
      <c r="E264" t="s">
        <v>1462</v>
      </c>
      <c r="F264" t="s">
        <v>961</v>
      </c>
      <c r="G264" t="s">
        <v>753</v>
      </c>
      <c r="H264" t="s">
        <v>228</v>
      </c>
      <c r="I264" t="s">
        <v>23</v>
      </c>
      <c r="J264">
        <v>203.37</v>
      </c>
      <c r="K264" s="1">
        <v>45657</v>
      </c>
      <c r="L264" t="s">
        <v>48</v>
      </c>
      <c r="M264">
        <v>31</v>
      </c>
      <c r="N264">
        <v>12</v>
      </c>
      <c r="O264">
        <v>4</v>
      </c>
      <c r="P264">
        <v>2024</v>
      </c>
    </row>
    <row r="265" spans="1:16">
      <c r="A265">
        <v>420.38</v>
      </c>
      <c r="B265">
        <v>2</v>
      </c>
      <c r="C265" t="s">
        <v>3177</v>
      </c>
      <c r="D265" t="s">
        <v>3178</v>
      </c>
      <c r="E265" t="s">
        <v>1162</v>
      </c>
      <c r="F265" t="s">
        <v>1359</v>
      </c>
      <c r="G265" t="s">
        <v>768</v>
      </c>
      <c r="H265" t="s">
        <v>157</v>
      </c>
      <c r="I265" t="s">
        <v>19</v>
      </c>
      <c r="J265">
        <v>210.19</v>
      </c>
      <c r="K265" s="1">
        <v>46268</v>
      </c>
      <c r="L265" t="s">
        <v>105</v>
      </c>
      <c r="M265">
        <v>3</v>
      </c>
      <c r="N265">
        <v>9</v>
      </c>
      <c r="O265">
        <v>3</v>
      </c>
      <c r="P265">
        <v>2026</v>
      </c>
    </row>
    <row r="266" spans="1:16">
      <c r="A266">
        <v>182.73</v>
      </c>
      <c r="B266">
        <v>3</v>
      </c>
      <c r="C266" t="s">
        <v>2936</v>
      </c>
      <c r="D266" t="s">
        <v>2937</v>
      </c>
      <c r="E266" t="s">
        <v>1035</v>
      </c>
      <c r="F266" t="s">
        <v>1395</v>
      </c>
      <c r="G266" t="s">
        <v>776</v>
      </c>
      <c r="H266" t="s">
        <v>550</v>
      </c>
      <c r="I266" t="s">
        <v>55</v>
      </c>
      <c r="J266">
        <v>60.91</v>
      </c>
      <c r="K266" s="1">
        <v>45985</v>
      </c>
      <c r="L266" t="s">
        <v>93</v>
      </c>
      <c r="M266">
        <v>24</v>
      </c>
      <c r="N266">
        <v>11</v>
      </c>
      <c r="O266">
        <v>4</v>
      </c>
      <c r="P266">
        <v>2025</v>
      </c>
    </row>
    <row r="267" spans="1:16">
      <c r="A267">
        <v>465.68</v>
      </c>
      <c r="B267">
        <v>4</v>
      </c>
      <c r="C267" t="s">
        <v>1554</v>
      </c>
      <c r="D267" t="s">
        <v>1555</v>
      </c>
      <c r="E267" t="s">
        <v>1556</v>
      </c>
      <c r="F267" t="s">
        <v>49</v>
      </c>
      <c r="G267" t="s">
        <v>807</v>
      </c>
      <c r="H267" t="s">
        <v>91</v>
      </c>
      <c r="I267" t="s">
        <v>55</v>
      </c>
      <c r="J267">
        <v>116.42</v>
      </c>
      <c r="K267" s="1">
        <v>45891</v>
      </c>
      <c r="L267" t="s">
        <v>79</v>
      </c>
      <c r="M267">
        <v>22</v>
      </c>
      <c r="N267">
        <v>8</v>
      </c>
      <c r="O267">
        <v>3</v>
      </c>
      <c r="P267">
        <v>2025</v>
      </c>
    </row>
    <row r="268" spans="1:16">
      <c r="A268">
        <v>22.92</v>
      </c>
      <c r="B268">
        <v>4</v>
      </c>
      <c r="C268" t="s">
        <v>850</v>
      </c>
      <c r="D268" t="s">
        <v>851</v>
      </c>
      <c r="E268" t="s">
        <v>852</v>
      </c>
      <c r="F268" t="s">
        <v>853</v>
      </c>
      <c r="G268" t="s">
        <v>854</v>
      </c>
      <c r="H268" t="s">
        <v>407</v>
      </c>
      <c r="I268" t="s">
        <v>21</v>
      </c>
      <c r="J268">
        <v>5.73</v>
      </c>
      <c r="K268" s="1">
        <v>45853</v>
      </c>
      <c r="L268" t="s">
        <v>48</v>
      </c>
      <c r="M268">
        <v>15</v>
      </c>
      <c r="N268">
        <v>7</v>
      </c>
      <c r="O268">
        <v>3</v>
      </c>
      <c r="P268">
        <v>2025</v>
      </c>
    </row>
    <row r="269" spans="1:16">
      <c r="A269">
        <v>77.58</v>
      </c>
      <c r="B269">
        <v>3</v>
      </c>
      <c r="C269" t="s">
        <v>3464</v>
      </c>
      <c r="D269" t="s">
        <v>3465</v>
      </c>
      <c r="E269" t="s">
        <v>2338</v>
      </c>
      <c r="F269" t="s">
        <v>919</v>
      </c>
      <c r="G269" t="s">
        <v>786</v>
      </c>
      <c r="H269" t="s">
        <v>282</v>
      </c>
      <c r="I269" t="s">
        <v>21</v>
      </c>
      <c r="J269">
        <v>25.86</v>
      </c>
      <c r="K269" s="1">
        <v>46143</v>
      </c>
      <c r="L269" t="s">
        <v>79</v>
      </c>
      <c r="M269">
        <v>1</v>
      </c>
      <c r="N269">
        <v>5</v>
      </c>
      <c r="O269">
        <v>2</v>
      </c>
      <c r="P269">
        <v>2026</v>
      </c>
    </row>
    <row r="270" spans="1:16">
      <c r="A270">
        <v>481.29</v>
      </c>
      <c r="B270">
        <v>3</v>
      </c>
      <c r="C270" t="s">
        <v>1478</v>
      </c>
      <c r="D270" t="s">
        <v>1479</v>
      </c>
      <c r="E270" t="s">
        <v>1263</v>
      </c>
      <c r="F270" t="s">
        <v>1395</v>
      </c>
      <c r="G270" t="s">
        <v>776</v>
      </c>
      <c r="H270" t="s">
        <v>424</v>
      </c>
      <c r="I270" t="s">
        <v>69</v>
      </c>
      <c r="J270">
        <v>160.43</v>
      </c>
      <c r="K270" s="1">
        <v>45697</v>
      </c>
      <c r="L270" t="s">
        <v>28</v>
      </c>
      <c r="M270">
        <v>9</v>
      </c>
      <c r="N270">
        <v>2</v>
      </c>
      <c r="O270">
        <v>1</v>
      </c>
      <c r="P270">
        <v>2025</v>
      </c>
    </row>
    <row r="271" spans="1:16">
      <c r="A271">
        <v>344.45</v>
      </c>
      <c r="B271">
        <v>5</v>
      </c>
      <c r="C271" t="s">
        <v>2211</v>
      </c>
      <c r="D271" t="s">
        <v>2212</v>
      </c>
      <c r="E271" t="s">
        <v>1298</v>
      </c>
      <c r="F271" t="s">
        <v>862</v>
      </c>
      <c r="G271" t="s">
        <v>807</v>
      </c>
      <c r="H271" t="s">
        <v>606</v>
      </c>
      <c r="I271" t="s">
        <v>82</v>
      </c>
      <c r="J271">
        <v>68.89</v>
      </c>
      <c r="K271" s="1">
        <v>45689</v>
      </c>
      <c r="L271" t="s">
        <v>14</v>
      </c>
      <c r="M271">
        <v>1</v>
      </c>
      <c r="N271">
        <v>2</v>
      </c>
      <c r="O271">
        <v>1</v>
      </c>
      <c r="P271">
        <v>2025</v>
      </c>
    </row>
    <row r="272" spans="1:16">
      <c r="A272">
        <v>60.12</v>
      </c>
      <c r="B272">
        <v>4</v>
      </c>
      <c r="C272" t="s">
        <v>3339</v>
      </c>
      <c r="D272" t="s">
        <v>3340</v>
      </c>
      <c r="E272" t="s">
        <v>3341</v>
      </c>
      <c r="F272" t="s">
        <v>328</v>
      </c>
      <c r="G272" t="s">
        <v>1003</v>
      </c>
      <c r="H272" t="s">
        <v>523</v>
      </c>
      <c r="I272" t="s">
        <v>23</v>
      </c>
      <c r="J272">
        <v>15.03</v>
      </c>
      <c r="K272" s="1">
        <v>45600</v>
      </c>
      <c r="L272" t="s">
        <v>93</v>
      </c>
      <c r="M272">
        <v>4</v>
      </c>
      <c r="N272">
        <v>11</v>
      </c>
      <c r="O272">
        <v>4</v>
      </c>
      <c r="P272">
        <v>2024</v>
      </c>
    </row>
    <row r="273" spans="1:16">
      <c r="A273">
        <v>60.91</v>
      </c>
      <c r="B273">
        <v>1</v>
      </c>
      <c r="C273" t="s">
        <v>886</v>
      </c>
      <c r="D273" t="s">
        <v>887</v>
      </c>
      <c r="E273" t="s">
        <v>888</v>
      </c>
      <c r="F273" t="s">
        <v>806</v>
      </c>
      <c r="G273" t="s">
        <v>807</v>
      </c>
      <c r="H273" t="s">
        <v>550</v>
      </c>
      <c r="I273" t="s">
        <v>55</v>
      </c>
      <c r="J273">
        <v>60.91</v>
      </c>
      <c r="K273" s="1">
        <v>46212</v>
      </c>
      <c r="L273" t="s">
        <v>105</v>
      </c>
      <c r="M273">
        <v>9</v>
      </c>
      <c r="N273">
        <v>7</v>
      </c>
      <c r="O273">
        <v>3</v>
      </c>
      <c r="P273">
        <v>2026</v>
      </c>
    </row>
    <row r="274" spans="1:16">
      <c r="A274">
        <v>117.44</v>
      </c>
      <c r="B274">
        <v>1</v>
      </c>
      <c r="C274" t="s">
        <v>1814</v>
      </c>
      <c r="D274" t="s">
        <v>1815</v>
      </c>
      <c r="E274" t="s">
        <v>824</v>
      </c>
      <c r="F274" t="s">
        <v>757</v>
      </c>
      <c r="G274" t="s">
        <v>758</v>
      </c>
      <c r="H274" t="s">
        <v>419</v>
      </c>
      <c r="I274" t="s">
        <v>39</v>
      </c>
      <c r="J274">
        <v>117.44</v>
      </c>
      <c r="K274" s="1">
        <v>46074</v>
      </c>
      <c r="L274" t="s">
        <v>14</v>
      </c>
      <c r="M274">
        <v>21</v>
      </c>
      <c r="N274">
        <v>2</v>
      </c>
      <c r="O274">
        <v>1</v>
      </c>
      <c r="P274">
        <v>2026</v>
      </c>
    </row>
    <row r="275" spans="1:16">
      <c r="A275">
        <v>360.12</v>
      </c>
      <c r="B275">
        <v>4</v>
      </c>
      <c r="C275" t="s">
        <v>930</v>
      </c>
      <c r="D275" t="s">
        <v>931</v>
      </c>
      <c r="E275" t="s">
        <v>932</v>
      </c>
      <c r="F275" t="s">
        <v>280</v>
      </c>
      <c r="G275" t="s">
        <v>812</v>
      </c>
      <c r="H275" t="s">
        <v>442</v>
      </c>
      <c r="I275" t="s">
        <v>100</v>
      </c>
      <c r="J275">
        <v>90.03</v>
      </c>
      <c r="K275" s="1">
        <v>45655</v>
      </c>
      <c r="L275" t="s">
        <v>28</v>
      </c>
      <c r="M275">
        <v>29</v>
      </c>
      <c r="N275">
        <v>12</v>
      </c>
      <c r="O275">
        <v>4</v>
      </c>
      <c r="P275">
        <v>2024</v>
      </c>
    </row>
    <row r="276" spans="1:16">
      <c r="A276">
        <v>544.04999999999995</v>
      </c>
      <c r="B276">
        <v>5</v>
      </c>
      <c r="C276" t="s">
        <v>2142</v>
      </c>
      <c r="D276" t="s">
        <v>2143</v>
      </c>
      <c r="E276" t="s">
        <v>2007</v>
      </c>
      <c r="F276" t="s">
        <v>1017</v>
      </c>
      <c r="G276" t="s">
        <v>966</v>
      </c>
      <c r="H276" t="s">
        <v>453</v>
      </c>
      <c r="I276" t="s">
        <v>55</v>
      </c>
      <c r="J276">
        <v>108.81</v>
      </c>
      <c r="K276" s="1">
        <v>45785</v>
      </c>
      <c r="L276" t="s">
        <v>105</v>
      </c>
      <c r="M276">
        <v>8</v>
      </c>
      <c r="N276">
        <v>5</v>
      </c>
      <c r="O276">
        <v>2</v>
      </c>
      <c r="P276">
        <v>2025</v>
      </c>
    </row>
    <row r="277" spans="1:16">
      <c r="A277">
        <v>512.67999999999995</v>
      </c>
      <c r="B277">
        <v>4</v>
      </c>
      <c r="C277" t="s">
        <v>1419</v>
      </c>
      <c r="D277" t="s">
        <v>1420</v>
      </c>
      <c r="E277" t="s">
        <v>891</v>
      </c>
      <c r="F277" t="s">
        <v>1421</v>
      </c>
      <c r="G277" t="s">
        <v>776</v>
      </c>
      <c r="H277" t="s">
        <v>487</v>
      </c>
      <c r="I277" t="s">
        <v>19</v>
      </c>
      <c r="J277">
        <v>128.16999999999999</v>
      </c>
      <c r="K277" s="1">
        <v>45980</v>
      </c>
      <c r="L277" t="s">
        <v>34</v>
      </c>
      <c r="M277">
        <v>19</v>
      </c>
      <c r="N277">
        <v>11</v>
      </c>
      <c r="O277">
        <v>4</v>
      </c>
      <c r="P277">
        <v>2025</v>
      </c>
    </row>
    <row r="278" spans="1:16">
      <c r="A278">
        <v>509.52</v>
      </c>
      <c r="B278">
        <v>4</v>
      </c>
      <c r="C278" t="s">
        <v>1214</v>
      </c>
      <c r="D278" t="s">
        <v>1215</v>
      </c>
      <c r="E278" t="s">
        <v>1216</v>
      </c>
      <c r="F278" t="s">
        <v>199</v>
      </c>
      <c r="G278" t="s">
        <v>781</v>
      </c>
      <c r="H278" t="s">
        <v>1217</v>
      </c>
      <c r="I278" t="s">
        <v>122</v>
      </c>
      <c r="J278">
        <v>127.38</v>
      </c>
      <c r="K278" s="1">
        <v>46173</v>
      </c>
      <c r="L278" t="s">
        <v>28</v>
      </c>
      <c r="M278">
        <v>31</v>
      </c>
      <c r="N278">
        <v>5</v>
      </c>
      <c r="O278">
        <v>2</v>
      </c>
      <c r="P278">
        <v>2026</v>
      </c>
    </row>
    <row r="279" spans="1:16">
      <c r="A279">
        <v>322.04000000000002</v>
      </c>
      <c r="B279">
        <v>2</v>
      </c>
      <c r="C279" t="s">
        <v>2159</v>
      </c>
      <c r="D279" t="s">
        <v>2160</v>
      </c>
      <c r="E279" t="s">
        <v>1559</v>
      </c>
      <c r="F279" t="s">
        <v>919</v>
      </c>
      <c r="G279" t="s">
        <v>786</v>
      </c>
      <c r="H279" t="s">
        <v>544</v>
      </c>
      <c r="I279" t="s">
        <v>46</v>
      </c>
      <c r="J279">
        <v>161.02000000000001</v>
      </c>
      <c r="K279" s="1">
        <v>46036</v>
      </c>
      <c r="L279" t="s">
        <v>34</v>
      </c>
      <c r="M279">
        <v>14</v>
      </c>
      <c r="N279">
        <v>1</v>
      </c>
      <c r="O279">
        <v>1</v>
      </c>
      <c r="P279">
        <v>2026</v>
      </c>
    </row>
    <row r="280" spans="1:16">
      <c r="A280">
        <v>240.96</v>
      </c>
      <c r="B280">
        <v>1</v>
      </c>
      <c r="C280" t="s">
        <v>1557</v>
      </c>
      <c r="D280" t="s">
        <v>1558</v>
      </c>
      <c r="E280" t="s">
        <v>1559</v>
      </c>
      <c r="F280" t="s">
        <v>635</v>
      </c>
      <c r="G280" t="s">
        <v>768</v>
      </c>
      <c r="H280" t="s">
        <v>357</v>
      </c>
      <c r="I280" t="s">
        <v>39</v>
      </c>
      <c r="J280">
        <v>240.96</v>
      </c>
      <c r="K280" s="1">
        <v>45949</v>
      </c>
      <c r="L280" t="s">
        <v>28</v>
      </c>
      <c r="M280">
        <v>19</v>
      </c>
      <c r="N280">
        <v>10</v>
      </c>
      <c r="O280">
        <v>4</v>
      </c>
      <c r="P280">
        <v>2025</v>
      </c>
    </row>
    <row r="281" spans="1:16">
      <c r="A281">
        <v>335.58</v>
      </c>
      <c r="B281">
        <v>3</v>
      </c>
      <c r="C281" t="s">
        <v>1448</v>
      </c>
      <c r="D281" t="s">
        <v>1449</v>
      </c>
      <c r="E281" t="s">
        <v>1050</v>
      </c>
      <c r="F281" t="s">
        <v>806</v>
      </c>
      <c r="G281" t="s">
        <v>807</v>
      </c>
      <c r="H281" t="s">
        <v>432</v>
      </c>
      <c r="I281" t="s">
        <v>46</v>
      </c>
      <c r="J281">
        <v>111.86</v>
      </c>
      <c r="K281" s="1">
        <v>46251</v>
      </c>
      <c r="L281" t="s">
        <v>93</v>
      </c>
      <c r="M281">
        <v>17</v>
      </c>
      <c r="N281">
        <v>8</v>
      </c>
      <c r="O281">
        <v>3</v>
      </c>
      <c r="P281">
        <v>2026</v>
      </c>
    </row>
    <row r="282" spans="1:16">
      <c r="A282">
        <v>230.54</v>
      </c>
      <c r="B282">
        <v>2</v>
      </c>
      <c r="C282" t="s">
        <v>3248</v>
      </c>
      <c r="D282" t="s">
        <v>3249</v>
      </c>
      <c r="E282" t="s">
        <v>1263</v>
      </c>
      <c r="F282" t="s">
        <v>862</v>
      </c>
      <c r="G282" t="s">
        <v>758</v>
      </c>
      <c r="H282" t="s">
        <v>198</v>
      </c>
      <c r="I282" t="s">
        <v>43</v>
      </c>
      <c r="J282">
        <v>115.27</v>
      </c>
      <c r="K282" s="1">
        <v>46093</v>
      </c>
      <c r="L282" t="s">
        <v>105</v>
      </c>
      <c r="M282">
        <v>12</v>
      </c>
      <c r="N282">
        <v>3</v>
      </c>
      <c r="O282">
        <v>1</v>
      </c>
      <c r="P282">
        <v>2026</v>
      </c>
    </row>
    <row r="283" spans="1:16">
      <c r="A283">
        <v>81.960000000000008</v>
      </c>
      <c r="B283">
        <v>3</v>
      </c>
      <c r="C283" t="s">
        <v>1368</v>
      </c>
      <c r="D283" t="s">
        <v>1369</v>
      </c>
      <c r="E283" t="s">
        <v>1370</v>
      </c>
      <c r="F283" t="s">
        <v>1371</v>
      </c>
      <c r="G283" t="s">
        <v>786</v>
      </c>
      <c r="H283" t="s">
        <v>423</v>
      </c>
      <c r="I283" t="s">
        <v>37</v>
      </c>
      <c r="J283">
        <v>27.32</v>
      </c>
      <c r="K283" s="1">
        <v>46007</v>
      </c>
      <c r="L283" t="s">
        <v>48</v>
      </c>
      <c r="M283">
        <v>16</v>
      </c>
      <c r="N283">
        <v>12</v>
      </c>
      <c r="O283">
        <v>4</v>
      </c>
      <c r="P283">
        <v>2025</v>
      </c>
    </row>
    <row r="284" spans="1:16">
      <c r="A284">
        <v>79.25</v>
      </c>
      <c r="B284">
        <v>1</v>
      </c>
      <c r="C284" t="s">
        <v>1789</v>
      </c>
      <c r="D284" t="s">
        <v>1790</v>
      </c>
      <c r="E284" t="s">
        <v>1791</v>
      </c>
      <c r="F284" t="s">
        <v>1630</v>
      </c>
      <c r="G284" t="s">
        <v>763</v>
      </c>
      <c r="H284" t="s">
        <v>253</v>
      </c>
      <c r="I284" t="s">
        <v>23</v>
      </c>
      <c r="J284">
        <v>79.25</v>
      </c>
      <c r="K284" s="1">
        <v>46101</v>
      </c>
      <c r="L284" t="s">
        <v>79</v>
      </c>
      <c r="M284">
        <v>20</v>
      </c>
      <c r="N284">
        <v>3</v>
      </c>
      <c r="O284">
        <v>1</v>
      </c>
      <c r="P284">
        <v>2026</v>
      </c>
    </row>
    <row r="285" spans="1:16">
      <c r="A285">
        <v>296.56</v>
      </c>
      <c r="B285">
        <v>2</v>
      </c>
      <c r="C285" t="s">
        <v>1023</v>
      </c>
      <c r="D285" t="s">
        <v>1024</v>
      </c>
      <c r="E285" t="s">
        <v>1025</v>
      </c>
      <c r="F285" t="s">
        <v>1026</v>
      </c>
      <c r="G285" t="s">
        <v>896</v>
      </c>
      <c r="H285" t="s">
        <v>568</v>
      </c>
      <c r="I285" t="s">
        <v>51</v>
      </c>
      <c r="J285">
        <v>148.28</v>
      </c>
      <c r="K285" s="1">
        <v>45669</v>
      </c>
      <c r="L285" t="s">
        <v>28</v>
      </c>
      <c r="M285">
        <v>12</v>
      </c>
      <c r="N285">
        <v>1</v>
      </c>
      <c r="O285">
        <v>1</v>
      </c>
      <c r="P285">
        <v>2025</v>
      </c>
    </row>
    <row r="286" spans="1:16">
      <c r="A286">
        <v>75.88</v>
      </c>
      <c r="B286">
        <v>2</v>
      </c>
      <c r="C286" t="s">
        <v>1108</v>
      </c>
      <c r="D286" t="s">
        <v>1109</v>
      </c>
      <c r="E286" t="s">
        <v>1110</v>
      </c>
      <c r="F286" t="s">
        <v>1111</v>
      </c>
      <c r="G286" t="s">
        <v>981</v>
      </c>
      <c r="H286" t="s">
        <v>73</v>
      </c>
      <c r="I286" t="s">
        <v>39</v>
      </c>
      <c r="J286">
        <v>37.94</v>
      </c>
      <c r="K286" s="1">
        <v>46271</v>
      </c>
      <c r="L286" t="s">
        <v>28</v>
      </c>
      <c r="M286">
        <v>6</v>
      </c>
      <c r="N286">
        <v>9</v>
      </c>
      <c r="O286">
        <v>3</v>
      </c>
      <c r="P286">
        <v>2026</v>
      </c>
    </row>
    <row r="287" spans="1:16">
      <c r="A287">
        <v>69.510000000000005</v>
      </c>
      <c r="B287">
        <v>3</v>
      </c>
      <c r="C287" t="s">
        <v>2963</v>
      </c>
      <c r="D287" t="s">
        <v>2964</v>
      </c>
      <c r="E287" t="s">
        <v>1286</v>
      </c>
      <c r="F287" t="s">
        <v>1199</v>
      </c>
      <c r="G287" t="s">
        <v>839</v>
      </c>
      <c r="H287" t="s">
        <v>726</v>
      </c>
      <c r="I287" t="s">
        <v>100</v>
      </c>
      <c r="J287">
        <v>23.17</v>
      </c>
      <c r="K287" s="1">
        <v>45691</v>
      </c>
      <c r="L287" t="s">
        <v>93</v>
      </c>
      <c r="M287">
        <v>3</v>
      </c>
      <c r="N287">
        <v>2</v>
      </c>
      <c r="O287">
        <v>1</v>
      </c>
      <c r="P287">
        <v>2025</v>
      </c>
    </row>
    <row r="288" spans="1:16">
      <c r="A288">
        <v>386.15999999999997</v>
      </c>
      <c r="B288">
        <v>3</v>
      </c>
      <c r="C288" t="s">
        <v>2049</v>
      </c>
      <c r="D288" t="s">
        <v>2050</v>
      </c>
      <c r="E288" t="s">
        <v>2013</v>
      </c>
      <c r="F288" t="s">
        <v>1600</v>
      </c>
      <c r="G288" t="s">
        <v>768</v>
      </c>
      <c r="H288" t="s">
        <v>693</v>
      </c>
      <c r="I288" t="s">
        <v>46</v>
      </c>
      <c r="J288">
        <v>128.72</v>
      </c>
      <c r="K288" s="1">
        <v>46276</v>
      </c>
      <c r="L288" t="s">
        <v>79</v>
      </c>
      <c r="M288">
        <v>11</v>
      </c>
      <c r="N288">
        <v>9</v>
      </c>
      <c r="O288">
        <v>3</v>
      </c>
      <c r="P288">
        <v>2026</v>
      </c>
    </row>
    <row r="289" spans="1:16">
      <c r="A289">
        <v>844.6</v>
      </c>
      <c r="B289">
        <v>4</v>
      </c>
      <c r="C289" t="s">
        <v>2516</v>
      </c>
      <c r="D289" t="s">
        <v>2517</v>
      </c>
      <c r="E289" t="s">
        <v>1793</v>
      </c>
      <c r="F289" t="s">
        <v>106</v>
      </c>
      <c r="G289" t="s">
        <v>896</v>
      </c>
      <c r="H289" t="s">
        <v>221</v>
      </c>
      <c r="I289" t="s">
        <v>60</v>
      </c>
      <c r="J289">
        <v>211.15</v>
      </c>
      <c r="K289" s="1">
        <v>45990</v>
      </c>
      <c r="L289" t="s">
        <v>14</v>
      </c>
      <c r="M289">
        <v>29</v>
      </c>
      <c r="N289">
        <v>11</v>
      </c>
      <c r="O289">
        <v>4</v>
      </c>
      <c r="P289">
        <v>2025</v>
      </c>
    </row>
    <row r="290" spans="1:16">
      <c r="A290">
        <v>818.2</v>
      </c>
      <c r="B290">
        <v>4</v>
      </c>
      <c r="C290" t="s">
        <v>1184</v>
      </c>
      <c r="D290" t="s">
        <v>1185</v>
      </c>
      <c r="E290" t="s">
        <v>994</v>
      </c>
      <c r="F290" t="s">
        <v>915</v>
      </c>
      <c r="G290" t="s">
        <v>908</v>
      </c>
      <c r="H290" t="s">
        <v>323</v>
      </c>
      <c r="I290" t="s">
        <v>100</v>
      </c>
      <c r="J290">
        <v>204.55</v>
      </c>
      <c r="K290" s="1">
        <v>46050</v>
      </c>
      <c r="L290" t="s">
        <v>34</v>
      </c>
      <c r="M290">
        <v>28</v>
      </c>
      <c r="N290">
        <v>1</v>
      </c>
      <c r="O290">
        <v>1</v>
      </c>
      <c r="P290">
        <v>2026</v>
      </c>
    </row>
    <row r="291" spans="1:16">
      <c r="A291">
        <v>749.36</v>
      </c>
      <c r="B291">
        <v>4</v>
      </c>
      <c r="C291" t="s">
        <v>944</v>
      </c>
      <c r="D291" t="s">
        <v>945</v>
      </c>
      <c r="E291" t="s">
        <v>946</v>
      </c>
      <c r="F291" t="s">
        <v>199</v>
      </c>
      <c r="G291" t="s">
        <v>781</v>
      </c>
      <c r="H291" t="s">
        <v>241</v>
      </c>
      <c r="I291" t="s">
        <v>31</v>
      </c>
      <c r="J291">
        <v>187.34</v>
      </c>
      <c r="K291" s="1">
        <v>45821</v>
      </c>
      <c r="L291" t="s">
        <v>79</v>
      </c>
      <c r="M291">
        <v>13</v>
      </c>
      <c r="N291">
        <v>6</v>
      </c>
      <c r="O291">
        <v>2</v>
      </c>
      <c r="P291">
        <v>2025</v>
      </c>
    </row>
    <row r="292" spans="1:16">
      <c r="A292">
        <v>70.319999999999993</v>
      </c>
      <c r="B292">
        <v>4</v>
      </c>
      <c r="C292" t="s">
        <v>1832</v>
      </c>
      <c r="D292" t="s">
        <v>1833</v>
      </c>
      <c r="E292" t="s">
        <v>1358</v>
      </c>
      <c r="F292" t="s">
        <v>825</v>
      </c>
      <c r="G292" t="s">
        <v>781</v>
      </c>
      <c r="H292" t="s">
        <v>469</v>
      </c>
      <c r="I292" t="s">
        <v>46</v>
      </c>
      <c r="J292">
        <v>17.579999999999998</v>
      </c>
      <c r="K292" s="1">
        <v>45820</v>
      </c>
      <c r="L292" t="s">
        <v>105</v>
      </c>
      <c r="M292">
        <v>12</v>
      </c>
      <c r="N292">
        <v>6</v>
      </c>
      <c r="O292">
        <v>2</v>
      </c>
      <c r="P292">
        <v>2025</v>
      </c>
    </row>
    <row r="293" spans="1:16">
      <c r="A293">
        <v>52.28</v>
      </c>
      <c r="B293">
        <v>1</v>
      </c>
      <c r="C293" t="s">
        <v>2905</v>
      </c>
      <c r="D293" t="s">
        <v>2906</v>
      </c>
      <c r="E293" t="s">
        <v>1338</v>
      </c>
      <c r="F293" t="s">
        <v>1550</v>
      </c>
      <c r="G293" t="s">
        <v>776</v>
      </c>
      <c r="H293" t="s">
        <v>412</v>
      </c>
      <c r="I293" t="s">
        <v>27</v>
      </c>
      <c r="J293">
        <v>52.28</v>
      </c>
      <c r="K293" s="1">
        <v>45763</v>
      </c>
      <c r="L293" t="s">
        <v>34</v>
      </c>
      <c r="M293">
        <v>16</v>
      </c>
      <c r="N293">
        <v>4</v>
      </c>
      <c r="O293">
        <v>2</v>
      </c>
      <c r="P293">
        <v>2025</v>
      </c>
    </row>
    <row r="294" spans="1:16">
      <c r="A294">
        <v>44.52</v>
      </c>
      <c r="B294">
        <v>4</v>
      </c>
      <c r="C294" t="s">
        <v>2076</v>
      </c>
      <c r="D294" t="s">
        <v>2077</v>
      </c>
      <c r="E294" t="s">
        <v>2078</v>
      </c>
      <c r="F294" t="s">
        <v>1920</v>
      </c>
      <c r="G294" t="s">
        <v>807</v>
      </c>
      <c r="H294" t="s">
        <v>42</v>
      </c>
      <c r="I294" t="s">
        <v>43</v>
      </c>
      <c r="J294">
        <v>11.13</v>
      </c>
      <c r="K294" s="1">
        <v>46022</v>
      </c>
      <c r="L294" t="s">
        <v>34</v>
      </c>
      <c r="M294">
        <v>31</v>
      </c>
      <c r="N294">
        <v>12</v>
      </c>
      <c r="O294">
        <v>4</v>
      </c>
      <c r="P294">
        <v>2025</v>
      </c>
    </row>
    <row r="295" spans="1:16">
      <c r="A295">
        <v>172.89</v>
      </c>
      <c r="B295">
        <v>1</v>
      </c>
      <c r="C295" t="s">
        <v>2520</v>
      </c>
      <c r="D295" t="s">
        <v>2521</v>
      </c>
      <c r="E295" t="s">
        <v>2522</v>
      </c>
      <c r="F295" t="s">
        <v>1054</v>
      </c>
      <c r="G295" t="s">
        <v>892</v>
      </c>
      <c r="H295" t="s">
        <v>2166</v>
      </c>
      <c r="I295" t="s">
        <v>21</v>
      </c>
      <c r="J295">
        <v>172.89</v>
      </c>
      <c r="K295" s="1">
        <v>46131</v>
      </c>
      <c r="L295" t="s">
        <v>28</v>
      </c>
      <c r="M295">
        <v>19</v>
      </c>
      <c r="N295">
        <v>4</v>
      </c>
      <c r="O295">
        <v>2</v>
      </c>
      <c r="P295">
        <v>2026</v>
      </c>
    </row>
    <row r="296" spans="1:16">
      <c r="A296">
        <v>129.72999999999999</v>
      </c>
      <c r="B296">
        <v>1</v>
      </c>
      <c r="C296" t="s">
        <v>2928</v>
      </c>
      <c r="D296" t="s">
        <v>2929</v>
      </c>
      <c r="E296" t="s">
        <v>2354</v>
      </c>
      <c r="F296" t="s">
        <v>843</v>
      </c>
      <c r="G296" t="s">
        <v>753</v>
      </c>
      <c r="H296" t="s">
        <v>20</v>
      </c>
      <c r="I296" t="s">
        <v>21</v>
      </c>
      <c r="J296">
        <v>129.72999999999999</v>
      </c>
      <c r="K296" s="1">
        <v>45632</v>
      </c>
      <c r="L296" t="s">
        <v>79</v>
      </c>
      <c r="M296">
        <v>6</v>
      </c>
      <c r="N296">
        <v>12</v>
      </c>
      <c r="O296">
        <v>4</v>
      </c>
      <c r="P296">
        <v>2024</v>
      </c>
    </row>
    <row r="297" spans="1:16">
      <c r="A297">
        <v>671.46</v>
      </c>
      <c r="B297">
        <v>3</v>
      </c>
      <c r="C297" t="s">
        <v>2832</v>
      </c>
      <c r="D297" t="s">
        <v>2833</v>
      </c>
      <c r="E297" t="s">
        <v>973</v>
      </c>
      <c r="F297" t="s">
        <v>794</v>
      </c>
      <c r="G297" t="s">
        <v>795</v>
      </c>
      <c r="H297" t="s">
        <v>588</v>
      </c>
      <c r="I297" t="s">
        <v>82</v>
      </c>
      <c r="J297">
        <v>223.82</v>
      </c>
      <c r="K297" s="1">
        <v>45714</v>
      </c>
      <c r="L297" t="s">
        <v>34</v>
      </c>
      <c r="M297">
        <v>26</v>
      </c>
      <c r="N297">
        <v>2</v>
      </c>
      <c r="O297">
        <v>1</v>
      </c>
      <c r="P297">
        <v>2025</v>
      </c>
    </row>
    <row r="298" spans="1:16">
      <c r="A298">
        <v>499.15</v>
      </c>
      <c r="B298">
        <v>5</v>
      </c>
      <c r="C298" t="s">
        <v>939</v>
      </c>
      <c r="D298" t="s">
        <v>940</v>
      </c>
      <c r="E298" t="s">
        <v>941</v>
      </c>
      <c r="F298" t="s">
        <v>942</v>
      </c>
      <c r="G298" t="s">
        <v>943</v>
      </c>
      <c r="H298" t="s">
        <v>467</v>
      </c>
      <c r="I298" t="s">
        <v>19</v>
      </c>
      <c r="J298">
        <v>99.83</v>
      </c>
      <c r="K298" s="1">
        <v>45898</v>
      </c>
      <c r="L298" t="s">
        <v>79</v>
      </c>
      <c r="M298">
        <v>29</v>
      </c>
      <c r="N298">
        <v>8</v>
      </c>
      <c r="O298">
        <v>3</v>
      </c>
      <c r="P298">
        <v>2025</v>
      </c>
    </row>
    <row r="299" spans="1:16">
      <c r="A299">
        <v>58.77</v>
      </c>
      <c r="B299">
        <v>1</v>
      </c>
      <c r="C299" t="s">
        <v>1832</v>
      </c>
      <c r="D299" t="s">
        <v>1833</v>
      </c>
      <c r="E299" t="s">
        <v>1358</v>
      </c>
      <c r="F299" t="s">
        <v>825</v>
      </c>
      <c r="G299" t="s">
        <v>781</v>
      </c>
      <c r="H299" t="s">
        <v>262</v>
      </c>
      <c r="I299" t="s">
        <v>21</v>
      </c>
      <c r="J299">
        <v>58.77</v>
      </c>
      <c r="K299" s="1">
        <v>46130</v>
      </c>
      <c r="L299" t="s">
        <v>14</v>
      </c>
      <c r="M299">
        <v>18</v>
      </c>
      <c r="N299">
        <v>4</v>
      </c>
      <c r="O299">
        <v>2</v>
      </c>
      <c r="P299">
        <v>2026</v>
      </c>
    </row>
    <row r="300" spans="1:16">
      <c r="A300">
        <v>1049.4000000000001</v>
      </c>
      <c r="B300">
        <v>5</v>
      </c>
      <c r="C300" t="s">
        <v>3029</v>
      </c>
      <c r="D300" t="s">
        <v>760</v>
      </c>
      <c r="E300" t="s">
        <v>1228</v>
      </c>
      <c r="F300" t="s">
        <v>1886</v>
      </c>
      <c r="G300" t="s">
        <v>753</v>
      </c>
      <c r="H300" t="s">
        <v>724</v>
      </c>
      <c r="I300" t="s">
        <v>55</v>
      </c>
      <c r="J300">
        <v>209.88</v>
      </c>
      <c r="K300" s="1">
        <v>45594</v>
      </c>
      <c r="L300" t="s">
        <v>48</v>
      </c>
      <c r="M300">
        <v>29</v>
      </c>
      <c r="N300">
        <v>10</v>
      </c>
      <c r="O300">
        <v>4</v>
      </c>
      <c r="P300">
        <v>2024</v>
      </c>
    </row>
    <row r="301" spans="1:16">
      <c r="A301">
        <v>729.2</v>
      </c>
      <c r="B301">
        <v>5</v>
      </c>
      <c r="C301" t="s">
        <v>1115</v>
      </c>
      <c r="D301" t="s">
        <v>1116</v>
      </c>
      <c r="E301" t="s">
        <v>1117</v>
      </c>
      <c r="F301" t="s">
        <v>1118</v>
      </c>
      <c r="G301" t="s">
        <v>821</v>
      </c>
      <c r="H301" t="s">
        <v>178</v>
      </c>
      <c r="I301" t="s">
        <v>122</v>
      </c>
      <c r="J301">
        <v>145.84</v>
      </c>
      <c r="K301" s="1">
        <v>46186</v>
      </c>
      <c r="L301" t="s">
        <v>14</v>
      </c>
      <c r="M301">
        <v>13</v>
      </c>
      <c r="N301">
        <v>6</v>
      </c>
      <c r="O301">
        <v>2</v>
      </c>
      <c r="P301">
        <v>2026</v>
      </c>
    </row>
    <row r="302" spans="1:16">
      <c r="A302">
        <v>159.36000000000001</v>
      </c>
      <c r="B302">
        <v>2</v>
      </c>
      <c r="C302" t="s">
        <v>986</v>
      </c>
      <c r="D302" t="s">
        <v>987</v>
      </c>
      <c r="E302" t="s">
        <v>988</v>
      </c>
      <c r="F302" t="s">
        <v>708</v>
      </c>
      <c r="G302" t="s">
        <v>834</v>
      </c>
      <c r="H302" t="s">
        <v>565</v>
      </c>
      <c r="I302" t="s">
        <v>17</v>
      </c>
      <c r="J302">
        <v>79.680000000000007</v>
      </c>
      <c r="K302" s="1">
        <v>46202</v>
      </c>
      <c r="L302" t="s">
        <v>93</v>
      </c>
      <c r="M302">
        <v>29</v>
      </c>
      <c r="N302">
        <v>6</v>
      </c>
      <c r="O302">
        <v>2</v>
      </c>
      <c r="P302">
        <v>2026</v>
      </c>
    </row>
    <row r="303" spans="1:16">
      <c r="A303">
        <v>742.65</v>
      </c>
      <c r="B303">
        <v>5</v>
      </c>
      <c r="C303" t="s">
        <v>1789</v>
      </c>
      <c r="D303" t="s">
        <v>1790</v>
      </c>
      <c r="E303" t="s">
        <v>1791</v>
      </c>
      <c r="F303" t="s">
        <v>1630</v>
      </c>
      <c r="G303" t="s">
        <v>763</v>
      </c>
      <c r="H303" t="s">
        <v>104</v>
      </c>
      <c r="I303" t="s">
        <v>51</v>
      </c>
      <c r="J303">
        <v>148.53</v>
      </c>
      <c r="K303" s="1">
        <v>46046</v>
      </c>
      <c r="L303" t="s">
        <v>14</v>
      </c>
      <c r="M303">
        <v>24</v>
      </c>
      <c r="N303">
        <v>1</v>
      </c>
      <c r="O303">
        <v>1</v>
      </c>
      <c r="P303">
        <v>2026</v>
      </c>
    </row>
    <row r="304" spans="1:16">
      <c r="A304">
        <v>151.13</v>
      </c>
      <c r="B304">
        <v>1</v>
      </c>
      <c r="C304" t="s">
        <v>2577</v>
      </c>
      <c r="D304" t="s">
        <v>2578</v>
      </c>
      <c r="E304" t="s">
        <v>1508</v>
      </c>
      <c r="F304" t="s">
        <v>1600</v>
      </c>
      <c r="G304" t="s">
        <v>768</v>
      </c>
      <c r="H304" t="s">
        <v>655</v>
      </c>
      <c r="I304" t="s">
        <v>82</v>
      </c>
      <c r="J304">
        <v>151.13</v>
      </c>
      <c r="K304" s="1">
        <v>45949</v>
      </c>
      <c r="L304" t="s">
        <v>28</v>
      </c>
      <c r="M304">
        <v>19</v>
      </c>
      <c r="N304">
        <v>10</v>
      </c>
      <c r="O304">
        <v>4</v>
      </c>
      <c r="P304">
        <v>2025</v>
      </c>
    </row>
    <row r="305" spans="1:16">
      <c r="A305">
        <v>1095.05</v>
      </c>
      <c r="B305">
        <v>5</v>
      </c>
      <c r="C305" t="s">
        <v>3342</v>
      </c>
      <c r="D305" t="s">
        <v>3343</v>
      </c>
      <c r="E305" t="s">
        <v>3344</v>
      </c>
      <c r="F305" t="s">
        <v>106</v>
      </c>
      <c r="G305" t="s">
        <v>896</v>
      </c>
      <c r="H305" t="s">
        <v>279</v>
      </c>
      <c r="I305" t="s">
        <v>82</v>
      </c>
      <c r="J305">
        <v>219.01</v>
      </c>
      <c r="K305" s="1">
        <v>46179</v>
      </c>
      <c r="L305" t="s">
        <v>14</v>
      </c>
      <c r="M305">
        <v>6</v>
      </c>
      <c r="N305">
        <v>6</v>
      </c>
      <c r="O305">
        <v>2</v>
      </c>
      <c r="P305">
        <v>2026</v>
      </c>
    </row>
    <row r="306" spans="1:16">
      <c r="A306">
        <v>672.35</v>
      </c>
      <c r="B306">
        <v>5</v>
      </c>
      <c r="C306" t="s">
        <v>2669</v>
      </c>
      <c r="D306" t="s">
        <v>2670</v>
      </c>
      <c r="E306" t="s">
        <v>1025</v>
      </c>
      <c r="F306" t="s">
        <v>942</v>
      </c>
      <c r="G306" t="s">
        <v>943</v>
      </c>
      <c r="H306" t="s">
        <v>76</v>
      </c>
      <c r="I306" t="s">
        <v>69</v>
      </c>
      <c r="J306">
        <v>134.47</v>
      </c>
      <c r="K306" s="1">
        <v>45965</v>
      </c>
      <c r="L306" t="s">
        <v>48</v>
      </c>
      <c r="M306">
        <v>4</v>
      </c>
      <c r="N306">
        <v>11</v>
      </c>
      <c r="O306">
        <v>4</v>
      </c>
      <c r="P306">
        <v>2025</v>
      </c>
    </row>
    <row r="307" spans="1:16">
      <c r="A307">
        <v>962.4</v>
      </c>
      <c r="B307">
        <v>5</v>
      </c>
      <c r="C307" t="s">
        <v>2084</v>
      </c>
      <c r="D307" t="s">
        <v>2085</v>
      </c>
      <c r="E307" t="s">
        <v>2086</v>
      </c>
      <c r="F307" t="s">
        <v>1209</v>
      </c>
      <c r="G307" t="s">
        <v>776</v>
      </c>
      <c r="H307" t="s">
        <v>159</v>
      </c>
      <c r="I307" t="s">
        <v>21</v>
      </c>
      <c r="J307">
        <v>192.48</v>
      </c>
      <c r="K307" s="1">
        <v>45640</v>
      </c>
      <c r="L307" t="s">
        <v>14</v>
      </c>
      <c r="M307">
        <v>14</v>
      </c>
      <c r="N307">
        <v>12</v>
      </c>
      <c r="O307">
        <v>4</v>
      </c>
      <c r="P307">
        <v>2024</v>
      </c>
    </row>
    <row r="308" spans="1:16">
      <c r="A308">
        <v>72.849999999999994</v>
      </c>
      <c r="B308">
        <v>5</v>
      </c>
      <c r="C308" t="s">
        <v>1093</v>
      </c>
      <c r="D308" t="s">
        <v>1094</v>
      </c>
      <c r="E308" t="s">
        <v>1095</v>
      </c>
      <c r="F308" t="s">
        <v>862</v>
      </c>
      <c r="G308" t="s">
        <v>758</v>
      </c>
      <c r="H308" t="s">
        <v>166</v>
      </c>
      <c r="I308" t="s">
        <v>23</v>
      </c>
      <c r="J308">
        <v>14.57</v>
      </c>
      <c r="K308" s="1">
        <v>46268</v>
      </c>
      <c r="L308" t="s">
        <v>105</v>
      </c>
      <c r="M308">
        <v>3</v>
      </c>
      <c r="N308">
        <v>9</v>
      </c>
      <c r="O308">
        <v>3</v>
      </c>
      <c r="P308">
        <v>2026</v>
      </c>
    </row>
    <row r="309" spans="1:16">
      <c r="A309">
        <v>368.67</v>
      </c>
      <c r="B309">
        <v>3</v>
      </c>
      <c r="C309" t="s">
        <v>859</v>
      </c>
      <c r="D309" t="s">
        <v>860</v>
      </c>
      <c r="E309" t="s">
        <v>861</v>
      </c>
      <c r="F309" t="s">
        <v>862</v>
      </c>
      <c r="G309" t="s">
        <v>758</v>
      </c>
      <c r="H309" t="s">
        <v>665</v>
      </c>
      <c r="I309" t="s">
        <v>17</v>
      </c>
      <c r="J309">
        <v>122.89</v>
      </c>
      <c r="K309" s="1">
        <v>45668</v>
      </c>
      <c r="L309" t="s">
        <v>14</v>
      </c>
      <c r="M309">
        <v>11</v>
      </c>
      <c r="N309">
        <v>1</v>
      </c>
      <c r="O309">
        <v>1</v>
      </c>
      <c r="P309">
        <v>2025</v>
      </c>
    </row>
    <row r="310" spans="1:16">
      <c r="A310">
        <v>270.39</v>
      </c>
      <c r="B310">
        <v>3</v>
      </c>
      <c r="C310" t="s">
        <v>2961</v>
      </c>
      <c r="D310" t="s">
        <v>2962</v>
      </c>
      <c r="E310" t="s">
        <v>2522</v>
      </c>
      <c r="F310" t="s">
        <v>211</v>
      </c>
      <c r="G310" t="s">
        <v>812</v>
      </c>
      <c r="H310" t="s">
        <v>304</v>
      </c>
      <c r="I310" t="s">
        <v>100</v>
      </c>
      <c r="J310">
        <v>90.13</v>
      </c>
      <c r="K310" s="1">
        <v>46111</v>
      </c>
      <c r="L310" t="s">
        <v>93</v>
      </c>
      <c r="M310">
        <v>30</v>
      </c>
      <c r="N310">
        <v>3</v>
      </c>
      <c r="O310">
        <v>1</v>
      </c>
      <c r="P310">
        <v>2026</v>
      </c>
    </row>
    <row r="311" spans="1:16">
      <c r="A311">
        <v>104.04</v>
      </c>
      <c r="B311">
        <v>1</v>
      </c>
      <c r="C311" t="s">
        <v>1748</v>
      </c>
      <c r="D311" t="s">
        <v>1749</v>
      </c>
      <c r="E311" t="s">
        <v>766</v>
      </c>
      <c r="F311" t="s">
        <v>980</v>
      </c>
      <c r="G311" t="s">
        <v>981</v>
      </c>
      <c r="H311" t="s">
        <v>507</v>
      </c>
      <c r="I311" t="s">
        <v>55</v>
      </c>
      <c r="J311">
        <v>104.04</v>
      </c>
      <c r="K311" s="1">
        <v>46194</v>
      </c>
      <c r="L311" t="s">
        <v>28</v>
      </c>
      <c r="M311">
        <v>21</v>
      </c>
      <c r="N311">
        <v>6</v>
      </c>
      <c r="O311">
        <v>2</v>
      </c>
      <c r="P311">
        <v>2026</v>
      </c>
    </row>
    <row r="312" spans="1:16">
      <c r="A312">
        <v>360.28</v>
      </c>
      <c r="B312">
        <v>4</v>
      </c>
      <c r="C312" t="s">
        <v>2501</v>
      </c>
      <c r="D312" t="s">
        <v>2502</v>
      </c>
      <c r="E312" t="s">
        <v>2503</v>
      </c>
      <c r="F312" t="s">
        <v>548</v>
      </c>
      <c r="G312" t="s">
        <v>790</v>
      </c>
      <c r="H312" t="s">
        <v>707</v>
      </c>
      <c r="I312" t="s">
        <v>23</v>
      </c>
      <c r="J312">
        <v>90.07</v>
      </c>
      <c r="K312" s="1">
        <v>45822</v>
      </c>
      <c r="L312" t="s">
        <v>14</v>
      </c>
      <c r="M312">
        <v>14</v>
      </c>
      <c r="N312">
        <v>6</v>
      </c>
      <c r="O312">
        <v>2</v>
      </c>
      <c r="P312">
        <v>2025</v>
      </c>
    </row>
    <row r="313" spans="1:16">
      <c r="A313">
        <v>57.33</v>
      </c>
      <c r="B313">
        <v>3</v>
      </c>
      <c r="C313" t="s">
        <v>2727</v>
      </c>
      <c r="D313" t="s">
        <v>2728</v>
      </c>
      <c r="E313" t="s">
        <v>1619</v>
      </c>
      <c r="F313" t="s">
        <v>816</v>
      </c>
      <c r="G313" t="s">
        <v>817</v>
      </c>
      <c r="H313" t="s">
        <v>410</v>
      </c>
      <c r="I313" t="s">
        <v>97</v>
      </c>
      <c r="J313">
        <v>19.11</v>
      </c>
      <c r="K313" s="1">
        <v>45910</v>
      </c>
      <c r="L313" t="s">
        <v>34</v>
      </c>
      <c r="M313">
        <v>10</v>
      </c>
      <c r="N313">
        <v>9</v>
      </c>
      <c r="O313">
        <v>3</v>
      </c>
      <c r="P313">
        <v>2025</v>
      </c>
    </row>
    <row r="314" spans="1:16">
      <c r="A314">
        <v>186.1</v>
      </c>
      <c r="B314">
        <v>2</v>
      </c>
      <c r="C314" t="s">
        <v>2871</v>
      </c>
      <c r="D314" t="s">
        <v>2872</v>
      </c>
      <c r="E314" t="s">
        <v>1633</v>
      </c>
      <c r="F314" t="s">
        <v>196</v>
      </c>
      <c r="G314" t="s">
        <v>830</v>
      </c>
      <c r="H314" t="s">
        <v>350</v>
      </c>
      <c r="I314" t="s">
        <v>60</v>
      </c>
      <c r="J314">
        <v>93.05</v>
      </c>
      <c r="K314" s="1">
        <v>45689</v>
      </c>
      <c r="L314" t="s">
        <v>14</v>
      </c>
      <c r="M314">
        <v>1</v>
      </c>
      <c r="N314">
        <v>2</v>
      </c>
      <c r="O314">
        <v>1</v>
      </c>
      <c r="P314">
        <v>2025</v>
      </c>
    </row>
    <row r="315" spans="1:16">
      <c r="A315">
        <v>224.2</v>
      </c>
      <c r="B315">
        <v>4</v>
      </c>
      <c r="C315" t="s">
        <v>1475</v>
      </c>
      <c r="D315" t="s">
        <v>1476</v>
      </c>
      <c r="E315" t="s">
        <v>1477</v>
      </c>
      <c r="F315" t="s">
        <v>1137</v>
      </c>
      <c r="G315" t="s">
        <v>748</v>
      </c>
      <c r="H315" t="s">
        <v>32</v>
      </c>
      <c r="I315" t="s">
        <v>19</v>
      </c>
      <c r="J315">
        <v>56.05</v>
      </c>
      <c r="K315" s="1">
        <v>45673</v>
      </c>
      <c r="L315" t="s">
        <v>105</v>
      </c>
      <c r="M315">
        <v>16</v>
      </c>
      <c r="N315">
        <v>1</v>
      </c>
      <c r="O315">
        <v>1</v>
      </c>
      <c r="P315">
        <v>2025</v>
      </c>
    </row>
    <row r="316" spans="1:16">
      <c r="A316">
        <v>45.21</v>
      </c>
      <c r="B316">
        <v>1</v>
      </c>
      <c r="C316" t="s">
        <v>1947</v>
      </c>
      <c r="D316" t="s">
        <v>1948</v>
      </c>
      <c r="E316" t="s">
        <v>1038</v>
      </c>
      <c r="F316" t="s">
        <v>414</v>
      </c>
      <c r="G316" t="s">
        <v>795</v>
      </c>
      <c r="H316" t="s">
        <v>542</v>
      </c>
      <c r="I316" t="s">
        <v>46</v>
      </c>
      <c r="J316">
        <v>45.21</v>
      </c>
      <c r="K316" s="1">
        <v>46121</v>
      </c>
      <c r="L316" t="s">
        <v>105</v>
      </c>
      <c r="M316">
        <v>9</v>
      </c>
      <c r="N316">
        <v>4</v>
      </c>
      <c r="O316">
        <v>2</v>
      </c>
      <c r="P316">
        <v>2026</v>
      </c>
    </row>
    <row r="317" spans="1:16">
      <c r="A317">
        <v>178.46</v>
      </c>
      <c r="B317">
        <v>2</v>
      </c>
      <c r="C317" t="s">
        <v>1173</v>
      </c>
      <c r="D317" t="s">
        <v>1174</v>
      </c>
      <c r="E317" t="s">
        <v>969</v>
      </c>
      <c r="F317" t="s">
        <v>345</v>
      </c>
      <c r="G317" t="s">
        <v>892</v>
      </c>
      <c r="H317" t="s">
        <v>401</v>
      </c>
      <c r="I317" t="s">
        <v>31</v>
      </c>
      <c r="J317">
        <v>89.23</v>
      </c>
      <c r="K317" s="1">
        <v>45716</v>
      </c>
      <c r="L317" t="s">
        <v>79</v>
      </c>
      <c r="M317">
        <v>28</v>
      </c>
      <c r="N317">
        <v>2</v>
      </c>
      <c r="O317">
        <v>1</v>
      </c>
      <c r="P317">
        <v>2025</v>
      </c>
    </row>
    <row r="318" spans="1:16">
      <c r="A318">
        <v>6.28</v>
      </c>
      <c r="B318">
        <v>1</v>
      </c>
      <c r="C318" t="s">
        <v>1604</v>
      </c>
      <c r="D318" t="s">
        <v>1605</v>
      </c>
      <c r="E318" t="s">
        <v>1606</v>
      </c>
      <c r="F318" t="s">
        <v>1607</v>
      </c>
      <c r="G318" t="s">
        <v>839</v>
      </c>
      <c r="H318" t="s">
        <v>601</v>
      </c>
      <c r="I318" t="s">
        <v>19</v>
      </c>
      <c r="J318">
        <v>6.28</v>
      </c>
      <c r="K318" s="1">
        <v>45817</v>
      </c>
      <c r="L318" t="s">
        <v>93</v>
      </c>
      <c r="M318">
        <v>9</v>
      </c>
      <c r="N318">
        <v>6</v>
      </c>
      <c r="O318">
        <v>2</v>
      </c>
      <c r="P318">
        <v>2025</v>
      </c>
    </row>
    <row r="319" spans="1:16">
      <c r="A319">
        <v>836.08</v>
      </c>
      <c r="B319">
        <v>4</v>
      </c>
      <c r="C319" t="s">
        <v>855</v>
      </c>
      <c r="D319" t="s">
        <v>856</v>
      </c>
      <c r="E319" t="s">
        <v>857</v>
      </c>
      <c r="F319" t="s">
        <v>858</v>
      </c>
      <c r="G319" t="s">
        <v>753</v>
      </c>
      <c r="H319" t="s">
        <v>62</v>
      </c>
      <c r="I319" t="s">
        <v>17</v>
      </c>
      <c r="J319">
        <v>209.02</v>
      </c>
      <c r="K319" s="1">
        <v>45640</v>
      </c>
      <c r="L319" t="s">
        <v>14</v>
      </c>
      <c r="M319">
        <v>14</v>
      </c>
      <c r="N319">
        <v>12</v>
      </c>
      <c r="O319">
        <v>4</v>
      </c>
      <c r="P319">
        <v>2024</v>
      </c>
    </row>
    <row r="320" spans="1:16">
      <c r="A320">
        <v>124.99</v>
      </c>
      <c r="B320">
        <v>1</v>
      </c>
      <c r="C320" t="s">
        <v>1850</v>
      </c>
      <c r="D320" t="s">
        <v>1851</v>
      </c>
      <c r="E320" t="s">
        <v>833</v>
      </c>
      <c r="F320" t="s">
        <v>49</v>
      </c>
      <c r="G320" t="s">
        <v>807</v>
      </c>
      <c r="H320" t="s">
        <v>512</v>
      </c>
      <c r="I320" t="s">
        <v>27</v>
      </c>
      <c r="J320">
        <v>124.99</v>
      </c>
      <c r="K320" s="1">
        <v>45773</v>
      </c>
      <c r="L320" t="s">
        <v>14</v>
      </c>
      <c r="M320">
        <v>26</v>
      </c>
      <c r="N320">
        <v>4</v>
      </c>
      <c r="O320">
        <v>2</v>
      </c>
      <c r="P320">
        <v>2025</v>
      </c>
    </row>
    <row r="321" spans="1:16">
      <c r="A321">
        <v>338.08</v>
      </c>
      <c r="B321">
        <v>2</v>
      </c>
      <c r="C321" t="s">
        <v>1293</v>
      </c>
      <c r="D321" t="s">
        <v>1294</v>
      </c>
      <c r="E321" t="s">
        <v>1295</v>
      </c>
      <c r="F321" t="s">
        <v>883</v>
      </c>
      <c r="G321" t="s">
        <v>807</v>
      </c>
      <c r="H321" t="s">
        <v>443</v>
      </c>
      <c r="I321" t="s">
        <v>55</v>
      </c>
      <c r="J321">
        <v>169.04</v>
      </c>
      <c r="K321" s="1">
        <v>45882</v>
      </c>
      <c r="L321" t="s">
        <v>34</v>
      </c>
      <c r="M321">
        <v>13</v>
      </c>
      <c r="N321">
        <v>8</v>
      </c>
      <c r="O321">
        <v>3</v>
      </c>
      <c r="P321">
        <v>2025</v>
      </c>
    </row>
    <row r="322" spans="1:16">
      <c r="A322">
        <v>665.64</v>
      </c>
      <c r="B322">
        <v>4</v>
      </c>
      <c r="C322" t="s">
        <v>2251</v>
      </c>
      <c r="D322" t="s">
        <v>2252</v>
      </c>
      <c r="E322" t="s">
        <v>2253</v>
      </c>
      <c r="F322" t="s">
        <v>1882</v>
      </c>
      <c r="G322" t="s">
        <v>795</v>
      </c>
      <c r="H322" t="s">
        <v>285</v>
      </c>
      <c r="I322" t="s">
        <v>17</v>
      </c>
      <c r="J322">
        <v>166.41</v>
      </c>
      <c r="K322" s="1">
        <v>45837</v>
      </c>
      <c r="L322" t="s">
        <v>28</v>
      </c>
      <c r="M322">
        <v>29</v>
      </c>
      <c r="N322">
        <v>6</v>
      </c>
      <c r="O322">
        <v>2</v>
      </c>
      <c r="P322">
        <v>2025</v>
      </c>
    </row>
    <row r="323" spans="1:16">
      <c r="A323">
        <v>94.27</v>
      </c>
      <c r="B323">
        <v>1</v>
      </c>
      <c r="C323" t="s">
        <v>1572</v>
      </c>
      <c r="D323" t="s">
        <v>1573</v>
      </c>
      <c r="E323" t="s">
        <v>1565</v>
      </c>
      <c r="F323" t="s">
        <v>1574</v>
      </c>
      <c r="G323" t="s">
        <v>1003</v>
      </c>
      <c r="H323" t="s">
        <v>506</v>
      </c>
      <c r="I323" t="s">
        <v>97</v>
      </c>
      <c r="J323">
        <v>94.27</v>
      </c>
      <c r="K323" s="1">
        <v>46190</v>
      </c>
      <c r="L323" t="s">
        <v>34</v>
      </c>
      <c r="M323">
        <v>17</v>
      </c>
      <c r="N323">
        <v>6</v>
      </c>
      <c r="O323">
        <v>2</v>
      </c>
      <c r="P323">
        <v>2026</v>
      </c>
    </row>
    <row r="324" spans="1:16">
      <c r="A324">
        <v>772.88</v>
      </c>
      <c r="B324">
        <v>4</v>
      </c>
      <c r="C324" t="s">
        <v>1677</v>
      </c>
      <c r="D324" t="s">
        <v>1678</v>
      </c>
      <c r="E324" t="s">
        <v>1679</v>
      </c>
      <c r="F324" t="s">
        <v>767</v>
      </c>
      <c r="G324" t="s">
        <v>768</v>
      </c>
      <c r="H324" t="s">
        <v>430</v>
      </c>
      <c r="I324" t="s">
        <v>27</v>
      </c>
      <c r="J324">
        <v>193.22</v>
      </c>
      <c r="K324" s="1">
        <v>46009</v>
      </c>
      <c r="L324" t="s">
        <v>105</v>
      </c>
      <c r="M324">
        <v>18</v>
      </c>
      <c r="N324">
        <v>12</v>
      </c>
      <c r="O324">
        <v>4</v>
      </c>
      <c r="P324">
        <v>2025</v>
      </c>
    </row>
    <row r="325" spans="1:16">
      <c r="A325">
        <v>47.55</v>
      </c>
      <c r="B325">
        <v>5</v>
      </c>
      <c r="C325" t="s">
        <v>3115</v>
      </c>
      <c r="D325" t="s">
        <v>3116</v>
      </c>
      <c r="E325" t="s">
        <v>746</v>
      </c>
      <c r="F325" t="s">
        <v>1254</v>
      </c>
      <c r="G325" t="s">
        <v>781</v>
      </c>
      <c r="H325" t="s">
        <v>727</v>
      </c>
      <c r="I325" t="s">
        <v>97</v>
      </c>
      <c r="J325">
        <v>9.51</v>
      </c>
      <c r="K325" s="1">
        <v>46093</v>
      </c>
      <c r="L325" t="s">
        <v>105</v>
      </c>
      <c r="M325">
        <v>12</v>
      </c>
      <c r="N325">
        <v>3</v>
      </c>
      <c r="O325">
        <v>1</v>
      </c>
      <c r="P325">
        <v>2026</v>
      </c>
    </row>
    <row r="326" spans="1:16">
      <c r="A326">
        <v>762.44</v>
      </c>
      <c r="B326">
        <v>4</v>
      </c>
      <c r="C326" t="s">
        <v>2669</v>
      </c>
      <c r="D326" t="s">
        <v>2670</v>
      </c>
      <c r="E326" t="s">
        <v>1025</v>
      </c>
      <c r="F326" t="s">
        <v>942</v>
      </c>
      <c r="G326" t="s">
        <v>943</v>
      </c>
      <c r="H326" t="s">
        <v>156</v>
      </c>
      <c r="I326" t="s">
        <v>57</v>
      </c>
      <c r="J326">
        <v>190.61</v>
      </c>
      <c r="K326" s="1">
        <v>45558</v>
      </c>
      <c r="L326" t="s">
        <v>93</v>
      </c>
      <c r="M326">
        <v>23</v>
      </c>
      <c r="N326">
        <v>9</v>
      </c>
      <c r="O326">
        <v>3</v>
      </c>
      <c r="P326">
        <v>2024</v>
      </c>
    </row>
    <row r="327" spans="1:16">
      <c r="A327">
        <v>725.93999999999994</v>
      </c>
      <c r="B327">
        <v>3</v>
      </c>
      <c r="C327" t="s">
        <v>3127</v>
      </c>
      <c r="D327" t="s">
        <v>3128</v>
      </c>
      <c r="E327" t="s">
        <v>1159</v>
      </c>
      <c r="F327" t="s">
        <v>1092</v>
      </c>
      <c r="G327" t="s">
        <v>763</v>
      </c>
      <c r="H327" t="s">
        <v>203</v>
      </c>
      <c r="I327" t="s">
        <v>100</v>
      </c>
      <c r="J327">
        <v>241.98</v>
      </c>
      <c r="K327" s="1">
        <v>46123</v>
      </c>
      <c r="L327" t="s">
        <v>14</v>
      </c>
      <c r="M327">
        <v>11</v>
      </c>
      <c r="N327">
        <v>4</v>
      </c>
      <c r="O327">
        <v>2</v>
      </c>
      <c r="P327">
        <v>2026</v>
      </c>
    </row>
    <row r="328" spans="1:16">
      <c r="A328">
        <v>164.67000000000002</v>
      </c>
      <c r="B328">
        <v>3</v>
      </c>
      <c r="C328" t="s">
        <v>1871</v>
      </c>
      <c r="D328" t="s">
        <v>1872</v>
      </c>
      <c r="E328" t="s">
        <v>1873</v>
      </c>
      <c r="F328" t="s">
        <v>747</v>
      </c>
      <c r="G328" t="s">
        <v>748</v>
      </c>
      <c r="H328" t="s">
        <v>431</v>
      </c>
      <c r="I328" t="s">
        <v>17</v>
      </c>
      <c r="J328">
        <v>54.89</v>
      </c>
      <c r="K328" s="1">
        <v>46193</v>
      </c>
      <c r="L328" t="s">
        <v>14</v>
      </c>
      <c r="M328">
        <v>20</v>
      </c>
      <c r="N328">
        <v>6</v>
      </c>
      <c r="O328">
        <v>2</v>
      </c>
      <c r="P328">
        <v>2026</v>
      </c>
    </row>
    <row r="329" spans="1:16">
      <c r="A329">
        <v>148.84</v>
      </c>
      <c r="B329">
        <v>2</v>
      </c>
      <c r="C329" t="s">
        <v>2606</v>
      </c>
      <c r="D329" t="s">
        <v>2607</v>
      </c>
      <c r="E329" t="s">
        <v>2078</v>
      </c>
      <c r="F329" t="s">
        <v>1032</v>
      </c>
      <c r="G329" t="s">
        <v>839</v>
      </c>
      <c r="H329" t="s">
        <v>95</v>
      </c>
      <c r="I329" t="s">
        <v>46</v>
      </c>
      <c r="J329">
        <v>74.42</v>
      </c>
      <c r="K329" s="1">
        <v>45615</v>
      </c>
      <c r="L329" t="s">
        <v>48</v>
      </c>
      <c r="M329">
        <v>19</v>
      </c>
      <c r="N329">
        <v>11</v>
      </c>
      <c r="O329">
        <v>4</v>
      </c>
      <c r="P329">
        <v>2024</v>
      </c>
    </row>
    <row r="330" spans="1:16">
      <c r="A330">
        <v>161.91999999999999</v>
      </c>
      <c r="B330">
        <v>1</v>
      </c>
      <c r="C330" t="s">
        <v>1147</v>
      </c>
      <c r="D330" t="s">
        <v>1148</v>
      </c>
      <c r="E330" t="s">
        <v>1149</v>
      </c>
      <c r="F330" t="s">
        <v>1071</v>
      </c>
      <c r="G330" t="s">
        <v>817</v>
      </c>
      <c r="H330" t="s">
        <v>546</v>
      </c>
      <c r="I330" t="s">
        <v>25</v>
      </c>
      <c r="J330">
        <v>161.91999999999999</v>
      </c>
      <c r="K330" s="1">
        <v>45680</v>
      </c>
      <c r="L330" t="s">
        <v>105</v>
      </c>
      <c r="M330">
        <v>23</v>
      </c>
      <c r="N330">
        <v>1</v>
      </c>
      <c r="O330">
        <v>1</v>
      </c>
      <c r="P330">
        <v>2025</v>
      </c>
    </row>
    <row r="331" spans="1:16">
      <c r="A331">
        <v>314.52</v>
      </c>
      <c r="B331">
        <v>2</v>
      </c>
      <c r="C331" t="s">
        <v>1650</v>
      </c>
      <c r="D331" t="s">
        <v>1651</v>
      </c>
      <c r="E331" t="s">
        <v>1652</v>
      </c>
      <c r="F331" t="s">
        <v>1239</v>
      </c>
      <c r="G331" t="s">
        <v>795</v>
      </c>
      <c r="H331" t="s">
        <v>68</v>
      </c>
      <c r="I331" t="s">
        <v>69</v>
      </c>
      <c r="J331">
        <v>157.26</v>
      </c>
      <c r="K331" s="1">
        <v>45984</v>
      </c>
      <c r="L331" t="s">
        <v>28</v>
      </c>
      <c r="M331">
        <v>23</v>
      </c>
      <c r="N331">
        <v>11</v>
      </c>
      <c r="O331">
        <v>4</v>
      </c>
      <c r="P331">
        <v>2025</v>
      </c>
    </row>
    <row r="332" spans="1:16">
      <c r="A332">
        <v>385.25</v>
      </c>
      <c r="B332">
        <v>5</v>
      </c>
      <c r="C332" t="s">
        <v>1393</v>
      </c>
      <c r="D332" t="s">
        <v>1394</v>
      </c>
      <c r="E332" t="s">
        <v>1182</v>
      </c>
      <c r="F332" t="s">
        <v>1395</v>
      </c>
      <c r="G332" t="s">
        <v>776</v>
      </c>
      <c r="H332" t="s">
        <v>509</v>
      </c>
      <c r="I332" t="s">
        <v>19</v>
      </c>
      <c r="J332">
        <v>77.05</v>
      </c>
      <c r="K332" s="1">
        <v>46123</v>
      </c>
      <c r="L332" t="s">
        <v>14</v>
      </c>
      <c r="M332">
        <v>11</v>
      </c>
      <c r="N332">
        <v>4</v>
      </c>
      <c r="O332">
        <v>2</v>
      </c>
      <c r="P332">
        <v>2026</v>
      </c>
    </row>
    <row r="333" spans="1:16">
      <c r="A333">
        <v>23.24</v>
      </c>
      <c r="B333">
        <v>1</v>
      </c>
      <c r="C333" t="s">
        <v>3242</v>
      </c>
      <c r="D333" t="s">
        <v>3243</v>
      </c>
      <c r="E333" t="s">
        <v>861</v>
      </c>
      <c r="F333" t="s">
        <v>961</v>
      </c>
      <c r="G333" t="s">
        <v>807</v>
      </c>
      <c r="H333" t="s">
        <v>738</v>
      </c>
      <c r="I333" t="s">
        <v>27</v>
      </c>
      <c r="J333">
        <v>23.24</v>
      </c>
      <c r="K333" s="1">
        <v>45999</v>
      </c>
      <c r="L333" t="s">
        <v>93</v>
      </c>
      <c r="M333">
        <v>8</v>
      </c>
      <c r="N333">
        <v>12</v>
      </c>
      <c r="O333">
        <v>4</v>
      </c>
      <c r="P333">
        <v>2025</v>
      </c>
    </row>
    <row r="334" spans="1:16">
      <c r="A334">
        <v>28.55</v>
      </c>
      <c r="B334">
        <v>5</v>
      </c>
      <c r="C334" t="s">
        <v>2412</v>
      </c>
      <c r="D334" t="s">
        <v>2413</v>
      </c>
      <c r="E334" t="s">
        <v>875</v>
      </c>
      <c r="F334" t="s">
        <v>825</v>
      </c>
      <c r="G334" t="s">
        <v>781</v>
      </c>
      <c r="H334" t="s">
        <v>669</v>
      </c>
      <c r="I334" t="s">
        <v>97</v>
      </c>
      <c r="J334">
        <v>5.71</v>
      </c>
      <c r="K334" s="1">
        <v>46122</v>
      </c>
      <c r="L334" t="s">
        <v>79</v>
      </c>
      <c r="M334">
        <v>10</v>
      </c>
      <c r="N334">
        <v>4</v>
      </c>
      <c r="O334">
        <v>2</v>
      </c>
      <c r="P334">
        <v>2026</v>
      </c>
    </row>
    <row r="335" spans="1:16">
      <c r="A335">
        <v>13.600000000000001</v>
      </c>
      <c r="B335">
        <v>5</v>
      </c>
      <c r="C335" t="s">
        <v>2986</v>
      </c>
      <c r="D335" t="s">
        <v>2987</v>
      </c>
      <c r="E335" t="s">
        <v>2033</v>
      </c>
      <c r="F335" t="s">
        <v>562</v>
      </c>
      <c r="G335" t="s">
        <v>753</v>
      </c>
      <c r="H335" t="s">
        <v>99</v>
      </c>
      <c r="I335" t="s">
        <v>100</v>
      </c>
      <c r="J335">
        <v>2.72</v>
      </c>
      <c r="K335" s="1">
        <v>45686</v>
      </c>
      <c r="L335" t="s">
        <v>34</v>
      </c>
      <c r="M335">
        <v>29</v>
      </c>
      <c r="N335">
        <v>1</v>
      </c>
      <c r="O335">
        <v>1</v>
      </c>
      <c r="P335">
        <v>2025</v>
      </c>
    </row>
    <row r="336" spans="1:16">
      <c r="A336">
        <v>623.20000000000005</v>
      </c>
      <c r="B336">
        <v>5</v>
      </c>
      <c r="C336" t="s">
        <v>1445</v>
      </c>
      <c r="D336" t="s">
        <v>1446</v>
      </c>
      <c r="E336" t="s">
        <v>1447</v>
      </c>
      <c r="F336" t="s">
        <v>1410</v>
      </c>
      <c r="G336" t="s">
        <v>812</v>
      </c>
      <c r="H336" t="s">
        <v>356</v>
      </c>
      <c r="I336" t="s">
        <v>69</v>
      </c>
      <c r="J336">
        <v>124.64</v>
      </c>
      <c r="K336" s="1">
        <v>45562</v>
      </c>
      <c r="L336" t="s">
        <v>79</v>
      </c>
      <c r="M336">
        <v>27</v>
      </c>
      <c r="N336">
        <v>9</v>
      </c>
      <c r="O336">
        <v>3</v>
      </c>
      <c r="P336">
        <v>2024</v>
      </c>
    </row>
    <row r="337" spans="1:16">
      <c r="A337">
        <v>464.64</v>
      </c>
      <c r="B337">
        <v>3</v>
      </c>
      <c r="C337" t="s">
        <v>2384</v>
      </c>
      <c r="D337" t="s">
        <v>2385</v>
      </c>
      <c r="E337" t="s">
        <v>2386</v>
      </c>
      <c r="F337" t="s">
        <v>1469</v>
      </c>
      <c r="G337" t="s">
        <v>908</v>
      </c>
      <c r="H337" t="s">
        <v>704</v>
      </c>
      <c r="I337" t="s">
        <v>51</v>
      </c>
      <c r="J337">
        <v>154.88</v>
      </c>
      <c r="K337" s="1">
        <v>45938</v>
      </c>
      <c r="L337" t="s">
        <v>34</v>
      </c>
      <c r="M337">
        <v>8</v>
      </c>
      <c r="N337">
        <v>10</v>
      </c>
      <c r="O337">
        <v>4</v>
      </c>
      <c r="P337">
        <v>2025</v>
      </c>
    </row>
    <row r="338" spans="1:16">
      <c r="A338">
        <v>473.9</v>
      </c>
      <c r="B338">
        <v>2</v>
      </c>
      <c r="C338" t="s">
        <v>1710</v>
      </c>
      <c r="D338" t="s">
        <v>1711</v>
      </c>
      <c r="E338" t="s">
        <v>1539</v>
      </c>
      <c r="F338" t="s">
        <v>1156</v>
      </c>
      <c r="G338" t="s">
        <v>839</v>
      </c>
      <c r="H338" t="s">
        <v>50</v>
      </c>
      <c r="I338" t="s">
        <v>51</v>
      </c>
      <c r="J338">
        <v>236.95</v>
      </c>
      <c r="K338" s="1">
        <v>45906</v>
      </c>
      <c r="L338" t="s">
        <v>14</v>
      </c>
      <c r="M338">
        <v>6</v>
      </c>
      <c r="N338">
        <v>9</v>
      </c>
      <c r="O338">
        <v>3</v>
      </c>
      <c r="P338">
        <v>2025</v>
      </c>
    </row>
    <row r="339" spans="1:16">
      <c r="A339">
        <v>240.96</v>
      </c>
      <c r="B339">
        <v>1</v>
      </c>
      <c r="C339" t="s">
        <v>2918</v>
      </c>
      <c r="D339" t="s">
        <v>2919</v>
      </c>
      <c r="E339" t="s">
        <v>2920</v>
      </c>
      <c r="F339" t="s">
        <v>1649</v>
      </c>
      <c r="G339" t="s">
        <v>790</v>
      </c>
      <c r="H339" t="s">
        <v>357</v>
      </c>
      <c r="I339" t="s">
        <v>39</v>
      </c>
      <c r="J339">
        <v>240.96</v>
      </c>
      <c r="K339" s="1">
        <v>45859</v>
      </c>
      <c r="L339" t="s">
        <v>93</v>
      </c>
      <c r="M339">
        <v>21</v>
      </c>
      <c r="N339">
        <v>7</v>
      </c>
      <c r="O339">
        <v>3</v>
      </c>
      <c r="P339">
        <v>2025</v>
      </c>
    </row>
    <row r="340" spans="1:16">
      <c r="A340">
        <v>208.36</v>
      </c>
      <c r="B340">
        <v>1</v>
      </c>
      <c r="C340" t="s">
        <v>1405</v>
      </c>
      <c r="D340" t="s">
        <v>1406</v>
      </c>
      <c r="E340" t="s">
        <v>846</v>
      </c>
      <c r="F340" t="s">
        <v>1371</v>
      </c>
      <c r="G340" t="s">
        <v>786</v>
      </c>
      <c r="H340" t="s">
        <v>545</v>
      </c>
      <c r="I340" t="s">
        <v>60</v>
      </c>
      <c r="J340">
        <v>208.36</v>
      </c>
      <c r="K340" s="1">
        <v>45565</v>
      </c>
      <c r="L340" t="s">
        <v>93</v>
      </c>
      <c r="M340">
        <v>30</v>
      </c>
      <c r="N340">
        <v>9</v>
      </c>
      <c r="O340">
        <v>3</v>
      </c>
      <c r="P340">
        <v>2024</v>
      </c>
    </row>
    <row r="341" spans="1:16">
      <c r="A341">
        <v>274.45</v>
      </c>
      <c r="B341">
        <v>5</v>
      </c>
      <c r="C341" t="s">
        <v>791</v>
      </c>
      <c r="D341" t="s">
        <v>792</v>
      </c>
      <c r="E341" t="s">
        <v>793</v>
      </c>
      <c r="F341" t="s">
        <v>794</v>
      </c>
      <c r="G341" t="s">
        <v>795</v>
      </c>
      <c r="H341" t="s">
        <v>431</v>
      </c>
      <c r="I341" t="s">
        <v>17</v>
      </c>
      <c r="J341">
        <v>54.89</v>
      </c>
      <c r="K341" s="1">
        <v>46050</v>
      </c>
      <c r="L341" t="s">
        <v>34</v>
      </c>
      <c r="M341">
        <v>28</v>
      </c>
      <c r="N341">
        <v>1</v>
      </c>
      <c r="O341">
        <v>1</v>
      </c>
      <c r="P341">
        <v>2026</v>
      </c>
    </row>
    <row r="342" spans="1:16">
      <c r="A342">
        <v>939.56</v>
      </c>
      <c r="B342">
        <v>4</v>
      </c>
      <c r="C342" t="s">
        <v>3325</v>
      </c>
      <c r="D342" t="s">
        <v>3326</v>
      </c>
      <c r="E342" t="s">
        <v>1462</v>
      </c>
      <c r="F342" t="s">
        <v>903</v>
      </c>
      <c r="G342" t="s">
        <v>786</v>
      </c>
      <c r="H342" t="s">
        <v>255</v>
      </c>
      <c r="I342" t="s">
        <v>39</v>
      </c>
      <c r="J342">
        <v>234.89</v>
      </c>
      <c r="K342" s="1">
        <v>45933</v>
      </c>
      <c r="L342" t="s">
        <v>79</v>
      </c>
      <c r="M342">
        <v>3</v>
      </c>
      <c r="N342">
        <v>10</v>
      </c>
      <c r="O342">
        <v>4</v>
      </c>
      <c r="P342">
        <v>2025</v>
      </c>
    </row>
    <row r="343" spans="1:16">
      <c r="A343">
        <v>511.77</v>
      </c>
      <c r="B343">
        <v>3</v>
      </c>
      <c r="C343" t="s">
        <v>1732</v>
      </c>
      <c r="D343" t="s">
        <v>1733</v>
      </c>
      <c r="E343" t="s">
        <v>1734</v>
      </c>
      <c r="F343" t="s">
        <v>15</v>
      </c>
      <c r="G343" t="s">
        <v>834</v>
      </c>
      <c r="H343" t="s">
        <v>735</v>
      </c>
      <c r="I343" t="s">
        <v>51</v>
      </c>
      <c r="J343">
        <v>170.59</v>
      </c>
      <c r="K343" s="1">
        <v>45916</v>
      </c>
      <c r="L343" t="s">
        <v>48</v>
      </c>
      <c r="M343">
        <v>16</v>
      </c>
      <c r="N343">
        <v>9</v>
      </c>
      <c r="O343">
        <v>3</v>
      </c>
      <c r="P343">
        <v>2025</v>
      </c>
    </row>
    <row r="344" spans="1:16">
      <c r="A344">
        <v>18.559999999999999</v>
      </c>
      <c r="B344">
        <v>1</v>
      </c>
      <c r="C344" t="s">
        <v>2834</v>
      </c>
      <c r="D344" t="s">
        <v>2835</v>
      </c>
      <c r="E344" t="s">
        <v>1335</v>
      </c>
      <c r="F344" t="s">
        <v>1071</v>
      </c>
      <c r="G344" t="s">
        <v>817</v>
      </c>
      <c r="H344" t="s">
        <v>672</v>
      </c>
      <c r="I344" t="s">
        <v>55</v>
      </c>
      <c r="J344">
        <v>18.559999999999999</v>
      </c>
      <c r="K344" s="1">
        <v>46128</v>
      </c>
      <c r="L344" t="s">
        <v>105</v>
      </c>
      <c r="M344">
        <v>16</v>
      </c>
      <c r="N344">
        <v>4</v>
      </c>
      <c r="O344">
        <v>2</v>
      </c>
      <c r="P344">
        <v>2026</v>
      </c>
    </row>
    <row r="345" spans="1:16">
      <c r="A345">
        <v>91.88</v>
      </c>
      <c r="B345">
        <v>4</v>
      </c>
      <c r="C345" t="s">
        <v>2209</v>
      </c>
      <c r="D345" t="s">
        <v>2210</v>
      </c>
      <c r="E345" t="s">
        <v>1035</v>
      </c>
      <c r="F345" t="s">
        <v>1630</v>
      </c>
      <c r="G345" t="s">
        <v>763</v>
      </c>
      <c r="H345" t="s">
        <v>90</v>
      </c>
      <c r="I345" t="s">
        <v>23</v>
      </c>
      <c r="J345">
        <v>22.97</v>
      </c>
      <c r="K345" s="1">
        <v>45902</v>
      </c>
      <c r="L345" t="s">
        <v>48</v>
      </c>
      <c r="M345">
        <v>2</v>
      </c>
      <c r="N345">
        <v>9</v>
      </c>
      <c r="O345">
        <v>3</v>
      </c>
      <c r="P345">
        <v>2025</v>
      </c>
    </row>
    <row r="346" spans="1:16">
      <c r="A346">
        <v>105.39000000000001</v>
      </c>
      <c r="B346">
        <v>3</v>
      </c>
      <c r="C346" t="s">
        <v>866</v>
      </c>
      <c r="D346" t="s">
        <v>867</v>
      </c>
      <c r="E346" t="s">
        <v>868</v>
      </c>
      <c r="F346" t="s">
        <v>869</v>
      </c>
      <c r="G346" t="s">
        <v>812</v>
      </c>
      <c r="H346" t="s">
        <v>559</v>
      </c>
      <c r="I346" t="s">
        <v>97</v>
      </c>
      <c r="J346">
        <v>35.130000000000003</v>
      </c>
      <c r="K346" s="1">
        <v>45931</v>
      </c>
      <c r="L346" t="s">
        <v>34</v>
      </c>
      <c r="M346">
        <v>1</v>
      </c>
      <c r="N346">
        <v>10</v>
      </c>
      <c r="O346">
        <v>4</v>
      </c>
      <c r="P346">
        <v>2025</v>
      </c>
    </row>
    <row r="347" spans="1:16">
      <c r="A347">
        <v>176.46</v>
      </c>
      <c r="B347">
        <v>1</v>
      </c>
      <c r="C347" t="s">
        <v>3005</v>
      </c>
      <c r="D347" t="s">
        <v>3006</v>
      </c>
      <c r="E347" t="s">
        <v>2275</v>
      </c>
      <c r="F347" t="s">
        <v>392</v>
      </c>
      <c r="G347" t="s">
        <v>943</v>
      </c>
      <c r="H347" t="s">
        <v>647</v>
      </c>
      <c r="I347" t="s">
        <v>57</v>
      </c>
      <c r="J347">
        <v>176.46</v>
      </c>
      <c r="K347" s="1">
        <v>46126</v>
      </c>
      <c r="L347" t="s">
        <v>48</v>
      </c>
      <c r="M347">
        <v>14</v>
      </c>
      <c r="N347">
        <v>4</v>
      </c>
      <c r="O347">
        <v>2</v>
      </c>
      <c r="P347">
        <v>2026</v>
      </c>
    </row>
    <row r="348" spans="1:16">
      <c r="A348">
        <v>181.47</v>
      </c>
      <c r="B348">
        <v>3</v>
      </c>
      <c r="C348" t="s">
        <v>1982</v>
      </c>
      <c r="D348" t="s">
        <v>1983</v>
      </c>
      <c r="E348" t="s">
        <v>1429</v>
      </c>
      <c r="F348" t="s">
        <v>1984</v>
      </c>
      <c r="G348" t="s">
        <v>768</v>
      </c>
      <c r="H348" t="s">
        <v>558</v>
      </c>
      <c r="I348" t="s">
        <v>43</v>
      </c>
      <c r="J348">
        <v>60.49</v>
      </c>
      <c r="K348" s="1">
        <v>45891</v>
      </c>
      <c r="L348" t="s">
        <v>79</v>
      </c>
      <c r="M348">
        <v>22</v>
      </c>
      <c r="N348">
        <v>8</v>
      </c>
      <c r="O348">
        <v>3</v>
      </c>
      <c r="P348">
        <v>2025</v>
      </c>
    </row>
    <row r="349" spans="1:16">
      <c r="A349">
        <v>447.64</v>
      </c>
      <c r="B349">
        <v>2</v>
      </c>
      <c r="C349" t="s">
        <v>2398</v>
      </c>
      <c r="D349" t="s">
        <v>2399</v>
      </c>
      <c r="E349" t="s">
        <v>1452</v>
      </c>
      <c r="F349" t="s">
        <v>816</v>
      </c>
      <c r="G349" t="s">
        <v>817</v>
      </c>
      <c r="H349" t="s">
        <v>588</v>
      </c>
      <c r="I349" t="s">
        <v>82</v>
      </c>
      <c r="J349">
        <v>223.82</v>
      </c>
      <c r="K349" s="1">
        <v>46131</v>
      </c>
      <c r="L349" t="s">
        <v>28</v>
      </c>
      <c r="M349">
        <v>19</v>
      </c>
      <c r="N349">
        <v>4</v>
      </c>
      <c r="O349">
        <v>2</v>
      </c>
      <c r="P349">
        <v>2026</v>
      </c>
    </row>
    <row r="350" spans="1:16">
      <c r="A350">
        <v>740.19999999999993</v>
      </c>
      <c r="B350">
        <v>5</v>
      </c>
      <c r="C350" t="s">
        <v>3193</v>
      </c>
      <c r="D350" t="s">
        <v>3194</v>
      </c>
      <c r="E350" t="s">
        <v>1274</v>
      </c>
      <c r="F350" t="s">
        <v>1089</v>
      </c>
      <c r="G350" t="s">
        <v>812</v>
      </c>
      <c r="H350" t="s">
        <v>260</v>
      </c>
      <c r="I350" t="s">
        <v>46</v>
      </c>
      <c r="J350">
        <v>148.04</v>
      </c>
      <c r="K350" s="1">
        <v>45816</v>
      </c>
      <c r="L350" t="s">
        <v>28</v>
      </c>
      <c r="M350">
        <v>8</v>
      </c>
      <c r="N350">
        <v>6</v>
      </c>
      <c r="O350">
        <v>2</v>
      </c>
      <c r="P350">
        <v>2025</v>
      </c>
    </row>
    <row r="351" spans="1:16">
      <c r="A351">
        <v>802.15000000000009</v>
      </c>
      <c r="B351">
        <v>5</v>
      </c>
      <c r="C351" t="s">
        <v>2579</v>
      </c>
      <c r="D351" t="s">
        <v>2580</v>
      </c>
      <c r="E351" t="s">
        <v>2581</v>
      </c>
      <c r="F351" t="s">
        <v>562</v>
      </c>
      <c r="G351" t="s">
        <v>753</v>
      </c>
      <c r="H351" t="s">
        <v>424</v>
      </c>
      <c r="I351" t="s">
        <v>69</v>
      </c>
      <c r="J351">
        <v>160.43</v>
      </c>
      <c r="K351" s="1">
        <v>45566</v>
      </c>
      <c r="L351" t="s">
        <v>48</v>
      </c>
      <c r="M351">
        <v>1</v>
      </c>
      <c r="N351">
        <v>10</v>
      </c>
      <c r="O351">
        <v>4</v>
      </c>
      <c r="P351">
        <v>2024</v>
      </c>
    </row>
    <row r="352" spans="1:16">
      <c r="A352">
        <v>152.88</v>
      </c>
      <c r="B352">
        <v>2</v>
      </c>
      <c r="C352" t="s">
        <v>2047</v>
      </c>
      <c r="D352" t="s">
        <v>2048</v>
      </c>
      <c r="E352" t="s">
        <v>2043</v>
      </c>
      <c r="F352" t="s">
        <v>49</v>
      </c>
      <c r="G352" t="s">
        <v>807</v>
      </c>
      <c r="H352" t="s">
        <v>92</v>
      </c>
      <c r="I352" t="s">
        <v>51</v>
      </c>
      <c r="J352">
        <v>76.44</v>
      </c>
      <c r="K352" s="1">
        <v>45962</v>
      </c>
      <c r="L352" t="s">
        <v>14</v>
      </c>
      <c r="M352">
        <v>1</v>
      </c>
      <c r="N352">
        <v>11</v>
      </c>
      <c r="O352">
        <v>4</v>
      </c>
      <c r="P352">
        <v>2025</v>
      </c>
    </row>
    <row r="353" spans="1:16">
      <c r="A353">
        <v>309.76</v>
      </c>
      <c r="B353">
        <v>2</v>
      </c>
      <c r="C353" t="s">
        <v>2819</v>
      </c>
      <c r="D353" t="s">
        <v>2820</v>
      </c>
      <c r="E353" t="s">
        <v>1619</v>
      </c>
      <c r="F353" t="s">
        <v>1032</v>
      </c>
      <c r="G353" t="s">
        <v>839</v>
      </c>
      <c r="H353" t="s">
        <v>704</v>
      </c>
      <c r="I353" t="s">
        <v>51</v>
      </c>
      <c r="J353">
        <v>154.88</v>
      </c>
      <c r="K353" s="1">
        <v>45702</v>
      </c>
      <c r="L353" t="s">
        <v>79</v>
      </c>
      <c r="M353">
        <v>14</v>
      </c>
      <c r="N353">
        <v>2</v>
      </c>
      <c r="O353">
        <v>1</v>
      </c>
      <c r="P353">
        <v>2025</v>
      </c>
    </row>
    <row r="354" spans="1:16">
      <c r="A354">
        <v>130.97999999999999</v>
      </c>
      <c r="B354">
        <v>3</v>
      </c>
      <c r="C354" t="s">
        <v>2641</v>
      </c>
      <c r="D354" t="s">
        <v>2642</v>
      </c>
      <c r="E354" t="s">
        <v>2643</v>
      </c>
      <c r="F354" t="s">
        <v>785</v>
      </c>
      <c r="G354" t="s">
        <v>786</v>
      </c>
      <c r="H354" t="s">
        <v>675</v>
      </c>
      <c r="I354" t="s">
        <v>97</v>
      </c>
      <c r="J354">
        <v>43.66</v>
      </c>
      <c r="K354" s="1">
        <v>45607</v>
      </c>
      <c r="L354" t="s">
        <v>93</v>
      </c>
      <c r="M354">
        <v>11</v>
      </c>
      <c r="N354">
        <v>11</v>
      </c>
      <c r="O354">
        <v>4</v>
      </c>
      <c r="P354">
        <v>2024</v>
      </c>
    </row>
    <row r="355" spans="1:16">
      <c r="A355">
        <v>5.48</v>
      </c>
      <c r="B355">
        <v>4</v>
      </c>
      <c r="C355" t="s">
        <v>3286</v>
      </c>
      <c r="D355" t="s">
        <v>3287</v>
      </c>
      <c r="E355" t="s">
        <v>1629</v>
      </c>
      <c r="F355" t="s">
        <v>862</v>
      </c>
      <c r="G355" t="s">
        <v>807</v>
      </c>
      <c r="H355" t="s">
        <v>85</v>
      </c>
      <c r="I355" t="s">
        <v>37</v>
      </c>
      <c r="J355">
        <v>1.37</v>
      </c>
      <c r="K355" s="1">
        <v>45860</v>
      </c>
      <c r="L355" t="s">
        <v>48</v>
      </c>
      <c r="M355">
        <v>22</v>
      </c>
      <c r="N355">
        <v>7</v>
      </c>
      <c r="O355">
        <v>3</v>
      </c>
      <c r="P355">
        <v>2025</v>
      </c>
    </row>
    <row r="356" spans="1:16">
      <c r="A356">
        <v>789.04</v>
      </c>
      <c r="B356">
        <v>4</v>
      </c>
      <c r="C356" t="s">
        <v>2785</v>
      </c>
      <c r="D356" t="s">
        <v>2786</v>
      </c>
      <c r="E356" t="s">
        <v>2787</v>
      </c>
      <c r="F356" t="s">
        <v>838</v>
      </c>
      <c r="G356" t="s">
        <v>839</v>
      </c>
      <c r="H356" t="s">
        <v>293</v>
      </c>
      <c r="I356" t="s">
        <v>100</v>
      </c>
      <c r="J356">
        <v>197.26</v>
      </c>
      <c r="K356" s="1">
        <v>45728</v>
      </c>
      <c r="L356" t="s">
        <v>34</v>
      </c>
      <c r="M356">
        <v>12</v>
      </c>
      <c r="N356">
        <v>3</v>
      </c>
      <c r="O356">
        <v>1</v>
      </c>
      <c r="P356">
        <v>2025</v>
      </c>
    </row>
    <row r="357" spans="1:16">
      <c r="A357">
        <v>696.42</v>
      </c>
      <c r="B357">
        <v>3</v>
      </c>
      <c r="C357" t="s">
        <v>2146</v>
      </c>
      <c r="D357" t="s">
        <v>2147</v>
      </c>
      <c r="E357" t="s">
        <v>2148</v>
      </c>
      <c r="F357" t="s">
        <v>1525</v>
      </c>
      <c r="G357" t="s">
        <v>763</v>
      </c>
      <c r="H357" t="s">
        <v>439</v>
      </c>
      <c r="I357" t="s">
        <v>21</v>
      </c>
      <c r="J357">
        <v>232.14</v>
      </c>
      <c r="K357" s="1">
        <v>45785</v>
      </c>
      <c r="L357" t="s">
        <v>105</v>
      </c>
      <c r="M357">
        <v>8</v>
      </c>
      <c r="N357">
        <v>5</v>
      </c>
      <c r="O357">
        <v>2</v>
      </c>
      <c r="P357">
        <v>2025</v>
      </c>
    </row>
    <row r="358" spans="1:16">
      <c r="A358">
        <v>115.85000000000001</v>
      </c>
      <c r="B358">
        <v>5</v>
      </c>
      <c r="C358" t="s">
        <v>2669</v>
      </c>
      <c r="D358" t="s">
        <v>2670</v>
      </c>
      <c r="E358" t="s">
        <v>1025</v>
      </c>
      <c r="F358" t="s">
        <v>942</v>
      </c>
      <c r="G358" t="s">
        <v>943</v>
      </c>
      <c r="H358" t="s">
        <v>726</v>
      </c>
      <c r="I358" t="s">
        <v>100</v>
      </c>
      <c r="J358">
        <v>23.17</v>
      </c>
      <c r="K358" s="1">
        <v>45585</v>
      </c>
      <c r="L358" t="s">
        <v>28</v>
      </c>
      <c r="M358">
        <v>20</v>
      </c>
      <c r="N358">
        <v>10</v>
      </c>
      <c r="O358">
        <v>4</v>
      </c>
      <c r="P358">
        <v>2024</v>
      </c>
    </row>
    <row r="359" spans="1:16">
      <c r="A359">
        <v>140.91999999999999</v>
      </c>
      <c r="B359">
        <v>4</v>
      </c>
      <c r="C359" t="s">
        <v>1366</v>
      </c>
      <c r="D359" t="s">
        <v>1367</v>
      </c>
      <c r="E359" t="s">
        <v>1020</v>
      </c>
      <c r="F359" t="s">
        <v>136</v>
      </c>
      <c r="G359" t="s">
        <v>954</v>
      </c>
      <c r="H359" t="s">
        <v>261</v>
      </c>
      <c r="I359" t="s">
        <v>31</v>
      </c>
      <c r="J359">
        <v>35.229999999999997</v>
      </c>
      <c r="K359" s="1">
        <v>46106</v>
      </c>
      <c r="L359" t="s">
        <v>34</v>
      </c>
      <c r="M359">
        <v>25</v>
      </c>
      <c r="N359">
        <v>3</v>
      </c>
      <c r="O359">
        <v>1</v>
      </c>
      <c r="P359">
        <v>2026</v>
      </c>
    </row>
    <row r="360" spans="1:16">
      <c r="A360">
        <v>116.34</v>
      </c>
      <c r="B360">
        <v>2</v>
      </c>
      <c r="C360" t="s">
        <v>3191</v>
      </c>
      <c r="D360" t="s">
        <v>3192</v>
      </c>
      <c r="E360" t="s">
        <v>1862</v>
      </c>
      <c r="F360" t="s">
        <v>1465</v>
      </c>
      <c r="G360" t="s">
        <v>817</v>
      </c>
      <c r="H360" t="s">
        <v>615</v>
      </c>
      <c r="I360" t="s">
        <v>100</v>
      </c>
      <c r="J360">
        <v>58.17</v>
      </c>
      <c r="K360" s="1">
        <v>45621</v>
      </c>
      <c r="L360" t="s">
        <v>93</v>
      </c>
      <c r="M360">
        <v>25</v>
      </c>
      <c r="N360">
        <v>11</v>
      </c>
      <c r="O360">
        <v>4</v>
      </c>
      <c r="P360">
        <v>2024</v>
      </c>
    </row>
    <row r="361" spans="1:16">
      <c r="A361">
        <v>400.96</v>
      </c>
      <c r="B361">
        <v>2</v>
      </c>
      <c r="C361" t="s">
        <v>1065</v>
      </c>
      <c r="D361" t="s">
        <v>1066</v>
      </c>
      <c r="E361" t="s">
        <v>984</v>
      </c>
      <c r="F361" t="s">
        <v>1067</v>
      </c>
      <c r="G361" t="s">
        <v>854</v>
      </c>
      <c r="H361" t="s">
        <v>2254</v>
      </c>
      <c r="I361" t="s">
        <v>43</v>
      </c>
      <c r="J361">
        <v>200.48</v>
      </c>
      <c r="K361" s="1">
        <v>45856</v>
      </c>
      <c r="L361" t="s">
        <v>79</v>
      </c>
      <c r="M361">
        <v>18</v>
      </c>
      <c r="N361">
        <v>7</v>
      </c>
      <c r="O361">
        <v>3</v>
      </c>
      <c r="P361">
        <v>2025</v>
      </c>
    </row>
    <row r="362" spans="1:16">
      <c r="A362">
        <v>14.88</v>
      </c>
      <c r="B362">
        <v>1</v>
      </c>
      <c r="C362" t="s">
        <v>1407</v>
      </c>
      <c r="D362" t="s">
        <v>1408</v>
      </c>
      <c r="E362" t="s">
        <v>1409</v>
      </c>
      <c r="F362" t="s">
        <v>1410</v>
      </c>
      <c r="G362" t="s">
        <v>812</v>
      </c>
      <c r="H362" t="s">
        <v>349</v>
      </c>
      <c r="I362" t="s">
        <v>51</v>
      </c>
      <c r="J362">
        <v>14.88</v>
      </c>
      <c r="K362" s="1">
        <v>45610</v>
      </c>
      <c r="L362" t="s">
        <v>105</v>
      </c>
      <c r="M362">
        <v>14</v>
      </c>
      <c r="N362">
        <v>11</v>
      </c>
      <c r="O362">
        <v>4</v>
      </c>
      <c r="P362">
        <v>2024</v>
      </c>
    </row>
    <row r="363" spans="1:16">
      <c r="A363">
        <v>699.63</v>
      </c>
      <c r="B363">
        <v>3</v>
      </c>
      <c r="C363" t="s">
        <v>996</v>
      </c>
      <c r="D363" t="s">
        <v>997</v>
      </c>
      <c r="E363" t="s">
        <v>998</v>
      </c>
      <c r="F363" t="s">
        <v>762</v>
      </c>
      <c r="G363" t="s">
        <v>763</v>
      </c>
      <c r="H363" t="s">
        <v>648</v>
      </c>
      <c r="I363" t="s">
        <v>57</v>
      </c>
      <c r="J363">
        <v>233.21</v>
      </c>
      <c r="K363" s="1">
        <v>45702</v>
      </c>
      <c r="L363" t="s">
        <v>79</v>
      </c>
      <c r="M363">
        <v>14</v>
      </c>
      <c r="N363">
        <v>2</v>
      </c>
      <c r="O363">
        <v>1</v>
      </c>
      <c r="P363">
        <v>2025</v>
      </c>
    </row>
    <row r="364" spans="1:16">
      <c r="A364">
        <v>4.88</v>
      </c>
      <c r="B364">
        <v>4</v>
      </c>
      <c r="C364" t="s">
        <v>2853</v>
      </c>
      <c r="D364" t="s">
        <v>2854</v>
      </c>
      <c r="E364" t="s">
        <v>2522</v>
      </c>
      <c r="F364" t="s">
        <v>2332</v>
      </c>
      <c r="G364" t="s">
        <v>1003</v>
      </c>
      <c r="H364" t="s">
        <v>242</v>
      </c>
      <c r="I364" t="s">
        <v>19</v>
      </c>
      <c r="J364">
        <v>1.22</v>
      </c>
      <c r="K364" s="1">
        <v>45831</v>
      </c>
      <c r="L364" t="s">
        <v>93</v>
      </c>
      <c r="M364">
        <v>23</v>
      </c>
      <c r="N364">
        <v>6</v>
      </c>
      <c r="O364">
        <v>2</v>
      </c>
      <c r="P364">
        <v>2025</v>
      </c>
    </row>
    <row r="365" spans="1:16">
      <c r="A365">
        <v>176.04</v>
      </c>
      <c r="B365">
        <v>4</v>
      </c>
      <c r="C365" t="s">
        <v>2696</v>
      </c>
      <c r="D365" t="s">
        <v>2697</v>
      </c>
      <c r="E365" t="s">
        <v>2365</v>
      </c>
      <c r="F365" t="s">
        <v>1649</v>
      </c>
      <c r="G365" t="s">
        <v>790</v>
      </c>
      <c r="H365" t="s">
        <v>689</v>
      </c>
      <c r="I365" t="s">
        <v>55</v>
      </c>
      <c r="J365">
        <v>44.01</v>
      </c>
      <c r="K365" s="1">
        <v>45763</v>
      </c>
      <c r="L365" t="s">
        <v>34</v>
      </c>
      <c r="M365">
        <v>16</v>
      </c>
      <c r="N365">
        <v>4</v>
      </c>
      <c r="O365">
        <v>2</v>
      </c>
      <c r="P365">
        <v>2025</v>
      </c>
    </row>
    <row r="366" spans="1:16">
      <c r="A366">
        <v>399.15</v>
      </c>
      <c r="B366">
        <v>5</v>
      </c>
      <c r="C366" t="s">
        <v>1780</v>
      </c>
      <c r="D366" t="s">
        <v>1781</v>
      </c>
      <c r="E366" t="s">
        <v>1709</v>
      </c>
      <c r="F366" t="s">
        <v>1054</v>
      </c>
      <c r="G366" t="s">
        <v>892</v>
      </c>
      <c r="H366" t="s">
        <v>234</v>
      </c>
      <c r="I366" t="s">
        <v>82</v>
      </c>
      <c r="J366">
        <v>79.83</v>
      </c>
      <c r="K366" s="1">
        <v>45776</v>
      </c>
      <c r="L366" t="s">
        <v>48</v>
      </c>
      <c r="M366">
        <v>29</v>
      </c>
      <c r="N366">
        <v>4</v>
      </c>
      <c r="O366">
        <v>2</v>
      </c>
      <c r="P366">
        <v>2025</v>
      </c>
    </row>
    <row r="367" spans="1:16">
      <c r="A367">
        <v>231.29999999999998</v>
      </c>
      <c r="B367">
        <v>5</v>
      </c>
      <c r="C367" t="s">
        <v>1083</v>
      </c>
      <c r="D367" t="s">
        <v>1084</v>
      </c>
      <c r="E367" t="s">
        <v>1085</v>
      </c>
      <c r="F367" t="s">
        <v>1007</v>
      </c>
      <c r="G367" t="s">
        <v>966</v>
      </c>
      <c r="H367" t="s">
        <v>190</v>
      </c>
      <c r="I367" t="s">
        <v>39</v>
      </c>
      <c r="J367">
        <v>46.26</v>
      </c>
      <c r="K367" s="1">
        <v>46263</v>
      </c>
      <c r="L367" t="s">
        <v>14</v>
      </c>
      <c r="M367">
        <v>29</v>
      </c>
      <c r="N367">
        <v>8</v>
      </c>
      <c r="O367">
        <v>3</v>
      </c>
      <c r="P367">
        <v>2026</v>
      </c>
    </row>
    <row r="368" spans="1:16">
      <c r="A368">
        <v>100.46</v>
      </c>
      <c r="B368">
        <v>1</v>
      </c>
      <c r="C368" t="s">
        <v>2205</v>
      </c>
      <c r="D368" t="s">
        <v>2206</v>
      </c>
      <c r="E368" t="s">
        <v>1114</v>
      </c>
      <c r="F368" t="s">
        <v>635</v>
      </c>
      <c r="G368" t="s">
        <v>768</v>
      </c>
      <c r="H368" t="s">
        <v>703</v>
      </c>
      <c r="I368" t="s">
        <v>60</v>
      </c>
      <c r="J368">
        <v>100.46</v>
      </c>
      <c r="K368" s="1">
        <v>46157</v>
      </c>
      <c r="L368" t="s">
        <v>79</v>
      </c>
      <c r="M368">
        <v>15</v>
      </c>
      <c r="N368">
        <v>5</v>
      </c>
      <c r="O368">
        <v>2</v>
      </c>
      <c r="P368">
        <v>2026</v>
      </c>
    </row>
    <row r="369" spans="1:16">
      <c r="A369">
        <v>519.81000000000006</v>
      </c>
      <c r="B369">
        <v>3</v>
      </c>
      <c r="C369" t="s">
        <v>3288</v>
      </c>
      <c r="D369" t="s">
        <v>3289</v>
      </c>
      <c r="E369" t="s">
        <v>1493</v>
      </c>
      <c r="F369" t="s">
        <v>1318</v>
      </c>
      <c r="G369" t="s">
        <v>807</v>
      </c>
      <c r="H369" t="s">
        <v>185</v>
      </c>
      <c r="I369" t="s">
        <v>57</v>
      </c>
      <c r="J369">
        <v>173.27</v>
      </c>
      <c r="K369" s="1">
        <v>45844</v>
      </c>
      <c r="L369" t="s">
        <v>28</v>
      </c>
      <c r="M369">
        <v>6</v>
      </c>
      <c r="N369">
        <v>7</v>
      </c>
      <c r="O369">
        <v>3</v>
      </c>
      <c r="P369">
        <v>2025</v>
      </c>
    </row>
    <row r="370" spans="1:16">
      <c r="A370">
        <v>712.89</v>
      </c>
      <c r="B370">
        <v>3</v>
      </c>
      <c r="C370" t="s">
        <v>1163</v>
      </c>
      <c r="D370" t="s">
        <v>1164</v>
      </c>
      <c r="E370" t="s">
        <v>1165</v>
      </c>
      <c r="F370" t="s">
        <v>464</v>
      </c>
      <c r="G370" t="s">
        <v>896</v>
      </c>
      <c r="H370" t="s">
        <v>202</v>
      </c>
      <c r="I370" t="s">
        <v>17</v>
      </c>
      <c r="J370">
        <v>237.63</v>
      </c>
      <c r="K370" s="1">
        <v>45644</v>
      </c>
      <c r="L370" t="s">
        <v>34</v>
      </c>
      <c r="M370">
        <v>18</v>
      </c>
      <c r="N370">
        <v>12</v>
      </c>
      <c r="O370">
        <v>4</v>
      </c>
      <c r="P370">
        <v>2024</v>
      </c>
    </row>
    <row r="371" spans="1:16">
      <c r="A371">
        <v>386.44</v>
      </c>
      <c r="B371">
        <v>2</v>
      </c>
      <c r="C371" t="s">
        <v>2063</v>
      </c>
      <c r="D371" t="s">
        <v>2064</v>
      </c>
      <c r="E371" t="s">
        <v>2065</v>
      </c>
      <c r="F371" t="s">
        <v>1156</v>
      </c>
      <c r="G371" t="s">
        <v>821</v>
      </c>
      <c r="H371" t="s">
        <v>430</v>
      </c>
      <c r="I371" t="s">
        <v>27</v>
      </c>
      <c r="J371">
        <v>193.22</v>
      </c>
      <c r="K371" s="1">
        <v>46079</v>
      </c>
      <c r="L371" t="s">
        <v>105</v>
      </c>
      <c r="M371">
        <v>26</v>
      </c>
      <c r="N371">
        <v>2</v>
      </c>
      <c r="O371">
        <v>1</v>
      </c>
      <c r="P371">
        <v>2026</v>
      </c>
    </row>
    <row r="372" spans="1:16">
      <c r="A372">
        <v>208.84</v>
      </c>
      <c r="B372">
        <v>4</v>
      </c>
      <c r="C372" t="s">
        <v>2192</v>
      </c>
      <c r="D372" t="s">
        <v>2193</v>
      </c>
      <c r="E372" t="s">
        <v>865</v>
      </c>
      <c r="F372" t="s">
        <v>772</v>
      </c>
      <c r="G372" t="s">
        <v>758</v>
      </c>
      <c r="H372" t="s">
        <v>137</v>
      </c>
      <c r="I372" t="s">
        <v>82</v>
      </c>
      <c r="J372">
        <v>52.21</v>
      </c>
      <c r="K372" s="1">
        <v>46147</v>
      </c>
      <c r="L372" t="s">
        <v>48</v>
      </c>
      <c r="M372">
        <v>5</v>
      </c>
      <c r="N372">
        <v>5</v>
      </c>
      <c r="O372">
        <v>2</v>
      </c>
      <c r="P372">
        <v>2026</v>
      </c>
    </row>
    <row r="373" spans="1:16">
      <c r="A373">
        <v>23.08</v>
      </c>
      <c r="B373">
        <v>4</v>
      </c>
      <c r="C373" t="s">
        <v>1778</v>
      </c>
      <c r="D373" t="s">
        <v>1779</v>
      </c>
      <c r="E373" t="s">
        <v>1220</v>
      </c>
      <c r="F373" t="s">
        <v>919</v>
      </c>
      <c r="G373" t="s">
        <v>786</v>
      </c>
      <c r="H373" t="s">
        <v>140</v>
      </c>
      <c r="I373" t="s">
        <v>17</v>
      </c>
      <c r="J373">
        <v>5.77</v>
      </c>
      <c r="K373" s="1">
        <v>46100</v>
      </c>
      <c r="L373" t="s">
        <v>105</v>
      </c>
      <c r="M373">
        <v>19</v>
      </c>
      <c r="N373">
        <v>3</v>
      </c>
      <c r="O373">
        <v>1</v>
      </c>
      <c r="P373">
        <v>2026</v>
      </c>
    </row>
    <row r="374" spans="1:16">
      <c r="A374">
        <v>266.06</v>
      </c>
      <c r="B374">
        <v>2</v>
      </c>
      <c r="C374" t="s">
        <v>2669</v>
      </c>
      <c r="D374" t="s">
        <v>2670</v>
      </c>
      <c r="E374" t="s">
        <v>1025</v>
      </c>
      <c r="F374" t="s">
        <v>942</v>
      </c>
      <c r="G374" t="s">
        <v>943</v>
      </c>
      <c r="H374" t="s">
        <v>112</v>
      </c>
      <c r="I374" t="s">
        <v>21</v>
      </c>
      <c r="J374">
        <v>133.03</v>
      </c>
      <c r="K374" s="1">
        <v>46264</v>
      </c>
      <c r="L374" t="s">
        <v>28</v>
      </c>
      <c r="M374">
        <v>30</v>
      </c>
      <c r="N374">
        <v>8</v>
      </c>
      <c r="O374">
        <v>3</v>
      </c>
      <c r="P374">
        <v>2026</v>
      </c>
    </row>
    <row r="375" spans="1:16">
      <c r="A375">
        <v>366.24</v>
      </c>
      <c r="B375">
        <v>3</v>
      </c>
      <c r="C375" t="s">
        <v>2625</v>
      </c>
      <c r="D375" t="s">
        <v>2626</v>
      </c>
      <c r="E375" t="s">
        <v>1383</v>
      </c>
      <c r="F375" t="s">
        <v>106</v>
      </c>
      <c r="G375" t="s">
        <v>748</v>
      </c>
      <c r="H375" t="s">
        <v>646</v>
      </c>
      <c r="I375" t="s">
        <v>21</v>
      </c>
      <c r="J375">
        <v>122.08</v>
      </c>
      <c r="K375" s="1">
        <v>45747</v>
      </c>
      <c r="L375" t="s">
        <v>93</v>
      </c>
      <c r="M375">
        <v>31</v>
      </c>
      <c r="N375">
        <v>3</v>
      </c>
      <c r="O375">
        <v>1</v>
      </c>
      <c r="P375">
        <v>2025</v>
      </c>
    </row>
    <row r="376" spans="1:16">
      <c r="A376">
        <v>352.32</v>
      </c>
      <c r="B376">
        <v>3</v>
      </c>
      <c r="C376" t="s">
        <v>2031</v>
      </c>
      <c r="D376" t="s">
        <v>2032</v>
      </c>
      <c r="E376" t="s">
        <v>2033</v>
      </c>
      <c r="F376" t="s">
        <v>929</v>
      </c>
      <c r="G376" t="s">
        <v>830</v>
      </c>
      <c r="H376" t="s">
        <v>419</v>
      </c>
      <c r="I376" t="s">
        <v>39</v>
      </c>
      <c r="J376">
        <v>117.44</v>
      </c>
      <c r="K376" s="1">
        <v>46083</v>
      </c>
      <c r="L376" t="s">
        <v>93</v>
      </c>
      <c r="M376">
        <v>2</v>
      </c>
      <c r="N376">
        <v>3</v>
      </c>
      <c r="O376">
        <v>1</v>
      </c>
      <c r="P376">
        <v>2026</v>
      </c>
    </row>
    <row r="377" spans="1:16">
      <c r="A377">
        <v>42.150000000000006</v>
      </c>
      <c r="B377">
        <v>3</v>
      </c>
      <c r="C377" t="s">
        <v>2893</v>
      </c>
      <c r="D377" t="s">
        <v>2894</v>
      </c>
      <c r="E377" t="s">
        <v>2141</v>
      </c>
      <c r="F377" t="s">
        <v>1302</v>
      </c>
      <c r="G377" t="s">
        <v>786</v>
      </c>
      <c r="H377" t="s">
        <v>435</v>
      </c>
      <c r="I377" t="s">
        <v>51</v>
      </c>
      <c r="J377">
        <v>14.05</v>
      </c>
      <c r="K377" s="1">
        <v>45848</v>
      </c>
      <c r="L377" t="s">
        <v>105</v>
      </c>
      <c r="M377">
        <v>10</v>
      </c>
      <c r="N377">
        <v>7</v>
      </c>
      <c r="O377">
        <v>3</v>
      </c>
      <c r="P377">
        <v>2025</v>
      </c>
    </row>
    <row r="378" spans="1:16">
      <c r="A378">
        <v>210.35</v>
      </c>
      <c r="B378">
        <v>5</v>
      </c>
      <c r="C378" t="s">
        <v>3320</v>
      </c>
      <c r="D378" t="s">
        <v>3321</v>
      </c>
      <c r="E378" t="s">
        <v>3322</v>
      </c>
      <c r="F378" t="s">
        <v>199</v>
      </c>
      <c r="G378" t="s">
        <v>781</v>
      </c>
      <c r="H378" t="s">
        <v>629</v>
      </c>
      <c r="I378" t="s">
        <v>43</v>
      </c>
      <c r="J378">
        <v>42.07</v>
      </c>
      <c r="K378" s="1">
        <v>45676</v>
      </c>
      <c r="L378" t="s">
        <v>28</v>
      </c>
      <c r="M378">
        <v>19</v>
      </c>
      <c r="N378">
        <v>1</v>
      </c>
      <c r="O378">
        <v>1</v>
      </c>
      <c r="P378">
        <v>2025</v>
      </c>
    </row>
    <row r="379" spans="1:16">
      <c r="A379">
        <v>460.54</v>
      </c>
      <c r="B379">
        <v>2</v>
      </c>
      <c r="C379" t="s">
        <v>2899</v>
      </c>
      <c r="D379" t="s">
        <v>2900</v>
      </c>
      <c r="E379" t="s">
        <v>1152</v>
      </c>
      <c r="F379" t="s">
        <v>464</v>
      </c>
      <c r="G379" t="s">
        <v>896</v>
      </c>
      <c r="H379" t="s">
        <v>200</v>
      </c>
      <c r="I379" t="s">
        <v>17</v>
      </c>
      <c r="J379">
        <v>230.27</v>
      </c>
      <c r="K379" s="1">
        <v>45819</v>
      </c>
      <c r="L379" t="s">
        <v>34</v>
      </c>
      <c r="M379">
        <v>11</v>
      </c>
      <c r="N379">
        <v>6</v>
      </c>
      <c r="O379">
        <v>2</v>
      </c>
      <c r="P379">
        <v>2025</v>
      </c>
    </row>
    <row r="380" spans="1:16">
      <c r="A380">
        <v>114.60000000000001</v>
      </c>
      <c r="B380">
        <v>5</v>
      </c>
      <c r="C380" t="s">
        <v>1008</v>
      </c>
      <c r="D380" t="s">
        <v>1009</v>
      </c>
      <c r="E380" t="s">
        <v>1010</v>
      </c>
      <c r="F380" t="s">
        <v>829</v>
      </c>
      <c r="G380" t="s">
        <v>830</v>
      </c>
      <c r="H380" t="s">
        <v>167</v>
      </c>
      <c r="I380" t="s">
        <v>23</v>
      </c>
      <c r="J380">
        <v>22.92</v>
      </c>
      <c r="K380" s="1">
        <v>46247</v>
      </c>
      <c r="L380" t="s">
        <v>105</v>
      </c>
      <c r="M380">
        <v>13</v>
      </c>
      <c r="N380">
        <v>8</v>
      </c>
      <c r="O380">
        <v>3</v>
      </c>
      <c r="P380">
        <v>2026</v>
      </c>
    </row>
    <row r="381" spans="1:16">
      <c r="A381">
        <v>151.94999999999999</v>
      </c>
      <c r="B381">
        <v>3</v>
      </c>
      <c r="C381" t="s">
        <v>796</v>
      </c>
      <c r="D381" t="s">
        <v>797</v>
      </c>
      <c r="E381" t="s">
        <v>798</v>
      </c>
      <c r="F381" t="s">
        <v>780</v>
      </c>
      <c r="G381" t="s">
        <v>781</v>
      </c>
      <c r="H381" t="s">
        <v>403</v>
      </c>
      <c r="I381" t="s">
        <v>23</v>
      </c>
      <c r="J381">
        <v>50.65</v>
      </c>
      <c r="K381" s="1">
        <v>45839</v>
      </c>
      <c r="L381" t="s">
        <v>48</v>
      </c>
      <c r="M381">
        <v>1</v>
      </c>
      <c r="N381">
        <v>7</v>
      </c>
      <c r="O381">
        <v>3</v>
      </c>
      <c r="P381">
        <v>2025</v>
      </c>
    </row>
    <row r="382" spans="1:16">
      <c r="A382">
        <v>228.74</v>
      </c>
      <c r="B382">
        <v>1</v>
      </c>
      <c r="C382" t="s">
        <v>2393</v>
      </c>
      <c r="D382" t="s">
        <v>2394</v>
      </c>
      <c r="E382" t="s">
        <v>1348</v>
      </c>
      <c r="F382" t="s">
        <v>113</v>
      </c>
      <c r="G382" t="s">
        <v>1247</v>
      </c>
      <c r="H382" t="s">
        <v>566</v>
      </c>
      <c r="I382" t="s">
        <v>69</v>
      </c>
      <c r="J382">
        <v>228.74</v>
      </c>
      <c r="K382" s="1">
        <v>45853</v>
      </c>
      <c r="L382" t="s">
        <v>48</v>
      </c>
      <c r="M382">
        <v>15</v>
      </c>
      <c r="N382">
        <v>7</v>
      </c>
      <c r="O382">
        <v>3</v>
      </c>
      <c r="P382">
        <v>2025</v>
      </c>
    </row>
    <row r="383" spans="1:16">
      <c r="A383">
        <v>410.48</v>
      </c>
      <c r="B383">
        <v>4</v>
      </c>
      <c r="C383" t="s">
        <v>1796</v>
      </c>
      <c r="D383" t="s">
        <v>1797</v>
      </c>
      <c r="E383" t="s">
        <v>1798</v>
      </c>
      <c r="F383" t="s">
        <v>806</v>
      </c>
      <c r="G383" t="s">
        <v>807</v>
      </c>
      <c r="H383" t="s">
        <v>348</v>
      </c>
      <c r="I383" t="s">
        <v>60</v>
      </c>
      <c r="J383">
        <v>102.62</v>
      </c>
      <c r="K383" s="1">
        <v>46200</v>
      </c>
      <c r="L383" t="s">
        <v>14</v>
      </c>
      <c r="M383">
        <v>27</v>
      </c>
      <c r="N383">
        <v>6</v>
      </c>
      <c r="O383">
        <v>2</v>
      </c>
      <c r="P383">
        <v>2026</v>
      </c>
    </row>
    <row r="384" spans="1:16">
      <c r="A384">
        <v>268.94</v>
      </c>
      <c r="B384">
        <v>2</v>
      </c>
      <c r="C384" t="s">
        <v>3046</v>
      </c>
      <c r="D384" t="s">
        <v>3047</v>
      </c>
      <c r="E384" t="s">
        <v>2513</v>
      </c>
      <c r="F384" t="s">
        <v>829</v>
      </c>
      <c r="G384" t="s">
        <v>830</v>
      </c>
      <c r="H384" t="s">
        <v>76</v>
      </c>
      <c r="I384" t="s">
        <v>69</v>
      </c>
      <c r="J384">
        <v>134.47</v>
      </c>
      <c r="K384" s="1">
        <v>45985</v>
      </c>
      <c r="L384" t="s">
        <v>93</v>
      </c>
      <c r="M384">
        <v>24</v>
      </c>
      <c r="N384">
        <v>11</v>
      </c>
      <c r="O384">
        <v>4</v>
      </c>
      <c r="P384">
        <v>2025</v>
      </c>
    </row>
    <row r="385" spans="1:16">
      <c r="A385">
        <v>157.80000000000001</v>
      </c>
      <c r="B385">
        <v>4</v>
      </c>
      <c r="C385" t="s">
        <v>2795</v>
      </c>
      <c r="D385" t="s">
        <v>2796</v>
      </c>
      <c r="E385" t="s">
        <v>2797</v>
      </c>
      <c r="F385" t="s">
        <v>1691</v>
      </c>
      <c r="G385" t="s">
        <v>821</v>
      </c>
      <c r="H385" t="s">
        <v>668</v>
      </c>
      <c r="I385" t="s">
        <v>46</v>
      </c>
      <c r="J385">
        <v>39.450000000000003</v>
      </c>
      <c r="K385" s="1">
        <v>45924</v>
      </c>
      <c r="L385" t="s">
        <v>34</v>
      </c>
      <c r="M385">
        <v>24</v>
      </c>
      <c r="N385">
        <v>9</v>
      </c>
      <c r="O385">
        <v>3</v>
      </c>
      <c r="P385">
        <v>2025</v>
      </c>
    </row>
    <row r="386" spans="1:16">
      <c r="A386">
        <v>519.81000000000006</v>
      </c>
      <c r="B386">
        <v>3</v>
      </c>
      <c r="C386" t="s">
        <v>2171</v>
      </c>
      <c r="D386" t="s">
        <v>2172</v>
      </c>
      <c r="E386" t="s">
        <v>2173</v>
      </c>
      <c r="F386" t="s">
        <v>762</v>
      </c>
      <c r="G386" t="s">
        <v>763</v>
      </c>
      <c r="H386" t="s">
        <v>185</v>
      </c>
      <c r="I386" t="s">
        <v>57</v>
      </c>
      <c r="J386">
        <v>173.27</v>
      </c>
      <c r="K386" s="1">
        <v>45808</v>
      </c>
      <c r="L386" t="s">
        <v>14</v>
      </c>
      <c r="M386">
        <v>31</v>
      </c>
      <c r="N386">
        <v>5</v>
      </c>
      <c r="O386">
        <v>2</v>
      </c>
      <c r="P386">
        <v>2025</v>
      </c>
    </row>
    <row r="387" spans="1:16">
      <c r="A387">
        <v>700.68000000000006</v>
      </c>
      <c r="B387">
        <v>3</v>
      </c>
      <c r="C387" t="s">
        <v>2888</v>
      </c>
      <c r="D387" t="s">
        <v>2889</v>
      </c>
      <c r="E387" t="s">
        <v>2114</v>
      </c>
      <c r="F387" t="s">
        <v>929</v>
      </c>
      <c r="G387" t="s">
        <v>830</v>
      </c>
      <c r="H387" t="s">
        <v>247</v>
      </c>
      <c r="I387" t="s">
        <v>55</v>
      </c>
      <c r="J387">
        <v>233.56</v>
      </c>
      <c r="K387" s="1">
        <v>45727</v>
      </c>
      <c r="L387" t="s">
        <v>48</v>
      </c>
      <c r="M387">
        <v>11</v>
      </c>
      <c r="N387">
        <v>3</v>
      </c>
      <c r="O387">
        <v>1</v>
      </c>
      <c r="P387">
        <v>2025</v>
      </c>
    </row>
    <row r="388" spans="1:16">
      <c r="A388">
        <v>558.40000000000009</v>
      </c>
      <c r="B388">
        <v>5</v>
      </c>
      <c r="C388" t="s">
        <v>1894</v>
      </c>
      <c r="D388" t="s">
        <v>1895</v>
      </c>
      <c r="E388" t="s">
        <v>1387</v>
      </c>
      <c r="F388" t="s">
        <v>1213</v>
      </c>
      <c r="G388" t="s">
        <v>839</v>
      </c>
      <c r="H388" t="s">
        <v>540</v>
      </c>
      <c r="I388" t="s">
        <v>19</v>
      </c>
      <c r="J388">
        <v>111.68</v>
      </c>
      <c r="K388" s="1">
        <v>45728</v>
      </c>
      <c r="L388" t="s">
        <v>34</v>
      </c>
      <c r="M388">
        <v>12</v>
      </c>
      <c r="N388">
        <v>3</v>
      </c>
      <c r="O388">
        <v>1</v>
      </c>
      <c r="P388">
        <v>2025</v>
      </c>
    </row>
    <row r="389" spans="1:16">
      <c r="A389">
        <v>431.85</v>
      </c>
      <c r="B389">
        <v>5</v>
      </c>
      <c r="C389" t="s">
        <v>1923</v>
      </c>
      <c r="D389" t="s">
        <v>1924</v>
      </c>
      <c r="E389" t="s">
        <v>1925</v>
      </c>
      <c r="F389" t="s">
        <v>29</v>
      </c>
      <c r="G389" t="s">
        <v>821</v>
      </c>
      <c r="H389" t="s">
        <v>624</v>
      </c>
      <c r="I389" t="s">
        <v>60</v>
      </c>
      <c r="J389">
        <v>86.37</v>
      </c>
      <c r="K389" s="1">
        <v>46053</v>
      </c>
      <c r="L389" t="s">
        <v>14</v>
      </c>
      <c r="M389">
        <v>31</v>
      </c>
      <c r="N389">
        <v>1</v>
      </c>
      <c r="O389">
        <v>1</v>
      </c>
      <c r="P389">
        <v>2026</v>
      </c>
    </row>
    <row r="390" spans="1:16">
      <c r="A390">
        <v>1194.8499999999999</v>
      </c>
      <c r="B390">
        <v>5</v>
      </c>
      <c r="C390" t="s">
        <v>3007</v>
      </c>
      <c r="D390" t="s">
        <v>3008</v>
      </c>
      <c r="E390" t="s">
        <v>1053</v>
      </c>
      <c r="F390" t="s">
        <v>113</v>
      </c>
      <c r="G390" t="s">
        <v>854</v>
      </c>
      <c r="H390" t="s">
        <v>180</v>
      </c>
      <c r="I390" t="s">
        <v>55</v>
      </c>
      <c r="J390">
        <v>238.97</v>
      </c>
      <c r="K390" s="1">
        <v>45599</v>
      </c>
      <c r="L390" t="s">
        <v>28</v>
      </c>
      <c r="M390">
        <v>3</v>
      </c>
      <c r="N390">
        <v>11</v>
      </c>
      <c r="O390">
        <v>4</v>
      </c>
      <c r="P390">
        <v>2024</v>
      </c>
    </row>
    <row r="391" spans="1:16">
      <c r="A391">
        <v>506.28</v>
      </c>
      <c r="B391">
        <v>4</v>
      </c>
      <c r="C391" t="s">
        <v>1969</v>
      </c>
      <c r="D391" t="s">
        <v>1970</v>
      </c>
      <c r="E391" t="s">
        <v>1143</v>
      </c>
      <c r="F391" t="s">
        <v>1841</v>
      </c>
      <c r="G391" t="s">
        <v>753</v>
      </c>
      <c r="H391" t="s">
        <v>367</v>
      </c>
      <c r="I391" t="s">
        <v>31</v>
      </c>
      <c r="J391">
        <v>126.57</v>
      </c>
      <c r="K391" s="1">
        <v>46204</v>
      </c>
      <c r="L391" t="s">
        <v>34</v>
      </c>
      <c r="M391">
        <v>1</v>
      </c>
      <c r="N391">
        <v>7</v>
      </c>
      <c r="O391">
        <v>3</v>
      </c>
      <c r="P391">
        <v>2026</v>
      </c>
    </row>
    <row r="392" spans="1:16">
      <c r="A392">
        <v>113.08</v>
      </c>
      <c r="B392">
        <v>4</v>
      </c>
      <c r="C392" t="s">
        <v>2118</v>
      </c>
      <c r="D392" t="s">
        <v>2119</v>
      </c>
      <c r="E392" t="s">
        <v>2120</v>
      </c>
      <c r="F392" t="s">
        <v>1199</v>
      </c>
      <c r="G392" t="s">
        <v>839</v>
      </c>
      <c r="H392" t="s">
        <v>184</v>
      </c>
      <c r="I392" t="s">
        <v>31</v>
      </c>
      <c r="J392">
        <v>28.27</v>
      </c>
      <c r="K392" s="1">
        <v>45700</v>
      </c>
      <c r="L392" t="s">
        <v>34</v>
      </c>
      <c r="M392">
        <v>12</v>
      </c>
      <c r="N392">
        <v>2</v>
      </c>
      <c r="O392">
        <v>1</v>
      </c>
      <c r="P392">
        <v>2025</v>
      </c>
    </row>
    <row r="393" spans="1:16">
      <c r="A393">
        <v>411.66</v>
      </c>
      <c r="B393">
        <v>2</v>
      </c>
      <c r="C393" t="s">
        <v>3048</v>
      </c>
      <c r="D393" t="s">
        <v>3049</v>
      </c>
      <c r="E393" t="s">
        <v>3050</v>
      </c>
      <c r="F393" t="s">
        <v>1017</v>
      </c>
      <c r="G393" t="s">
        <v>966</v>
      </c>
      <c r="H393" t="s">
        <v>246</v>
      </c>
      <c r="I393" t="s">
        <v>23</v>
      </c>
      <c r="J393">
        <v>205.83</v>
      </c>
      <c r="K393" s="1">
        <v>45865</v>
      </c>
      <c r="L393" t="s">
        <v>28</v>
      </c>
      <c r="M393">
        <v>27</v>
      </c>
      <c r="N393">
        <v>7</v>
      </c>
      <c r="O393">
        <v>3</v>
      </c>
      <c r="P393">
        <v>2025</v>
      </c>
    </row>
    <row r="394" spans="1:16">
      <c r="A394">
        <v>115.83</v>
      </c>
      <c r="B394">
        <v>3</v>
      </c>
      <c r="C394" t="s">
        <v>3203</v>
      </c>
      <c r="D394" t="s">
        <v>3204</v>
      </c>
      <c r="E394" t="s">
        <v>1050</v>
      </c>
      <c r="F394" t="s">
        <v>961</v>
      </c>
      <c r="G394" t="s">
        <v>807</v>
      </c>
      <c r="H394" t="s">
        <v>58</v>
      </c>
      <c r="I394" t="s">
        <v>25</v>
      </c>
      <c r="J394">
        <v>38.61</v>
      </c>
      <c r="K394" s="1">
        <v>46142</v>
      </c>
      <c r="L394" t="s">
        <v>105</v>
      </c>
      <c r="M394">
        <v>30</v>
      </c>
      <c r="N394">
        <v>4</v>
      </c>
      <c r="O394">
        <v>2</v>
      </c>
      <c r="P394">
        <v>2026</v>
      </c>
    </row>
    <row r="395" spans="1:16">
      <c r="A395">
        <v>284.3</v>
      </c>
      <c r="B395">
        <v>2</v>
      </c>
      <c r="C395" t="s">
        <v>2037</v>
      </c>
      <c r="D395" t="s">
        <v>2038</v>
      </c>
      <c r="E395" t="s">
        <v>849</v>
      </c>
      <c r="F395" t="s">
        <v>322</v>
      </c>
      <c r="G395" t="s">
        <v>795</v>
      </c>
      <c r="H395" t="s">
        <v>216</v>
      </c>
      <c r="I395" t="s">
        <v>100</v>
      </c>
      <c r="J395">
        <v>142.15</v>
      </c>
      <c r="K395" s="1">
        <v>46214</v>
      </c>
      <c r="L395" t="s">
        <v>14</v>
      </c>
      <c r="M395">
        <v>11</v>
      </c>
      <c r="N395">
        <v>7</v>
      </c>
      <c r="O395">
        <v>3</v>
      </c>
      <c r="P395">
        <v>2026</v>
      </c>
    </row>
    <row r="396" spans="1:16">
      <c r="A396">
        <v>1021.25</v>
      </c>
      <c r="B396">
        <v>5</v>
      </c>
      <c r="C396" t="s">
        <v>1368</v>
      </c>
      <c r="D396" t="s">
        <v>1369</v>
      </c>
      <c r="E396" t="s">
        <v>1370</v>
      </c>
      <c r="F396" t="s">
        <v>1371</v>
      </c>
      <c r="G396" t="s">
        <v>786</v>
      </c>
      <c r="H396" t="s">
        <v>341</v>
      </c>
      <c r="I396" t="s">
        <v>21</v>
      </c>
      <c r="J396">
        <v>204.25</v>
      </c>
      <c r="K396" s="1">
        <v>46214</v>
      </c>
      <c r="L396" t="s">
        <v>14</v>
      </c>
      <c r="M396">
        <v>11</v>
      </c>
      <c r="N396">
        <v>7</v>
      </c>
      <c r="O396">
        <v>3</v>
      </c>
      <c r="P396">
        <v>2026</v>
      </c>
    </row>
    <row r="397" spans="1:16">
      <c r="A397">
        <v>244.32</v>
      </c>
      <c r="B397">
        <v>4</v>
      </c>
      <c r="C397" t="s">
        <v>1866</v>
      </c>
      <c r="D397" t="s">
        <v>1867</v>
      </c>
      <c r="E397" t="s">
        <v>1868</v>
      </c>
      <c r="F397" t="s">
        <v>1111</v>
      </c>
      <c r="G397" t="s">
        <v>981</v>
      </c>
      <c r="H397" t="s">
        <v>385</v>
      </c>
      <c r="I397" t="s">
        <v>39</v>
      </c>
      <c r="J397">
        <v>61.08</v>
      </c>
      <c r="K397" s="1">
        <v>45580</v>
      </c>
      <c r="L397" t="s">
        <v>48</v>
      </c>
      <c r="M397">
        <v>15</v>
      </c>
      <c r="N397">
        <v>10</v>
      </c>
      <c r="O397">
        <v>4</v>
      </c>
      <c r="P397">
        <v>2024</v>
      </c>
    </row>
    <row r="398" spans="1:16">
      <c r="A398">
        <v>427.64</v>
      </c>
      <c r="B398">
        <v>2</v>
      </c>
      <c r="C398" t="s">
        <v>2641</v>
      </c>
      <c r="D398" t="s">
        <v>2642</v>
      </c>
      <c r="E398" t="s">
        <v>2643</v>
      </c>
      <c r="F398" t="s">
        <v>785</v>
      </c>
      <c r="G398" t="s">
        <v>786</v>
      </c>
      <c r="H398" t="s">
        <v>266</v>
      </c>
      <c r="I398" t="s">
        <v>19</v>
      </c>
      <c r="J398">
        <v>213.82</v>
      </c>
      <c r="K398" s="1">
        <v>45837</v>
      </c>
      <c r="L398" t="s">
        <v>28</v>
      </c>
      <c r="M398">
        <v>29</v>
      </c>
      <c r="N398">
        <v>6</v>
      </c>
      <c r="O398">
        <v>2</v>
      </c>
      <c r="P398">
        <v>2025</v>
      </c>
    </row>
    <row r="399" spans="1:16">
      <c r="A399">
        <v>1169.55</v>
      </c>
      <c r="B399">
        <v>5</v>
      </c>
      <c r="C399" t="s">
        <v>1588</v>
      </c>
      <c r="D399" t="s">
        <v>1589</v>
      </c>
      <c r="E399" t="s">
        <v>1590</v>
      </c>
      <c r="F399" t="s">
        <v>1591</v>
      </c>
      <c r="G399" t="s">
        <v>966</v>
      </c>
      <c r="H399" t="s">
        <v>272</v>
      </c>
      <c r="I399" t="s">
        <v>55</v>
      </c>
      <c r="J399">
        <v>233.91</v>
      </c>
      <c r="K399" s="1">
        <v>45800</v>
      </c>
      <c r="L399" t="s">
        <v>79</v>
      </c>
      <c r="M399">
        <v>23</v>
      </c>
      <c r="N399">
        <v>5</v>
      </c>
      <c r="O399">
        <v>2</v>
      </c>
      <c r="P399">
        <v>2025</v>
      </c>
    </row>
    <row r="400" spans="1:16">
      <c r="A400">
        <v>802.95</v>
      </c>
      <c r="B400">
        <v>5</v>
      </c>
      <c r="C400" t="s">
        <v>2731</v>
      </c>
      <c r="D400" t="s">
        <v>2732</v>
      </c>
      <c r="E400" t="s">
        <v>1688</v>
      </c>
      <c r="F400" t="s">
        <v>1032</v>
      </c>
      <c r="G400" t="s">
        <v>839</v>
      </c>
      <c r="H400" t="s">
        <v>267</v>
      </c>
      <c r="I400" t="s">
        <v>25</v>
      </c>
      <c r="J400">
        <v>160.59</v>
      </c>
      <c r="K400" s="1">
        <v>45701</v>
      </c>
      <c r="L400" t="s">
        <v>105</v>
      </c>
      <c r="M400">
        <v>13</v>
      </c>
      <c r="N400">
        <v>2</v>
      </c>
      <c r="O400">
        <v>1</v>
      </c>
      <c r="P400">
        <v>2025</v>
      </c>
    </row>
    <row r="401" spans="1:16">
      <c r="A401">
        <v>165.65</v>
      </c>
      <c r="B401">
        <v>5</v>
      </c>
      <c r="C401" t="s">
        <v>900</v>
      </c>
      <c r="D401" t="s">
        <v>901</v>
      </c>
      <c r="E401" t="s">
        <v>902</v>
      </c>
      <c r="F401" t="s">
        <v>903</v>
      </c>
      <c r="G401" t="s">
        <v>786</v>
      </c>
      <c r="H401" t="s">
        <v>164</v>
      </c>
      <c r="I401" t="s">
        <v>46</v>
      </c>
      <c r="J401">
        <v>33.130000000000003</v>
      </c>
      <c r="K401" s="1">
        <v>46033</v>
      </c>
      <c r="L401" t="s">
        <v>28</v>
      </c>
      <c r="M401">
        <v>11</v>
      </c>
      <c r="N401">
        <v>1</v>
      </c>
      <c r="O401">
        <v>1</v>
      </c>
      <c r="P401">
        <v>2026</v>
      </c>
    </row>
    <row r="402" spans="1:16">
      <c r="A402">
        <v>483.06000000000006</v>
      </c>
      <c r="B402">
        <v>3</v>
      </c>
      <c r="C402" t="s">
        <v>1427</v>
      </c>
      <c r="D402" t="s">
        <v>1428</v>
      </c>
      <c r="E402" t="s">
        <v>1429</v>
      </c>
      <c r="F402" t="s">
        <v>1168</v>
      </c>
      <c r="G402" t="s">
        <v>758</v>
      </c>
      <c r="H402" t="s">
        <v>544</v>
      </c>
      <c r="I402" t="s">
        <v>46</v>
      </c>
      <c r="J402">
        <v>161.02000000000001</v>
      </c>
      <c r="K402" s="1">
        <v>45667</v>
      </c>
      <c r="L402" t="s">
        <v>79</v>
      </c>
      <c r="M402">
        <v>10</v>
      </c>
      <c r="N402">
        <v>1</v>
      </c>
      <c r="O402">
        <v>1</v>
      </c>
      <c r="P402">
        <v>2025</v>
      </c>
    </row>
    <row r="403" spans="1:16">
      <c r="A403">
        <v>4.08</v>
      </c>
      <c r="B403">
        <v>4</v>
      </c>
      <c r="C403" t="s">
        <v>1478</v>
      </c>
      <c r="D403" t="s">
        <v>1479</v>
      </c>
      <c r="E403" t="s">
        <v>1263</v>
      </c>
      <c r="F403" t="s">
        <v>1395</v>
      </c>
      <c r="G403" t="s">
        <v>776</v>
      </c>
      <c r="H403" t="s">
        <v>477</v>
      </c>
      <c r="I403" t="s">
        <v>39</v>
      </c>
      <c r="J403">
        <v>1.02</v>
      </c>
      <c r="K403" s="1">
        <v>45697</v>
      </c>
      <c r="L403" t="s">
        <v>28</v>
      </c>
      <c r="M403">
        <v>9</v>
      </c>
      <c r="N403">
        <v>2</v>
      </c>
      <c r="O403">
        <v>1</v>
      </c>
      <c r="P403">
        <v>2025</v>
      </c>
    </row>
    <row r="404" spans="1:16">
      <c r="A404">
        <v>55.29</v>
      </c>
      <c r="B404">
        <v>3</v>
      </c>
      <c r="C404" t="s">
        <v>2549</v>
      </c>
      <c r="D404" t="s">
        <v>2550</v>
      </c>
      <c r="E404" t="s">
        <v>2551</v>
      </c>
      <c r="F404" t="s">
        <v>1156</v>
      </c>
      <c r="G404" t="s">
        <v>839</v>
      </c>
      <c r="H404" t="s">
        <v>1816</v>
      </c>
      <c r="I404" t="s">
        <v>37</v>
      </c>
      <c r="J404">
        <v>18.43</v>
      </c>
      <c r="K404" s="1">
        <v>45744</v>
      </c>
      <c r="L404" t="s">
        <v>79</v>
      </c>
      <c r="M404">
        <v>28</v>
      </c>
      <c r="N404">
        <v>3</v>
      </c>
      <c r="O404">
        <v>1</v>
      </c>
      <c r="P404">
        <v>2025</v>
      </c>
    </row>
    <row r="405" spans="1:16">
      <c r="A405">
        <v>22.56</v>
      </c>
      <c r="B405">
        <v>1</v>
      </c>
      <c r="C405" t="s">
        <v>1513</v>
      </c>
      <c r="D405" t="s">
        <v>1514</v>
      </c>
      <c r="E405" t="s">
        <v>1515</v>
      </c>
      <c r="F405" t="s">
        <v>1359</v>
      </c>
      <c r="G405" t="s">
        <v>768</v>
      </c>
      <c r="H405" t="s">
        <v>371</v>
      </c>
      <c r="I405" t="s">
        <v>21</v>
      </c>
      <c r="J405">
        <v>22.56</v>
      </c>
      <c r="K405" s="1">
        <v>45679</v>
      </c>
      <c r="L405" t="s">
        <v>34</v>
      </c>
      <c r="M405">
        <v>22</v>
      </c>
      <c r="N405">
        <v>1</v>
      </c>
      <c r="O405">
        <v>1</v>
      </c>
      <c r="P405">
        <v>2025</v>
      </c>
    </row>
    <row r="406" spans="1:16">
      <c r="A406">
        <v>742.68</v>
      </c>
      <c r="B406">
        <v>4</v>
      </c>
      <c r="C406" t="s">
        <v>1766</v>
      </c>
      <c r="D406" t="s">
        <v>1767</v>
      </c>
      <c r="E406" t="s">
        <v>1768</v>
      </c>
      <c r="F406" t="s">
        <v>932</v>
      </c>
      <c r="G406" t="s">
        <v>776</v>
      </c>
      <c r="H406" t="s">
        <v>720</v>
      </c>
      <c r="I406" t="s">
        <v>100</v>
      </c>
      <c r="J406">
        <v>185.67</v>
      </c>
      <c r="K406" s="1">
        <v>45887</v>
      </c>
      <c r="L406" t="s">
        <v>93</v>
      </c>
      <c r="M406">
        <v>18</v>
      </c>
      <c r="N406">
        <v>8</v>
      </c>
      <c r="O406">
        <v>3</v>
      </c>
      <c r="P406">
        <v>2025</v>
      </c>
    </row>
    <row r="407" spans="1:16">
      <c r="A407">
        <v>379.90000000000003</v>
      </c>
      <c r="B407">
        <v>5</v>
      </c>
      <c r="C407" t="s">
        <v>2646</v>
      </c>
      <c r="D407" t="s">
        <v>2647</v>
      </c>
      <c r="E407" t="s">
        <v>1070</v>
      </c>
      <c r="F407" t="s">
        <v>838</v>
      </c>
      <c r="G407" t="s">
        <v>839</v>
      </c>
      <c r="H407" t="s">
        <v>313</v>
      </c>
      <c r="I407" t="s">
        <v>31</v>
      </c>
      <c r="J407">
        <v>75.98</v>
      </c>
      <c r="K407" s="1">
        <v>46110</v>
      </c>
      <c r="L407" t="s">
        <v>28</v>
      </c>
      <c r="M407">
        <v>29</v>
      </c>
      <c r="N407">
        <v>3</v>
      </c>
      <c r="O407">
        <v>1</v>
      </c>
      <c r="P407">
        <v>2026</v>
      </c>
    </row>
    <row r="408" spans="1:16">
      <c r="A408">
        <v>1166.05</v>
      </c>
      <c r="B408">
        <v>5</v>
      </c>
      <c r="C408" t="s">
        <v>3466</v>
      </c>
      <c r="D408" t="s">
        <v>3467</v>
      </c>
      <c r="E408" t="s">
        <v>1074</v>
      </c>
      <c r="F408" t="s">
        <v>862</v>
      </c>
      <c r="G408" t="s">
        <v>908</v>
      </c>
      <c r="H408" t="s">
        <v>648</v>
      </c>
      <c r="I408" t="s">
        <v>57</v>
      </c>
      <c r="J408">
        <v>233.21</v>
      </c>
      <c r="K408" s="1">
        <v>45719</v>
      </c>
      <c r="L408" t="s">
        <v>93</v>
      </c>
      <c r="M408">
        <v>3</v>
      </c>
      <c r="N408">
        <v>3</v>
      </c>
      <c r="O408">
        <v>1</v>
      </c>
      <c r="P408">
        <v>2025</v>
      </c>
    </row>
    <row r="409" spans="1:16">
      <c r="A409">
        <v>43.86</v>
      </c>
      <c r="B409">
        <v>2</v>
      </c>
      <c r="C409" t="s">
        <v>2028</v>
      </c>
      <c r="D409" t="s">
        <v>2029</v>
      </c>
      <c r="E409" t="s">
        <v>2030</v>
      </c>
      <c r="F409" t="s">
        <v>1002</v>
      </c>
      <c r="G409" t="s">
        <v>892</v>
      </c>
      <c r="H409" t="s">
        <v>445</v>
      </c>
      <c r="I409" t="s">
        <v>60</v>
      </c>
      <c r="J409">
        <v>21.93</v>
      </c>
      <c r="K409" s="1">
        <v>46152</v>
      </c>
      <c r="L409" t="s">
        <v>28</v>
      </c>
      <c r="M409">
        <v>10</v>
      </c>
      <c r="N409">
        <v>5</v>
      </c>
      <c r="O409">
        <v>2</v>
      </c>
      <c r="P409">
        <v>2026</v>
      </c>
    </row>
    <row r="410" spans="1:16">
      <c r="A410">
        <v>82.320000000000007</v>
      </c>
      <c r="B410">
        <v>3</v>
      </c>
      <c r="C410" t="s">
        <v>2251</v>
      </c>
      <c r="D410" t="s">
        <v>2252</v>
      </c>
      <c r="E410" t="s">
        <v>2253</v>
      </c>
      <c r="F410" t="s">
        <v>1882</v>
      </c>
      <c r="G410" t="s">
        <v>795</v>
      </c>
      <c r="H410" t="s">
        <v>722</v>
      </c>
      <c r="I410" t="s">
        <v>37</v>
      </c>
      <c r="J410">
        <v>27.44</v>
      </c>
      <c r="K410" s="1">
        <v>45961</v>
      </c>
      <c r="L410" t="s">
        <v>79</v>
      </c>
      <c r="M410">
        <v>31</v>
      </c>
      <c r="N410">
        <v>10</v>
      </c>
      <c r="O410">
        <v>4</v>
      </c>
      <c r="P410">
        <v>2025</v>
      </c>
    </row>
    <row r="411" spans="1:16">
      <c r="A411">
        <v>88.17</v>
      </c>
      <c r="B411">
        <v>1</v>
      </c>
      <c r="C411" t="s">
        <v>2613</v>
      </c>
      <c r="D411" t="s">
        <v>2614</v>
      </c>
      <c r="E411" t="s">
        <v>2615</v>
      </c>
      <c r="F411" t="s">
        <v>1574</v>
      </c>
      <c r="G411" t="s">
        <v>1003</v>
      </c>
      <c r="H411" t="s">
        <v>177</v>
      </c>
      <c r="I411" t="s">
        <v>17</v>
      </c>
      <c r="J411">
        <v>88.17</v>
      </c>
      <c r="K411" s="1">
        <v>46143</v>
      </c>
      <c r="L411" t="s">
        <v>79</v>
      </c>
      <c r="M411">
        <v>1</v>
      </c>
      <c r="N411">
        <v>5</v>
      </c>
      <c r="O411">
        <v>2</v>
      </c>
      <c r="P411">
        <v>2026</v>
      </c>
    </row>
    <row r="412" spans="1:16">
      <c r="A412">
        <v>117.32</v>
      </c>
      <c r="B412">
        <v>4</v>
      </c>
      <c r="C412" t="s">
        <v>2741</v>
      </c>
      <c r="D412" t="s">
        <v>2742</v>
      </c>
      <c r="E412" t="s">
        <v>2743</v>
      </c>
      <c r="F412" t="s">
        <v>995</v>
      </c>
      <c r="G412" t="s">
        <v>781</v>
      </c>
      <c r="H412" t="s">
        <v>289</v>
      </c>
      <c r="I412" t="s">
        <v>60</v>
      </c>
      <c r="J412">
        <v>29.33</v>
      </c>
      <c r="K412" s="1">
        <v>45749</v>
      </c>
      <c r="L412" t="s">
        <v>34</v>
      </c>
      <c r="M412">
        <v>2</v>
      </c>
      <c r="N412">
        <v>4</v>
      </c>
      <c r="O412">
        <v>2</v>
      </c>
      <c r="P412">
        <v>2025</v>
      </c>
    </row>
    <row r="413" spans="1:16">
      <c r="A413">
        <v>259.77999999999997</v>
      </c>
      <c r="B413">
        <v>2</v>
      </c>
      <c r="C413" t="s">
        <v>2944</v>
      </c>
      <c r="D413" t="s">
        <v>2945</v>
      </c>
      <c r="E413" t="s">
        <v>1038</v>
      </c>
      <c r="F413" t="s">
        <v>1811</v>
      </c>
      <c r="G413" t="s">
        <v>892</v>
      </c>
      <c r="H413" t="s">
        <v>271</v>
      </c>
      <c r="I413" t="s">
        <v>25</v>
      </c>
      <c r="J413">
        <v>129.88999999999999</v>
      </c>
      <c r="K413" s="1">
        <v>46248</v>
      </c>
      <c r="L413" t="s">
        <v>79</v>
      </c>
      <c r="M413">
        <v>14</v>
      </c>
      <c r="N413">
        <v>8</v>
      </c>
      <c r="O413">
        <v>3</v>
      </c>
      <c r="P413">
        <v>2026</v>
      </c>
    </row>
    <row r="414" spans="1:16">
      <c r="A414">
        <v>959.92</v>
      </c>
      <c r="B414">
        <v>4</v>
      </c>
      <c r="C414" t="s">
        <v>2768</v>
      </c>
      <c r="D414" t="s">
        <v>2769</v>
      </c>
      <c r="E414" t="s">
        <v>857</v>
      </c>
      <c r="F414" t="s">
        <v>1209</v>
      </c>
      <c r="G414" t="s">
        <v>776</v>
      </c>
      <c r="H414" t="s">
        <v>702</v>
      </c>
      <c r="I414" t="s">
        <v>27</v>
      </c>
      <c r="J414">
        <v>239.98</v>
      </c>
      <c r="K414" s="1">
        <v>45758</v>
      </c>
      <c r="L414" t="s">
        <v>79</v>
      </c>
      <c r="M414">
        <v>11</v>
      </c>
      <c r="N414">
        <v>4</v>
      </c>
      <c r="O414">
        <v>2</v>
      </c>
      <c r="P414">
        <v>2025</v>
      </c>
    </row>
    <row r="415" spans="1:16">
      <c r="A415">
        <v>446.15000000000003</v>
      </c>
      <c r="B415">
        <v>5</v>
      </c>
      <c r="C415" t="s">
        <v>1062</v>
      </c>
      <c r="D415" t="s">
        <v>1063</v>
      </c>
      <c r="E415" t="s">
        <v>1064</v>
      </c>
      <c r="F415" t="s">
        <v>151</v>
      </c>
      <c r="G415" t="s">
        <v>1003</v>
      </c>
      <c r="H415" t="s">
        <v>401</v>
      </c>
      <c r="I415" t="s">
        <v>31</v>
      </c>
      <c r="J415">
        <v>89.23</v>
      </c>
      <c r="K415" s="1">
        <v>46084</v>
      </c>
      <c r="L415" t="s">
        <v>48</v>
      </c>
      <c r="M415">
        <v>3</v>
      </c>
      <c r="N415">
        <v>3</v>
      </c>
      <c r="O415">
        <v>1</v>
      </c>
      <c r="P415">
        <v>2026</v>
      </c>
    </row>
    <row r="416" spans="1:16">
      <c r="A416">
        <v>1184.75</v>
      </c>
      <c r="B416">
        <v>5</v>
      </c>
      <c r="C416" t="s">
        <v>1857</v>
      </c>
      <c r="D416" t="s">
        <v>1858</v>
      </c>
      <c r="E416" t="s">
        <v>1859</v>
      </c>
      <c r="F416" t="s">
        <v>15</v>
      </c>
      <c r="G416" t="s">
        <v>834</v>
      </c>
      <c r="H416" t="s">
        <v>50</v>
      </c>
      <c r="I416" t="s">
        <v>51</v>
      </c>
      <c r="J416">
        <v>236.95</v>
      </c>
      <c r="K416" s="1">
        <v>45977</v>
      </c>
      <c r="L416" t="s">
        <v>28</v>
      </c>
      <c r="M416">
        <v>16</v>
      </c>
      <c r="N416">
        <v>11</v>
      </c>
      <c r="O416">
        <v>4</v>
      </c>
      <c r="P416">
        <v>2025</v>
      </c>
    </row>
    <row r="417" spans="1:16">
      <c r="A417">
        <v>30.03</v>
      </c>
      <c r="B417">
        <v>3</v>
      </c>
      <c r="C417" t="s">
        <v>1847</v>
      </c>
      <c r="D417" t="s">
        <v>1848</v>
      </c>
      <c r="E417" t="s">
        <v>1849</v>
      </c>
      <c r="F417" t="s">
        <v>825</v>
      </c>
      <c r="G417" t="s">
        <v>781</v>
      </c>
      <c r="H417" t="s">
        <v>163</v>
      </c>
      <c r="I417" t="s">
        <v>97</v>
      </c>
      <c r="J417">
        <v>10.01</v>
      </c>
      <c r="K417" s="1">
        <v>45583</v>
      </c>
      <c r="L417" t="s">
        <v>79</v>
      </c>
      <c r="M417">
        <v>18</v>
      </c>
      <c r="N417">
        <v>10</v>
      </c>
      <c r="O417">
        <v>4</v>
      </c>
      <c r="P417">
        <v>2024</v>
      </c>
    </row>
    <row r="418" spans="1:16">
      <c r="A418">
        <v>463.68</v>
      </c>
      <c r="B418">
        <v>2</v>
      </c>
      <c r="C418" t="s">
        <v>1604</v>
      </c>
      <c r="D418" t="s">
        <v>1605</v>
      </c>
      <c r="E418" t="s">
        <v>1606</v>
      </c>
      <c r="F418" t="s">
        <v>1607</v>
      </c>
      <c r="G418" t="s">
        <v>839</v>
      </c>
      <c r="H418" t="s">
        <v>626</v>
      </c>
      <c r="I418" t="s">
        <v>17</v>
      </c>
      <c r="J418">
        <v>231.84</v>
      </c>
      <c r="K418" s="1">
        <v>45752</v>
      </c>
      <c r="L418" t="s">
        <v>14</v>
      </c>
      <c r="M418">
        <v>5</v>
      </c>
      <c r="N418">
        <v>4</v>
      </c>
      <c r="O418">
        <v>2</v>
      </c>
      <c r="P418">
        <v>2025</v>
      </c>
    </row>
    <row r="419" spans="1:16">
      <c r="A419">
        <v>651.12</v>
      </c>
      <c r="B419">
        <v>4</v>
      </c>
      <c r="C419" t="s">
        <v>2068</v>
      </c>
      <c r="D419" t="s">
        <v>2069</v>
      </c>
      <c r="E419" t="s">
        <v>1468</v>
      </c>
      <c r="F419" t="s">
        <v>762</v>
      </c>
      <c r="G419" t="s">
        <v>763</v>
      </c>
      <c r="H419" t="s">
        <v>229</v>
      </c>
      <c r="I419" t="s">
        <v>97</v>
      </c>
      <c r="J419">
        <v>162.78</v>
      </c>
      <c r="K419" s="1">
        <v>46278</v>
      </c>
      <c r="L419" t="s">
        <v>28</v>
      </c>
      <c r="M419">
        <v>13</v>
      </c>
      <c r="N419">
        <v>9</v>
      </c>
      <c r="O419">
        <v>3</v>
      </c>
      <c r="P419">
        <v>2026</v>
      </c>
    </row>
    <row r="420" spans="1:16">
      <c r="A420">
        <v>985.3</v>
      </c>
      <c r="B420">
        <v>5</v>
      </c>
      <c r="C420" t="s">
        <v>2636</v>
      </c>
      <c r="D420" t="s">
        <v>2637</v>
      </c>
      <c r="E420" t="s">
        <v>1006</v>
      </c>
      <c r="F420" t="s">
        <v>199</v>
      </c>
      <c r="G420" t="s">
        <v>781</v>
      </c>
      <c r="H420" t="s">
        <v>179</v>
      </c>
      <c r="I420" t="s">
        <v>37</v>
      </c>
      <c r="J420">
        <v>197.06</v>
      </c>
      <c r="K420" s="1">
        <v>46149</v>
      </c>
      <c r="L420" t="s">
        <v>105</v>
      </c>
      <c r="M420">
        <v>7</v>
      </c>
      <c r="N420">
        <v>5</v>
      </c>
      <c r="O420">
        <v>2</v>
      </c>
      <c r="P420">
        <v>2026</v>
      </c>
    </row>
    <row r="421" spans="1:16">
      <c r="A421">
        <v>318.75</v>
      </c>
      <c r="B421">
        <v>5</v>
      </c>
      <c r="C421" t="s">
        <v>1548</v>
      </c>
      <c r="D421" t="s">
        <v>1549</v>
      </c>
      <c r="E421" t="s">
        <v>1057</v>
      </c>
      <c r="F421" t="s">
        <v>1550</v>
      </c>
      <c r="G421" t="s">
        <v>776</v>
      </c>
      <c r="H421" t="s">
        <v>418</v>
      </c>
      <c r="I421" t="s">
        <v>43</v>
      </c>
      <c r="J421">
        <v>63.75</v>
      </c>
      <c r="K421" s="1">
        <v>46139</v>
      </c>
      <c r="L421" t="s">
        <v>93</v>
      </c>
      <c r="M421">
        <v>27</v>
      </c>
      <c r="N421">
        <v>4</v>
      </c>
      <c r="O421">
        <v>2</v>
      </c>
      <c r="P421">
        <v>2026</v>
      </c>
    </row>
    <row r="422" spans="1:16">
      <c r="A422">
        <v>475.26</v>
      </c>
      <c r="B422">
        <v>2</v>
      </c>
      <c r="C422" t="s">
        <v>939</v>
      </c>
      <c r="D422" t="s">
        <v>940</v>
      </c>
      <c r="E422" t="s">
        <v>941</v>
      </c>
      <c r="F422" t="s">
        <v>942</v>
      </c>
      <c r="G422" t="s">
        <v>943</v>
      </c>
      <c r="H422" t="s">
        <v>202</v>
      </c>
      <c r="I422" t="s">
        <v>17</v>
      </c>
      <c r="J422">
        <v>237.63</v>
      </c>
      <c r="K422" s="1">
        <v>46044</v>
      </c>
      <c r="L422" t="s">
        <v>105</v>
      </c>
      <c r="M422">
        <v>22</v>
      </c>
      <c r="N422">
        <v>1</v>
      </c>
      <c r="O422">
        <v>1</v>
      </c>
      <c r="P422">
        <v>2026</v>
      </c>
    </row>
    <row r="423" spans="1:16">
      <c r="A423">
        <v>109.22999999999999</v>
      </c>
      <c r="B423">
        <v>3</v>
      </c>
      <c r="C423" t="s">
        <v>950</v>
      </c>
      <c r="D423" t="s">
        <v>951</v>
      </c>
      <c r="E423" t="s">
        <v>952</v>
      </c>
      <c r="F423" t="s">
        <v>953</v>
      </c>
      <c r="G423" t="s">
        <v>954</v>
      </c>
      <c r="H423" t="s">
        <v>607</v>
      </c>
      <c r="I423" t="s">
        <v>43</v>
      </c>
      <c r="J423">
        <v>36.409999999999997</v>
      </c>
      <c r="K423" s="1">
        <v>46183</v>
      </c>
      <c r="L423" t="s">
        <v>34</v>
      </c>
      <c r="M423">
        <v>10</v>
      </c>
      <c r="N423">
        <v>6</v>
      </c>
      <c r="O423">
        <v>2</v>
      </c>
      <c r="P423">
        <v>2026</v>
      </c>
    </row>
    <row r="424" spans="1:16">
      <c r="A424">
        <v>213.16</v>
      </c>
      <c r="B424">
        <v>2</v>
      </c>
      <c r="C424" t="s">
        <v>1051</v>
      </c>
      <c r="D424" t="s">
        <v>1052</v>
      </c>
      <c r="E424" t="s">
        <v>1053</v>
      </c>
      <c r="F424" t="s">
        <v>1054</v>
      </c>
      <c r="G424" t="s">
        <v>892</v>
      </c>
      <c r="H424" t="s">
        <v>670</v>
      </c>
      <c r="I424" t="s">
        <v>57</v>
      </c>
      <c r="J424">
        <v>106.58</v>
      </c>
      <c r="K424" s="1">
        <v>45864</v>
      </c>
      <c r="L424" t="s">
        <v>14</v>
      </c>
      <c r="M424">
        <v>26</v>
      </c>
      <c r="N424">
        <v>7</v>
      </c>
      <c r="O424">
        <v>3</v>
      </c>
      <c r="P424">
        <v>2025</v>
      </c>
    </row>
    <row r="425" spans="1:16">
      <c r="A425">
        <v>1061.8499999999999</v>
      </c>
      <c r="B425">
        <v>5</v>
      </c>
      <c r="C425" t="s">
        <v>1237</v>
      </c>
      <c r="D425" t="s">
        <v>1238</v>
      </c>
      <c r="E425" t="s">
        <v>1053</v>
      </c>
      <c r="F425" t="s">
        <v>1239</v>
      </c>
      <c r="G425" t="s">
        <v>795</v>
      </c>
      <c r="H425" t="s">
        <v>331</v>
      </c>
      <c r="I425" t="s">
        <v>51</v>
      </c>
      <c r="J425">
        <v>212.37</v>
      </c>
      <c r="K425" s="1">
        <v>45943</v>
      </c>
      <c r="L425" t="s">
        <v>93</v>
      </c>
      <c r="M425">
        <v>13</v>
      </c>
      <c r="N425">
        <v>10</v>
      </c>
      <c r="O425">
        <v>4</v>
      </c>
      <c r="P425">
        <v>2025</v>
      </c>
    </row>
    <row r="426" spans="1:16">
      <c r="A426">
        <v>222.84</v>
      </c>
      <c r="B426">
        <v>3</v>
      </c>
      <c r="C426" t="s">
        <v>2408</v>
      </c>
      <c r="D426" t="s">
        <v>2778</v>
      </c>
      <c r="E426" t="s">
        <v>1452</v>
      </c>
      <c r="F426" t="s">
        <v>1550</v>
      </c>
      <c r="G426" t="s">
        <v>776</v>
      </c>
      <c r="H426" t="s">
        <v>54</v>
      </c>
      <c r="I426" t="s">
        <v>55</v>
      </c>
      <c r="J426">
        <v>74.28</v>
      </c>
      <c r="K426" s="1">
        <v>45923</v>
      </c>
      <c r="L426" t="s">
        <v>48</v>
      </c>
      <c r="M426">
        <v>23</v>
      </c>
      <c r="N426">
        <v>9</v>
      </c>
      <c r="O426">
        <v>3</v>
      </c>
      <c r="P426">
        <v>2025</v>
      </c>
    </row>
    <row r="427" spans="1:16">
      <c r="A427">
        <v>712.89</v>
      </c>
      <c r="B427">
        <v>3</v>
      </c>
      <c r="C427" t="s">
        <v>1203</v>
      </c>
      <c r="D427" t="s">
        <v>1204</v>
      </c>
      <c r="E427" t="s">
        <v>1205</v>
      </c>
      <c r="F427" t="s">
        <v>1206</v>
      </c>
      <c r="G427" t="s">
        <v>943</v>
      </c>
      <c r="H427" t="s">
        <v>375</v>
      </c>
      <c r="I427" t="s">
        <v>31</v>
      </c>
      <c r="J427">
        <v>237.63</v>
      </c>
      <c r="K427" s="1">
        <v>45652</v>
      </c>
      <c r="L427" t="s">
        <v>105</v>
      </c>
      <c r="M427">
        <v>26</v>
      </c>
      <c r="N427">
        <v>12</v>
      </c>
      <c r="O427">
        <v>4</v>
      </c>
      <c r="P427">
        <v>2024</v>
      </c>
    </row>
    <row r="428" spans="1:16">
      <c r="A428">
        <v>454.94</v>
      </c>
      <c r="B428">
        <v>2</v>
      </c>
      <c r="C428" t="s">
        <v>1746</v>
      </c>
      <c r="D428" t="s">
        <v>1747</v>
      </c>
      <c r="E428" t="s">
        <v>1050</v>
      </c>
      <c r="F428" t="s">
        <v>1469</v>
      </c>
      <c r="G428" t="s">
        <v>908</v>
      </c>
      <c r="H428" t="s">
        <v>116</v>
      </c>
      <c r="I428" t="s">
        <v>57</v>
      </c>
      <c r="J428">
        <v>227.47</v>
      </c>
      <c r="K428" s="1">
        <v>46200</v>
      </c>
      <c r="L428" t="s">
        <v>14</v>
      </c>
      <c r="M428">
        <v>27</v>
      </c>
      <c r="N428">
        <v>6</v>
      </c>
      <c r="O428">
        <v>2</v>
      </c>
      <c r="P428">
        <v>2026</v>
      </c>
    </row>
    <row r="429" spans="1:16">
      <c r="A429">
        <v>591.78</v>
      </c>
      <c r="B429">
        <v>3</v>
      </c>
      <c r="C429" t="s">
        <v>2541</v>
      </c>
      <c r="D429" t="s">
        <v>2542</v>
      </c>
      <c r="E429" t="s">
        <v>1545</v>
      </c>
      <c r="F429" t="s">
        <v>1199</v>
      </c>
      <c r="G429" t="s">
        <v>839</v>
      </c>
      <c r="H429" t="s">
        <v>293</v>
      </c>
      <c r="I429" t="s">
        <v>100</v>
      </c>
      <c r="J429">
        <v>197.26</v>
      </c>
      <c r="K429" s="1">
        <v>45582</v>
      </c>
      <c r="L429" t="s">
        <v>105</v>
      </c>
      <c r="M429">
        <v>17</v>
      </c>
      <c r="N429">
        <v>10</v>
      </c>
      <c r="O429">
        <v>4</v>
      </c>
      <c r="P429">
        <v>2024</v>
      </c>
    </row>
    <row r="430" spans="1:16">
      <c r="A430">
        <v>646.24</v>
      </c>
      <c r="B430">
        <v>4</v>
      </c>
      <c r="C430" t="s">
        <v>2873</v>
      </c>
      <c r="D430" t="s">
        <v>2874</v>
      </c>
      <c r="E430" t="s">
        <v>1657</v>
      </c>
      <c r="F430" t="s">
        <v>1002</v>
      </c>
      <c r="G430" t="s">
        <v>1003</v>
      </c>
      <c r="H430" t="s">
        <v>422</v>
      </c>
      <c r="I430" t="s">
        <v>122</v>
      </c>
      <c r="J430">
        <v>161.56</v>
      </c>
      <c r="K430" s="1">
        <v>45913</v>
      </c>
      <c r="L430" t="s">
        <v>14</v>
      </c>
      <c r="M430">
        <v>13</v>
      </c>
      <c r="N430">
        <v>9</v>
      </c>
      <c r="O430">
        <v>3</v>
      </c>
      <c r="P430">
        <v>2025</v>
      </c>
    </row>
    <row r="431" spans="1:16">
      <c r="A431">
        <v>66.55</v>
      </c>
      <c r="B431">
        <v>1</v>
      </c>
      <c r="C431" t="s">
        <v>3053</v>
      </c>
      <c r="D431" t="s">
        <v>3054</v>
      </c>
      <c r="E431" t="s">
        <v>1455</v>
      </c>
      <c r="F431" t="s">
        <v>767</v>
      </c>
      <c r="G431" t="s">
        <v>768</v>
      </c>
      <c r="H431" t="s">
        <v>452</v>
      </c>
      <c r="I431" t="s">
        <v>69</v>
      </c>
      <c r="J431">
        <v>66.55</v>
      </c>
      <c r="K431" s="1">
        <v>46166</v>
      </c>
      <c r="L431" t="s">
        <v>28</v>
      </c>
      <c r="M431">
        <v>24</v>
      </c>
      <c r="N431">
        <v>5</v>
      </c>
      <c r="O431">
        <v>2</v>
      </c>
      <c r="P431">
        <v>2026</v>
      </c>
    </row>
    <row r="432" spans="1:16">
      <c r="A432">
        <v>154.74</v>
      </c>
      <c r="B432">
        <v>1</v>
      </c>
      <c r="C432" t="s">
        <v>2536</v>
      </c>
      <c r="D432" t="s">
        <v>2537</v>
      </c>
      <c r="E432" t="s">
        <v>2538</v>
      </c>
      <c r="F432" t="s">
        <v>767</v>
      </c>
      <c r="G432" t="s">
        <v>768</v>
      </c>
      <c r="H432" t="s">
        <v>547</v>
      </c>
      <c r="I432" t="s">
        <v>97</v>
      </c>
      <c r="J432">
        <v>154.74</v>
      </c>
      <c r="K432" s="1">
        <v>45725</v>
      </c>
      <c r="L432" t="s">
        <v>28</v>
      </c>
      <c r="M432">
        <v>9</v>
      </c>
      <c r="N432">
        <v>3</v>
      </c>
      <c r="O432">
        <v>1</v>
      </c>
      <c r="P432">
        <v>2025</v>
      </c>
    </row>
    <row r="433" spans="1:16">
      <c r="A433">
        <v>502.29999999999995</v>
      </c>
      <c r="B433">
        <v>5</v>
      </c>
      <c r="C433" t="s">
        <v>2136</v>
      </c>
      <c r="D433" t="s">
        <v>2137</v>
      </c>
      <c r="E433" t="s">
        <v>2138</v>
      </c>
      <c r="F433" t="s">
        <v>29</v>
      </c>
      <c r="G433" t="s">
        <v>821</v>
      </c>
      <c r="H433" t="s">
        <v>703</v>
      </c>
      <c r="I433" t="s">
        <v>60</v>
      </c>
      <c r="J433">
        <v>100.46</v>
      </c>
      <c r="K433" s="1">
        <v>46142</v>
      </c>
      <c r="L433" t="s">
        <v>105</v>
      </c>
      <c r="M433">
        <v>30</v>
      </c>
      <c r="N433">
        <v>4</v>
      </c>
      <c r="O433">
        <v>2</v>
      </c>
      <c r="P433">
        <v>2026</v>
      </c>
    </row>
    <row r="434" spans="1:16">
      <c r="A434">
        <v>677.18999999999994</v>
      </c>
      <c r="B434">
        <v>3</v>
      </c>
      <c r="C434" t="s">
        <v>2391</v>
      </c>
      <c r="D434" t="s">
        <v>2392</v>
      </c>
      <c r="E434" t="s">
        <v>1374</v>
      </c>
      <c r="F434" t="s">
        <v>1755</v>
      </c>
      <c r="G434" t="s">
        <v>786</v>
      </c>
      <c r="H434" t="s">
        <v>444</v>
      </c>
      <c r="I434" t="s">
        <v>37</v>
      </c>
      <c r="J434">
        <v>225.73</v>
      </c>
      <c r="K434" s="1">
        <v>46076</v>
      </c>
      <c r="L434" t="s">
        <v>93</v>
      </c>
      <c r="M434">
        <v>23</v>
      </c>
      <c r="N434">
        <v>2</v>
      </c>
      <c r="O434">
        <v>1</v>
      </c>
      <c r="P434">
        <v>2026</v>
      </c>
    </row>
    <row r="435" spans="1:16">
      <c r="A435">
        <v>467.82</v>
      </c>
      <c r="B435">
        <v>2</v>
      </c>
      <c r="C435" t="s">
        <v>3222</v>
      </c>
      <c r="D435" t="s">
        <v>3223</v>
      </c>
      <c r="E435" t="s">
        <v>1143</v>
      </c>
      <c r="F435" t="s">
        <v>862</v>
      </c>
      <c r="G435" t="s">
        <v>981</v>
      </c>
      <c r="H435" t="s">
        <v>272</v>
      </c>
      <c r="I435" t="s">
        <v>55</v>
      </c>
      <c r="J435">
        <v>233.91</v>
      </c>
      <c r="K435" s="1">
        <v>45810</v>
      </c>
      <c r="L435" t="s">
        <v>93</v>
      </c>
      <c r="M435">
        <v>2</v>
      </c>
      <c r="N435">
        <v>6</v>
      </c>
      <c r="O435">
        <v>2</v>
      </c>
      <c r="P435">
        <v>2025</v>
      </c>
    </row>
    <row r="436" spans="1:16">
      <c r="A436">
        <v>1035.3499999999999</v>
      </c>
      <c r="B436">
        <v>5</v>
      </c>
      <c r="C436" t="s">
        <v>897</v>
      </c>
      <c r="D436" t="s">
        <v>898</v>
      </c>
      <c r="E436" t="s">
        <v>899</v>
      </c>
      <c r="F436" t="s">
        <v>280</v>
      </c>
      <c r="G436" t="s">
        <v>812</v>
      </c>
      <c r="H436" t="s">
        <v>201</v>
      </c>
      <c r="I436" t="s">
        <v>37</v>
      </c>
      <c r="J436">
        <v>207.07</v>
      </c>
      <c r="K436" s="1">
        <v>45754</v>
      </c>
      <c r="L436" t="s">
        <v>93</v>
      </c>
      <c r="M436">
        <v>7</v>
      </c>
      <c r="N436">
        <v>4</v>
      </c>
      <c r="O436">
        <v>2</v>
      </c>
      <c r="P436">
        <v>2025</v>
      </c>
    </row>
    <row r="437" spans="1:16">
      <c r="A437">
        <v>888.45</v>
      </c>
      <c r="B437">
        <v>5</v>
      </c>
      <c r="C437" t="s">
        <v>967</v>
      </c>
      <c r="D437" t="s">
        <v>968</v>
      </c>
      <c r="E437" t="s">
        <v>969</v>
      </c>
      <c r="F437" t="s">
        <v>970</v>
      </c>
      <c r="G437" t="s">
        <v>790</v>
      </c>
      <c r="H437" t="s">
        <v>52</v>
      </c>
      <c r="I437" t="s">
        <v>21</v>
      </c>
      <c r="J437">
        <v>177.69</v>
      </c>
      <c r="K437" s="1">
        <v>45630</v>
      </c>
      <c r="L437" t="s">
        <v>34</v>
      </c>
      <c r="M437">
        <v>4</v>
      </c>
      <c r="N437">
        <v>12</v>
      </c>
      <c r="O437">
        <v>4</v>
      </c>
      <c r="P437">
        <v>2024</v>
      </c>
    </row>
    <row r="438" spans="1:16">
      <c r="A438">
        <v>1216.1499999999999</v>
      </c>
      <c r="B438">
        <v>5</v>
      </c>
      <c r="C438" t="s">
        <v>2682</v>
      </c>
      <c r="D438" t="s">
        <v>2683</v>
      </c>
      <c r="E438" t="s">
        <v>1648</v>
      </c>
      <c r="F438" t="s">
        <v>932</v>
      </c>
      <c r="G438" t="s">
        <v>776</v>
      </c>
      <c r="H438" t="s">
        <v>126</v>
      </c>
      <c r="I438" t="s">
        <v>43</v>
      </c>
      <c r="J438">
        <v>243.23</v>
      </c>
      <c r="K438" s="1">
        <v>45925</v>
      </c>
      <c r="L438" t="s">
        <v>105</v>
      </c>
      <c r="M438">
        <v>25</v>
      </c>
      <c r="N438">
        <v>9</v>
      </c>
      <c r="O438">
        <v>3</v>
      </c>
      <c r="P438">
        <v>2025</v>
      </c>
    </row>
    <row r="439" spans="1:16">
      <c r="A439">
        <v>25.12</v>
      </c>
      <c r="B439">
        <v>4</v>
      </c>
      <c r="C439" t="s">
        <v>2400</v>
      </c>
      <c r="D439" t="s">
        <v>2401</v>
      </c>
      <c r="E439" t="s">
        <v>1536</v>
      </c>
      <c r="F439" t="s">
        <v>1128</v>
      </c>
      <c r="G439" t="s">
        <v>954</v>
      </c>
      <c r="H439" t="s">
        <v>601</v>
      </c>
      <c r="I439" t="s">
        <v>19</v>
      </c>
      <c r="J439">
        <v>6.28</v>
      </c>
      <c r="K439" s="1">
        <v>46022</v>
      </c>
      <c r="L439" t="s">
        <v>34</v>
      </c>
      <c r="M439">
        <v>31</v>
      </c>
      <c r="N439">
        <v>12</v>
      </c>
      <c r="O439">
        <v>4</v>
      </c>
      <c r="P439">
        <v>2025</v>
      </c>
    </row>
    <row r="440" spans="1:16">
      <c r="A440">
        <v>142.30000000000001</v>
      </c>
      <c r="B440">
        <v>5</v>
      </c>
      <c r="C440" t="s">
        <v>3267</v>
      </c>
      <c r="D440" t="s">
        <v>3268</v>
      </c>
      <c r="E440" t="s">
        <v>784</v>
      </c>
      <c r="F440" t="s">
        <v>1600</v>
      </c>
      <c r="G440" t="s">
        <v>768</v>
      </c>
      <c r="H440" t="s">
        <v>250</v>
      </c>
      <c r="I440" t="s">
        <v>19</v>
      </c>
      <c r="J440">
        <v>28.46</v>
      </c>
      <c r="K440" s="1">
        <v>46225</v>
      </c>
      <c r="L440" t="s">
        <v>34</v>
      </c>
      <c r="M440">
        <v>22</v>
      </c>
      <c r="N440">
        <v>7</v>
      </c>
      <c r="O440">
        <v>3</v>
      </c>
      <c r="P440">
        <v>2026</v>
      </c>
    </row>
    <row r="441" spans="1:16">
      <c r="A441">
        <v>113.85</v>
      </c>
      <c r="B441">
        <v>5</v>
      </c>
      <c r="C441" t="s">
        <v>1947</v>
      </c>
      <c r="D441" t="s">
        <v>1948</v>
      </c>
      <c r="E441" t="s">
        <v>1038</v>
      </c>
      <c r="F441" t="s">
        <v>414</v>
      </c>
      <c r="G441" t="s">
        <v>795</v>
      </c>
      <c r="H441" t="s">
        <v>1250</v>
      </c>
      <c r="I441" t="s">
        <v>23</v>
      </c>
      <c r="J441">
        <v>22.77</v>
      </c>
      <c r="K441" s="1">
        <v>45747</v>
      </c>
      <c r="L441" t="s">
        <v>93</v>
      </c>
      <c r="M441">
        <v>31</v>
      </c>
      <c r="N441">
        <v>3</v>
      </c>
      <c r="O441">
        <v>1</v>
      </c>
      <c r="P441">
        <v>2025</v>
      </c>
    </row>
    <row r="442" spans="1:16">
      <c r="A442">
        <v>189.75</v>
      </c>
      <c r="B442">
        <v>3</v>
      </c>
      <c r="C442" t="s">
        <v>1879</v>
      </c>
      <c r="D442" t="s">
        <v>1880</v>
      </c>
      <c r="E442" t="s">
        <v>1881</v>
      </c>
      <c r="F442" t="s">
        <v>1882</v>
      </c>
      <c r="G442" t="s">
        <v>795</v>
      </c>
      <c r="H442" t="s">
        <v>740</v>
      </c>
      <c r="I442" t="s">
        <v>46</v>
      </c>
      <c r="J442">
        <v>63.25</v>
      </c>
      <c r="K442" s="1">
        <v>45867</v>
      </c>
      <c r="L442" t="s">
        <v>48</v>
      </c>
      <c r="M442">
        <v>29</v>
      </c>
      <c r="N442">
        <v>7</v>
      </c>
      <c r="O442">
        <v>3</v>
      </c>
      <c r="P442">
        <v>2025</v>
      </c>
    </row>
    <row r="443" spans="1:16">
      <c r="A443">
        <v>84.03</v>
      </c>
      <c r="B443">
        <v>3</v>
      </c>
      <c r="C443" t="s">
        <v>2861</v>
      </c>
      <c r="D443" t="s">
        <v>2862</v>
      </c>
      <c r="E443" t="s">
        <v>1642</v>
      </c>
      <c r="F443" t="s">
        <v>2468</v>
      </c>
      <c r="G443" t="s">
        <v>763</v>
      </c>
      <c r="H443" t="s">
        <v>463</v>
      </c>
      <c r="I443" t="s">
        <v>43</v>
      </c>
      <c r="J443">
        <v>28.01</v>
      </c>
      <c r="K443" s="1">
        <v>45736</v>
      </c>
      <c r="L443" t="s">
        <v>105</v>
      </c>
      <c r="M443">
        <v>20</v>
      </c>
      <c r="N443">
        <v>3</v>
      </c>
      <c r="O443">
        <v>1</v>
      </c>
      <c r="P443">
        <v>2025</v>
      </c>
    </row>
    <row r="444" spans="1:16">
      <c r="A444">
        <v>524.6</v>
      </c>
      <c r="B444">
        <v>5</v>
      </c>
      <c r="C444" t="s">
        <v>2084</v>
      </c>
      <c r="D444" t="s">
        <v>2085</v>
      </c>
      <c r="E444" t="s">
        <v>2086</v>
      </c>
      <c r="F444" t="s">
        <v>1209</v>
      </c>
      <c r="G444" t="s">
        <v>776</v>
      </c>
      <c r="H444" t="s">
        <v>351</v>
      </c>
      <c r="I444" t="s">
        <v>57</v>
      </c>
      <c r="J444">
        <v>104.92</v>
      </c>
      <c r="K444" s="1">
        <v>46195</v>
      </c>
      <c r="L444" t="s">
        <v>93</v>
      </c>
      <c r="M444">
        <v>22</v>
      </c>
      <c r="N444">
        <v>6</v>
      </c>
      <c r="O444">
        <v>2</v>
      </c>
      <c r="P444">
        <v>2026</v>
      </c>
    </row>
    <row r="445" spans="1:16">
      <c r="A445">
        <v>191.69</v>
      </c>
      <c r="B445">
        <v>1</v>
      </c>
      <c r="C445" t="s">
        <v>3265</v>
      </c>
      <c r="D445" t="s">
        <v>3266</v>
      </c>
      <c r="E445" t="s">
        <v>1324</v>
      </c>
      <c r="F445" t="s">
        <v>980</v>
      </c>
      <c r="G445" t="s">
        <v>981</v>
      </c>
      <c r="H445" t="s">
        <v>186</v>
      </c>
      <c r="I445" t="s">
        <v>37</v>
      </c>
      <c r="J445">
        <v>191.69</v>
      </c>
      <c r="K445" s="1">
        <v>45835</v>
      </c>
      <c r="L445" t="s">
        <v>79</v>
      </c>
      <c r="M445">
        <v>27</v>
      </c>
      <c r="N445">
        <v>6</v>
      </c>
      <c r="O445">
        <v>2</v>
      </c>
      <c r="P445">
        <v>2025</v>
      </c>
    </row>
    <row r="446" spans="1:16">
      <c r="A446">
        <v>226.05</v>
      </c>
      <c r="B446">
        <v>5</v>
      </c>
      <c r="C446" t="s">
        <v>2121</v>
      </c>
      <c r="D446" t="s">
        <v>2122</v>
      </c>
      <c r="E446" t="s">
        <v>1077</v>
      </c>
      <c r="F446" t="s">
        <v>929</v>
      </c>
      <c r="G446" t="s">
        <v>786</v>
      </c>
      <c r="H446" t="s">
        <v>542</v>
      </c>
      <c r="I446" t="s">
        <v>46</v>
      </c>
      <c r="J446">
        <v>45.21</v>
      </c>
      <c r="K446" s="1">
        <v>46240</v>
      </c>
      <c r="L446" t="s">
        <v>105</v>
      </c>
      <c r="M446">
        <v>6</v>
      </c>
      <c r="N446">
        <v>8</v>
      </c>
      <c r="O446">
        <v>3</v>
      </c>
      <c r="P446">
        <v>2026</v>
      </c>
    </row>
    <row r="447" spans="1:16">
      <c r="A447">
        <v>241.96</v>
      </c>
      <c r="B447">
        <v>4</v>
      </c>
      <c r="C447" t="s">
        <v>1634</v>
      </c>
      <c r="D447" t="s">
        <v>1635</v>
      </c>
      <c r="E447" t="s">
        <v>952</v>
      </c>
      <c r="F447" t="s">
        <v>1026</v>
      </c>
      <c r="G447" t="s">
        <v>896</v>
      </c>
      <c r="H447" t="s">
        <v>558</v>
      </c>
      <c r="I447" t="s">
        <v>43</v>
      </c>
      <c r="J447">
        <v>60.49</v>
      </c>
      <c r="K447" s="1">
        <v>45792</v>
      </c>
      <c r="L447" t="s">
        <v>105</v>
      </c>
      <c r="M447">
        <v>15</v>
      </c>
      <c r="N447">
        <v>5</v>
      </c>
      <c r="O447">
        <v>2</v>
      </c>
      <c r="P447">
        <v>2025</v>
      </c>
    </row>
    <row r="448" spans="1:16">
      <c r="A448">
        <v>21.93</v>
      </c>
      <c r="B448">
        <v>1</v>
      </c>
      <c r="C448" t="s">
        <v>1746</v>
      </c>
      <c r="D448" t="s">
        <v>1747</v>
      </c>
      <c r="E448" t="s">
        <v>1050</v>
      </c>
      <c r="F448" t="s">
        <v>1469</v>
      </c>
      <c r="G448" t="s">
        <v>908</v>
      </c>
      <c r="H448" t="s">
        <v>445</v>
      </c>
      <c r="I448" t="s">
        <v>60</v>
      </c>
      <c r="J448">
        <v>21.93</v>
      </c>
      <c r="K448" s="1">
        <v>45986</v>
      </c>
      <c r="L448" t="s">
        <v>48</v>
      </c>
      <c r="M448">
        <v>25</v>
      </c>
      <c r="N448">
        <v>11</v>
      </c>
      <c r="O448">
        <v>4</v>
      </c>
      <c r="P448">
        <v>2025</v>
      </c>
    </row>
    <row r="449" spans="1:16">
      <c r="A449">
        <v>186.98</v>
      </c>
      <c r="B449">
        <v>1</v>
      </c>
      <c r="C449" t="s">
        <v>1315</v>
      </c>
      <c r="D449" t="s">
        <v>1316</v>
      </c>
      <c r="E449" t="s">
        <v>1317</v>
      </c>
      <c r="F449" t="s">
        <v>1318</v>
      </c>
      <c r="G449" t="s">
        <v>807</v>
      </c>
      <c r="H449" t="s">
        <v>139</v>
      </c>
      <c r="I449" t="s">
        <v>122</v>
      </c>
      <c r="J449">
        <v>186.98</v>
      </c>
      <c r="K449" s="1">
        <v>46246</v>
      </c>
      <c r="L449" t="s">
        <v>34</v>
      </c>
      <c r="M449">
        <v>12</v>
      </c>
      <c r="N449">
        <v>8</v>
      </c>
      <c r="O449">
        <v>3</v>
      </c>
      <c r="P449">
        <v>2026</v>
      </c>
    </row>
    <row r="450" spans="1:16">
      <c r="A450">
        <v>246.96</v>
      </c>
      <c r="B450">
        <v>2</v>
      </c>
      <c r="C450" t="s">
        <v>3487</v>
      </c>
      <c r="D450" t="s">
        <v>3488</v>
      </c>
      <c r="E450" t="s">
        <v>3489</v>
      </c>
      <c r="F450" t="s">
        <v>29</v>
      </c>
      <c r="G450" t="s">
        <v>763</v>
      </c>
      <c r="H450" t="s">
        <v>575</v>
      </c>
      <c r="I450" t="s">
        <v>37</v>
      </c>
      <c r="J450">
        <v>123.48</v>
      </c>
      <c r="K450" s="1">
        <v>45548</v>
      </c>
      <c r="L450" t="s">
        <v>79</v>
      </c>
      <c r="M450">
        <v>13</v>
      </c>
      <c r="N450">
        <v>9</v>
      </c>
      <c r="O450">
        <v>3</v>
      </c>
      <c r="P450">
        <v>2024</v>
      </c>
    </row>
    <row r="451" spans="1:16">
      <c r="A451">
        <v>123.13</v>
      </c>
      <c r="B451">
        <v>1</v>
      </c>
      <c r="C451" t="s">
        <v>3063</v>
      </c>
      <c r="D451" t="s">
        <v>3064</v>
      </c>
      <c r="E451" t="s">
        <v>1390</v>
      </c>
      <c r="F451" t="s">
        <v>772</v>
      </c>
      <c r="G451" t="s">
        <v>758</v>
      </c>
      <c r="H451" t="s">
        <v>66</v>
      </c>
      <c r="I451" t="s">
        <v>46</v>
      </c>
      <c r="J451">
        <v>123.13</v>
      </c>
      <c r="K451" s="1">
        <v>45726</v>
      </c>
      <c r="L451" t="s">
        <v>93</v>
      </c>
      <c r="M451">
        <v>10</v>
      </c>
      <c r="N451">
        <v>3</v>
      </c>
      <c r="O451">
        <v>1</v>
      </c>
      <c r="P451">
        <v>2025</v>
      </c>
    </row>
    <row r="452" spans="1:16">
      <c r="A452">
        <v>31.32</v>
      </c>
      <c r="B452">
        <v>4</v>
      </c>
      <c r="C452" t="s">
        <v>2398</v>
      </c>
      <c r="D452" t="s">
        <v>2399</v>
      </c>
      <c r="E452" t="s">
        <v>1452</v>
      </c>
      <c r="F452" t="s">
        <v>816</v>
      </c>
      <c r="G452" t="s">
        <v>817</v>
      </c>
      <c r="H452" t="s">
        <v>489</v>
      </c>
      <c r="I452" t="s">
        <v>51</v>
      </c>
      <c r="J452">
        <v>7.83</v>
      </c>
      <c r="K452" s="1">
        <v>46028</v>
      </c>
      <c r="L452" t="s">
        <v>48</v>
      </c>
      <c r="M452">
        <v>6</v>
      </c>
      <c r="N452">
        <v>1</v>
      </c>
      <c r="O452">
        <v>1</v>
      </c>
      <c r="P452">
        <v>2026</v>
      </c>
    </row>
    <row r="453" spans="1:16">
      <c r="A453">
        <v>366.24</v>
      </c>
      <c r="B453">
        <v>3</v>
      </c>
      <c r="C453" t="s">
        <v>2129</v>
      </c>
      <c r="D453" t="s">
        <v>2130</v>
      </c>
      <c r="E453" t="s">
        <v>998</v>
      </c>
      <c r="F453" t="s">
        <v>380</v>
      </c>
      <c r="G453" t="s">
        <v>776</v>
      </c>
      <c r="H453" t="s">
        <v>646</v>
      </c>
      <c r="I453" t="s">
        <v>21</v>
      </c>
      <c r="J453">
        <v>122.08</v>
      </c>
      <c r="K453" s="1">
        <v>45651</v>
      </c>
      <c r="L453" t="s">
        <v>34</v>
      </c>
      <c r="M453">
        <v>25</v>
      </c>
      <c r="N453">
        <v>12</v>
      </c>
      <c r="O453">
        <v>4</v>
      </c>
      <c r="P453">
        <v>2024</v>
      </c>
    </row>
    <row r="454" spans="1:16">
      <c r="A454">
        <v>131.25</v>
      </c>
      <c r="B454">
        <v>5</v>
      </c>
      <c r="C454" t="s">
        <v>1650</v>
      </c>
      <c r="D454" t="s">
        <v>1651</v>
      </c>
      <c r="E454" t="s">
        <v>1652</v>
      </c>
      <c r="F454" t="s">
        <v>1239</v>
      </c>
      <c r="G454" t="s">
        <v>795</v>
      </c>
      <c r="H454" t="s">
        <v>493</v>
      </c>
      <c r="I454" t="s">
        <v>46</v>
      </c>
      <c r="J454">
        <v>26.25</v>
      </c>
      <c r="K454" s="1">
        <v>45672</v>
      </c>
      <c r="L454" t="s">
        <v>34</v>
      </c>
      <c r="M454">
        <v>15</v>
      </c>
      <c r="N454">
        <v>1</v>
      </c>
      <c r="O454">
        <v>1</v>
      </c>
      <c r="P454">
        <v>2025</v>
      </c>
    </row>
    <row r="455" spans="1:16">
      <c r="A455">
        <v>483.06000000000006</v>
      </c>
      <c r="B455">
        <v>3</v>
      </c>
      <c r="C455" t="s">
        <v>2549</v>
      </c>
      <c r="D455" t="s">
        <v>2550</v>
      </c>
      <c r="E455" t="s">
        <v>2551</v>
      </c>
      <c r="F455" t="s">
        <v>1156</v>
      </c>
      <c r="G455" t="s">
        <v>839</v>
      </c>
      <c r="H455" t="s">
        <v>544</v>
      </c>
      <c r="I455" t="s">
        <v>46</v>
      </c>
      <c r="J455">
        <v>161.02000000000001</v>
      </c>
      <c r="K455" s="1">
        <v>45782</v>
      </c>
      <c r="L455" t="s">
        <v>93</v>
      </c>
      <c r="M455">
        <v>5</v>
      </c>
      <c r="N455">
        <v>5</v>
      </c>
      <c r="O455">
        <v>2</v>
      </c>
      <c r="P455">
        <v>2025</v>
      </c>
    </row>
    <row r="456" spans="1:16">
      <c r="A456">
        <v>668.88</v>
      </c>
      <c r="B456">
        <v>3</v>
      </c>
      <c r="C456" t="s">
        <v>3272</v>
      </c>
      <c r="D456" t="s">
        <v>3273</v>
      </c>
      <c r="E456" t="s">
        <v>2416</v>
      </c>
      <c r="F456" t="s">
        <v>1740</v>
      </c>
      <c r="G456" t="s">
        <v>954</v>
      </c>
      <c r="H456" t="s">
        <v>715</v>
      </c>
      <c r="I456" t="s">
        <v>55</v>
      </c>
      <c r="J456">
        <v>222.96</v>
      </c>
      <c r="K456" s="1">
        <v>45740</v>
      </c>
      <c r="L456" t="s">
        <v>93</v>
      </c>
      <c r="M456">
        <v>24</v>
      </c>
      <c r="N456">
        <v>3</v>
      </c>
      <c r="O456">
        <v>1</v>
      </c>
      <c r="P456">
        <v>2025</v>
      </c>
    </row>
    <row r="457" spans="1:16">
      <c r="A457">
        <v>209.56</v>
      </c>
      <c r="B457">
        <v>4</v>
      </c>
      <c r="C457" t="s">
        <v>2068</v>
      </c>
      <c r="D457" t="s">
        <v>2069</v>
      </c>
      <c r="E457" t="s">
        <v>1468</v>
      </c>
      <c r="F457" t="s">
        <v>762</v>
      </c>
      <c r="G457" t="s">
        <v>763</v>
      </c>
      <c r="H457" t="s">
        <v>358</v>
      </c>
      <c r="I457" t="s">
        <v>37</v>
      </c>
      <c r="J457">
        <v>52.39</v>
      </c>
      <c r="K457" s="1">
        <v>45662</v>
      </c>
      <c r="L457" t="s">
        <v>28</v>
      </c>
      <c r="M457">
        <v>5</v>
      </c>
      <c r="N457">
        <v>1</v>
      </c>
      <c r="O457">
        <v>1</v>
      </c>
      <c r="P457">
        <v>2025</v>
      </c>
    </row>
    <row r="458" spans="1:16">
      <c r="A458">
        <v>162.46</v>
      </c>
      <c r="B458">
        <v>1</v>
      </c>
      <c r="C458" t="s">
        <v>1954</v>
      </c>
      <c r="D458" t="s">
        <v>1955</v>
      </c>
      <c r="E458" t="s">
        <v>1679</v>
      </c>
      <c r="F458" t="s">
        <v>1257</v>
      </c>
      <c r="G458" t="s">
        <v>839</v>
      </c>
      <c r="H458" t="s">
        <v>218</v>
      </c>
      <c r="I458" t="s">
        <v>97</v>
      </c>
      <c r="J458">
        <v>162.46</v>
      </c>
      <c r="K458" s="1">
        <v>46167</v>
      </c>
      <c r="L458" t="s">
        <v>93</v>
      </c>
      <c r="M458">
        <v>25</v>
      </c>
      <c r="N458">
        <v>5</v>
      </c>
      <c r="O458">
        <v>2</v>
      </c>
      <c r="P458">
        <v>2026</v>
      </c>
    </row>
    <row r="459" spans="1:16">
      <c r="A459">
        <v>135.93</v>
      </c>
      <c r="B459">
        <v>3</v>
      </c>
      <c r="C459" t="s">
        <v>1543</v>
      </c>
      <c r="D459" t="s">
        <v>1544</v>
      </c>
      <c r="E459" t="s">
        <v>1545</v>
      </c>
      <c r="F459" t="s">
        <v>29</v>
      </c>
      <c r="G459" t="s">
        <v>763</v>
      </c>
      <c r="H459" t="s">
        <v>537</v>
      </c>
      <c r="I459" t="s">
        <v>31</v>
      </c>
      <c r="J459">
        <v>45.31</v>
      </c>
      <c r="K459" s="1">
        <v>45901</v>
      </c>
      <c r="L459" t="s">
        <v>93</v>
      </c>
      <c r="M459">
        <v>1</v>
      </c>
      <c r="N459">
        <v>9</v>
      </c>
      <c r="O459">
        <v>3</v>
      </c>
      <c r="P459">
        <v>2025</v>
      </c>
    </row>
    <row r="460" spans="1:16">
      <c r="A460">
        <v>225.73</v>
      </c>
      <c r="B460">
        <v>1</v>
      </c>
      <c r="C460" t="s">
        <v>2662</v>
      </c>
      <c r="D460" t="s">
        <v>2663</v>
      </c>
      <c r="E460" t="s">
        <v>2416</v>
      </c>
      <c r="F460" t="s">
        <v>825</v>
      </c>
      <c r="G460" t="s">
        <v>781</v>
      </c>
      <c r="H460" t="s">
        <v>444</v>
      </c>
      <c r="I460" t="s">
        <v>37</v>
      </c>
      <c r="J460">
        <v>225.73</v>
      </c>
      <c r="K460" s="1">
        <v>45702</v>
      </c>
      <c r="L460" t="s">
        <v>79</v>
      </c>
      <c r="M460">
        <v>14</v>
      </c>
      <c r="N460">
        <v>2</v>
      </c>
      <c r="O460">
        <v>1</v>
      </c>
      <c r="P460">
        <v>2025</v>
      </c>
    </row>
    <row r="461" spans="1:16">
      <c r="A461">
        <v>168.52</v>
      </c>
      <c r="B461">
        <v>1</v>
      </c>
      <c r="C461" t="s">
        <v>1425</v>
      </c>
      <c r="D461" t="s">
        <v>1426</v>
      </c>
      <c r="E461" t="s">
        <v>1358</v>
      </c>
      <c r="F461" t="s">
        <v>74</v>
      </c>
      <c r="G461" t="s">
        <v>943</v>
      </c>
      <c r="H461" t="s">
        <v>311</v>
      </c>
      <c r="I461" t="s">
        <v>46</v>
      </c>
      <c r="J461">
        <v>168.52</v>
      </c>
      <c r="K461" s="1">
        <v>45723</v>
      </c>
      <c r="L461" t="s">
        <v>79</v>
      </c>
      <c r="M461">
        <v>7</v>
      </c>
      <c r="N461">
        <v>3</v>
      </c>
      <c r="O461">
        <v>1</v>
      </c>
      <c r="P461">
        <v>2025</v>
      </c>
    </row>
    <row r="462" spans="1:16">
      <c r="A462">
        <v>23.26</v>
      </c>
      <c r="B462">
        <v>2</v>
      </c>
      <c r="C462" t="s">
        <v>3232</v>
      </c>
      <c r="D462" t="s">
        <v>3233</v>
      </c>
      <c r="E462" t="s">
        <v>2331</v>
      </c>
      <c r="F462" t="s">
        <v>907</v>
      </c>
      <c r="G462" t="s">
        <v>908</v>
      </c>
      <c r="H462" t="s">
        <v>301</v>
      </c>
      <c r="I462" t="s">
        <v>69</v>
      </c>
      <c r="J462">
        <v>11.63</v>
      </c>
      <c r="K462" s="1">
        <v>46162</v>
      </c>
      <c r="L462" t="s">
        <v>34</v>
      </c>
      <c r="M462">
        <v>20</v>
      </c>
      <c r="N462">
        <v>5</v>
      </c>
      <c r="O462">
        <v>2</v>
      </c>
      <c r="P462">
        <v>2026</v>
      </c>
    </row>
    <row r="463" spans="1:16">
      <c r="A463">
        <v>122.08</v>
      </c>
      <c r="B463">
        <v>1</v>
      </c>
      <c r="C463" t="s">
        <v>1563</v>
      </c>
      <c r="D463" t="s">
        <v>1564</v>
      </c>
      <c r="E463" t="s">
        <v>1565</v>
      </c>
      <c r="F463" t="s">
        <v>1566</v>
      </c>
      <c r="G463" t="s">
        <v>763</v>
      </c>
      <c r="H463" t="s">
        <v>646</v>
      </c>
      <c r="I463" t="s">
        <v>21</v>
      </c>
      <c r="J463">
        <v>122.08</v>
      </c>
      <c r="K463" s="1">
        <v>45940</v>
      </c>
      <c r="L463" t="s">
        <v>79</v>
      </c>
      <c r="M463">
        <v>10</v>
      </c>
      <c r="N463">
        <v>10</v>
      </c>
      <c r="O463">
        <v>4</v>
      </c>
      <c r="P463">
        <v>2025</v>
      </c>
    </row>
    <row r="464" spans="1:16">
      <c r="A464">
        <v>906.2</v>
      </c>
      <c r="B464">
        <v>5</v>
      </c>
      <c r="C464" t="s">
        <v>2061</v>
      </c>
      <c r="D464" t="s">
        <v>2062</v>
      </c>
      <c r="E464" t="s">
        <v>1754</v>
      </c>
      <c r="F464" t="s">
        <v>392</v>
      </c>
      <c r="G464" t="s">
        <v>834</v>
      </c>
      <c r="H464" t="s">
        <v>81</v>
      </c>
      <c r="I464" t="s">
        <v>82</v>
      </c>
      <c r="J464">
        <v>181.24</v>
      </c>
      <c r="K464" s="1">
        <v>46042</v>
      </c>
      <c r="L464" t="s">
        <v>48</v>
      </c>
      <c r="M464">
        <v>20</v>
      </c>
      <c r="N464">
        <v>1</v>
      </c>
      <c r="O464">
        <v>1</v>
      </c>
      <c r="P464">
        <v>2026</v>
      </c>
    </row>
    <row r="465" spans="1:16">
      <c r="A465">
        <v>254.76</v>
      </c>
      <c r="B465">
        <v>2</v>
      </c>
      <c r="C465" t="s">
        <v>2783</v>
      </c>
      <c r="D465" t="s">
        <v>2784</v>
      </c>
      <c r="E465" t="s">
        <v>1050</v>
      </c>
      <c r="F465" t="s">
        <v>1107</v>
      </c>
      <c r="G465" t="s">
        <v>763</v>
      </c>
      <c r="H465" t="s">
        <v>1217</v>
      </c>
      <c r="I465" t="s">
        <v>122</v>
      </c>
      <c r="J465">
        <v>127.38</v>
      </c>
      <c r="K465" s="1">
        <v>45894</v>
      </c>
      <c r="L465" t="s">
        <v>93</v>
      </c>
      <c r="M465">
        <v>25</v>
      </c>
      <c r="N465">
        <v>8</v>
      </c>
      <c r="O465">
        <v>3</v>
      </c>
      <c r="P465">
        <v>2025</v>
      </c>
    </row>
    <row r="466" spans="1:16">
      <c r="A466">
        <v>325.74</v>
      </c>
      <c r="B466">
        <v>2</v>
      </c>
      <c r="C466" t="s">
        <v>1112</v>
      </c>
      <c r="D466" t="s">
        <v>1113</v>
      </c>
      <c r="E466" t="s">
        <v>1114</v>
      </c>
      <c r="F466" t="s">
        <v>1078</v>
      </c>
      <c r="G466" t="s">
        <v>781</v>
      </c>
      <c r="H466" t="s">
        <v>236</v>
      </c>
      <c r="I466" t="s">
        <v>60</v>
      </c>
      <c r="J466">
        <v>162.87</v>
      </c>
      <c r="K466" s="1">
        <v>45880</v>
      </c>
      <c r="L466" t="s">
        <v>93</v>
      </c>
      <c r="M466">
        <v>11</v>
      </c>
      <c r="N466">
        <v>8</v>
      </c>
      <c r="O466">
        <v>3</v>
      </c>
      <c r="P466">
        <v>2025</v>
      </c>
    </row>
    <row r="467" spans="1:16">
      <c r="A467">
        <v>67.23</v>
      </c>
      <c r="B467">
        <v>3</v>
      </c>
      <c r="C467" t="s">
        <v>2163</v>
      </c>
      <c r="D467" t="s">
        <v>2164</v>
      </c>
      <c r="E467" t="s">
        <v>2153</v>
      </c>
      <c r="F467" t="s">
        <v>478</v>
      </c>
      <c r="G467" t="s">
        <v>781</v>
      </c>
      <c r="H467" t="s">
        <v>484</v>
      </c>
      <c r="I467" t="s">
        <v>25</v>
      </c>
      <c r="J467">
        <v>22.41</v>
      </c>
      <c r="K467" s="1">
        <v>45660</v>
      </c>
      <c r="L467" t="s">
        <v>79</v>
      </c>
      <c r="M467">
        <v>3</v>
      </c>
      <c r="N467">
        <v>1</v>
      </c>
      <c r="O467">
        <v>1</v>
      </c>
      <c r="P467">
        <v>2025</v>
      </c>
    </row>
    <row r="468" spans="1:16">
      <c r="A468">
        <v>1141.3</v>
      </c>
      <c r="B468">
        <v>5</v>
      </c>
      <c r="C468" t="s">
        <v>900</v>
      </c>
      <c r="D468" t="s">
        <v>901</v>
      </c>
      <c r="E468" t="s">
        <v>902</v>
      </c>
      <c r="F468" t="s">
        <v>903</v>
      </c>
      <c r="G468" t="s">
        <v>786</v>
      </c>
      <c r="H468" t="s">
        <v>268</v>
      </c>
      <c r="I468" t="s">
        <v>97</v>
      </c>
      <c r="J468">
        <v>228.26</v>
      </c>
      <c r="K468" s="1">
        <v>46190</v>
      </c>
      <c r="L468" t="s">
        <v>34</v>
      </c>
      <c r="M468">
        <v>17</v>
      </c>
      <c r="N468">
        <v>6</v>
      </c>
      <c r="O468">
        <v>2</v>
      </c>
      <c r="P468">
        <v>2026</v>
      </c>
    </row>
    <row r="469" spans="1:16">
      <c r="A469">
        <v>231.29999999999998</v>
      </c>
      <c r="B469">
        <v>5</v>
      </c>
      <c r="C469" t="s">
        <v>1435</v>
      </c>
      <c r="D469" t="s">
        <v>1436</v>
      </c>
      <c r="E469" t="s">
        <v>1437</v>
      </c>
      <c r="F469" t="s">
        <v>387</v>
      </c>
      <c r="G469" t="s">
        <v>821</v>
      </c>
      <c r="H469" t="s">
        <v>190</v>
      </c>
      <c r="I469" t="s">
        <v>39</v>
      </c>
      <c r="J469">
        <v>46.26</v>
      </c>
      <c r="K469" s="1">
        <v>45799</v>
      </c>
      <c r="L469" t="s">
        <v>105</v>
      </c>
      <c r="M469">
        <v>22</v>
      </c>
      <c r="N469">
        <v>5</v>
      </c>
      <c r="O469">
        <v>2</v>
      </c>
      <c r="P469">
        <v>2025</v>
      </c>
    </row>
    <row r="470" spans="1:16">
      <c r="A470">
        <v>182.37</v>
      </c>
      <c r="B470">
        <v>1</v>
      </c>
      <c r="C470" t="s">
        <v>2737</v>
      </c>
      <c r="D470" t="s">
        <v>2738</v>
      </c>
      <c r="E470" t="s">
        <v>1110</v>
      </c>
      <c r="F470" t="s">
        <v>825</v>
      </c>
      <c r="G470" t="s">
        <v>781</v>
      </c>
      <c r="H470" t="s">
        <v>661</v>
      </c>
      <c r="I470" t="s">
        <v>122</v>
      </c>
      <c r="J470">
        <v>182.37</v>
      </c>
      <c r="K470" s="1">
        <v>45988</v>
      </c>
      <c r="L470" t="s">
        <v>105</v>
      </c>
      <c r="M470">
        <v>27</v>
      </c>
      <c r="N470">
        <v>11</v>
      </c>
      <c r="O470">
        <v>4</v>
      </c>
      <c r="P470">
        <v>2025</v>
      </c>
    </row>
    <row r="471" spans="1:16">
      <c r="A471">
        <v>213.16</v>
      </c>
      <c r="B471">
        <v>2</v>
      </c>
      <c r="C471" t="s">
        <v>2731</v>
      </c>
      <c r="D471" t="s">
        <v>2732</v>
      </c>
      <c r="E471" t="s">
        <v>1688</v>
      </c>
      <c r="F471" t="s">
        <v>1032</v>
      </c>
      <c r="G471" t="s">
        <v>839</v>
      </c>
      <c r="H471" t="s">
        <v>670</v>
      </c>
      <c r="I471" t="s">
        <v>57</v>
      </c>
      <c r="J471">
        <v>106.58</v>
      </c>
      <c r="K471" s="1">
        <v>45979</v>
      </c>
      <c r="L471" t="s">
        <v>48</v>
      </c>
      <c r="M471">
        <v>18</v>
      </c>
      <c r="N471">
        <v>11</v>
      </c>
      <c r="O471">
        <v>4</v>
      </c>
      <c r="P471">
        <v>2025</v>
      </c>
    </row>
    <row r="472" spans="1:16">
      <c r="A472">
        <v>230.53</v>
      </c>
      <c r="B472">
        <v>1</v>
      </c>
      <c r="C472" t="s">
        <v>2861</v>
      </c>
      <c r="D472" t="s">
        <v>2862</v>
      </c>
      <c r="E472" t="s">
        <v>1642</v>
      </c>
      <c r="F472" t="s">
        <v>2468</v>
      </c>
      <c r="G472" t="s">
        <v>763</v>
      </c>
      <c r="H472" t="s">
        <v>389</v>
      </c>
      <c r="I472" t="s">
        <v>82</v>
      </c>
      <c r="J472">
        <v>230.53</v>
      </c>
      <c r="K472" s="1">
        <v>45917</v>
      </c>
      <c r="L472" t="s">
        <v>34</v>
      </c>
      <c r="M472">
        <v>17</v>
      </c>
      <c r="N472">
        <v>9</v>
      </c>
      <c r="O472">
        <v>3</v>
      </c>
      <c r="P472">
        <v>2025</v>
      </c>
    </row>
    <row r="473" spans="1:16">
      <c r="A473">
        <v>492.81000000000006</v>
      </c>
      <c r="B473">
        <v>3</v>
      </c>
      <c r="C473" t="s">
        <v>2298</v>
      </c>
      <c r="D473" t="s">
        <v>2299</v>
      </c>
      <c r="E473" t="s">
        <v>1498</v>
      </c>
      <c r="F473" t="s">
        <v>1318</v>
      </c>
      <c r="G473" t="s">
        <v>807</v>
      </c>
      <c r="H473" t="s">
        <v>127</v>
      </c>
      <c r="I473" t="s">
        <v>21</v>
      </c>
      <c r="J473">
        <v>164.27</v>
      </c>
      <c r="K473" s="1">
        <v>46032</v>
      </c>
      <c r="L473" t="s">
        <v>14</v>
      </c>
      <c r="M473">
        <v>10</v>
      </c>
      <c r="N473">
        <v>1</v>
      </c>
      <c r="O473">
        <v>1</v>
      </c>
      <c r="P473">
        <v>2026</v>
      </c>
    </row>
    <row r="474" spans="1:16">
      <c r="A474">
        <v>983.16</v>
      </c>
      <c r="B474">
        <v>4</v>
      </c>
      <c r="C474" t="s">
        <v>2242</v>
      </c>
      <c r="D474" t="s">
        <v>2243</v>
      </c>
      <c r="E474" t="s">
        <v>1124</v>
      </c>
      <c r="F474" t="s">
        <v>1626</v>
      </c>
      <c r="G474" t="s">
        <v>812</v>
      </c>
      <c r="H474" t="s">
        <v>344</v>
      </c>
      <c r="I474" t="s">
        <v>19</v>
      </c>
      <c r="J474">
        <v>245.79</v>
      </c>
      <c r="K474" s="1">
        <v>45886</v>
      </c>
      <c r="L474" t="s">
        <v>28</v>
      </c>
      <c r="M474">
        <v>17</v>
      </c>
      <c r="N474">
        <v>8</v>
      </c>
      <c r="O474">
        <v>3</v>
      </c>
      <c r="P474">
        <v>2025</v>
      </c>
    </row>
    <row r="475" spans="1:16">
      <c r="A475">
        <v>411.9</v>
      </c>
      <c r="B475">
        <v>2</v>
      </c>
      <c r="C475" t="s">
        <v>1583</v>
      </c>
      <c r="D475" t="s">
        <v>1584</v>
      </c>
      <c r="E475" t="s">
        <v>1585</v>
      </c>
      <c r="F475" t="s">
        <v>113</v>
      </c>
      <c r="G475" t="s">
        <v>1247</v>
      </c>
      <c r="H475" t="s">
        <v>705</v>
      </c>
      <c r="I475" t="s">
        <v>60</v>
      </c>
      <c r="J475">
        <v>205.95</v>
      </c>
      <c r="K475" s="1">
        <v>45816</v>
      </c>
      <c r="L475" t="s">
        <v>28</v>
      </c>
      <c r="M475">
        <v>8</v>
      </c>
      <c r="N475">
        <v>6</v>
      </c>
      <c r="O475">
        <v>2</v>
      </c>
      <c r="P475">
        <v>2025</v>
      </c>
    </row>
    <row r="476" spans="1:16">
      <c r="A476">
        <v>68.760000000000005</v>
      </c>
      <c r="B476">
        <v>3</v>
      </c>
      <c r="C476" t="s">
        <v>3417</v>
      </c>
      <c r="D476" t="s">
        <v>3418</v>
      </c>
      <c r="E476" t="s">
        <v>2721</v>
      </c>
      <c r="F476" t="s">
        <v>562</v>
      </c>
      <c r="G476" t="s">
        <v>753</v>
      </c>
      <c r="H476" t="s">
        <v>167</v>
      </c>
      <c r="I476" t="s">
        <v>23</v>
      </c>
      <c r="J476">
        <v>22.92</v>
      </c>
      <c r="K476" s="1">
        <v>46054</v>
      </c>
      <c r="L476" t="s">
        <v>28</v>
      </c>
      <c r="M476">
        <v>1</v>
      </c>
      <c r="N476">
        <v>2</v>
      </c>
      <c r="O476">
        <v>1</v>
      </c>
      <c r="P476">
        <v>2026</v>
      </c>
    </row>
    <row r="477" spans="1:16">
      <c r="A477">
        <v>181.24</v>
      </c>
      <c r="B477">
        <v>2</v>
      </c>
      <c r="C477" t="s">
        <v>3051</v>
      </c>
      <c r="D477" t="s">
        <v>3052</v>
      </c>
      <c r="E477" t="s">
        <v>1136</v>
      </c>
      <c r="F477" t="s">
        <v>1107</v>
      </c>
      <c r="G477" t="s">
        <v>892</v>
      </c>
      <c r="H477" t="s">
        <v>686</v>
      </c>
      <c r="I477" t="s">
        <v>82</v>
      </c>
      <c r="J477">
        <v>90.62</v>
      </c>
      <c r="K477" s="1">
        <v>45830</v>
      </c>
      <c r="L477" t="s">
        <v>28</v>
      </c>
      <c r="M477">
        <v>22</v>
      </c>
      <c r="N477">
        <v>6</v>
      </c>
      <c r="O477">
        <v>2</v>
      </c>
      <c r="P477">
        <v>2025</v>
      </c>
    </row>
    <row r="478" spans="1:16">
      <c r="A478">
        <v>169.17000000000002</v>
      </c>
      <c r="B478">
        <v>3</v>
      </c>
      <c r="C478" t="s">
        <v>1627</v>
      </c>
      <c r="D478" t="s">
        <v>1628</v>
      </c>
      <c r="E478" t="s">
        <v>1629</v>
      </c>
      <c r="F478" t="s">
        <v>1630</v>
      </c>
      <c r="G478" t="s">
        <v>763</v>
      </c>
      <c r="H478" t="s">
        <v>308</v>
      </c>
      <c r="I478" t="s">
        <v>19</v>
      </c>
      <c r="J478">
        <v>56.39</v>
      </c>
      <c r="K478" s="1">
        <v>45843</v>
      </c>
      <c r="L478" t="s">
        <v>14</v>
      </c>
      <c r="M478">
        <v>5</v>
      </c>
      <c r="N478">
        <v>7</v>
      </c>
      <c r="O478">
        <v>3</v>
      </c>
      <c r="P478">
        <v>2025</v>
      </c>
    </row>
    <row r="479" spans="1:16">
      <c r="A479">
        <v>122.18</v>
      </c>
      <c r="B479">
        <v>1</v>
      </c>
      <c r="C479" t="s">
        <v>1839</v>
      </c>
      <c r="D479" t="s">
        <v>1840</v>
      </c>
      <c r="E479" t="s">
        <v>902</v>
      </c>
      <c r="F479" t="s">
        <v>1841</v>
      </c>
      <c r="G479" t="s">
        <v>753</v>
      </c>
      <c r="H479" t="s">
        <v>433</v>
      </c>
      <c r="I479" t="s">
        <v>100</v>
      </c>
      <c r="J479">
        <v>122.18</v>
      </c>
      <c r="K479" s="1">
        <v>45816</v>
      </c>
      <c r="L479" t="s">
        <v>28</v>
      </c>
      <c r="M479">
        <v>8</v>
      </c>
      <c r="N479">
        <v>6</v>
      </c>
      <c r="O479">
        <v>2</v>
      </c>
      <c r="P479">
        <v>2025</v>
      </c>
    </row>
    <row r="480" spans="1:16">
      <c r="A480">
        <v>73.5</v>
      </c>
      <c r="B480">
        <v>2</v>
      </c>
      <c r="C480" t="s">
        <v>3449</v>
      </c>
      <c r="D480" t="s">
        <v>3450</v>
      </c>
      <c r="E480" t="s">
        <v>1114</v>
      </c>
      <c r="F480" t="s">
        <v>1607</v>
      </c>
      <c r="G480" t="s">
        <v>839</v>
      </c>
      <c r="H480" t="s">
        <v>637</v>
      </c>
      <c r="I480" t="s">
        <v>100</v>
      </c>
      <c r="J480">
        <v>36.75</v>
      </c>
      <c r="K480" s="1">
        <v>45999</v>
      </c>
      <c r="L480" t="s">
        <v>93</v>
      </c>
      <c r="M480">
        <v>8</v>
      </c>
      <c r="N480">
        <v>12</v>
      </c>
      <c r="O480">
        <v>4</v>
      </c>
      <c r="P480">
        <v>2025</v>
      </c>
    </row>
    <row r="481" spans="1:16">
      <c r="A481">
        <v>62.22</v>
      </c>
      <c r="B481">
        <v>3</v>
      </c>
      <c r="C481" t="s">
        <v>2812</v>
      </c>
      <c r="D481" t="s">
        <v>2813</v>
      </c>
      <c r="E481" t="s">
        <v>2098</v>
      </c>
      <c r="F481" t="s">
        <v>953</v>
      </c>
      <c r="G481" t="s">
        <v>954</v>
      </c>
      <c r="H481" t="s">
        <v>70</v>
      </c>
      <c r="I481" t="s">
        <v>27</v>
      </c>
      <c r="J481">
        <v>20.74</v>
      </c>
      <c r="K481" s="1">
        <v>46073</v>
      </c>
      <c r="L481" t="s">
        <v>79</v>
      </c>
      <c r="M481">
        <v>20</v>
      </c>
      <c r="N481">
        <v>2</v>
      </c>
      <c r="O481">
        <v>1</v>
      </c>
      <c r="P481">
        <v>2026</v>
      </c>
    </row>
    <row r="482" spans="1:16">
      <c r="A482">
        <v>42.36</v>
      </c>
      <c r="B482">
        <v>2</v>
      </c>
      <c r="C482" t="s">
        <v>2474</v>
      </c>
      <c r="D482" t="s">
        <v>2475</v>
      </c>
      <c r="E482" t="s">
        <v>2476</v>
      </c>
      <c r="F482" t="s">
        <v>1137</v>
      </c>
      <c r="G482" t="s">
        <v>748</v>
      </c>
      <c r="H482" t="s">
        <v>712</v>
      </c>
      <c r="I482" t="s">
        <v>60</v>
      </c>
      <c r="J482">
        <v>21.18</v>
      </c>
      <c r="K482" s="1">
        <v>45678</v>
      </c>
      <c r="L482" t="s">
        <v>48</v>
      </c>
      <c r="M482">
        <v>21</v>
      </c>
      <c r="N482">
        <v>1</v>
      </c>
      <c r="O482">
        <v>1</v>
      </c>
      <c r="P482">
        <v>2025</v>
      </c>
    </row>
    <row r="483" spans="1:16">
      <c r="A483">
        <v>594.41999999999996</v>
      </c>
      <c r="B483">
        <v>3</v>
      </c>
      <c r="C483" t="s">
        <v>1043</v>
      </c>
      <c r="D483" t="s">
        <v>1044</v>
      </c>
      <c r="E483" t="s">
        <v>1045</v>
      </c>
      <c r="F483" t="s">
        <v>747</v>
      </c>
      <c r="G483" t="s">
        <v>748</v>
      </c>
      <c r="H483" t="s">
        <v>146</v>
      </c>
      <c r="I483" t="s">
        <v>97</v>
      </c>
      <c r="J483">
        <v>198.14</v>
      </c>
      <c r="K483" s="1">
        <v>45985</v>
      </c>
      <c r="L483" t="s">
        <v>93</v>
      </c>
      <c r="M483">
        <v>24</v>
      </c>
      <c r="N483">
        <v>11</v>
      </c>
      <c r="O483">
        <v>4</v>
      </c>
      <c r="P483">
        <v>2025</v>
      </c>
    </row>
    <row r="484" spans="1:16">
      <c r="A484">
        <v>124.64</v>
      </c>
      <c r="B484">
        <v>1</v>
      </c>
      <c r="C484" t="s">
        <v>2508</v>
      </c>
      <c r="D484" t="s">
        <v>2509</v>
      </c>
      <c r="E484" t="s">
        <v>2510</v>
      </c>
      <c r="F484" t="s">
        <v>1670</v>
      </c>
      <c r="G484" t="s">
        <v>1247</v>
      </c>
      <c r="H484" t="s">
        <v>356</v>
      </c>
      <c r="I484" t="s">
        <v>69</v>
      </c>
      <c r="J484">
        <v>124.64</v>
      </c>
      <c r="K484" s="1">
        <v>46102</v>
      </c>
      <c r="L484" t="s">
        <v>14</v>
      </c>
      <c r="M484">
        <v>21</v>
      </c>
      <c r="N484">
        <v>3</v>
      </c>
      <c r="O484">
        <v>1</v>
      </c>
      <c r="P484">
        <v>2026</v>
      </c>
    </row>
    <row r="485" spans="1:16">
      <c r="A485">
        <v>633.52</v>
      </c>
      <c r="B485">
        <v>4</v>
      </c>
      <c r="C485" t="s">
        <v>2230</v>
      </c>
      <c r="D485" t="s">
        <v>2231</v>
      </c>
      <c r="E485" t="s">
        <v>2232</v>
      </c>
      <c r="F485" t="s">
        <v>1002</v>
      </c>
      <c r="G485" t="s">
        <v>892</v>
      </c>
      <c r="H485" t="s">
        <v>172</v>
      </c>
      <c r="I485" t="s">
        <v>46</v>
      </c>
      <c r="J485">
        <v>158.38</v>
      </c>
      <c r="K485" s="1">
        <v>45602</v>
      </c>
      <c r="L485" t="s">
        <v>34</v>
      </c>
      <c r="M485">
        <v>6</v>
      </c>
      <c r="N485">
        <v>11</v>
      </c>
      <c r="O485">
        <v>4</v>
      </c>
      <c r="P485">
        <v>2024</v>
      </c>
    </row>
    <row r="486" spans="1:16">
      <c r="A486">
        <v>216.1</v>
      </c>
      <c r="B486">
        <v>2</v>
      </c>
      <c r="C486" t="s">
        <v>1193</v>
      </c>
      <c r="D486" t="s">
        <v>1194</v>
      </c>
      <c r="E486" t="s">
        <v>1195</v>
      </c>
      <c r="F486" t="s">
        <v>199</v>
      </c>
      <c r="G486" t="s">
        <v>781</v>
      </c>
      <c r="H486" t="s">
        <v>682</v>
      </c>
      <c r="I486" t="s">
        <v>23</v>
      </c>
      <c r="J486">
        <v>108.05</v>
      </c>
      <c r="K486" s="1">
        <v>45935</v>
      </c>
      <c r="L486" t="s">
        <v>28</v>
      </c>
      <c r="M486">
        <v>5</v>
      </c>
      <c r="N486">
        <v>10</v>
      </c>
      <c r="O486">
        <v>4</v>
      </c>
      <c r="P486">
        <v>2025</v>
      </c>
    </row>
    <row r="487" spans="1:16">
      <c r="A487">
        <v>229.72</v>
      </c>
      <c r="B487">
        <v>4</v>
      </c>
      <c r="C487" t="s">
        <v>1491</v>
      </c>
      <c r="D487" t="s">
        <v>1492</v>
      </c>
      <c r="E487" t="s">
        <v>1493</v>
      </c>
      <c r="F487" t="s">
        <v>1401</v>
      </c>
      <c r="G487" t="s">
        <v>943</v>
      </c>
      <c r="H487" t="s">
        <v>730</v>
      </c>
      <c r="I487" t="s">
        <v>51</v>
      </c>
      <c r="J487">
        <v>57.43</v>
      </c>
      <c r="K487" s="1">
        <v>45741</v>
      </c>
      <c r="L487" t="s">
        <v>48</v>
      </c>
      <c r="M487">
        <v>25</v>
      </c>
      <c r="N487">
        <v>3</v>
      </c>
      <c r="O487">
        <v>1</v>
      </c>
      <c r="P487">
        <v>2025</v>
      </c>
    </row>
    <row r="488" spans="1:16">
      <c r="A488">
        <v>1221.5999999999999</v>
      </c>
      <c r="B488">
        <v>5</v>
      </c>
      <c r="C488" t="s">
        <v>3359</v>
      </c>
      <c r="D488" t="s">
        <v>3360</v>
      </c>
      <c r="E488" t="s">
        <v>2643</v>
      </c>
      <c r="F488" t="s">
        <v>106</v>
      </c>
      <c r="G488" t="s">
        <v>790</v>
      </c>
      <c r="H488" t="s">
        <v>613</v>
      </c>
      <c r="I488" t="s">
        <v>21</v>
      </c>
      <c r="J488">
        <v>244.32</v>
      </c>
      <c r="K488" s="1">
        <v>46046</v>
      </c>
      <c r="L488" t="s">
        <v>14</v>
      </c>
      <c r="M488">
        <v>24</v>
      </c>
      <c r="N488">
        <v>1</v>
      </c>
      <c r="O488">
        <v>1</v>
      </c>
      <c r="P488">
        <v>2026</v>
      </c>
    </row>
    <row r="489" spans="1:16">
      <c r="A489">
        <v>280.88</v>
      </c>
      <c r="B489">
        <v>4</v>
      </c>
      <c r="C489" t="s">
        <v>2417</v>
      </c>
      <c r="D489" t="s">
        <v>2418</v>
      </c>
      <c r="E489" t="s">
        <v>2419</v>
      </c>
      <c r="F489" t="s">
        <v>995</v>
      </c>
      <c r="G489" t="s">
        <v>781</v>
      </c>
      <c r="H489" t="s">
        <v>515</v>
      </c>
      <c r="I489" t="s">
        <v>60</v>
      </c>
      <c r="J489">
        <v>70.22</v>
      </c>
      <c r="K489" s="1">
        <v>46058</v>
      </c>
      <c r="L489" t="s">
        <v>105</v>
      </c>
      <c r="M489">
        <v>5</v>
      </c>
      <c r="N489">
        <v>2</v>
      </c>
      <c r="O489">
        <v>1</v>
      </c>
      <c r="P489">
        <v>2026</v>
      </c>
    </row>
    <row r="490" spans="1:16">
      <c r="A490">
        <v>241.96</v>
      </c>
      <c r="B490">
        <v>4</v>
      </c>
      <c r="C490" t="s">
        <v>3294</v>
      </c>
      <c r="D490" t="s">
        <v>3295</v>
      </c>
      <c r="E490" t="s">
        <v>2250</v>
      </c>
      <c r="F490" t="s">
        <v>862</v>
      </c>
      <c r="G490" t="s">
        <v>908</v>
      </c>
      <c r="H490" t="s">
        <v>558</v>
      </c>
      <c r="I490" t="s">
        <v>43</v>
      </c>
      <c r="J490">
        <v>60.49</v>
      </c>
      <c r="K490" s="1">
        <v>45556</v>
      </c>
      <c r="L490" t="s">
        <v>14</v>
      </c>
      <c r="M490">
        <v>21</v>
      </c>
      <c r="N490">
        <v>9</v>
      </c>
      <c r="O490">
        <v>3</v>
      </c>
      <c r="P490">
        <v>2024</v>
      </c>
    </row>
    <row r="491" spans="1:16">
      <c r="A491">
        <v>238.1</v>
      </c>
      <c r="B491">
        <v>5</v>
      </c>
      <c r="C491" t="s">
        <v>1799</v>
      </c>
      <c r="D491" t="s">
        <v>1800</v>
      </c>
      <c r="E491" t="s">
        <v>1801</v>
      </c>
      <c r="F491" t="s">
        <v>883</v>
      </c>
      <c r="G491" t="s">
        <v>807</v>
      </c>
      <c r="H491" t="s">
        <v>508</v>
      </c>
      <c r="I491" t="s">
        <v>43</v>
      </c>
      <c r="J491">
        <v>47.62</v>
      </c>
      <c r="K491" s="1">
        <v>45564</v>
      </c>
      <c r="L491" t="s">
        <v>28</v>
      </c>
      <c r="M491">
        <v>29</v>
      </c>
      <c r="N491">
        <v>9</v>
      </c>
      <c r="O491">
        <v>3</v>
      </c>
      <c r="P491">
        <v>2024</v>
      </c>
    </row>
    <row r="492" spans="1:16">
      <c r="A492">
        <v>43.75</v>
      </c>
      <c r="B492">
        <v>1</v>
      </c>
      <c r="C492" t="s">
        <v>1048</v>
      </c>
      <c r="D492" t="s">
        <v>1049</v>
      </c>
      <c r="E492" t="s">
        <v>1050</v>
      </c>
      <c r="F492" t="s">
        <v>29</v>
      </c>
      <c r="G492" t="s">
        <v>763</v>
      </c>
      <c r="H492" t="s">
        <v>386</v>
      </c>
      <c r="I492" t="s">
        <v>21</v>
      </c>
      <c r="J492">
        <v>43.75</v>
      </c>
      <c r="K492" s="1">
        <v>45726</v>
      </c>
      <c r="L492" t="s">
        <v>93</v>
      </c>
      <c r="M492">
        <v>10</v>
      </c>
      <c r="N492">
        <v>3</v>
      </c>
      <c r="O492">
        <v>1</v>
      </c>
      <c r="P492">
        <v>2025</v>
      </c>
    </row>
    <row r="493" spans="1:16">
      <c r="A493">
        <v>471.78</v>
      </c>
      <c r="B493">
        <v>3</v>
      </c>
      <c r="C493" t="s">
        <v>2155</v>
      </c>
      <c r="D493" t="s">
        <v>2156</v>
      </c>
      <c r="E493" t="s">
        <v>1865</v>
      </c>
      <c r="F493" t="s">
        <v>1607</v>
      </c>
      <c r="G493" t="s">
        <v>839</v>
      </c>
      <c r="H493" t="s">
        <v>68</v>
      </c>
      <c r="I493" t="s">
        <v>69</v>
      </c>
      <c r="J493">
        <v>157.26</v>
      </c>
      <c r="K493" s="1">
        <v>46260</v>
      </c>
      <c r="L493" t="s">
        <v>34</v>
      </c>
      <c r="M493">
        <v>26</v>
      </c>
      <c r="N493">
        <v>8</v>
      </c>
      <c r="O493">
        <v>3</v>
      </c>
      <c r="P493">
        <v>2026</v>
      </c>
    </row>
    <row r="494" spans="1:16">
      <c r="A494">
        <v>919.4</v>
      </c>
      <c r="B494">
        <v>4</v>
      </c>
      <c r="C494" t="s">
        <v>1203</v>
      </c>
      <c r="D494" t="s">
        <v>1204</v>
      </c>
      <c r="E494" t="s">
        <v>1205</v>
      </c>
      <c r="F494" t="s">
        <v>1206</v>
      </c>
      <c r="G494" t="s">
        <v>943</v>
      </c>
      <c r="H494" t="s">
        <v>63</v>
      </c>
      <c r="I494" t="s">
        <v>25</v>
      </c>
      <c r="J494">
        <v>229.85</v>
      </c>
      <c r="K494" s="1">
        <v>46002</v>
      </c>
      <c r="L494" t="s">
        <v>105</v>
      </c>
      <c r="M494">
        <v>11</v>
      </c>
      <c r="N494">
        <v>12</v>
      </c>
      <c r="O494">
        <v>4</v>
      </c>
      <c r="P494">
        <v>2025</v>
      </c>
    </row>
    <row r="495" spans="1:16">
      <c r="A495">
        <v>106.32</v>
      </c>
      <c r="B495">
        <v>3</v>
      </c>
      <c r="C495" t="s">
        <v>1814</v>
      </c>
      <c r="D495" t="s">
        <v>1815</v>
      </c>
      <c r="E495" t="s">
        <v>824</v>
      </c>
      <c r="F495" t="s">
        <v>757</v>
      </c>
      <c r="G495" t="s">
        <v>758</v>
      </c>
      <c r="H495" t="s">
        <v>173</v>
      </c>
      <c r="I495" t="s">
        <v>55</v>
      </c>
      <c r="J495">
        <v>35.44</v>
      </c>
      <c r="K495" s="1">
        <v>45908</v>
      </c>
      <c r="L495" t="s">
        <v>93</v>
      </c>
      <c r="M495">
        <v>8</v>
      </c>
      <c r="N495">
        <v>9</v>
      </c>
      <c r="O495">
        <v>3</v>
      </c>
      <c r="P495">
        <v>2025</v>
      </c>
    </row>
    <row r="496" spans="1:16">
      <c r="A496">
        <v>106.32</v>
      </c>
      <c r="B496">
        <v>3</v>
      </c>
      <c r="C496" t="s">
        <v>1896</v>
      </c>
      <c r="D496" t="s">
        <v>1897</v>
      </c>
      <c r="E496" t="s">
        <v>1114</v>
      </c>
      <c r="F496" t="s">
        <v>1026</v>
      </c>
      <c r="G496" t="s">
        <v>896</v>
      </c>
      <c r="H496" t="s">
        <v>173</v>
      </c>
      <c r="I496" t="s">
        <v>55</v>
      </c>
      <c r="J496">
        <v>35.44</v>
      </c>
      <c r="K496" s="1">
        <v>45983</v>
      </c>
      <c r="L496" t="s">
        <v>14</v>
      </c>
      <c r="M496">
        <v>22</v>
      </c>
      <c r="N496">
        <v>11</v>
      </c>
      <c r="O496">
        <v>4</v>
      </c>
      <c r="P496">
        <v>2025</v>
      </c>
    </row>
    <row r="497" spans="1:16">
      <c r="A497">
        <v>861</v>
      </c>
      <c r="B497">
        <v>4</v>
      </c>
      <c r="C497" t="s">
        <v>2207</v>
      </c>
      <c r="D497" t="s">
        <v>2208</v>
      </c>
      <c r="E497" t="s">
        <v>1854</v>
      </c>
      <c r="F497" t="s">
        <v>1920</v>
      </c>
      <c r="G497" t="s">
        <v>807</v>
      </c>
      <c r="H497" t="s">
        <v>148</v>
      </c>
      <c r="I497" t="s">
        <v>51</v>
      </c>
      <c r="J497">
        <v>215.25</v>
      </c>
      <c r="K497" s="1">
        <v>45886</v>
      </c>
      <c r="L497" t="s">
        <v>28</v>
      </c>
      <c r="M497">
        <v>17</v>
      </c>
      <c r="N497">
        <v>8</v>
      </c>
      <c r="O497">
        <v>3</v>
      </c>
      <c r="P497">
        <v>2025</v>
      </c>
    </row>
    <row r="498" spans="1:16">
      <c r="A498">
        <v>706.80000000000007</v>
      </c>
      <c r="B498">
        <v>5</v>
      </c>
      <c r="C498" t="s">
        <v>1796</v>
      </c>
      <c r="D498" t="s">
        <v>1797</v>
      </c>
      <c r="E498" t="s">
        <v>1798</v>
      </c>
      <c r="F498" t="s">
        <v>806</v>
      </c>
      <c r="G498" t="s">
        <v>807</v>
      </c>
      <c r="H498" t="s">
        <v>181</v>
      </c>
      <c r="I498" t="s">
        <v>82</v>
      </c>
      <c r="J498">
        <v>141.36000000000001</v>
      </c>
      <c r="K498" s="1">
        <v>46205</v>
      </c>
      <c r="L498" t="s">
        <v>105</v>
      </c>
      <c r="M498">
        <v>2</v>
      </c>
      <c r="N498">
        <v>7</v>
      </c>
      <c r="O498">
        <v>3</v>
      </c>
      <c r="P498">
        <v>2026</v>
      </c>
    </row>
    <row r="499" spans="1:16">
      <c r="A499">
        <v>287</v>
      </c>
      <c r="B499">
        <v>4</v>
      </c>
      <c r="C499" t="s">
        <v>1196</v>
      </c>
      <c r="D499" t="s">
        <v>1197</v>
      </c>
      <c r="E499" t="s">
        <v>1198</v>
      </c>
      <c r="F499" t="s">
        <v>1199</v>
      </c>
      <c r="G499" t="s">
        <v>839</v>
      </c>
      <c r="H499" t="s">
        <v>133</v>
      </c>
      <c r="I499" t="s">
        <v>97</v>
      </c>
      <c r="J499">
        <v>71.75</v>
      </c>
      <c r="K499" s="1">
        <v>45608</v>
      </c>
      <c r="L499" t="s">
        <v>48</v>
      </c>
      <c r="M499">
        <v>12</v>
      </c>
      <c r="N499">
        <v>11</v>
      </c>
      <c r="O499">
        <v>4</v>
      </c>
      <c r="P499">
        <v>2024</v>
      </c>
    </row>
    <row r="500" spans="1:16">
      <c r="A500">
        <v>676.16</v>
      </c>
      <c r="B500">
        <v>4</v>
      </c>
      <c r="C500" t="s">
        <v>1683</v>
      </c>
      <c r="D500" t="s">
        <v>1684</v>
      </c>
      <c r="E500" t="s">
        <v>1685</v>
      </c>
      <c r="F500" t="s">
        <v>1067</v>
      </c>
      <c r="G500" t="s">
        <v>854</v>
      </c>
      <c r="H500" t="s">
        <v>443</v>
      </c>
      <c r="I500" t="s">
        <v>55</v>
      </c>
      <c r="J500">
        <v>169.04</v>
      </c>
      <c r="K500" s="1">
        <v>46142</v>
      </c>
      <c r="L500" t="s">
        <v>105</v>
      </c>
      <c r="M500">
        <v>30</v>
      </c>
      <c r="N500">
        <v>4</v>
      </c>
      <c r="O500">
        <v>2</v>
      </c>
      <c r="P500">
        <v>2026</v>
      </c>
    </row>
    <row r="501" spans="1:16">
      <c r="A501">
        <v>145.63</v>
      </c>
      <c r="B501">
        <v>1</v>
      </c>
      <c r="C501" t="s">
        <v>1588</v>
      </c>
      <c r="D501" t="s">
        <v>1589</v>
      </c>
      <c r="E501" t="s">
        <v>1590</v>
      </c>
      <c r="F501" t="s">
        <v>1591</v>
      </c>
      <c r="G501" t="s">
        <v>966</v>
      </c>
      <c r="H501" t="s">
        <v>191</v>
      </c>
      <c r="I501" t="s">
        <v>60</v>
      </c>
      <c r="J501">
        <v>145.63</v>
      </c>
      <c r="K501" s="1">
        <v>45654</v>
      </c>
      <c r="L501" t="s">
        <v>14</v>
      </c>
      <c r="M501">
        <v>28</v>
      </c>
      <c r="N501">
        <v>12</v>
      </c>
      <c r="O501">
        <v>4</v>
      </c>
      <c r="P501">
        <v>2024</v>
      </c>
    </row>
    <row r="502" spans="1:16">
      <c r="A502">
        <v>666.06000000000006</v>
      </c>
      <c r="B502">
        <v>3</v>
      </c>
      <c r="C502" t="s">
        <v>1277</v>
      </c>
      <c r="D502" t="s">
        <v>1278</v>
      </c>
      <c r="E502" t="s">
        <v>1279</v>
      </c>
      <c r="F502" t="s">
        <v>1280</v>
      </c>
      <c r="G502" t="s">
        <v>908</v>
      </c>
      <c r="H502" t="s">
        <v>501</v>
      </c>
      <c r="I502" t="s">
        <v>25</v>
      </c>
      <c r="J502">
        <v>222.02</v>
      </c>
      <c r="K502" s="1">
        <v>46001</v>
      </c>
      <c r="L502" t="s">
        <v>34</v>
      </c>
      <c r="M502">
        <v>10</v>
      </c>
      <c r="N502">
        <v>12</v>
      </c>
      <c r="O502">
        <v>4</v>
      </c>
      <c r="P502">
        <v>2025</v>
      </c>
    </row>
    <row r="503" spans="1:16">
      <c r="A503">
        <v>1159.2</v>
      </c>
      <c r="B503">
        <v>5</v>
      </c>
      <c r="C503" t="s">
        <v>1543</v>
      </c>
      <c r="D503" t="s">
        <v>1544</v>
      </c>
      <c r="E503" t="s">
        <v>1545</v>
      </c>
      <c r="F503" t="s">
        <v>29</v>
      </c>
      <c r="G503" t="s">
        <v>763</v>
      </c>
      <c r="H503" t="s">
        <v>626</v>
      </c>
      <c r="I503" t="s">
        <v>17</v>
      </c>
      <c r="J503">
        <v>231.84</v>
      </c>
      <c r="K503" s="1">
        <v>45675</v>
      </c>
      <c r="L503" t="s">
        <v>14</v>
      </c>
      <c r="M503">
        <v>18</v>
      </c>
      <c r="N503">
        <v>1</v>
      </c>
      <c r="O503">
        <v>1</v>
      </c>
      <c r="P503">
        <v>2025</v>
      </c>
    </row>
    <row r="504" spans="1:16">
      <c r="A504">
        <v>143.99</v>
      </c>
      <c r="B504">
        <v>1</v>
      </c>
      <c r="C504" t="s">
        <v>2437</v>
      </c>
      <c r="D504" t="s">
        <v>2438</v>
      </c>
      <c r="E504" t="s">
        <v>1025</v>
      </c>
      <c r="F504" t="s">
        <v>1111</v>
      </c>
      <c r="G504" t="s">
        <v>981</v>
      </c>
      <c r="H504" t="s">
        <v>2838</v>
      </c>
      <c r="I504" t="s">
        <v>57</v>
      </c>
      <c r="J504">
        <v>143.99</v>
      </c>
      <c r="K504" s="1">
        <v>45654</v>
      </c>
      <c r="L504" t="s">
        <v>14</v>
      </c>
      <c r="M504">
        <v>28</v>
      </c>
      <c r="N504">
        <v>12</v>
      </c>
      <c r="O504">
        <v>4</v>
      </c>
      <c r="P504">
        <v>2024</v>
      </c>
    </row>
    <row r="505" spans="1:16">
      <c r="A505">
        <v>418.1</v>
      </c>
      <c r="B505">
        <v>5</v>
      </c>
      <c r="C505" t="s">
        <v>2021</v>
      </c>
      <c r="D505" t="s">
        <v>2022</v>
      </c>
      <c r="E505" t="s">
        <v>925</v>
      </c>
      <c r="F505" t="s">
        <v>392</v>
      </c>
      <c r="G505" t="s">
        <v>834</v>
      </c>
      <c r="H505" t="s">
        <v>649</v>
      </c>
      <c r="I505" t="s">
        <v>23</v>
      </c>
      <c r="J505">
        <v>83.62</v>
      </c>
      <c r="K505" s="1">
        <v>45919</v>
      </c>
      <c r="L505" t="s">
        <v>79</v>
      </c>
      <c r="M505">
        <v>19</v>
      </c>
      <c r="N505">
        <v>9</v>
      </c>
      <c r="O505">
        <v>3</v>
      </c>
      <c r="P505">
        <v>2025</v>
      </c>
    </row>
    <row r="506" spans="1:16">
      <c r="A506">
        <v>25.86</v>
      </c>
      <c r="B506">
        <v>1</v>
      </c>
      <c r="C506" t="s">
        <v>3477</v>
      </c>
      <c r="D506" t="s">
        <v>2407</v>
      </c>
      <c r="E506" t="s">
        <v>3478</v>
      </c>
      <c r="F506" t="s">
        <v>708</v>
      </c>
      <c r="G506" t="s">
        <v>834</v>
      </c>
      <c r="H506" t="s">
        <v>282</v>
      </c>
      <c r="I506" t="s">
        <v>21</v>
      </c>
      <c r="J506">
        <v>25.86</v>
      </c>
      <c r="K506" s="1">
        <v>45806</v>
      </c>
      <c r="L506" t="s">
        <v>105</v>
      </c>
      <c r="M506">
        <v>29</v>
      </c>
      <c r="N506">
        <v>5</v>
      </c>
      <c r="O506">
        <v>2</v>
      </c>
      <c r="P506">
        <v>2025</v>
      </c>
    </row>
    <row r="507" spans="1:16">
      <c r="A507">
        <v>457.48</v>
      </c>
      <c r="B507">
        <v>2</v>
      </c>
      <c r="C507" t="s">
        <v>1021</v>
      </c>
      <c r="D507" t="s">
        <v>1022</v>
      </c>
      <c r="E507" t="s">
        <v>984</v>
      </c>
      <c r="F507" t="s">
        <v>929</v>
      </c>
      <c r="G507" t="s">
        <v>830</v>
      </c>
      <c r="H507" t="s">
        <v>566</v>
      </c>
      <c r="I507" t="s">
        <v>69</v>
      </c>
      <c r="J507">
        <v>228.74</v>
      </c>
      <c r="K507" s="1">
        <v>45708</v>
      </c>
      <c r="L507" t="s">
        <v>105</v>
      </c>
      <c r="M507">
        <v>20</v>
      </c>
      <c r="N507">
        <v>2</v>
      </c>
      <c r="O507">
        <v>1</v>
      </c>
      <c r="P507">
        <v>2025</v>
      </c>
    </row>
    <row r="508" spans="1:16">
      <c r="A508">
        <v>203.37</v>
      </c>
      <c r="B508">
        <v>1</v>
      </c>
      <c r="C508" t="s">
        <v>2501</v>
      </c>
      <c r="D508" t="s">
        <v>2502</v>
      </c>
      <c r="E508" t="s">
        <v>2503</v>
      </c>
      <c r="F508" t="s">
        <v>548</v>
      </c>
      <c r="G508" t="s">
        <v>790</v>
      </c>
      <c r="H508" t="s">
        <v>228</v>
      </c>
      <c r="I508" t="s">
        <v>23</v>
      </c>
      <c r="J508">
        <v>203.37</v>
      </c>
      <c r="K508" s="1">
        <v>46185</v>
      </c>
      <c r="L508" t="s">
        <v>79</v>
      </c>
      <c r="M508">
        <v>12</v>
      </c>
      <c r="N508">
        <v>6</v>
      </c>
      <c r="O508">
        <v>2</v>
      </c>
      <c r="P508">
        <v>2026</v>
      </c>
    </row>
    <row r="509" spans="1:16">
      <c r="A509">
        <v>719.35</v>
      </c>
      <c r="B509">
        <v>5</v>
      </c>
      <c r="C509" t="s">
        <v>1372</v>
      </c>
      <c r="D509" t="s">
        <v>3226</v>
      </c>
      <c r="E509" t="s">
        <v>1585</v>
      </c>
      <c r="F509" t="s">
        <v>1682</v>
      </c>
      <c r="G509" t="s">
        <v>892</v>
      </c>
      <c r="H509" t="s">
        <v>587</v>
      </c>
      <c r="I509" t="s">
        <v>27</v>
      </c>
      <c r="J509">
        <v>143.87</v>
      </c>
      <c r="K509" s="1">
        <v>45839</v>
      </c>
      <c r="L509" t="s">
        <v>48</v>
      </c>
      <c r="M509">
        <v>1</v>
      </c>
      <c r="N509">
        <v>7</v>
      </c>
      <c r="O509">
        <v>3</v>
      </c>
      <c r="P509">
        <v>2025</v>
      </c>
    </row>
    <row r="510" spans="1:16">
      <c r="A510">
        <v>134.24</v>
      </c>
      <c r="B510">
        <v>4</v>
      </c>
      <c r="C510" t="s">
        <v>2577</v>
      </c>
      <c r="D510" t="s">
        <v>2578</v>
      </c>
      <c r="E510" t="s">
        <v>1508</v>
      </c>
      <c r="F510" t="s">
        <v>1600</v>
      </c>
      <c r="G510" t="s">
        <v>768</v>
      </c>
      <c r="H510" t="s">
        <v>609</v>
      </c>
      <c r="I510" t="s">
        <v>27</v>
      </c>
      <c r="J510">
        <v>33.56</v>
      </c>
      <c r="K510" s="1">
        <v>46115</v>
      </c>
      <c r="L510" t="s">
        <v>79</v>
      </c>
      <c r="M510">
        <v>3</v>
      </c>
      <c r="N510">
        <v>4</v>
      </c>
      <c r="O510">
        <v>2</v>
      </c>
      <c r="P510">
        <v>2026</v>
      </c>
    </row>
    <row r="511" spans="1:16">
      <c r="A511">
        <v>1188.5999999999999</v>
      </c>
      <c r="B511">
        <v>5</v>
      </c>
      <c r="C511" t="s">
        <v>1992</v>
      </c>
      <c r="D511" t="s">
        <v>1993</v>
      </c>
      <c r="E511" t="s">
        <v>1968</v>
      </c>
      <c r="F511" t="s">
        <v>1257</v>
      </c>
      <c r="G511" t="s">
        <v>839</v>
      </c>
      <c r="H511" t="s">
        <v>343</v>
      </c>
      <c r="I511" t="s">
        <v>46</v>
      </c>
      <c r="J511">
        <v>237.72</v>
      </c>
      <c r="K511" s="1">
        <v>45919</v>
      </c>
      <c r="L511" t="s">
        <v>79</v>
      </c>
      <c r="M511">
        <v>19</v>
      </c>
      <c r="N511">
        <v>9</v>
      </c>
      <c r="O511">
        <v>3</v>
      </c>
      <c r="P511">
        <v>2025</v>
      </c>
    </row>
    <row r="512" spans="1:16">
      <c r="A512">
        <v>537.88</v>
      </c>
      <c r="B512">
        <v>4</v>
      </c>
      <c r="C512" t="s">
        <v>1510</v>
      </c>
      <c r="D512" t="s">
        <v>1511</v>
      </c>
      <c r="E512" t="s">
        <v>1512</v>
      </c>
      <c r="F512" t="s">
        <v>1395</v>
      </c>
      <c r="G512" t="s">
        <v>776</v>
      </c>
      <c r="H512" t="s">
        <v>76</v>
      </c>
      <c r="I512" t="s">
        <v>69</v>
      </c>
      <c r="J512">
        <v>134.47</v>
      </c>
      <c r="K512" s="1">
        <v>46024</v>
      </c>
      <c r="L512" t="s">
        <v>79</v>
      </c>
      <c r="M512">
        <v>2</v>
      </c>
      <c r="N512">
        <v>1</v>
      </c>
      <c r="O512">
        <v>1</v>
      </c>
      <c r="P512">
        <v>2026</v>
      </c>
    </row>
    <row r="513" spans="1:16">
      <c r="A513">
        <v>762.44</v>
      </c>
      <c r="B513">
        <v>4</v>
      </c>
      <c r="C513" t="s">
        <v>3167</v>
      </c>
      <c r="D513" t="s">
        <v>3168</v>
      </c>
      <c r="E513" t="s">
        <v>1117</v>
      </c>
      <c r="F513" t="s">
        <v>1920</v>
      </c>
      <c r="G513" t="s">
        <v>807</v>
      </c>
      <c r="H513" t="s">
        <v>156</v>
      </c>
      <c r="I513" t="s">
        <v>57</v>
      </c>
      <c r="J513">
        <v>190.61</v>
      </c>
      <c r="K513" s="1">
        <v>45928</v>
      </c>
      <c r="L513" t="s">
        <v>28</v>
      </c>
      <c r="M513">
        <v>28</v>
      </c>
      <c r="N513">
        <v>9</v>
      </c>
      <c r="O513">
        <v>3</v>
      </c>
      <c r="P513">
        <v>2025</v>
      </c>
    </row>
    <row r="514" spans="1:16">
      <c r="A514">
        <v>458.18</v>
      </c>
      <c r="B514">
        <v>2</v>
      </c>
      <c r="C514" t="s">
        <v>2487</v>
      </c>
      <c r="D514" t="s">
        <v>2488</v>
      </c>
      <c r="E514" t="s">
        <v>1515</v>
      </c>
      <c r="F514" t="s">
        <v>2489</v>
      </c>
      <c r="G514" t="s">
        <v>1247</v>
      </c>
      <c r="H514" t="s">
        <v>622</v>
      </c>
      <c r="I514" t="s">
        <v>37</v>
      </c>
      <c r="J514">
        <v>229.09</v>
      </c>
      <c r="K514" s="1">
        <v>46103</v>
      </c>
      <c r="L514" t="s">
        <v>28</v>
      </c>
      <c r="M514">
        <v>22</v>
      </c>
      <c r="N514">
        <v>3</v>
      </c>
      <c r="O514">
        <v>1</v>
      </c>
      <c r="P514">
        <v>2026</v>
      </c>
    </row>
    <row r="515" spans="1:16">
      <c r="A515">
        <v>5.48</v>
      </c>
      <c r="B515">
        <v>4</v>
      </c>
      <c r="C515" t="s">
        <v>1186</v>
      </c>
      <c r="D515" t="s">
        <v>1187</v>
      </c>
      <c r="E515" t="s">
        <v>1188</v>
      </c>
      <c r="F515" t="s">
        <v>1189</v>
      </c>
      <c r="G515" t="s">
        <v>892</v>
      </c>
      <c r="H515" t="s">
        <v>85</v>
      </c>
      <c r="I515" t="s">
        <v>37</v>
      </c>
      <c r="J515">
        <v>1.37</v>
      </c>
      <c r="K515" s="1">
        <v>46181</v>
      </c>
      <c r="L515" t="s">
        <v>93</v>
      </c>
      <c r="M515">
        <v>8</v>
      </c>
      <c r="N515">
        <v>6</v>
      </c>
      <c r="O515">
        <v>2</v>
      </c>
      <c r="P515">
        <v>2026</v>
      </c>
    </row>
    <row r="516" spans="1:16">
      <c r="A516">
        <v>102.09</v>
      </c>
      <c r="B516">
        <v>3</v>
      </c>
      <c r="C516" t="s">
        <v>3161</v>
      </c>
      <c r="D516" t="s">
        <v>3162</v>
      </c>
      <c r="E516" t="s">
        <v>2232</v>
      </c>
      <c r="F516" t="s">
        <v>1811</v>
      </c>
      <c r="G516" t="s">
        <v>892</v>
      </c>
      <c r="H516" t="s">
        <v>678</v>
      </c>
      <c r="I516" t="s">
        <v>100</v>
      </c>
      <c r="J516">
        <v>34.03</v>
      </c>
      <c r="K516" s="1">
        <v>46190</v>
      </c>
      <c r="L516" t="s">
        <v>34</v>
      </c>
      <c r="M516">
        <v>17</v>
      </c>
      <c r="N516">
        <v>6</v>
      </c>
      <c r="O516">
        <v>2</v>
      </c>
      <c r="P516">
        <v>2026</v>
      </c>
    </row>
    <row r="517" spans="1:16">
      <c r="A517">
        <v>414.14</v>
      </c>
      <c r="B517">
        <v>2</v>
      </c>
      <c r="C517" t="s">
        <v>3053</v>
      </c>
      <c r="D517" t="s">
        <v>1355</v>
      </c>
      <c r="E517" t="s">
        <v>3057</v>
      </c>
      <c r="F517" t="s">
        <v>49</v>
      </c>
      <c r="G517" t="s">
        <v>892</v>
      </c>
      <c r="H517" t="s">
        <v>201</v>
      </c>
      <c r="I517" t="s">
        <v>37</v>
      </c>
      <c r="J517">
        <v>207.07</v>
      </c>
      <c r="K517" s="1">
        <v>46050</v>
      </c>
      <c r="L517" t="s">
        <v>34</v>
      </c>
      <c r="M517">
        <v>28</v>
      </c>
      <c r="N517">
        <v>1</v>
      </c>
      <c r="O517">
        <v>1</v>
      </c>
      <c r="P517">
        <v>2026</v>
      </c>
    </row>
    <row r="518" spans="1:16">
      <c r="A518">
        <v>182.84</v>
      </c>
      <c r="B518">
        <v>2</v>
      </c>
      <c r="C518" t="s">
        <v>1438</v>
      </c>
      <c r="D518" t="s">
        <v>1439</v>
      </c>
      <c r="E518" t="s">
        <v>1440</v>
      </c>
      <c r="F518" t="s">
        <v>29</v>
      </c>
      <c r="G518" t="s">
        <v>763</v>
      </c>
      <c r="H518" t="s">
        <v>479</v>
      </c>
      <c r="I518" t="s">
        <v>17</v>
      </c>
      <c r="J518">
        <v>91.42</v>
      </c>
      <c r="K518" s="1">
        <v>46112</v>
      </c>
      <c r="L518" t="s">
        <v>48</v>
      </c>
      <c r="M518">
        <v>31</v>
      </c>
      <c r="N518">
        <v>3</v>
      </c>
      <c r="O518">
        <v>1</v>
      </c>
      <c r="P518">
        <v>2026</v>
      </c>
    </row>
    <row r="519" spans="1:16">
      <c r="A519">
        <v>898.36</v>
      </c>
      <c r="B519">
        <v>4</v>
      </c>
      <c r="C519" t="s">
        <v>1267</v>
      </c>
      <c r="D519" t="s">
        <v>1268</v>
      </c>
      <c r="E519" t="s">
        <v>935</v>
      </c>
      <c r="F519" t="s">
        <v>380</v>
      </c>
      <c r="G519" t="s">
        <v>896</v>
      </c>
      <c r="H519" t="s">
        <v>121</v>
      </c>
      <c r="I519" t="s">
        <v>122</v>
      </c>
      <c r="J519">
        <v>224.59</v>
      </c>
      <c r="K519" s="1">
        <v>46233</v>
      </c>
      <c r="L519" t="s">
        <v>105</v>
      </c>
      <c r="M519">
        <v>30</v>
      </c>
      <c r="N519">
        <v>7</v>
      </c>
      <c r="O519">
        <v>3</v>
      </c>
      <c r="P519">
        <v>2026</v>
      </c>
    </row>
    <row r="520" spans="1:16">
      <c r="A520">
        <v>92.15</v>
      </c>
      <c r="B520">
        <v>5</v>
      </c>
      <c r="C520" t="s">
        <v>2921</v>
      </c>
      <c r="D520" t="s">
        <v>2922</v>
      </c>
      <c r="E520" t="s">
        <v>1149</v>
      </c>
      <c r="F520" t="s">
        <v>380</v>
      </c>
      <c r="G520" t="s">
        <v>776</v>
      </c>
      <c r="H520" t="s">
        <v>1816</v>
      </c>
      <c r="I520" t="s">
        <v>37</v>
      </c>
      <c r="J520">
        <v>18.43</v>
      </c>
      <c r="K520" s="1">
        <v>45892</v>
      </c>
      <c r="L520" t="s">
        <v>14</v>
      </c>
      <c r="M520">
        <v>23</v>
      </c>
      <c r="N520">
        <v>8</v>
      </c>
      <c r="O520">
        <v>3</v>
      </c>
      <c r="P520">
        <v>2025</v>
      </c>
    </row>
    <row r="521" spans="1:16">
      <c r="A521">
        <v>632.08000000000004</v>
      </c>
      <c r="B521">
        <v>4</v>
      </c>
      <c r="C521" t="s">
        <v>1667</v>
      </c>
      <c r="D521" t="s">
        <v>1668</v>
      </c>
      <c r="E521" t="s">
        <v>1669</v>
      </c>
      <c r="F521" t="s">
        <v>1670</v>
      </c>
      <c r="G521" t="s">
        <v>1247</v>
      </c>
      <c r="H521" t="s">
        <v>406</v>
      </c>
      <c r="I521" t="s">
        <v>17</v>
      </c>
      <c r="J521">
        <v>158.02000000000001</v>
      </c>
      <c r="K521" s="1">
        <v>46240</v>
      </c>
      <c r="L521" t="s">
        <v>105</v>
      </c>
      <c r="M521">
        <v>6</v>
      </c>
      <c r="N521">
        <v>8</v>
      </c>
      <c r="O521">
        <v>3</v>
      </c>
      <c r="P521">
        <v>2026</v>
      </c>
    </row>
    <row r="522" spans="1:16">
      <c r="A522">
        <v>25.68</v>
      </c>
      <c r="B522">
        <v>4</v>
      </c>
      <c r="C522" t="s">
        <v>1799</v>
      </c>
      <c r="D522" t="s">
        <v>1800</v>
      </c>
      <c r="E522" t="s">
        <v>1801</v>
      </c>
      <c r="F522" t="s">
        <v>883</v>
      </c>
      <c r="G522" t="s">
        <v>807</v>
      </c>
      <c r="H522" t="s">
        <v>316</v>
      </c>
      <c r="I522" t="s">
        <v>97</v>
      </c>
      <c r="J522">
        <v>6.42</v>
      </c>
      <c r="K522" s="1">
        <v>45960</v>
      </c>
      <c r="L522" t="s">
        <v>105</v>
      </c>
      <c r="M522">
        <v>30</v>
      </c>
      <c r="N522">
        <v>10</v>
      </c>
      <c r="O522">
        <v>4</v>
      </c>
      <c r="P522">
        <v>2025</v>
      </c>
    </row>
    <row r="523" spans="1:16">
      <c r="A523">
        <v>326.3</v>
      </c>
      <c r="B523">
        <v>5</v>
      </c>
      <c r="C523" t="s">
        <v>2053</v>
      </c>
      <c r="D523" t="s">
        <v>2054</v>
      </c>
      <c r="E523" t="s">
        <v>1140</v>
      </c>
      <c r="F523" t="s">
        <v>1540</v>
      </c>
      <c r="G523" t="s">
        <v>768</v>
      </c>
      <c r="H523" t="s">
        <v>78</v>
      </c>
      <c r="I523" t="s">
        <v>51</v>
      </c>
      <c r="J523">
        <v>65.260000000000005</v>
      </c>
      <c r="K523" s="1">
        <v>45548</v>
      </c>
      <c r="L523" t="s">
        <v>79</v>
      </c>
      <c r="M523">
        <v>13</v>
      </c>
      <c r="N523">
        <v>9</v>
      </c>
      <c r="O523">
        <v>3</v>
      </c>
      <c r="P523">
        <v>2024</v>
      </c>
    </row>
    <row r="524" spans="1:16">
      <c r="A524">
        <v>315.69</v>
      </c>
      <c r="B524">
        <v>3</v>
      </c>
      <c r="C524" t="s">
        <v>2946</v>
      </c>
      <c r="D524" t="s">
        <v>2947</v>
      </c>
      <c r="E524" t="s">
        <v>2948</v>
      </c>
      <c r="F524" t="s">
        <v>136</v>
      </c>
      <c r="G524" t="s">
        <v>776</v>
      </c>
      <c r="H524" t="s">
        <v>175</v>
      </c>
      <c r="I524" t="s">
        <v>21</v>
      </c>
      <c r="J524">
        <v>105.23</v>
      </c>
      <c r="K524" s="1">
        <v>45661</v>
      </c>
      <c r="L524" t="s">
        <v>14</v>
      </c>
      <c r="M524">
        <v>4</v>
      </c>
      <c r="N524">
        <v>1</v>
      </c>
      <c r="O524">
        <v>1</v>
      </c>
      <c r="P524">
        <v>2025</v>
      </c>
    </row>
    <row r="525" spans="1:16">
      <c r="A525">
        <v>229.85</v>
      </c>
      <c r="B525">
        <v>1</v>
      </c>
      <c r="C525" t="s">
        <v>1572</v>
      </c>
      <c r="D525" t="s">
        <v>1573</v>
      </c>
      <c r="E525" t="s">
        <v>1565</v>
      </c>
      <c r="F525" t="s">
        <v>1574</v>
      </c>
      <c r="G525" t="s">
        <v>1003</v>
      </c>
      <c r="H525" t="s">
        <v>63</v>
      </c>
      <c r="I525" t="s">
        <v>25</v>
      </c>
      <c r="J525">
        <v>229.85</v>
      </c>
      <c r="K525" s="1">
        <v>45613</v>
      </c>
      <c r="L525" t="s">
        <v>28</v>
      </c>
      <c r="M525">
        <v>17</v>
      </c>
      <c r="N525">
        <v>11</v>
      </c>
      <c r="O525">
        <v>4</v>
      </c>
      <c r="P525">
        <v>2024</v>
      </c>
    </row>
    <row r="526" spans="1:16">
      <c r="A526">
        <v>33.56</v>
      </c>
      <c r="B526">
        <v>1</v>
      </c>
      <c r="C526" t="s">
        <v>2788</v>
      </c>
      <c r="D526" t="s">
        <v>2789</v>
      </c>
      <c r="E526" t="s">
        <v>1565</v>
      </c>
      <c r="F526" t="s">
        <v>136</v>
      </c>
      <c r="G526" t="s">
        <v>776</v>
      </c>
      <c r="H526" t="s">
        <v>609</v>
      </c>
      <c r="I526" t="s">
        <v>27</v>
      </c>
      <c r="J526">
        <v>33.56</v>
      </c>
      <c r="K526" s="1">
        <v>46263</v>
      </c>
      <c r="L526" t="s">
        <v>14</v>
      </c>
      <c r="M526">
        <v>29</v>
      </c>
      <c r="N526">
        <v>8</v>
      </c>
      <c r="O526">
        <v>3</v>
      </c>
      <c r="P526">
        <v>2026</v>
      </c>
    </row>
    <row r="527" spans="1:16">
      <c r="A527">
        <v>18.84</v>
      </c>
      <c r="B527">
        <v>4</v>
      </c>
      <c r="C527" t="s">
        <v>1480</v>
      </c>
      <c r="D527" t="s">
        <v>1481</v>
      </c>
      <c r="E527" t="s">
        <v>1482</v>
      </c>
      <c r="F527" t="s">
        <v>15</v>
      </c>
      <c r="G527" t="s">
        <v>834</v>
      </c>
      <c r="H527" t="s">
        <v>454</v>
      </c>
      <c r="I527" t="s">
        <v>23</v>
      </c>
      <c r="J527">
        <v>4.71</v>
      </c>
      <c r="K527" s="1">
        <v>45993</v>
      </c>
      <c r="L527" t="s">
        <v>48</v>
      </c>
      <c r="M527">
        <v>2</v>
      </c>
      <c r="N527">
        <v>12</v>
      </c>
      <c r="O527">
        <v>4</v>
      </c>
      <c r="P527">
        <v>2025</v>
      </c>
    </row>
    <row r="528" spans="1:16">
      <c r="A528">
        <v>106.58</v>
      </c>
      <c r="B528">
        <v>1</v>
      </c>
      <c r="C528" t="s">
        <v>2564</v>
      </c>
      <c r="D528" t="s">
        <v>2565</v>
      </c>
      <c r="E528" t="s">
        <v>2566</v>
      </c>
      <c r="F528" t="s">
        <v>280</v>
      </c>
      <c r="G528" t="s">
        <v>812</v>
      </c>
      <c r="H528" t="s">
        <v>670</v>
      </c>
      <c r="I528" t="s">
        <v>57</v>
      </c>
      <c r="J528">
        <v>106.58</v>
      </c>
      <c r="K528" s="1">
        <v>45804</v>
      </c>
      <c r="L528" t="s">
        <v>48</v>
      </c>
      <c r="M528">
        <v>27</v>
      </c>
      <c r="N528">
        <v>5</v>
      </c>
      <c r="O528">
        <v>2</v>
      </c>
      <c r="P528">
        <v>2025</v>
      </c>
    </row>
    <row r="529" spans="1:16">
      <c r="A529">
        <v>122.89999999999999</v>
      </c>
      <c r="B529">
        <v>5</v>
      </c>
      <c r="C529" t="s">
        <v>1046</v>
      </c>
      <c r="D529" t="s">
        <v>1047</v>
      </c>
      <c r="E529" t="s">
        <v>746</v>
      </c>
      <c r="F529" t="s">
        <v>29</v>
      </c>
      <c r="G529" t="s">
        <v>821</v>
      </c>
      <c r="H529" t="s">
        <v>370</v>
      </c>
      <c r="I529" t="s">
        <v>43</v>
      </c>
      <c r="J529">
        <v>24.58</v>
      </c>
      <c r="K529" s="1">
        <v>45801</v>
      </c>
      <c r="L529" t="s">
        <v>14</v>
      </c>
      <c r="M529">
        <v>24</v>
      </c>
      <c r="N529">
        <v>5</v>
      </c>
      <c r="O529">
        <v>2</v>
      </c>
      <c r="P529">
        <v>2025</v>
      </c>
    </row>
    <row r="530" spans="1:16">
      <c r="A530">
        <v>179.55</v>
      </c>
      <c r="B530">
        <v>1</v>
      </c>
      <c r="C530" t="s">
        <v>2357</v>
      </c>
      <c r="D530" t="s">
        <v>2358</v>
      </c>
      <c r="E530" t="s">
        <v>2359</v>
      </c>
      <c r="F530" t="s">
        <v>869</v>
      </c>
      <c r="G530" t="s">
        <v>807</v>
      </c>
      <c r="H530" t="s">
        <v>614</v>
      </c>
      <c r="I530" t="s">
        <v>21</v>
      </c>
      <c r="J530">
        <v>179.55</v>
      </c>
      <c r="K530" s="1">
        <v>46020</v>
      </c>
      <c r="L530" t="s">
        <v>93</v>
      </c>
      <c r="M530">
        <v>29</v>
      </c>
      <c r="N530">
        <v>12</v>
      </c>
      <c r="O530">
        <v>4</v>
      </c>
      <c r="P530">
        <v>2025</v>
      </c>
    </row>
    <row r="531" spans="1:16">
      <c r="A531">
        <v>873.85</v>
      </c>
      <c r="B531">
        <v>5</v>
      </c>
      <c r="C531" t="s">
        <v>2625</v>
      </c>
      <c r="D531" t="s">
        <v>2626</v>
      </c>
      <c r="E531" t="s">
        <v>1383</v>
      </c>
      <c r="F531" t="s">
        <v>106</v>
      </c>
      <c r="G531" t="s">
        <v>748</v>
      </c>
      <c r="H531" t="s">
        <v>483</v>
      </c>
      <c r="I531" t="s">
        <v>100</v>
      </c>
      <c r="J531">
        <v>174.77</v>
      </c>
      <c r="K531" s="1">
        <v>45643</v>
      </c>
      <c r="L531" t="s">
        <v>48</v>
      </c>
      <c r="M531">
        <v>17</v>
      </c>
      <c r="N531">
        <v>12</v>
      </c>
      <c r="O531">
        <v>4</v>
      </c>
      <c r="P531">
        <v>2024</v>
      </c>
    </row>
    <row r="532" spans="1:16">
      <c r="A532">
        <v>46.48</v>
      </c>
      <c r="B532">
        <v>2</v>
      </c>
      <c r="C532" t="s">
        <v>876</v>
      </c>
      <c r="D532" t="s">
        <v>877</v>
      </c>
      <c r="E532" t="s">
        <v>878</v>
      </c>
      <c r="F532" t="s">
        <v>879</v>
      </c>
      <c r="G532" t="s">
        <v>748</v>
      </c>
      <c r="H532" t="s">
        <v>738</v>
      </c>
      <c r="I532" t="s">
        <v>27</v>
      </c>
      <c r="J532">
        <v>23.24</v>
      </c>
      <c r="K532" s="1">
        <v>46233</v>
      </c>
      <c r="L532" t="s">
        <v>105</v>
      </c>
      <c r="M532">
        <v>30</v>
      </c>
      <c r="N532">
        <v>7</v>
      </c>
      <c r="O532">
        <v>3</v>
      </c>
      <c r="P532">
        <v>2026</v>
      </c>
    </row>
    <row r="533" spans="1:16">
      <c r="A533">
        <v>705.56999999999994</v>
      </c>
      <c r="B533">
        <v>3</v>
      </c>
      <c r="C533" t="s">
        <v>1655</v>
      </c>
      <c r="D533" t="s">
        <v>1656</v>
      </c>
      <c r="E533" t="s">
        <v>1657</v>
      </c>
      <c r="F533" t="s">
        <v>199</v>
      </c>
      <c r="G533" t="s">
        <v>781</v>
      </c>
      <c r="H533" t="s">
        <v>396</v>
      </c>
      <c r="I533" t="s">
        <v>122</v>
      </c>
      <c r="J533">
        <v>235.19</v>
      </c>
      <c r="K533" s="1">
        <v>46090</v>
      </c>
      <c r="L533" t="s">
        <v>93</v>
      </c>
      <c r="M533">
        <v>9</v>
      </c>
      <c r="N533">
        <v>3</v>
      </c>
      <c r="O533">
        <v>1</v>
      </c>
      <c r="P533">
        <v>2026</v>
      </c>
    </row>
    <row r="534" spans="1:16">
      <c r="A534">
        <v>15.03</v>
      </c>
      <c r="B534">
        <v>1</v>
      </c>
      <c r="C534" t="s">
        <v>3187</v>
      </c>
      <c r="D534" t="s">
        <v>3188</v>
      </c>
      <c r="E534" t="s">
        <v>1501</v>
      </c>
      <c r="F534" t="s">
        <v>1189</v>
      </c>
      <c r="G534" t="s">
        <v>892</v>
      </c>
      <c r="H534" t="s">
        <v>523</v>
      </c>
      <c r="I534" t="s">
        <v>23</v>
      </c>
      <c r="J534">
        <v>15.03</v>
      </c>
      <c r="K534" s="1">
        <v>45840</v>
      </c>
      <c r="L534" t="s">
        <v>34</v>
      </c>
      <c r="M534">
        <v>2</v>
      </c>
      <c r="N534">
        <v>7</v>
      </c>
      <c r="O534">
        <v>3</v>
      </c>
      <c r="P534">
        <v>2025</v>
      </c>
    </row>
    <row r="535" spans="1:16">
      <c r="A535">
        <v>428.66999999999996</v>
      </c>
      <c r="B535">
        <v>3</v>
      </c>
      <c r="C535" t="s">
        <v>1499</v>
      </c>
      <c r="D535" t="s">
        <v>1500</v>
      </c>
      <c r="E535" t="s">
        <v>1501</v>
      </c>
      <c r="F535" t="s">
        <v>1502</v>
      </c>
      <c r="G535" t="s">
        <v>817</v>
      </c>
      <c r="H535" t="s">
        <v>232</v>
      </c>
      <c r="I535" t="s">
        <v>97</v>
      </c>
      <c r="J535">
        <v>142.88999999999999</v>
      </c>
      <c r="K535" s="1">
        <v>46139</v>
      </c>
      <c r="L535" t="s">
        <v>93</v>
      </c>
      <c r="M535">
        <v>27</v>
      </c>
      <c r="N535">
        <v>4</v>
      </c>
      <c r="O535">
        <v>2</v>
      </c>
      <c r="P535">
        <v>2026</v>
      </c>
    </row>
    <row r="536" spans="1:16">
      <c r="A536">
        <v>125.4</v>
      </c>
      <c r="B536">
        <v>4</v>
      </c>
      <c r="C536" t="s">
        <v>2504</v>
      </c>
      <c r="D536" t="s">
        <v>2505</v>
      </c>
      <c r="E536" t="s">
        <v>1452</v>
      </c>
      <c r="F536" t="s">
        <v>1339</v>
      </c>
      <c r="G536" t="s">
        <v>1247</v>
      </c>
      <c r="H536" t="s">
        <v>557</v>
      </c>
      <c r="I536" t="s">
        <v>46</v>
      </c>
      <c r="J536">
        <v>31.35</v>
      </c>
      <c r="K536" s="1">
        <v>45968</v>
      </c>
      <c r="L536" t="s">
        <v>79</v>
      </c>
      <c r="M536">
        <v>7</v>
      </c>
      <c r="N536">
        <v>11</v>
      </c>
      <c r="O536">
        <v>4</v>
      </c>
      <c r="P536">
        <v>2025</v>
      </c>
    </row>
    <row r="537" spans="1:16">
      <c r="A537">
        <v>213.16</v>
      </c>
      <c r="B537">
        <v>2</v>
      </c>
      <c r="C537" t="s">
        <v>2783</v>
      </c>
      <c r="D537" t="s">
        <v>2784</v>
      </c>
      <c r="E537" t="s">
        <v>1050</v>
      </c>
      <c r="F537" t="s">
        <v>1107</v>
      </c>
      <c r="G537" t="s">
        <v>763</v>
      </c>
      <c r="H537" t="s">
        <v>670</v>
      </c>
      <c r="I537" t="s">
        <v>57</v>
      </c>
      <c r="J537">
        <v>106.58</v>
      </c>
      <c r="K537" s="1">
        <v>45755</v>
      </c>
      <c r="L537" t="s">
        <v>48</v>
      </c>
      <c r="M537">
        <v>8</v>
      </c>
      <c r="N537">
        <v>4</v>
      </c>
      <c r="O537">
        <v>2</v>
      </c>
      <c r="P537">
        <v>2025</v>
      </c>
    </row>
    <row r="538" spans="1:16">
      <c r="A538">
        <v>686.2</v>
      </c>
      <c r="B538">
        <v>5</v>
      </c>
      <c r="C538" t="s">
        <v>1119</v>
      </c>
      <c r="D538" t="s">
        <v>1120</v>
      </c>
      <c r="E538" t="s">
        <v>1121</v>
      </c>
      <c r="F538" t="s">
        <v>211</v>
      </c>
      <c r="G538" t="s">
        <v>812</v>
      </c>
      <c r="H538" t="s">
        <v>468</v>
      </c>
      <c r="I538" t="s">
        <v>25</v>
      </c>
      <c r="J538">
        <v>137.24</v>
      </c>
      <c r="K538" s="1">
        <v>45814</v>
      </c>
      <c r="L538" t="s">
        <v>79</v>
      </c>
      <c r="M538">
        <v>6</v>
      </c>
      <c r="N538">
        <v>6</v>
      </c>
      <c r="O538">
        <v>2</v>
      </c>
      <c r="P538">
        <v>2025</v>
      </c>
    </row>
    <row r="539" spans="1:16">
      <c r="A539">
        <v>28.58</v>
      </c>
      <c r="B539">
        <v>2</v>
      </c>
      <c r="C539" t="s">
        <v>3154</v>
      </c>
      <c r="D539" t="s">
        <v>3155</v>
      </c>
      <c r="E539" t="s">
        <v>3156</v>
      </c>
      <c r="F539" t="s">
        <v>3139</v>
      </c>
      <c r="G539" t="s">
        <v>908</v>
      </c>
      <c r="H539" t="s">
        <v>685</v>
      </c>
      <c r="I539" t="s">
        <v>69</v>
      </c>
      <c r="J539">
        <v>14.29</v>
      </c>
      <c r="K539" s="1">
        <v>45598</v>
      </c>
      <c r="L539" t="s">
        <v>14</v>
      </c>
      <c r="M539">
        <v>2</v>
      </c>
      <c r="N539">
        <v>11</v>
      </c>
      <c r="O539">
        <v>4</v>
      </c>
      <c r="P539">
        <v>2024</v>
      </c>
    </row>
    <row r="540" spans="1:16">
      <c r="A540">
        <v>61.08</v>
      </c>
      <c r="B540">
        <v>1</v>
      </c>
      <c r="C540" t="s">
        <v>2134</v>
      </c>
      <c r="D540" t="s">
        <v>2135</v>
      </c>
      <c r="E540" t="s">
        <v>1559</v>
      </c>
      <c r="F540" t="s">
        <v>619</v>
      </c>
      <c r="G540" t="s">
        <v>758</v>
      </c>
      <c r="H540" t="s">
        <v>385</v>
      </c>
      <c r="I540" t="s">
        <v>39</v>
      </c>
      <c r="J540">
        <v>61.08</v>
      </c>
      <c r="K540" s="1">
        <v>45640</v>
      </c>
      <c r="L540" t="s">
        <v>14</v>
      </c>
      <c r="M540">
        <v>14</v>
      </c>
      <c r="N540">
        <v>12</v>
      </c>
      <c r="O540">
        <v>4</v>
      </c>
      <c r="P540">
        <v>2024</v>
      </c>
    </row>
    <row r="541" spans="1:16">
      <c r="A541">
        <v>520.20000000000005</v>
      </c>
      <c r="B541">
        <v>5</v>
      </c>
      <c r="C541" t="s">
        <v>2724</v>
      </c>
      <c r="D541" t="s">
        <v>2725</v>
      </c>
      <c r="E541" t="s">
        <v>2726</v>
      </c>
      <c r="F541" t="s">
        <v>965</v>
      </c>
      <c r="G541" t="s">
        <v>966</v>
      </c>
      <c r="H541" t="s">
        <v>507</v>
      </c>
      <c r="I541" t="s">
        <v>55</v>
      </c>
      <c r="J541">
        <v>104.04</v>
      </c>
      <c r="K541" s="1">
        <v>45628</v>
      </c>
      <c r="L541" t="s">
        <v>93</v>
      </c>
      <c r="M541">
        <v>2</v>
      </c>
      <c r="N541">
        <v>12</v>
      </c>
      <c r="O541">
        <v>4</v>
      </c>
      <c r="P541">
        <v>2024</v>
      </c>
    </row>
    <row r="542" spans="1:16">
      <c r="A542">
        <v>520.53</v>
      </c>
      <c r="B542">
        <v>3</v>
      </c>
      <c r="C542" t="s">
        <v>2834</v>
      </c>
      <c r="D542" t="s">
        <v>2835</v>
      </c>
      <c r="E542" t="s">
        <v>1335</v>
      </c>
      <c r="F542" t="s">
        <v>1071</v>
      </c>
      <c r="G542" t="s">
        <v>817</v>
      </c>
      <c r="H542" t="s">
        <v>734</v>
      </c>
      <c r="I542" t="s">
        <v>51</v>
      </c>
      <c r="J542">
        <v>173.51</v>
      </c>
      <c r="K542" s="1">
        <v>45938</v>
      </c>
      <c r="L542" t="s">
        <v>34</v>
      </c>
      <c r="M542">
        <v>8</v>
      </c>
      <c r="N542">
        <v>10</v>
      </c>
      <c r="O542">
        <v>4</v>
      </c>
      <c r="P542">
        <v>2025</v>
      </c>
    </row>
    <row r="543" spans="1:16">
      <c r="A543">
        <v>97.710000000000008</v>
      </c>
      <c r="B543">
        <v>3</v>
      </c>
      <c r="C543" t="s">
        <v>3347</v>
      </c>
      <c r="D543" t="s">
        <v>3348</v>
      </c>
      <c r="E543" t="s">
        <v>2114</v>
      </c>
      <c r="F543" t="s">
        <v>1755</v>
      </c>
      <c r="G543" t="s">
        <v>786</v>
      </c>
      <c r="H543" t="s">
        <v>258</v>
      </c>
      <c r="I543" t="s">
        <v>57</v>
      </c>
      <c r="J543">
        <v>32.57</v>
      </c>
      <c r="K543" s="1">
        <v>46229</v>
      </c>
      <c r="L543" t="s">
        <v>28</v>
      </c>
      <c r="M543">
        <v>26</v>
      </c>
      <c r="N543">
        <v>7</v>
      </c>
      <c r="O543">
        <v>3</v>
      </c>
      <c r="P543">
        <v>2026</v>
      </c>
    </row>
    <row r="544" spans="1:16">
      <c r="A544">
        <v>37.1</v>
      </c>
      <c r="B544">
        <v>5</v>
      </c>
      <c r="C544" t="s">
        <v>1696</v>
      </c>
      <c r="D544" t="s">
        <v>1697</v>
      </c>
      <c r="E544" t="s">
        <v>1698</v>
      </c>
      <c r="F544" t="s">
        <v>1172</v>
      </c>
      <c r="G544" t="s">
        <v>830</v>
      </c>
      <c r="H544" t="s">
        <v>194</v>
      </c>
      <c r="I544" t="s">
        <v>39</v>
      </c>
      <c r="J544">
        <v>7.42</v>
      </c>
      <c r="K544" s="1">
        <v>46019</v>
      </c>
      <c r="L544" t="s">
        <v>28</v>
      </c>
      <c r="M544">
        <v>28</v>
      </c>
      <c r="N544">
        <v>12</v>
      </c>
      <c r="O544">
        <v>4</v>
      </c>
      <c r="P544">
        <v>2025</v>
      </c>
    </row>
    <row r="545" spans="1:16">
      <c r="A545">
        <v>93.05</v>
      </c>
      <c r="B545">
        <v>1</v>
      </c>
      <c r="C545" t="s">
        <v>1018</v>
      </c>
      <c r="D545" t="s">
        <v>1019</v>
      </c>
      <c r="E545" t="s">
        <v>1020</v>
      </c>
      <c r="F545" t="s">
        <v>995</v>
      </c>
      <c r="G545" t="s">
        <v>781</v>
      </c>
      <c r="H545" t="s">
        <v>350</v>
      </c>
      <c r="I545" t="s">
        <v>60</v>
      </c>
      <c r="J545">
        <v>93.05</v>
      </c>
      <c r="K545" s="1">
        <v>46028</v>
      </c>
      <c r="L545" t="s">
        <v>48</v>
      </c>
      <c r="M545">
        <v>6</v>
      </c>
      <c r="N545">
        <v>1</v>
      </c>
      <c r="O545">
        <v>1</v>
      </c>
      <c r="P545">
        <v>2026</v>
      </c>
    </row>
    <row r="546" spans="1:16">
      <c r="A546">
        <v>43.62</v>
      </c>
      <c r="B546">
        <v>3</v>
      </c>
      <c r="C546" t="s">
        <v>2567</v>
      </c>
      <c r="D546" t="s">
        <v>2568</v>
      </c>
      <c r="E546" t="s">
        <v>1512</v>
      </c>
      <c r="F546" t="s">
        <v>106</v>
      </c>
      <c r="G546" t="s">
        <v>748</v>
      </c>
      <c r="H546" t="s">
        <v>1349</v>
      </c>
      <c r="I546" t="s">
        <v>97</v>
      </c>
      <c r="J546">
        <v>14.54</v>
      </c>
      <c r="K546" s="1">
        <v>45798</v>
      </c>
      <c r="L546" t="s">
        <v>34</v>
      </c>
      <c r="M546">
        <v>21</v>
      </c>
      <c r="N546">
        <v>5</v>
      </c>
      <c r="O546">
        <v>2</v>
      </c>
      <c r="P546">
        <v>2025</v>
      </c>
    </row>
    <row r="547" spans="1:16">
      <c r="A547">
        <v>453.39</v>
      </c>
      <c r="B547">
        <v>3</v>
      </c>
      <c r="C547" t="s">
        <v>944</v>
      </c>
      <c r="D547" t="s">
        <v>945</v>
      </c>
      <c r="E547" t="s">
        <v>946</v>
      </c>
      <c r="F547" t="s">
        <v>199</v>
      </c>
      <c r="G547" t="s">
        <v>781</v>
      </c>
      <c r="H547" t="s">
        <v>655</v>
      </c>
      <c r="I547" t="s">
        <v>82</v>
      </c>
      <c r="J547">
        <v>151.13</v>
      </c>
      <c r="K547" s="1">
        <v>46012</v>
      </c>
      <c r="L547" t="s">
        <v>28</v>
      </c>
      <c r="M547">
        <v>21</v>
      </c>
      <c r="N547">
        <v>12</v>
      </c>
      <c r="O547">
        <v>4</v>
      </c>
      <c r="P547">
        <v>2025</v>
      </c>
    </row>
    <row r="548" spans="1:16">
      <c r="A548">
        <v>568.6</v>
      </c>
      <c r="B548">
        <v>4</v>
      </c>
      <c r="C548" t="s">
        <v>2702</v>
      </c>
      <c r="D548" t="s">
        <v>2703</v>
      </c>
      <c r="E548" t="s">
        <v>2383</v>
      </c>
      <c r="F548" t="s">
        <v>942</v>
      </c>
      <c r="G548" t="s">
        <v>943</v>
      </c>
      <c r="H548" t="s">
        <v>216</v>
      </c>
      <c r="I548" t="s">
        <v>100</v>
      </c>
      <c r="J548">
        <v>142.15</v>
      </c>
      <c r="K548" s="1">
        <v>46191</v>
      </c>
      <c r="L548" t="s">
        <v>105</v>
      </c>
      <c r="M548">
        <v>18</v>
      </c>
      <c r="N548">
        <v>6</v>
      </c>
      <c r="O548">
        <v>2</v>
      </c>
      <c r="P548">
        <v>2026</v>
      </c>
    </row>
    <row r="549" spans="1:16">
      <c r="A549">
        <v>5.0999999999999996</v>
      </c>
      <c r="B549">
        <v>5</v>
      </c>
      <c r="C549" t="s">
        <v>2871</v>
      </c>
      <c r="D549" t="s">
        <v>2872</v>
      </c>
      <c r="E549" t="s">
        <v>1633</v>
      </c>
      <c r="F549" t="s">
        <v>196</v>
      </c>
      <c r="G549" t="s">
        <v>830</v>
      </c>
      <c r="H549" t="s">
        <v>477</v>
      </c>
      <c r="I549" t="s">
        <v>39</v>
      </c>
      <c r="J549">
        <v>1.02</v>
      </c>
      <c r="K549" s="1">
        <v>45751</v>
      </c>
      <c r="L549" t="s">
        <v>79</v>
      </c>
      <c r="M549">
        <v>4</v>
      </c>
      <c r="N549">
        <v>4</v>
      </c>
      <c r="O549">
        <v>2</v>
      </c>
      <c r="P549">
        <v>2025</v>
      </c>
    </row>
    <row r="550" spans="1:16">
      <c r="A550">
        <v>967.92</v>
      </c>
      <c r="B550">
        <v>4</v>
      </c>
      <c r="C550" t="s">
        <v>2171</v>
      </c>
      <c r="D550" t="s">
        <v>2172</v>
      </c>
      <c r="E550" t="s">
        <v>2173</v>
      </c>
      <c r="F550" t="s">
        <v>762</v>
      </c>
      <c r="G550" t="s">
        <v>763</v>
      </c>
      <c r="H550" t="s">
        <v>203</v>
      </c>
      <c r="I550" t="s">
        <v>100</v>
      </c>
      <c r="J550">
        <v>241.98</v>
      </c>
      <c r="K550" s="1">
        <v>46146</v>
      </c>
      <c r="L550" t="s">
        <v>93</v>
      </c>
      <c r="M550">
        <v>4</v>
      </c>
      <c r="N550">
        <v>5</v>
      </c>
      <c r="O550">
        <v>2</v>
      </c>
      <c r="P550">
        <v>2026</v>
      </c>
    </row>
    <row r="551" spans="1:16">
      <c r="A551">
        <v>22.77</v>
      </c>
      <c r="B551">
        <v>1</v>
      </c>
      <c r="C551" t="s">
        <v>1122</v>
      </c>
      <c r="D551" t="s">
        <v>1123</v>
      </c>
      <c r="E551" t="s">
        <v>1124</v>
      </c>
      <c r="F551" t="s">
        <v>15</v>
      </c>
      <c r="G551" t="s">
        <v>834</v>
      </c>
      <c r="H551" t="s">
        <v>1250</v>
      </c>
      <c r="I551" t="s">
        <v>23</v>
      </c>
      <c r="J551">
        <v>22.77</v>
      </c>
      <c r="K551" s="1">
        <v>46090</v>
      </c>
      <c r="L551" t="s">
        <v>93</v>
      </c>
      <c r="M551">
        <v>9</v>
      </c>
      <c r="N551">
        <v>3</v>
      </c>
      <c r="O551">
        <v>1</v>
      </c>
      <c r="P551">
        <v>2026</v>
      </c>
    </row>
    <row r="552" spans="1:16">
      <c r="A552">
        <v>29.14</v>
      </c>
      <c r="B552">
        <v>2</v>
      </c>
      <c r="C552" t="s">
        <v>2698</v>
      </c>
      <c r="D552" t="s">
        <v>2699</v>
      </c>
      <c r="E552" t="s">
        <v>1124</v>
      </c>
      <c r="F552" t="s">
        <v>1666</v>
      </c>
      <c r="G552" t="s">
        <v>830</v>
      </c>
      <c r="H552" t="s">
        <v>166</v>
      </c>
      <c r="I552" t="s">
        <v>23</v>
      </c>
      <c r="J552">
        <v>14.57</v>
      </c>
      <c r="K552" s="1">
        <v>45769</v>
      </c>
      <c r="L552" t="s">
        <v>48</v>
      </c>
      <c r="M552">
        <v>22</v>
      </c>
      <c r="N552">
        <v>4</v>
      </c>
      <c r="O552">
        <v>2</v>
      </c>
      <c r="P552">
        <v>2025</v>
      </c>
    </row>
    <row r="553" spans="1:16">
      <c r="A553">
        <v>219.31</v>
      </c>
      <c r="B553">
        <v>1</v>
      </c>
      <c r="C553" t="s">
        <v>2785</v>
      </c>
      <c r="D553" t="s">
        <v>2786</v>
      </c>
      <c r="E553" t="s">
        <v>2787</v>
      </c>
      <c r="F553" t="s">
        <v>838</v>
      </c>
      <c r="G553" t="s">
        <v>839</v>
      </c>
      <c r="H553" t="s">
        <v>594</v>
      </c>
      <c r="I553" t="s">
        <v>43</v>
      </c>
      <c r="J553">
        <v>219.31</v>
      </c>
      <c r="K553" s="1">
        <v>45902</v>
      </c>
      <c r="L553" t="s">
        <v>48</v>
      </c>
      <c r="M553">
        <v>2</v>
      </c>
      <c r="N553">
        <v>9</v>
      </c>
      <c r="O553">
        <v>3</v>
      </c>
      <c r="P553">
        <v>2025</v>
      </c>
    </row>
    <row r="554" spans="1:16">
      <c r="A554">
        <v>236.57999999999998</v>
      </c>
      <c r="B554">
        <v>3</v>
      </c>
      <c r="C554" t="s">
        <v>2178</v>
      </c>
      <c r="D554" t="s">
        <v>2179</v>
      </c>
      <c r="E554" t="s">
        <v>2060</v>
      </c>
      <c r="F554" t="s">
        <v>1566</v>
      </c>
      <c r="G554" t="s">
        <v>763</v>
      </c>
      <c r="H554" t="s">
        <v>208</v>
      </c>
      <c r="I554" t="s">
        <v>43</v>
      </c>
      <c r="J554">
        <v>78.86</v>
      </c>
      <c r="K554" s="1">
        <v>46035</v>
      </c>
      <c r="L554" t="s">
        <v>48</v>
      </c>
      <c r="M554">
        <v>13</v>
      </c>
      <c r="N554">
        <v>1</v>
      </c>
      <c r="O554">
        <v>1</v>
      </c>
      <c r="P554">
        <v>2026</v>
      </c>
    </row>
    <row r="555" spans="1:16">
      <c r="A555">
        <v>1175.95</v>
      </c>
      <c r="B555">
        <v>5</v>
      </c>
      <c r="C555" t="s">
        <v>2644</v>
      </c>
      <c r="D555" t="s">
        <v>2645</v>
      </c>
      <c r="E555" t="s">
        <v>2383</v>
      </c>
      <c r="F555" t="s">
        <v>862</v>
      </c>
      <c r="G555" t="s">
        <v>981</v>
      </c>
      <c r="H555" t="s">
        <v>396</v>
      </c>
      <c r="I555" t="s">
        <v>122</v>
      </c>
      <c r="J555">
        <v>235.19</v>
      </c>
      <c r="K555" s="1">
        <v>45669</v>
      </c>
      <c r="L555" t="s">
        <v>28</v>
      </c>
      <c r="M555">
        <v>12</v>
      </c>
      <c r="N555">
        <v>1</v>
      </c>
      <c r="O555">
        <v>1</v>
      </c>
      <c r="P555">
        <v>2025</v>
      </c>
    </row>
    <row r="556" spans="1:16">
      <c r="A556">
        <v>637.11</v>
      </c>
      <c r="B556">
        <v>3</v>
      </c>
      <c r="C556" t="s">
        <v>1896</v>
      </c>
      <c r="D556" t="s">
        <v>1897</v>
      </c>
      <c r="E556" t="s">
        <v>1114</v>
      </c>
      <c r="F556" t="s">
        <v>1026</v>
      </c>
      <c r="G556" t="s">
        <v>896</v>
      </c>
      <c r="H556" t="s">
        <v>331</v>
      </c>
      <c r="I556" t="s">
        <v>51</v>
      </c>
      <c r="J556">
        <v>212.37</v>
      </c>
      <c r="K556" s="1">
        <v>45939</v>
      </c>
      <c r="L556" t="s">
        <v>105</v>
      </c>
      <c r="M556">
        <v>9</v>
      </c>
      <c r="N556">
        <v>10</v>
      </c>
      <c r="O556">
        <v>4</v>
      </c>
      <c r="P556">
        <v>2025</v>
      </c>
    </row>
    <row r="557" spans="1:16">
      <c r="A557">
        <v>769.92</v>
      </c>
      <c r="B557">
        <v>4</v>
      </c>
      <c r="C557" t="s">
        <v>1281</v>
      </c>
      <c r="D557" t="s">
        <v>1282</v>
      </c>
      <c r="E557" t="s">
        <v>1283</v>
      </c>
      <c r="F557" t="s">
        <v>691</v>
      </c>
      <c r="G557" t="s">
        <v>776</v>
      </c>
      <c r="H557" t="s">
        <v>159</v>
      </c>
      <c r="I557" t="s">
        <v>21</v>
      </c>
      <c r="J557">
        <v>192.48</v>
      </c>
      <c r="K557" s="1">
        <v>46187</v>
      </c>
      <c r="L557" t="s">
        <v>28</v>
      </c>
      <c r="M557">
        <v>14</v>
      </c>
      <c r="N557">
        <v>6</v>
      </c>
      <c r="O557">
        <v>2</v>
      </c>
      <c r="P557">
        <v>2026</v>
      </c>
    </row>
    <row r="558" spans="1:16">
      <c r="A558">
        <v>449.34000000000003</v>
      </c>
      <c r="B558">
        <v>3</v>
      </c>
      <c r="C558" t="s">
        <v>2990</v>
      </c>
      <c r="D558" t="s">
        <v>2991</v>
      </c>
      <c r="E558" t="s">
        <v>2992</v>
      </c>
      <c r="F558" t="s">
        <v>136</v>
      </c>
      <c r="G558" t="s">
        <v>954</v>
      </c>
      <c r="H558" t="s">
        <v>427</v>
      </c>
      <c r="I558" t="s">
        <v>21</v>
      </c>
      <c r="J558">
        <v>149.78</v>
      </c>
      <c r="K558" s="1">
        <v>45853</v>
      </c>
      <c r="L558" t="s">
        <v>48</v>
      </c>
      <c r="M558">
        <v>15</v>
      </c>
      <c r="N558">
        <v>7</v>
      </c>
      <c r="O558">
        <v>3</v>
      </c>
      <c r="P558">
        <v>2025</v>
      </c>
    </row>
    <row r="559" spans="1:16">
      <c r="A559">
        <v>582.1</v>
      </c>
      <c r="B559">
        <v>5</v>
      </c>
      <c r="C559" t="s">
        <v>1704</v>
      </c>
      <c r="D559" t="s">
        <v>1705</v>
      </c>
      <c r="E559" t="s">
        <v>1706</v>
      </c>
      <c r="F559" t="s">
        <v>1092</v>
      </c>
      <c r="G559" t="s">
        <v>763</v>
      </c>
      <c r="H559" t="s">
        <v>91</v>
      </c>
      <c r="I559" t="s">
        <v>55</v>
      </c>
      <c r="J559">
        <v>116.42</v>
      </c>
      <c r="K559" s="1">
        <v>45630</v>
      </c>
      <c r="L559" t="s">
        <v>34</v>
      </c>
      <c r="M559">
        <v>4</v>
      </c>
      <c r="N559">
        <v>12</v>
      </c>
      <c r="O559">
        <v>4</v>
      </c>
      <c r="P559">
        <v>2024</v>
      </c>
    </row>
    <row r="560" spans="1:16">
      <c r="A560">
        <v>96.04</v>
      </c>
      <c r="B560">
        <v>4</v>
      </c>
      <c r="C560" t="s">
        <v>2155</v>
      </c>
      <c r="D560" t="s">
        <v>2156</v>
      </c>
      <c r="E560" t="s">
        <v>1865</v>
      </c>
      <c r="F560" t="s">
        <v>1607</v>
      </c>
      <c r="G560" t="s">
        <v>839</v>
      </c>
      <c r="H560" t="s">
        <v>188</v>
      </c>
      <c r="I560" t="s">
        <v>57</v>
      </c>
      <c r="J560">
        <v>24.01</v>
      </c>
      <c r="K560" s="1">
        <v>45799</v>
      </c>
      <c r="L560" t="s">
        <v>105</v>
      </c>
      <c r="M560">
        <v>22</v>
      </c>
      <c r="N560">
        <v>5</v>
      </c>
      <c r="O560">
        <v>2</v>
      </c>
      <c r="P560">
        <v>2025</v>
      </c>
    </row>
    <row r="561" spans="1:16">
      <c r="A561">
        <v>49.41</v>
      </c>
      <c r="B561">
        <v>1</v>
      </c>
      <c r="C561" t="s">
        <v>1894</v>
      </c>
      <c r="D561" t="s">
        <v>1895</v>
      </c>
      <c r="E561" t="s">
        <v>1387</v>
      </c>
      <c r="F561" t="s">
        <v>1213</v>
      </c>
      <c r="G561" t="s">
        <v>839</v>
      </c>
      <c r="H561" t="s">
        <v>144</v>
      </c>
      <c r="I561" t="s">
        <v>97</v>
      </c>
      <c r="J561">
        <v>49.41</v>
      </c>
      <c r="K561" s="1">
        <v>45655</v>
      </c>
      <c r="L561" t="s">
        <v>28</v>
      </c>
      <c r="M561">
        <v>29</v>
      </c>
      <c r="N561">
        <v>12</v>
      </c>
      <c r="O561">
        <v>4</v>
      </c>
      <c r="P561">
        <v>2024</v>
      </c>
    </row>
    <row r="562" spans="1:16">
      <c r="A562">
        <v>476.61</v>
      </c>
      <c r="B562">
        <v>3</v>
      </c>
      <c r="C562" t="s">
        <v>2357</v>
      </c>
      <c r="D562" t="s">
        <v>2358</v>
      </c>
      <c r="E562" t="s">
        <v>2359</v>
      </c>
      <c r="F562" t="s">
        <v>869</v>
      </c>
      <c r="G562" t="s">
        <v>807</v>
      </c>
      <c r="H562" t="s">
        <v>332</v>
      </c>
      <c r="I562" t="s">
        <v>55</v>
      </c>
      <c r="J562">
        <v>158.87</v>
      </c>
      <c r="K562" s="1">
        <v>46190</v>
      </c>
      <c r="L562" t="s">
        <v>34</v>
      </c>
      <c r="M562">
        <v>17</v>
      </c>
      <c r="N562">
        <v>6</v>
      </c>
      <c r="O562">
        <v>2</v>
      </c>
      <c r="P562">
        <v>2026</v>
      </c>
    </row>
    <row r="563" spans="1:16">
      <c r="A563">
        <v>206.84</v>
      </c>
      <c r="B563">
        <v>1</v>
      </c>
      <c r="C563" t="s">
        <v>1530</v>
      </c>
      <c r="D563" t="s">
        <v>1531</v>
      </c>
      <c r="E563" t="s">
        <v>1532</v>
      </c>
      <c r="F563" t="s">
        <v>1533</v>
      </c>
      <c r="G563" t="s">
        <v>781</v>
      </c>
      <c r="H563" t="s">
        <v>192</v>
      </c>
      <c r="I563" t="s">
        <v>46</v>
      </c>
      <c r="J563">
        <v>206.84</v>
      </c>
      <c r="K563" s="1">
        <v>45676</v>
      </c>
      <c r="L563" t="s">
        <v>28</v>
      </c>
      <c r="M563">
        <v>19</v>
      </c>
      <c r="N563">
        <v>1</v>
      </c>
      <c r="O563">
        <v>1</v>
      </c>
      <c r="P563">
        <v>2025</v>
      </c>
    </row>
    <row r="564" spans="1:16">
      <c r="A564">
        <v>166.85</v>
      </c>
      <c r="B564">
        <v>5</v>
      </c>
      <c r="C564" t="s">
        <v>1575</v>
      </c>
      <c r="D564" t="s">
        <v>1576</v>
      </c>
      <c r="E564" t="s">
        <v>1577</v>
      </c>
      <c r="F564" t="s">
        <v>392</v>
      </c>
      <c r="G564" t="s">
        <v>834</v>
      </c>
      <c r="H564" t="s">
        <v>388</v>
      </c>
      <c r="I564" t="s">
        <v>46</v>
      </c>
      <c r="J564">
        <v>33.369999999999997</v>
      </c>
      <c r="K564" s="1">
        <v>45769</v>
      </c>
      <c r="L564" t="s">
        <v>48</v>
      </c>
      <c r="M564">
        <v>22</v>
      </c>
      <c r="N564">
        <v>4</v>
      </c>
      <c r="O564">
        <v>2</v>
      </c>
      <c r="P564">
        <v>2025</v>
      </c>
    </row>
    <row r="565" spans="1:16">
      <c r="A565">
        <v>240.58</v>
      </c>
      <c r="B565">
        <v>1</v>
      </c>
      <c r="C565" t="s">
        <v>1243</v>
      </c>
      <c r="D565" t="s">
        <v>1244</v>
      </c>
      <c r="E565" t="s">
        <v>1245</v>
      </c>
      <c r="F565" t="s">
        <v>1246</v>
      </c>
      <c r="G565" t="s">
        <v>1247</v>
      </c>
      <c r="H565" t="s">
        <v>475</v>
      </c>
      <c r="I565" t="s">
        <v>27</v>
      </c>
      <c r="J565">
        <v>240.58</v>
      </c>
      <c r="K565" s="1">
        <v>45760</v>
      </c>
      <c r="L565" t="s">
        <v>28</v>
      </c>
      <c r="M565">
        <v>13</v>
      </c>
      <c r="N565">
        <v>4</v>
      </c>
      <c r="O565">
        <v>2</v>
      </c>
      <c r="P565">
        <v>2025</v>
      </c>
    </row>
    <row r="566" spans="1:16">
      <c r="A566">
        <v>49.66</v>
      </c>
      <c r="B566">
        <v>2</v>
      </c>
      <c r="C566" t="s">
        <v>2458</v>
      </c>
      <c r="D566" t="s">
        <v>2459</v>
      </c>
      <c r="E566" t="s">
        <v>1801</v>
      </c>
      <c r="F566" t="s">
        <v>713</v>
      </c>
      <c r="G566" t="s">
        <v>908</v>
      </c>
      <c r="H566" t="s">
        <v>338</v>
      </c>
      <c r="I566" t="s">
        <v>82</v>
      </c>
      <c r="J566">
        <v>24.83</v>
      </c>
      <c r="K566" s="1">
        <v>45775</v>
      </c>
      <c r="L566" t="s">
        <v>93</v>
      </c>
      <c r="M566">
        <v>28</v>
      </c>
      <c r="N566">
        <v>4</v>
      </c>
      <c r="O566">
        <v>2</v>
      </c>
      <c r="P566">
        <v>2025</v>
      </c>
    </row>
    <row r="567" spans="1:16">
      <c r="A567">
        <v>105.23</v>
      </c>
      <c r="B567">
        <v>1</v>
      </c>
      <c r="C567" t="s">
        <v>1756</v>
      </c>
      <c r="D567" t="s">
        <v>1757</v>
      </c>
      <c r="E567" t="s">
        <v>1679</v>
      </c>
      <c r="F567" t="s">
        <v>802</v>
      </c>
      <c r="G567" t="s">
        <v>748</v>
      </c>
      <c r="H567" t="s">
        <v>175</v>
      </c>
      <c r="I567" t="s">
        <v>21</v>
      </c>
      <c r="J567">
        <v>105.23</v>
      </c>
      <c r="K567" s="1">
        <v>46183</v>
      </c>
      <c r="L567" t="s">
        <v>34</v>
      </c>
      <c r="M567">
        <v>10</v>
      </c>
      <c r="N567">
        <v>6</v>
      </c>
      <c r="O567">
        <v>2</v>
      </c>
      <c r="P567">
        <v>2026</v>
      </c>
    </row>
    <row r="568" spans="1:16">
      <c r="A568">
        <v>134.53</v>
      </c>
      <c r="B568">
        <v>1</v>
      </c>
      <c r="C568" t="s">
        <v>1101</v>
      </c>
      <c r="D568" t="s">
        <v>1102</v>
      </c>
      <c r="E568" t="s">
        <v>1103</v>
      </c>
      <c r="F568" t="s">
        <v>825</v>
      </c>
      <c r="G568" t="s">
        <v>781</v>
      </c>
      <c r="H568" t="s">
        <v>361</v>
      </c>
      <c r="I568" t="s">
        <v>37</v>
      </c>
      <c r="J568">
        <v>134.53</v>
      </c>
      <c r="K568" s="1">
        <v>45617</v>
      </c>
      <c r="L568" t="s">
        <v>105</v>
      </c>
      <c r="M568">
        <v>21</v>
      </c>
      <c r="N568">
        <v>11</v>
      </c>
      <c r="O568">
        <v>4</v>
      </c>
      <c r="P568">
        <v>2024</v>
      </c>
    </row>
    <row r="569" spans="1:16">
      <c r="A569">
        <v>49.72</v>
      </c>
      <c r="B569">
        <v>2</v>
      </c>
      <c r="C569" t="s">
        <v>996</v>
      </c>
      <c r="D569" t="s">
        <v>997</v>
      </c>
      <c r="E569" t="s">
        <v>998</v>
      </c>
      <c r="F569" t="s">
        <v>762</v>
      </c>
      <c r="G569" t="s">
        <v>763</v>
      </c>
      <c r="H569" t="s">
        <v>531</v>
      </c>
      <c r="I569" t="s">
        <v>69</v>
      </c>
      <c r="J569">
        <v>24.86</v>
      </c>
      <c r="K569" s="1">
        <v>45706</v>
      </c>
      <c r="L569" t="s">
        <v>48</v>
      </c>
      <c r="M569">
        <v>18</v>
      </c>
      <c r="N569">
        <v>2</v>
      </c>
      <c r="O569">
        <v>1</v>
      </c>
      <c r="P569">
        <v>2025</v>
      </c>
    </row>
    <row r="570" spans="1:16">
      <c r="A570">
        <v>41.55</v>
      </c>
      <c r="B570">
        <v>3</v>
      </c>
      <c r="C570" t="s">
        <v>2735</v>
      </c>
      <c r="D570" t="s">
        <v>2736</v>
      </c>
      <c r="E570" t="s">
        <v>1987</v>
      </c>
      <c r="F570" t="s">
        <v>49</v>
      </c>
      <c r="G570" t="s">
        <v>807</v>
      </c>
      <c r="H570" t="s">
        <v>233</v>
      </c>
      <c r="I570" t="s">
        <v>122</v>
      </c>
      <c r="J570">
        <v>13.85</v>
      </c>
      <c r="K570" s="1">
        <v>45894</v>
      </c>
      <c r="L570" t="s">
        <v>93</v>
      </c>
      <c r="M570">
        <v>25</v>
      </c>
      <c r="N570">
        <v>8</v>
      </c>
      <c r="O570">
        <v>3</v>
      </c>
      <c r="P570">
        <v>2025</v>
      </c>
    </row>
    <row r="571" spans="1:16">
      <c r="A571">
        <v>691.59</v>
      </c>
      <c r="B571">
        <v>3</v>
      </c>
      <c r="C571" t="s">
        <v>3179</v>
      </c>
      <c r="D571" t="s">
        <v>3180</v>
      </c>
      <c r="E571" t="s">
        <v>1873</v>
      </c>
      <c r="F571" t="s">
        <v>106</v>
      </c>
      <c r="G571" t="s">
        <v>896</v>
      </c>
      <c r="H571" t="s">
        <v>389</v>
      </c>
      <c r="I571" t="s">
        <v>82</v>
      </c>
      <c r="J571">
        <v>230.53</v>
      </c>
      <c r="K571" s="1">
        <v>45843</v>
      </c>
      <c r="L571" t="s">
        <v>14</v>
      </c>
      <c r="M571">
        <v>5</v>
      </c>
      <c r="N571">
        <v>7</v>
      </c>
      <c r="O571">
        <v>3</v>
      </c>
      <c r="P571">
        <v>2025</v>
      </c>
    </row>
    <row r="572" spans="1:16">
      <c r="A572">
        <v>873.85</v>
      </c>
      <c r="B572">
        <v>5</v>
      </c>
      <c r="C572" t="s">
        <v>2174</v>
      </c>
      <c r="D572" t="s">
        <v>2175</v>
      </c>
      <c r="E572" t="s">
        <v>1539</v>
      </c>
      <c r="F572" t="s">
        <v>64</v>
      </c>
      <c r="G572" t="s">
        <v>892</v>
      </c>
      <c r="H572" t="s">
        <v>483</v>
      </c>
      <c r="I572" t="s">
        <v>100</v>
      </c>
      <c r="J572">
        <v>174.77</v>
      </c>
      <c r="K572" s="1">
        <v>46188</v>
      </c>
      <c r="L572" t="s">
        <v>93</v>
      </c>
      <c r="M572">
        <v>15</v>
      </c>
      <c r="N572">
        <v>6</v>
      </c>
      <c r="O572">
        <v>2</v>
      </c>
      <c r="P572">
        <v>2026</v>
      </c>
    </row>
    <row r="573" spans="1:16">
      <c r="A573">
        <v>1104.25</v>
      </c>
      <c r="B573">
        <v>5</v>
      </c>
      <c r="C573" t="s">
        <v>1655</v>
      </c>
      <c r="D573" t="s">
        <v>1656</v>
      </c>
      <c r="E573" t="s">
        <v>1657</v>
      </c>
      <c r="F573" t="s">
        <v>199</v>
      </c>
      <c r="G573" t="s">
        <v>781</v>
      </c>
      <c r="H573" t="s">
        <v>309</v>
      </c>
      <c r="I573" t="s">
        <v>100</v>
      </c>
      <c r="J573">
        <v>220.85</v>
      </c>
      <c r="K573" s="1">
        <v>45806</v>
      </c>
      <c r="L573" t="s">
        <v>105</v>
      </c>
      <c r="M573">
        <v>29</v>
      </c>
      <c r="N573">
        <v>5</v>
      </c>
      <c r="O573">
        <v>2</v>
      </c>
      <c r="P573">
        <v>2025</v>
      </c>
    </row>
    <row r="574" spans="1:16">
      <c r="A574">
        <v>1035.3499999999999</v>
      </c>
      <c r="B574">
        <v>5</v>
      </c>
      <c r="C574" t="s">
        <v>1787</v>
      </c>
      <c r="D574" t="s">
        <v>1788</v>
      </c>
      <c r="E574" t="s">
        <v>1162</v>
      </c>
      <c r="F574" t="s">
        <v>767</v>
      </c>
      <c r="G574" t="s">
        <v>768</v>
      </c>
      <c r="H574" t="s">
        <v>201</v>
      </c>
      <c r="I574" t="s">
        <v>37</v>
      </c>
      <c r="J574">
        <v>207.07</v>
      </c>
      <c r="K574" s="1">
        <v>45645</v>
      </c>
      <c r="L574" t="s">
        <v>105</v>
      </c>
      <c r="M574">
        <v>19</v>
      </c>
      <c r="N574">
        <v>12</v>
      </c>
      <c r="O574">
        <v>4</v>
      </c>
      <c r="P574">
        <v>2024</v>
      </c>
    </row>
    <row r="575" spans="1:16">
      <c r="A575">
        <v>729.2</v>
      </c>
      <c r="B575">
        <v>5</v>
      </c>
      <c r="C575" t="s">
        <v>1363</v>
      </c>
      <c r="D575" t="s">
        <v>1364</v>
      </c>
      <c r="E575" t="s">
        <v>1365</v>
      </c>
      <c r="F575" t="s">
        <v>965</v>
      </c>
      <c r="G575" t="s">
        <v>966</v>
      </c>
      <c r="H575" t="s">
        <v>178</v>
      </c>
      <c r="I575" t="s">
        <v>122</v>
      </c>
      <c r="J575">
        <v>145.84</v>
      </c>
      <c r="K575" s="1">
        <v>45628</v>
      </c>
      <c r="L575" t="s">
        <v>93</v>
      </c>
      <c r="M575">
        <v>2</v>
      </c>
      <c r="N575">
        <v>12</v>
      </c>
      <c r="O575">
        <v>4</v>
      </c>
      <c r="P575">
        <v>2024</v>
      </c>
    </row>
    <row r="576" spans="1:16">
      <c r="A576">
        <v>309.76</v>
      </c>
      <c r="B576">
        <v>2</v>
      </c>
      <c r="C576" t="s">
        <v>866</v>
      </c>
      <c r="D576" t="s">
        <v>867</v>
      </c>
      <c r="E576" t="s">
        <v>868</v>
      </c>
      <c r="F576" t="s">
        <v>869</v>
      </c>
      <c r="G576" t="s">
        <v>812</v>
      </c>
      <c r="H576" t="s">
        <v>704</v>
      </c>
      <c r="I576" t="s">
        <v>51</v>
      </c>
      <c r="J576">
        <v>154.88</v>
      </c>
      <c r="K576" s="1">
        <v>45845</v>
      </c>
      <c r="L576" t="s">
        <v>93</v>
      </c>
      <c r="M576">
        <v>7</v>
      </c>
      <c r="N576">
        <v>7</v>
      </c>
      <c r="O576">
        <v>3</v>
      </c>
      <c r="P576">
        <v>2025</v>
      </c>
    </row>
    <row r="577" spans="1:16">
      <c r="A577">
        <v>541.84</v>
      </c>
      <c r="B577">
        <v>4</v>
      </c>
      <c r="C577" t="s">
        <v>1284</v>
      </c>
      <c r="D577" t="s">
        <v>1285</v>
      </c>
      <c r="E577" t="s">
        <v>1286</v>
      </c>
      <c r="F577" t="s">
        <v>199</v>
      </c>
      <c r="G577" t="s">
        <v>781</v>
      </c>
      <c r="H577" t="s">
        <v>503</v>
      </c>
      <c r="I577" t="s">
        <v>43</v>
      </c>
      <c r="J577">
        <v>135.46</v>
      </c>
      <c r="K577" s="1">
        <v>45981</v>
      </c>
      <c r="L577" t="s">
        <v>105</v>
      </c>
      <c r="M577">
        <v>20</v>
      </c>
      <c r="N577">
        <v>11</v>
      </c>
      <c r="O577">
        <v>4</v>
      </c>
      <c r="P577">
        <v>2025</v>
      </c>
    </row>
    <row r="578" spans="1:16">
      <c r="A578">
        <v>412.40999999999997</v>
      </c>
      <c r="B578">
        <v>3</v>
      </c>
      <c r="C578" t="s">
        <v>962</v>
      </c>
      <c r="D578" t="s">
        <v>963</v>
      </c>
      <c r="E578" t="s">
        <v>964</v>
      </c>
      <c r="F578" t="s">
        <v>965</v>
      </c>
      <c r="G578" t="s">
        <v>966</v>
      </c>
      <c r="H578" t="s">
        <v>379</v>
      </c>
      <c r="I578" t="s">
        <v>69</v>
      </c>
      <c r="J578">
        <v>137.47</v>
      </c>
      <c r="K578" s="1">
        <v>46104</v>
      </c>
      <c r="L578" t="s">
        <v>93</v>
      </c>
      <c r="M578">
        <v>23</v>
      </c>
      <c r="N578">
        <v>3</v>
      </c>
      <c r="O578">
        <v>1</v>
      </c>
      <c r="P578">
        <v>2026</v>
      </c>
    </row>
    <row r="579" spans="1:16">
      <c r="A579">
        <v>54.54</v>
      </c>
      <c r="B579">
        <v>1</v>
      </c>
      <c r="C579" t="s">
        <v>2349</v>
      </c>
      <c r="D579" t="s">
        <v>1571</v>
      </c>
      <c r="E579" t="s">
        <v>1045</v>
      </c>
      <c r="F579" t="s">
        <v>919</v>
      </c>
      <c r="G579" t="s">
        <v>786</v>
      </c>
      <c r="H579" t="s">
        <v>292</v>
      </c>
      <c r="I579" t="s">
        <v>97</v>
      </c>
      <c r="J579">
        <v>54.54</v>
      </c>
      <c r="K579" s="1">
        <v>45665</v>
      </c>
      <c r="L579" t="s">
        <v>34</v>
      </c>
      <c r="M579">
        <v>8</v>
      </c>
      <c r="N579">
        <v>1</v>
      </c>
      <c r="O579">
        <v>1</v>
      </c>
      <c r="P579">
        <v>2025</v>
      </c>
    </row>
    <row r="580" spans="1:16">
      <c r="A580">
        <v>437.40000000000003</v>
      </c>
      <c r="B580">
        <v>5</v>
      </c>
      <c r="C580" t="s">
        <v>2686</v>
      </c>
      <c r="D580" t="s">
        <v>2687</v>
      </c>
      <c r="E580" t="s">
        <v>952</v>
      </c>
      <c r="F580" t="s">
        <v>280</v>
      </c>
      <c r="G580" t="s">
        <v>812</v>
      </c>
      <c r="H580" t="s">
        <v>604</v>
      </c>
      <c r="I580" t="s">
        <v>69</v>
      </c>
      <c r="J580">
        <v>87.48</v>
      </c>
      <c r="K580" s="1">
        <v>46025</v>
      </c>
      <c r="L580" t="s">
        <v>14</v>
      </c>
      <c r="M580">
        <v>3</v>
      </c>
      <c r="N580">
        <v>1</v>
      </c>
      <c r="O580">
        <v>1</v>
      </c>
      <c r="P580">
        <v>2026</v>
      </c>
    </row>
    <row r="581" spans="1:16">
      <c r="A581">
        <v>54.54</v>
      </c>
      <c r="B581">
        <v>1</v>
      </c>
      <c r="C581" t="s">
        <v>2171</v>
      </c>
      <c r="D581" t="s">
        <v>2172</v>
      </c>
      <c r="E581" t="s">
        <v>2173</v>
      </c>
      <c r="F581" t="s">
        <v>762</v>
      </c>
      <c r="G581" t="s">
        <v>763</v>
      </c>
      <c r="H581" t="s">
        <v>292</v>
      </c>
      <c r="I581" t="s">
        <v>97</v>
      </c>
      <c r="J581">
        <v>54.54</v>
      </c>
      <c r="K581" s="1">
        <v>45816</v>
      </c>
      <c r="L581" t="s">
        <v>28</v>
      </c>
      <c r="M581">
        <v>8</v>
      </c>
      <c r="N581">
        <v>6</v>
      </c>
      <c r="O581">
        <v>2</v>
      </c>
      <c r="P581">
        <v>2025</v>
      </c>
    </row>
    <row r="582" spans="1:16">
      <c r="A582">
        <v>98.5</v>
      </c>
      <c r="B582">
        <v>2</v>
      </c>
      <c r="C582" t="s">
        <v>2462</v>
      </c>
      <c r="D582" t="s">
        <v>2463</v>
      </c>
      <c r="E582" t="s">
        <v>1501</v>
      </c>
      <c r="F582" t="s">
        <v>1156</v>
      </c>
      <c r="G582" t="s">
        <v>839</v>
      </c>
      <c r="H582" t="s">
        <v>518</v>
      </c>
      <c r="I582" t="s">
        <v>17</v>
      </c>
      <c r="J582">
        <v>49.25</v>
      </c>
      <c r="K582" s="1">
        <v>45598</v>
      </c>
      <c r="L582" t="s">
        <v>14</v>
      </c>
      <c r="M582">
        <v>2</v>
      </c>
      <c r="N582">
        <v>11</v>
      </c>
      <c r="O582">
        <v>4</v>
      </c>
      <c r="P582">
        <v>2024</v>
      </c>
    </row>
    <row r="583" spans="1:16">
      <c r="A583">
        <v>66.739999999999995</v>
      </c>
      <c r="B583">
        <v>2</v>
      </c>
      <c r="C583" t="s">
        <v>3100</v>
      </c>
      <c r="D583" t="s">
        <v>3101</v>
      </c>
      <c r="E583" t="s">
        <v>1791</v>
      </c>
      <c r="F583" t="s">
        <v>392</v>
      </c>
      <c r="G583" t="s">
        <v>943</v>
      </c>
      <c r="H583" t="s">
        <v>388</v>
      </c>
      <c r="I583" t="s">
        <v>46</v>
      </c>
      <c r="J583">
        <v>33.369999999999997</v>
      </c>
      <c r="K583" s="1">
        <v>45581</v>
      </c>
      <c r="L583" t="s">
        <v>34</v>
      </c>
      <c r="M583">
        <v>16</v>
      </c>
      <c r="N583">
        <v>10</v>
      </c>
      <c r="O583">
        <v>4</v>
      </c>
      <c r="P583">
        <v>2024</v>
      </c>
    </row>
    <row r="584" spans="1:16">
      <c r="A584">
        <v>209.84</v>
      </c>
      <c r="B584">
        <v>2</v>
      </c>
      <c r="C584" t="s">
        <v>2839</v>
      </c>
      <c r="D584" t="s">
        <v>2840</v>
      </c>
      <c r="E584" t="s">
        <v>1124</v>
      </c>
      <c r="F584" t="s">
        <v>1740</v>
      </c>
      <c r="G584" t="s">
        <v>954</v>
      </c>
      <c r="H584" t="s">
        <v>351</v>
      </c>
      <c r="I584" t="s">
        <v>57</v>
      </c>
      <c r="J584">
        <v>104.92</v>
      </c>
      <c r="K584" s="1">
        <v>46259</v>
      </c>
      <c r="L584" t="s">
        <v>48</v>
      </c>
      <c r="M584">
        <v>25</v>
      </c>
      <c r="N584">
        <v>8</v>
      </c>
      <c r="O584">
        <v>3</v>
      </c>
      <c r="P584">
        <v>2026</v>
      </c>
    </row>
    <row r="585" spans="1:16">
      <c r="A585">
        <v>981.96</v>
      </c>
      <c r="B585">
        <v>4</v>
      </c>
      <c r="C585" t="s">
        <v>2217</v>
      </c>
      <c r="D585" t="s">
        <v>2218</v>
      </c>
      <c r="E585" t="s">
        <v>1771</v>
      </c>
      <c r="F585" t="s">
        <v>380</v>
      </c>
      <c r="G585" t="s">
        <v>954</v>
      </c>
      <c r="H585" t="s">
        <v>330</v>
      </c>
      <c r="I585" t="s">
        <v>60</v>
      </c>
      <c r="J585">
        <v>245.49</v>
      </c>
      <c r="K585" s="1">
        <v>46148</v>
      </c>
      <c r="L585" t="s">
        <v>34</v>
      </c>
      <c r="M585">
        <v>6</v>
      </c>
      <c r="N585">
        <v>5</v>
      </c>
      <c r="O585">
        <v>2</v>
      </c>
      <c r="P585">
        <v>2026</v>
      </c>
    </row>
    <row r="586" spans="1:16">
      <c r="A586">
        <v>391.08000000000004</v>
      </c>
      <c r="B586">
        <v>3</v>
      </c>
      <c r="C586" t="s">
        <v>1694</v>
      </c>
      <c r="D586" t="s">
        <v>1695</v>
      </c>
      <c r="E586" t="s">
        <v>1110</v>
      </c>
      <c r="F586" t="s">
        <v>965</v>
      </c>
      <c r="G586" t="s">
        <v>839</v>
      </c>
      <c r="H586" t="s">
        <v>118</v>
      </c>
      <c r="I586" t="s">
        <v>31</v>
      </c>
      <c r="J586">
        <v>130.36000000000001</v>
      </c>
      <c r="K586" s="1">
        <v>45882</v>
      </c>
      <c r="L586" t="s">
        <v>34</v>
      </c>
      <c r="M586">
        <v>13</v>
      </c>
      <c r="N586">
        <v>8</v>
      </c>
      <c r="O586">
        <v>3</v>
      </c>
      <c r="P586">
        <v>2025</v>
      </c>
    </row>
    <row r="587" spans="1:16">
      <c r="A587">
        <v>64.55</v>
      </c>
      <c r="B587">
        <v>5</v>
      </c>
      <c r="C587" t="s">
        <v>3072</v>
      </c>
      <c r="D587" t="s">
        <v>3073</v>
      </c>
      <c r="E587" t="s">
        <v>1136</v>
      </c>
      <c r="F587" t="s">
        <v>747</v>
      </c>
      <c r="G587" t="s">
        <v>748</v>
      </c>
      <c r="H587" t="s">
        <v>38</v>
      </c>
      <c r="I587" t="s">
        <v>39</v>
      </c>
      <c r="J587">
        <v>12.91</v>
      </c>
      <c r="K587" s="1">
        <v>45959</v>
      </c>
      <c r="L587" t="s">
        <v>34</v>
      </c>
      <c r="M587">
        <v>29</v>
      </c>
      <c r="N587">
        <v>10</v>
      </c>
      <c r="O587">
        <v>4</v>
      </c>
      <c r="P587">
        <v>2025</v>
      </c>
    </row>
    <row r="588" spans="1:16">
      <c r="A588">
        <v>159.66</v>
      </c>
      <c r="B588">
        <v>2</v>
      </c>
      <c r="C588" t="s">
        <v>2696</v>
      </c>
      <c r="D588" t="s">
        <v>2697</v>
      </c>
      <c r="E588" t="s">
        <v>2365</v>
      </c>
      <c r="F588" t="s">
        <v>1649</v>
      </c>
      <c r="G588" t="s">
        <v>790</v>
      </c>
      <c r="H588" t="s">
        <v>234</v>
      </c>
      <c r="I588" t="s">
        <v>82</v>
      </c>
      <c r="J588">
        <v>79.83</v>
      </c>
      <c r="K588" s="1">
        <v>46266</v>
      </c>
      <c r="L588" t="s">
        <v>48</v>
      </c>
      <c r="M588">
        <v>1</v>
      </c>
      <c r="N588">
        <v>9</v>
      </c>
      <c r="O588">
        <v>3</v>
      </c>
      <c r="P588">
        <v>2026</v>
      </c>
    </row>
    <row r="589" spans="1:16">
      <c r="A589">
        <v>90.62</v>
      </c>
      <c r="B589">
        <v>2</v>
      </c>
      <c r="C589" t="s">
        <v>1845</v>
      </c>
      <c r="D589" t="s">
        <v>1846</v>
      </c>
      <c r="E589" t="s">
        <v>1263</v>
      </c>
      <c r="F589" t="s">
        <v>953</v>
      </c>
      <c r="G589" t="s">
        <v>954</v>
      </c>
      <c r="H589" t="s">
        <v>537</v>
      </c>
      <c r="I589" t="s">
        <v>31</v>
      </c>
      <c r="J589">
        <v>45.31</v>
      </c>
      <c r="K589" s="1">
        <v>45755</v>
      </c>
      <c r="L589" t="s">
        <v>48</v>
      </c>
      <c r="M589">
        <v>8</v>
      </c>
      <c r="N589">
        <v>4</v>
      </c>
      <c r="O589">
        <v>2</v>
      </c>
      <c r="P589">
        <v>2025</v>
      </c>
    </row>
    <row r="590" spans="1:16">
      <c r="A590">
        <v>1102.3499999999999</v>
      </c>
      <c r="B590">
        <v>5</v>
      </c>
      <c r="C590" t="s">
        <v>2008</v>
      </c>
      <c r="D590" t="s">
        <v>2009</v>
      </c>
      <c r="E590" t="s">
        <v>2010</v>
      </c>
      <c r="F590" t="s">
        <v>794</v>
      </c>
      <c r="G590" t="s">
        <v>821</v>
      </c>
      <c r="H590" t="s">
        <v>496</v>
      </c>
      <c r="I590" t="s">
        <v>17</v>
      </c>
      <c r="J590">
        <v>220.47</v>
      </c>
      <c r="K590" s="1">
        <v>46232</v>
      </c>
      <c r="L590" t="s">
        <v>34</v>
      </c>
      <c r="M590">
        <v>29</v>
      </c>
      <c r="N590">
        <v>7</v>
      </c>
      <c r="O590">
        <v>3</v>
      </c>
      <c r="P590">
        <v>2026</v>
      </c>
    </row>
    <row r="591" spans="1:16">
      <c r="A591">
        <v>25.12</v>
      </c>
      <c r="B591">
        <v>4</v>
      </c>
      <c r="C591" t="s">
        <v>3216</v>
      </c>
      <c r="D591" t="s">
        <v>3217</v>
      </c>
      <c r="E591" t="s">
        <v>2692</v>
      </c>
      <c r="F591" t="s">
        <v>106</v>
      </c>
      <c r="G591" t="s">
        <v>748</v>
      </c>
      <c r="H591" t="s">
        <v>274</v>
      </c>
      <c r="I591" t="s">
        <v>19</v>
      </c>
      <c r="J591">
        <v>6.28</v>
      </c>
      <c r="K591" s="1">
        <v>46053</v>
      </c>
      <c r="L591" t="s">
        <v>14</v>
      </c>
      <c r="M591">
        <v>31</v>
      </c>
      <c r="N591">
        <v>1</v>
      </c>
      <c r="O591">
        <v>1</v>
      </c>
      <c r="P591">
        <v>2026</v>
      </c>
    </row>
    <row r="592" spans="1:16">
      <c r="A592">
        <v>77.7</v>
      </c>
      <c r="B592">
        <v>2</v>
      </c>
      <c r="C592" t="s">
        <v>1163</v>
      </c>
      <c r="D592" t="s">
        <v>1164</v>
      </c>
      <c r="E592" t="s">
        <v>1165</v>
      </c>
      <c r="F592" t="s">
        <v>464</v>
      </c>
      <c r="G592" t="s">
        <v>896</v>
      </c>
      <c r="H592" t="s">
        <v>586</v>
      </c>
      <c r="I592" t="s">
        <v>43</v>
      </c>
      <c r="J592">
        <v>38.85</v>
      </c>
      <c r="K592" s="1">
        <v>46212</v>
      </c>
      <c r="L592" t="s">
        <v>105</v>
      </c>
      <c r="M592">
        <v>9</v>
      </c>
      <c r="N592">
        <v>7</v>
      </c>
      <c r="O592">
        <v>3</v>
      </c>
      <c r="P592">
        <v>2026</v>
      </c>
    </row>
    <row r="593" spans="1:16">
      <c r="A593">
        <v>234.98</v>
      </c>
      <c r="B593">
        <v>1</v>
      </c>
      <c r="C593" t="s">
        <v>2426</v>
      </c>
      <c r="D593" t="s">
        <v>2427</v>
      </c>
      <c r="E593" t="s">
        <v>1685</v>
      </c>
      <c r="F593" t="s">
        <v>2154</v>
      </c>
      <c r="G593" t="s">
        <v>1003</v>
      </c>
      <c r="H593" t="s">
        <v>333</v>
      </c>
      <c r="I593" t="s">
        <v>37</v>
      </c>
      <c r="J593">
        <v>234.98</v>
      </c>
      <c r="K593" s="1">
        <v>45934</v>
      </c>
      <c r="L593" t="s">
        <v>14</v>
      </c>
      <c r="M593">
        <v>4</v>
      </c>
      <c r="N593">
        <v>10</v>
      </c>
      <c r="O593">
        <v>4</v>
      </c>
      <c r="P593">
        <v>2025</v>
      </c>
    </row>
    <row r="594" spans="1:16">
      <c r="A594">
        <v>1211.8000000000002</v>
      </c>
      <c r="B594">
        <v>5</v>
      </c>
      <c r="C594" t="s">
        <v>3173</v>
      </c>
      <c r="D594" t="s">
        <v>3174</v>
      </c>
      <c r="E594" t="s">
        <v>1906</v>
      </c>
      <c r="F594" t="s">
        <v>113</v>
      </c>
      <c r="G594" t="s">
        <v>854</v>
      </c>
      <c r="H594" t="s">
        <v>115</v>
      </c>
      <c r="I594" t="s">
        <v>55</v>
      </c>
      <c r="J594">
        <v>242.36</v>
      </c>
      <c r="K594" s="1">
        <v>46075</v>
      </c>
      <c r="L594" t="s">
        <v>28</v>
      </c>
      <c r="M594">
        <v>22</v>
      </c>
      <c r="N594">
        <v>2</v>
      </c>
      <c r="O594">
        <v>1</v>
      </c>
      <c r="P594">
        <v>2026</v>
      </c>
    </row>
    <row r="595" spans="1:16">
      <c r="A595">
        <v>17.579999999999998</v>
      </c>
      <c r="B595">
        <v>1</v>
      </c>
      <c r="C595" t="s">
        <v>2729</v>
      </c>
      <c r="D595" t="s">
        <v>2730</v>
      </c>
      <c r="E595" t="s">
        <v>1582</v>
      </c>
      <c r="F595" t="s">
        <v>1254</v>
      </c>
      <c r="G595" t="s">
        <v>781</v>
      </c>
      <c r="H595" t="s">
        <v>469</v>
      </c>
      <c r="I595" t="s">
        <v>46</v>
      </c>
      <c r="J595">
        <v>17.579999999999998</v>
      </c>
      <c r="K595" s="1">
        <v>46005</v>
      </c>
      <c r="L595" t="s">
        <v>28</v>
      </c>
      <c r="M595">
        <v>14</v>
      </c>
      <c r="N595">
        <v>12</v>
      </c>
      <c r="O595">
        <v>4</v>
      </c>
      <c r="P595">
        <v>2025</v>
      </c>
    </row>
    <row r="596" spans="1:16">
      <c r="A596">
        <v>82.69</v>
      </c>
      <c r="B596">
        <v>1</v>
      </c>
      <c r="C596" t="s">
        <v>3209</v>
      </c>
      <c r="D596" t="s">
        <v>3210</v>
      </c>
      <c r="E596" t="s">
        <v>3211</v>
      </c>
      <c r="F596" t="s">
        <v>1107</v>
      </c>
      <c r="G596" t="s">
        <v>892</v>
      </c>
      <c r="H596" t="s">
        <v>650</v>
      </c>
      <c r="I596" t="s">
        <v>37</v>
      </c>
      <c r="J596">
        <v>82.69</v>
      </c>
      <c r="K596" s="1">
        <v>46204</v>
      </c>
      <c r="L596" t="s">
        <v>34</v>
      </c>
      <c r="M596">
        <v>1</v>
      </c>
      <c r="N596">
        <v>7</v>
      </c>
      <c r="O596">
        <v>3</v>
      </c>
      <c r="P596">
        <v>2026</v>
      </c>
    </row>
    <row r="597" spans="1:16">
      <c r="A597">
        <v>740.46</v>
      </c>
      <c r="B597">
        <v>3</v>
      </c>
      <c r="C597" t="s">
        <v>859</v>
      </c>
      <c r="D597" t="s">
        <v>860</v>
      </c>
      <c r="E597" t="s">
        <v>861</v>
      </c>
      <c r="F597" t="s">
        <v>862</v>
      </c>
      <c r="G597" t="s">
        <v>758</v>
      </c>
      <c r="H597" t="s">
        <v>369</v>
      </c>
      <c r="I597" t="s">
        <v>43</v>
      </c>
      <c r="J597">
        <v>246.82</v>
      </c>
      <c r="K597" s="1">
        <v>46176</v>
      </c>
      <c r="L597" t="s">
        <v>34</v>
      </c>
      <c r="M597">
        <v>3</v>
      </c>
      <c r="N597">
        <v>6</v>
      </c>
      <c r="O597">
        <v>2</v>
      </c>
      <c r="P597">
        <v>2026</v>
      </c>
    </row>
    <row r="598" spans="1:16">
      <c r="A598">
        <v>11.49</v>
      </c>
      <c r="B598">
        <v>1</v>
      </c>
      <c r="C598" t="s">
        <v>2916</v>
      </c>
      <c r="D598" t="s">
        <v>2917</v>
      </c>
      <c r="E598" t="s">
        <v>2173</v>
      </c>
      <c r="F598" t="s">
        <v>328</v>
      </c>
      <c r="G598" t="s">
        <v>1003</v>
      </c>
      <c r="H598" t="s">
        <v>736</v>
      </c>
      <c r="I598" t="s">
        <v>122</v>
      </c>
      <c r="J598">
        <v>11.49</v>
      </c>
      <c r="K598" s="1">
        <v>46240</v>
      </c>
      <c r="L598" t="s">
        <v>105</v>
      </c>
      <c r="M598">
        <v>6</v>
      </c>
      <c r="N598">
        <v>8</v>
      </c>
      <c r="O598">
        <v>3</v>
      </c>
      <c r="P598">
        <v>2026</v>
      </c>
    </row>
    <row r="599" spans="1:16">
      <c r="A599">
        <v>446.72</v>
      </c>
      <c r="B599">
        <v>4</v>
      </c>
      <c r="C599" t="s">
        <v>1506</v>
      </c>
      <c r="D599" t="s">
        <v>1507</v>
      </c>
      <c r="E599" t="s">
        <v>1508</v>
      </c>
      <c r="F599" t="s">
        <v>1509</v>
      </c>
      <c r="G599" t="s">
        <v>821</v>
      </c>
      <c r="H599" t="s">
        <v>540</v>
      </c>
      <c r="I599" t="s">
        <v>19</v>
      </c>
      <c r="J599">
        <v>111.68</v>
      </c>
      <c r="K599" s="1">
        <v>46013</v>
      </c>
      <c r="L599" t="s">
        <v>93</v>
      </c>
      <c r="M599">
        <v>22</v>
      </c>
      <c r="N599">
        <v>12</v>
      </c>
      <c r="O599">
        <v>4</v>
      </c>
      <c r="P599">
        <v>2025</v>
      </c>
    </row>
    <row r="600" spans="1:16">
      <c r="A600">
        <v>74.42</v>
      </c>
      <c r="B600">
        <v>1</v>
      </c>
      <c r="C600" t="s">
        <v>1598</v>
      </c>
      <c r="D600" t="s">
        <v>1599</v>
      </c>
      <c r="E600" t="s">
        <v>1283</v>
      </c>
      <c r="F600" t="s">
        <v>1600</v>
      </c>
      <c r="G600" t="s">
        <v>768</v>
      </c>
      <c r="H600" t="s">
        <v>95</v>
      </c>
      <c r="I600" t="s">
        <v>46</v>
      </c>
      <c r="J600">
        <v>74.42</v>
      </c>
      <c r="K600" s="1">
        <v>46057</v>
      </c>
      <c r="L600" t="s">
        <v>34</v>
      </c>
      <c r="M600">
        <v>4</v>
      </c>
      <c r="N600">
        <v>2</v>
      </c>
      <c r="O600">
        <v>1</v>
      </c>
      <c r="P600">
        <v>2026</v>
      </c>
    </row>
    <row r="601" spans="1:16">
      <c r="A601">
        <v>489.41999999999996</v>
      </c>
      <c r="B601">
        <v>3</v>
      </c>
      <c r="C601" t="s">
        <v>3023</v>
      </c>
      <c r="D601" t="s">
        <v>3024</v>
      </c>
      <c r="E601" t="s">
        <v>2365</v>
      </c>
      <c r="F601" t="s">
        <v>106</v>
      </c>
      <c r="G601" t="s">
        <v>790</v>
      </c>
      <c r="H601" t="s">
        <v>183</v>
      </c>
      <c r="I601" t="s">
        <v>19</v>
      </c>
      <c r="J601">
        <v>163.13999999999999</v>
      </c>
      <c r="K601" s="1">
        <v>45887</v>
      </c>
      <c r="L601" t="s">
        <v>93</v>
      </c>
      <c r="M601">
        <v>18</v>
      </c>
      <c r="N601">
        <v>8</v>
      </c>
      <c r="O601">
        <v>3</v>
      </c>
      <c r="P601">
        <v>2025</v>
      </c>
    </row>
    <row r="602" spans="1:16">
      <c r="A602">
        <v>221.86</v>
      </c>
      <c r="B602">
        <v>2</v>
      </c>
      <c r="C602" t="s">
        <v>1004</v>
      </c>
      <c r="D602" t="s">
        <v>1005</v>
      </c>
      <c r="E602" t="s">
        <v>1006</v>
      </c>
      <c r="F602" t="s">
        <v>1007</v>
      </c>
      <c r="G602" t="s">
        <v>966</v>
      </c>
      <c r="H602" t="s">
        <v>457</v>
      </c>
      <c r="I602" t="s">
        <v>25</v>
      </c>
      <c r="J602">
        <v>110.93</v>
      </c>
      <c r="K602" s="1">
        <v>45567</v>
      </c>
      <c r="L602" t="s">
        <v>34</v>
      </c>
      <c r="M602">
        <v>2</v>
      </c>
      <c r="N602">
        <v>10</v>
      </c>
      <c r="O602">
        <v>4</v>
      </c>
      <c r="P602">
        <v>2024</v>
      </c>
    </row>
    <row r="603" spans="1:16">
      <c r="A603">
        <v>84.63</v>
      </c>
      <c r="B603">
        <v>1</v>
      </c>
      <c r="C603" t="s">
        <v>880</v>
      </c>
      <c r="D603" t="s">
        <v>881</v>
      </c>
      <c r="E603" t="s">
        <v>882</v>
      </c>
      <c r="F603" t="s">
        <v>883</v>
      </c>
      <c r="G603" t="s">
        <v>807</v>
      </c>
      <c r="H603" t="s">
        <v>528</v>
      </c>
      <c r="I603" t="s">
        <v>69</v>
      </c>
      <c r="J603">
        <v>84.63</v>
      </c>
      <c r="K603" s="1">
        <v>45789</v>
      </c>
      <c r="L603" t="s">
        <v>93</v>
      </c>
      <c r="M603">
        <v>12</v>
      </c>
      <c r="N603">
        <v>5</v>
      </c>
      <c r="O603">
        <v>2</v>
      </c>
      <c r="P603">
        <v>2025</v>
      </c>
    </row>
    <row r="604" spans="1:16">
      <c r="A604">
        <v>916.36</v>
      </c>
      <c r="B604">
        <v>4</v>
      </c>
      <c r="C604" t="s">
        <v>1277</v>
      </c>
      <c r="D604" t="s">
        <v>1278</v>
      </c>
      <c r="E604" t="s">
        <v>1279</v>
      </c>
      <c r="F604" t="s">
        <v>1280</v>
      </c>
      <c r="G604" t="s">
        <v>908</v>
      </c>
      <c r="H604" t="s">
        <v>622</v>
      </c>
      <c r="I604" t="s">
        <v>37</v>
      </c>
      <c r="J604">
        <v>229.09</v>
      </c>
      <c r="K604" s="1">
        <v>45677</v>
      </c>
      <c r="L604" t="s">
        <v>93</v>
      </c>
      <c r="M604">
        <v>20</v>
      </c>
      <c r="N604">
        <v>1</v>
      </c>
      <c r="O604">
        <v>1</v>
      </c>
      <c r="P604">
        <v>2025</v>
      </c>
    </row>
    <row r="605" spans="1:16">
      <c r="A605">
        <v>507.36</v>
      </c>
      <c r="B605">
        <v>3</v>
      </c>
      <c r="C605" t="s">
        <v>2121</v>
      </c>
      <c r="D605" t="s">
        <v>2122</v>
      </c>
      <c r="E605" t="s">
        <v>1077</v>
      </c>
      <c r="F605" t="s">
        <v>929</v>
      </c>
      <c r="G605" t="s">
        <v>786</v>
      </c>
      <c r="H605" t="s">
        <v>368</v>
      </c>
      <c r="I605" t="s">
        <v>31</v>
      </c>
      <c r="J605">
        <v>169.12</v>
      </c>
      <c r="K605" s="1">
        <v>46139</v>
      </c>
      <c r="L605" t="s">
        <v>93</v>
      </c>
      <c r="M605">
        <v>27</v>
      </c>
      <c r="N605">
        <v>4</v>
      </c>
      <c r="O605">
        <v>2</v>
      </c>
      <c r="P605">
        <v>2026</v>
      </c>
    </row>
    <row r="606" spans="1:16">
      <c r="A606">
        <v>15.03</v>
      </c>
      <c r="B606">
        <v>1</v>
      </c>
      <c r="C606" t="s">
        <v>1499</v>
      </c>
      <c r="D606" t="s">
        <v>1500</v>
      </c>
      <c r="E606" t="s">
        <v>1501</v>
      </c>
      <c r="F606" t="s">
        <v>1502</v>
      </c>
      <c r="G606" t="s">
        <v>817</v>
      </c>
      <c r="H606" t="s">
        <v>523</v>
      </c>
      <c r="I606" t="s">
        <v>23</v>
      </c>
      <c r="J606">
        <v>15.03</v>
      </c>
      <c r="K606" s="1">
        <v>46036</v>
      </c>
      <c r="L606" t="s">
        <v>34</v>
      </c>
      <c r="M606">
        <v>14</v>
      </c>
      <c r="N606">
        <v>1</v>
      </c>
      <c r="O606">
        <v>1</v>
      </c>
      <c r="P606">
        <v>2026</v>
      </c>
    </row>
    <row r="607" spans="1:16">
      <c r="A607">
        <v>34.47</v>
      </c>
      <c r="B607">
        <v>3</v>
      </c>
      <c r="C607" t="s">
        <v>3013</v>
      </c>
      <c r="D607" t="s">
        <v>3014</v>
      </c>
      <c r="E607" t="s">
        <v>872</v>
      </c>
      <c r="F607" t="s">
        <v>862</v>
      </c>
      <c r="G607" t="s">
        <v>807</v>
      </c>
      <c r="H607" t="s">
        <v>736</v>
      </c>
      <c r="I607" t="s">
        <v>122</v>
      </c>
      <c r="J607">
        <v>11.49</v>
      </c>
      <c r="K607" s="1">
        <v>46108</v>
      </c>
      <c r="L607" t="s">
        <v>79</v>
      </c>
      <c r="M607">
        <v>27</v>
      </c>
      <c r="N607">
        <v>3</v>
      </c>
      <c r="O607">
        <v>1</v>
      </c>
      <c r="P607">
        <v>2026</v>
      </c>
    </row>
    <row r="608" spans="1:16">
      <c r="A608">
        <v>1018.7</v>
      </c>
      <c r="B608">
        <v>5</v>
      </c>
      <c r="C608" t="s">
        <v>1717</v>
      </c>
      <c r="D608" t="s">
        <v>1718</v>
      </c>
      <c r="E608" t="s">
        <v>1582</v>
      </c>
      <c r="F608" t="s">
        <v>965</v>
      </c>
      <c r="G608" t="s">
        <v>966</v>
      </c>
      <c r="H608" t="s">
        <v>552</v>
      </c>
      <c r="I608" t="s">
        <v>31</v>
      </c>
      <c r="J608">
        <v>203.74</v>
      </c>
      <c r="K608" s="1">
        <v>46106</v>
      </c>
      <c r="L608" t="s">
        <v>34</v>
      </c>
      <c r="M608">
        <v>25</v>
      </c>
      <c r="N608">
        <v>3</v>
      </c>
      <c r="O608">
        <v>1</v>
      </c>
      <c r="P608">
        <v>2026</v>
      </c>
    </row>
    <row r="609" spans="1:16">
      <c r="A609">
        <v>199.78</v>
      </c>
      <c r="B609">
        <v>1</v>
      </c>
      <c r="C609" t="s">
        <v>791</v>
      </c>
      <c r="D609" t="s">
        <v>792</v>
      </c>
      <c r="E609" t="s">
        <v>793</v>
      </c>
      <c r="F609" t="s">
        <v>794</v>
      </c>
      <c r="G609" t="s">
        <v>795</v>
      </c>
      <c r="H609" t="s">
        <v>520</v>
      </c>
      <c r="I609" t="s">
        <v>122</v>
      </c>
      <c r="J609">
        <v>199.78</v>
      </c>
      <c r="K609" s="1">
        <v>45818</v>
      </c>
      <c r="L609" t="s">
        <v>48</v>
      </c>
      <c r="M609">
        <v>10</v>
      </c>
      <c r="N609">
        <v>6</v>
      </c>
      <c r="O609">
        <v>2</v>
      </c>
      <c r="P609">
        <v>2025</v>
      </c>
    </row>
    <row r="610" spans="1:16">
      <c r="A610">
        <v>465.68</v>
      </c>
      <c r="B610">
        <v>4</v>
      </c>
      <c r="C610" t="s">
        <v>2410</v>
      </c>
      <c r="D610" t="s">
        <v>2411</v>
      </c>
      <c r="E610" t="s">
        <v>1997</v>
      </c>
      <c r="F610" t="s">
        <v>919</v>
      </c>
      <c r="G610" t="s">
        <v>786</v>
      </c>
      <c r="H610" t="s">
        <v>91</v>
      </c>
      <c r="I610" t="s">
        <v>55</v>
      </c>
      <c r="J610">
        <v>116.42</v>
      </c>
      <c r="K610" s="1">
        <v>45745</v>
      </c>
      <c r="L610" t="s">
        <v>14</v>
      </c>
      <c r="M610">
        <v>29</v>
      </c>
      <c r="N610">
        <v>3</v>
      </c>
      <c r="O610">
        <v>1</v>
      </c>
      <c r="P610">
        <v>2025</v>
      </c>
    </row>
    <row r="611" spans="1:16">
      <c r="A611">
        <v>674.08</v>
      </c>
      <c r="B611">
        <v>4</v>
      </c>
      <c r="C611" t="s">
        <v>2127</v>
      </c>
      <c r="D611" t="s">
        <v>2128</v>
      </c>
      <c r="E611" t="s">
        <v>1050</v>
      </c>
      <c r="F611" t="s">
        <v>1371</v>
      </c>
      <c r="G611" t="s">
        <v>786</v>
      </c>
      <c r="H611" t="s">
        <v>311</v>
      </c>
      <c r="I611" t="s">
        <v>46</v>
      </c>
      <c r="J611">
        <v>168.52</v>
      </c>
      <c r="K611" s="1">
        <v>45783</v>
      </c>
      <c r="L611" t="s">
        <v>48</v>
      </c>
      <c r="M611">
        <v>6</v>
      </c>
      <c r="N611">
        <v>5</v>
      </c>
      <c r="O611">
        <v>2</v>
      </c>
      <c r="P611">
        <v>2025</v>
      </c>
    </row>
    <row r="612" spans="1:16">
      <c r="A612">
        <v>35.11</v>
      </c>
      <c r="B612">
        <v>1</v>
      </c>
      <c r="C612" t="s">
        <v>1992</v>
      </c>
      <c r="D612" t="s">
        <v>1993</v>
      </c>
      <c r="E612" t="s">
        <v>1968</v>
      </c>
      <c r="F612" t="s">
        <v>1257</v>
      </c>
      <c r="G612" t="s">
        <v>839</v>
      </c>
      <c r="H612" t="s">
        <v>400</v>
      </c>
      <c r="I612" t="s">
        <v>57</v>
      </c>
      <c r="J612">
        <v>35.11</v>
      </c>
      <c r="K612" s="1">
        <v>45572</v>
      </c>
      <c r="L612" t="s">
        <v>93</v>
      </c>
      <c r="M612">
        <v>7</v>
      </c>
      <c r="N612">
        <v>10</v>
      </c>
      <c r="O612">
        <v>4</v>
      </c>
      <c r="P612">
        <v>2024</v>
      </c>
    </row>
    <row r="613" spans="1:16">
      <c r="A613">
        <v>28.01</v>
      </c>
      <c r="B613">
        <v>1</v>
      </c>
      <c r="C613" t="s">
        <v>3246</v>
      </c>
      <c r="D613" t="s">
        <v>3247</v>
      </c>
      <c r="E613" t="s">
        <v>1192</v>
      </c>
      <c r="F613" t="s">
        <v>29</v>
      </c>
      <c r="G613" t="s">
        <v>821</v>
      </c>
      <c r="H613" t="s">
        <v>463</v>
      </c>
      <c r="I613" t="s">
        <v>43</v>
      </c>
      <c r="J613">
        <v>28.01</v>
      </c>
      <c r="K613" s="1">
        <v>45819</v>
      </c>
      <c r="L613" t="s">
        <v>34</v>
      </c>
      <c r="M613">
        <v>11</v>
      </c>
      <c r="N613">
        <v>6</v>
      </c>
      <c r="O613">
        <v>2</v>
      </c>
      <c r="P613">
        <v>2025</v>
      </c>
    </row>
    <row r="614" spans="1:16">
      <c r="A614">
        <v>121.22</v>
      </c>
      <c r="B614">
        <v>1</v>
      </c>
      <c r="C614" t="s">
        <v>2014</v>
      </c>
      <c r="D614" t="s">
        <v>2015</v>
      </c>
      <c r="E614" t="s">
        <v>1585</v>
      </c>
      <c r="F614" t="s">
        <v>862</v>
      </c>
      <c r="G614" t="s">
        <v>908</v>
      </c>
      <c r="H614" t="s">
        <v>47</v>
      </c>
      <c r="I614" t="s">
        <v>46</v>
      </c>
      <c r="J614">
        <v>121.22</v>
      </c>
      <c r="K614" s="1">
        <v>45904</v>
      </c>
      <c r="L614" t="s">
        <v>105</v>
      </c>
      <c r="M614">
        <v>4</v>
      </c>
      <c r="N614">
        <v>9</v>
      </c>
      <c r="O614">
        <v>3</v>
      </c>
      <c r="P614">
        <v>2025</v>
      </c>
    </row>
    <row r="615" spans="1:16">
      <c r="A615">
        <v>235.8</v>
      </c>
      <c r="B615">
        <v>4</v>
      </c>
      <c r="C615" t="s">
        <v>2750</v>
      </c>
      <c r="D615" t="s">
        <v>2751</v>
      </c>
      <c r="E615" t="s">
        <v>1619</v>
      </c>
      <c r="F615" t="s">
        <v>1984</v>
      </c>
      <c r="G615" t="s">
        <v>768</v>
      </c>
      <c r="H615" t="s">
        <v>75</v>
      </c>
      <c r="I615" t="s">
        <v>27</v>
      </c>
      <c r="J615">
        <v>58.95</v>
      </c>
      <c r="K615" s="1">
        <v>45721</v>
      </c>
      <c r="L615" t="s">
        <v>34</v>
      </c>
      <c r="M615">
        <v>5</v>
      </c>
      <c r="N615">
        <v>3</v>
      </c>
      <c r="O615">
        <v>1</v>
      </c>
      <c r="P615">
        <v>2025</v>
      </c>
    </row>
    <row r="616" spans="1:16">
      <c r="A616">
        <v>25.25</v>
      </c>
      <c r="B616">
        <v>5</v>
      </c>
      <c r="C616" t="s">
        <v>3451</v>
      </c>
      <c r="D616" t="s">
        <v>3452</v>
      </c>
      <c r="E616" t="s">
        <v>935</v>
      </c>
      <c r="F616" t="s">
        <v>113</v>
      </c>
      <c r="G616" t="s">
        <v>854</v>
      </c>
      <c r="H616" t="s">
        <v>182</v>
      </c>
      <c r="I616" t="s">
        <v>39</v>
      </c>
      <c r="J616">
        <v>5.05</v>
      </c>
      <c r="K616" s="1">
        <v>46251</v>
      </c>
      <c r="L616" t="s">
        <v>93</v>
      </c>
      <c r="M616">
        <v>17</v>
      </c>
      <c r="N616">
        <v>8</v>
      </c>
      <c r="O616">
        <v>3</v>
      </c>
      <c r="P616">
        <v>2026</v>
      </c>
    </row>
    <row r="617" spans="1:16">
      <c r="A617">
        <v>594.41999999999996</v>
      </c>
      <c r="B617">
        <v>3</v>
      </c>
      <c r="C617" t="s">
        <v>3419</v>
      </c>
      <c r="D617" t="s">
        <v>3420</v>
      </c>
      <c r="E617" t="s">
        <v>1679</v>
      </c>
      <c r="F617" t="s">
        <v>1649</v>
      </c>
      <c r="G617" t="s">
        <v>790</v>
      </c>
      <c r="H617" t="s">
        <v>146</v>
      </c>
      <c r="I617" t="s">
        <v>97</v>
      </c>
      <c r="J617">
        <v>198.14</v>
      </c>
      <c r="K617" s="1">
        <v>45674</v>
      </c>
      <c r="L617" t="s">
        <v>79</v>
      </c>
      <c r="M617">
        <v>17</v>
      </c>
      <c r="N617">
        <v>1</v>
      </c>
      <c r="O617">
        <v>1</v>
      </c>
      <c r="P617">
        <v>2025</v>
      </c>
    </row>
    <row r="618" spans="1:16">
      <c r="A618">
        <v>839.52</v>
      </c>
      <c r="B618">
        <v>4</v>
      </c>
      <c r="C618" t="s">
        <v>2760</v>
      </c>
      <c r="D618" t="s">
        <v>2761</v>
      </c>
      <c r="E618" t="s">
        <v>935</v>
      </c>
      <c r="F618" t="s">
        <v>869</v>
      </c>
      <c r="G618" t="s">
        <v>807</v>
      </c>
      <c r="H618" t="s">
        <v>724</v>
      </c>
      <c r="I618" t="s">
        <v>55</v>
      </c>
      <c r="J618">
        <v>209.88</v>
      </c>
      <c r="K618" s="1">
        <v>45728</v>
      </c>
      <c r="L618" t="s">
        <v>34</v>
      </c>
      <c r="M618">
        <v>12</v>
      </c>
      <c r="N618">
        <v>3</v>
      </c>
      <c r="O618">
        <v>1</v>
      </c>
      <c r="P618">
        <v>2025</v>
      </c>
    </row>
    <row r="619" spans="1:16">
      <c r="A619">
        <v>17.190000000000001</v>
      </c>
      <c r="B619">
        <v>3</v>
      </c>
      <c r="C619" t="s">
        <v>2944</v>
      </c>
      <c r="D619" t="s">
        <v>2945</v>
      </c>
      <c r="E619" t="s">
        <v>1038</v>
      </c>
      <c r="F619" t="s">
        <v>1811</v>
      </c>
      <c r="G619" t="s">
        <v>892</v>
      </c>
      <c r="H619" t="s">
        <v>407</v>
      </c>
      <c r="I619" t="s">
        <v>21</v>
      </c>
      <c r="J619">
        <v>5.73</v>
      </c>
      <c r="K619" s="1">
        <v>45644</v>
      </c>
      <c r="L619" t="s">
        <v>34</v>
      </c>
      <c r="M619">
        <v>18</v>
      </c>
      <c r="N619">
        <v>12</v>
      </c>
      <c r="O619">
        <v>4</v>
      </c>
      <c r="P619">
        <v>2024</v>
      </c>
    </row>
    <row r="620" spans="1:16">
      <c r="A620">
        <v>475.14</v>
      </c>
      <c r="B620">
        <v>3</v>
      </c>
      <c r="C620" t="s">
        <v>2667</v>
      </c>
      <c r="D620" t="s">
        <v>2668</v>
      </c>
      <c r="E620" t="s">
        <v>1127</v>
      </c>
      <c r="F620" t="s">
        <v>619</v>
      </c>
      <c r="G620" t="s">
        <v>758</v>
      </c>
      <c r="H620" t="s">
        <v>172</v>
      </c>
      <c r="I620" t="s">
        <v>46</v>
      </c>
      <c r="J620">
        <v>158.38</v>
      </c>
      <c r="K620" s="1">
        <v>45610</v>
      </c>
      <c r="L620" t="s">
        <v>105</v>
      </c>
      <c r="M620">
        <v>14</v>
      </c>
      <c r="N620">
        <v>11</v>
      </c>
      <c r="O620">
        <v>4</v>
      </c>
      <c r="P620">
        <v>2024</v>
      </c>
    </row>
    <row r="621" spans="1:16">
      <c r="A621">
        <v>584.44000000000005</v>
      </c>
      <c r="B621">
        <v>4</v>
      </c>
      <c r="C621" t="s">
        <v>944</v>
      </c>
      <c r="D621" t="s">
        <v>945</v>
      </c>
      <c r="E621" t="s">
        <v>946</v>
      </c>
      <c r="F621" t="s">
        <v>199</v>
      </c>
      <c r="G621" t="s">
        <v>781</v>
      </c>
      <c r="H621" t="s">
        <v>382</v>
      </c>
      <c r="I621" t="s">
        <v>122</v>
      </c>
      <c r="J621">
        <v>146.11000000000001</v>
      </c>
      <c r="K621" s="1">
        <v>45680</v>
      </c>
      <c r="L621" t="s">
        <v>105</v>
      </c>
      <c r="M621">
        <v>23</v>
      </c>
      <c r="N621">
        <v>1</v>
      </c>
      <c r="O621">
        <v>1</v>
      </c>
      <c r="P621">
        <v>2025</v>
      </c>
    </row>
    <row r="622" spans="1:16">
      <c r="A622">
        <v>520.20000000000005</v>
      </c>
      <c r="B622">
        <v>5</v>
      </c>
      <c r="C622" t="s">
        <v>2079</v>
      </c>
      <c r="D622" t="s">
        <v>2080</v>
      </c>
      <c r="E622" t="s">
        <v>1698</v>
      </c>
      <c r="F622" t="s">
        <v>1673</v>
      </c>
      <c r="G622" t="s">
        <v>821</v>
      </c>
      <c r="H622" t="s">
        <v>507</v>
      </c>
      <c r="I622" t="s">
        <v>55</v>
      </c>
      <c r="J622">
        <v>104.04</v>
      </c>
      <c r="K622" s="1">
        <v>45724</v>
      </c>
      <c r="L622" t="s">
        <v>14</v>
      </c>
      <c r="M622">
        <v>8</v>
      </c>
      <c r="N622">
        <v>3</v>
      </c>
      <c r="O622">
        <v>1</v>
      </c>
      <c r="P622">
        <v>2025</v>
      </c>
    </row>
    <row r="623" spans="1:16">
      <c r="A623">
        <v>104.92</v>
      </c>
      <c r="B623">
        <v>1</v>
      </c>
      <c r="C623" t="s">
        <v>873</v>
      </c>
      <c r="D623" t="s">
        <v>874</v>
      </c>
      <c r="E623" t="s">
        <v>875</v>
      </c>
      <c r="F623" t="s">
        <v>387</v>
      </c>
      <c r="G623" t="s">
        <v>821</v>
      </c>
      <c r="H623" t="s">
        <v>351</v>
      </c>
      <c r="I623" t="s">
        <v>57</v>
      </c>
      <c r="J623">
        <v>104.92</v>
      </c>
      <c r="K623" s="1">
        <v>46086</v>
      </c>
      <c r="L623" t="s">
        <v>105</v>
      </c>
      <c r="M623">
        <v>5</v>
      </c>
      <c r="N623">
        <v>3</v>
      </c>
      <c r="O623">
        <v>1</v>
      </c>
      <c r="P623">
        <v>2026</v>
      </c>
    </row>
    <row r="624" spans="1:16">
      <c r="A624">
        <v>911.3</v>
      </c>
      <c r="B624">
        <v>5</v>
      </c>
      <c r="C624" t="s">
        <v>2781</v>
      </c>
      <c r="D624" t="s">
        <v>2782</v>
      </c>
      <c r="E624" t="s">
        <v>2419</v>
      </c>
      <c r="F624" t="s">
        <v>136</v>
      </c>
      <c r="G624" t="s">
        <v>776</v>
      </c>
      <c r="H624" t="s">
        <v>378</v>
      </c>
      <c r="I624" t="s">
        <v>57</v>
      </c>
      <c r="J624">
        <v>182.26</v>
      </c>
      <c r="K624" s="1">
        <v>45661</v>
      </c>
      <c r="L624" t="s">
        <v>14</v>
      </c>
      <c r="M624">
        <v>4</v>
      </c>
      <c r="N624">
        <v>1</v>
      </c>
      <c r="O624">
        <v>1</v>
      </c>
      <c r="P624">
        <v>2025</v>
      </c>
    </row>
    <row r="625" spans="1:16">
      <c r="A625">
        <v>661.41</v>
      </c>
      <c r="B625">
        <v>3</v>
      </c>
      <c r="C625" t="s">
        <v>863</v>
      </c>
      <c r="D625" t="s">
        <v>864</v>
      </c>
      <c r="E625" t="s">
        <v>865</v>
      </c>
      <c r="F625" t="s">
        <v>708</v>
      </c>
      <c r="G625" t="s">
        <v>834</v>
      </c>
      <c r="H625" t="s">
        <v>496</v>
      </c>
      <c r="I625" t="s">
        <v>17</v>
      </c>
      <c r="J625">
        <v>220.47</v>
      </c>
      <c r="K625" s="1">
        <v>45708</v>
      </c>
      <c r="L625" t="s">
        <v>105</v>
      </c>
      <c r="M625">
        <v>20</v>
      </c>
      <c r="N625">
        <v>2</v>
      </c>
      <c r="O625">
        <v>1</v>
      </c>
      <c r="P625">
        <v>2025</v>
      </c>
    </row>
    <row r="626" spans="1:16">
      <c r="A626">
        <v>240.58</v>
      </c>
      <c r="B626">
        <v>2</v>
      </c>
      <c r="C626" t="s">
        <v>1141</v>
      </c>
      <c r="D626" t="s">
        <v>1142</v>
      </c>
      <c r="E626" t="s">
        <v>1143</v>
      </c>
      <c r="F626" t="s">
        <v>862</v>
      </c>
      <c r="G626" t="s">
        <v>908</v>
      </c>
      <c r="H626" t="s">
        <v>290</v>
      </c>
      <c r="I626" t="s">
        <v>17</v>
      </c>
      <c r="J626">
        <v>120.29</v>
      </c>
      <c r="K626" s="1">
        <v>45850</v>
      </c>
      <c r="L626" t="s">
        <v>14</v>
      </c>
      <c r="M626">
        <v>12</v>
      </c>
      <c r="N626">
        <v>7</v>
      </c>
      <c r="O626">
        <v>3</v>
      </c>
      <c r="P626">
        <v>2025</v>
      </c>
    </row>
    <row r="627" spans="1:16">
      <c r="A627">
        <v>89.85</v>
      </c>
      <c r="B627">
        <v>1</v>
      </c>
      <c r="C627" t="s">
        <v>1122</v>
      </c>
      <c r="D627" t="s">
        <v>1123</v>
      </c>
      <c r="E627" t="s">
        <v>1124</v>
      </c>
      <c r="F627" t="s">
        <v>15</v>
      </c>
      <c r="G627" t="s">
        <v>834</v>
      </c>
      <c r="H627" t="s">
        <v>381</v>
      </c>
      <c r="I627" t="s">
        <v>27</v>
      </c>
      <c r="J627">
        <v>89.85</v>
      </c>
      <c r="K627" s="1">
        <v>45794</v>
      </c>
      <c r="L627" t="s">
        <v>14</v>
      </c>
      <c r="M627">
        <v>17</v>
      </c>
      <c r="N627">
        <v>5</v>
      </c>
      <c r="O627">
        <v>2</v>
      </c>
      <c r="P627">
        <v>2025</v>
      </c>
    </row>
    <row r="628" spans="1:16">
      <c r="A628">
        <v>22.48</v>
      </c>
      <c r="B628">
        <v>1</v>
      </c>
      <c r="C628" t="s">
        <v>916</v>
      </c>
      <c r="D628" t="s">
        <v>917</v>
      </c>
      <c r="E628" t="s">
        <v>918</v>
      </c>
      <c r="F628" t="s">
        <v>919</v>
      </c>
      <c r="G628" t="s">
        <v>786</v>
      </c>
      <c r="H628" t="s">
        <v>41</v>
      </c>
      <c r="I628" t="s">
        <v>39</v>
      </c>
      <c r="J628">
        <v>22.48</v>
      </c>
      <c r="K628" s="1">
        <v>46015</v>
      </c>
      <c r="L628" t="s">
        <v>34</v>
      </c>
      <c r="M628">
        <v>24</v>
      </c>
      <c r="N628">
        <v>12</v>
      </c>
      <c r="O628">
        <v>4</v>
      </c>
      <c r="P628">
        <v>2025</v>
      </c>
    </row>
    <row r="629" spans="1:16">
      <c r="A629">
        <v>242.44</v>
      </c>
      <c r="B629">
        <v>2</v>
      </c>
      <c r="C629" t="s">
        <v>2295</v>
      </c>
      <c r="D629" t="s">
        <v>2296</v>
      </c>
      <c r="E629" t="s">
        <v>2297</v>
      </c>
      <c r="F629" t="s">
        <v>15</v>
      </c>
      <c r="G629" t="s">
        <v>834</v>
      </c>
      <c r="H629" t="s">
        <v>47</v>
      </c>
      <c r="I629" t="s">
        <v>46</v>
      </c>
      <c r="J629">
        <v>121.22</v>
      </c>
      <c r="K629" s="1">
        <v>46048</v>
      </c>
      <c r="L629" t="s">
        <v>93</v>
      </c>
      <c r="M629">
        <v>26</v>
      </c>
      <c r="N629">
        <v>1</v>
      </c>
      <c r="O629">
        <v>1</v>
      </c>
      <c r="P629">
        <v>2026</v>
      </c>
    </row>
    <row r="630" spans="1:16">
      <c r="A630">
        <v>7.42</v>
      </c>
      <c r="B630">
        <v>1</v>
      </c>
      <c r="C630" t="s">
        <v>1636</v>
      </c>
      <c r="D630" t="s">
        <v>1637</v>
      </c>
      <c r="E630" t="s">
        <v>1260</v>
      </c>
      <c r="F630" t="s">
        <v>1189</v>
      </c>
      <c r="G630" t="s">
        <v>892</v>
      </c>
      <c r="H630" t="s">
        <v>194</v>
      </c>
      <c r="I630" t="s">
        <v>39</v>
      </c>
      <c r="J630">
        <v>7.42</v>
      </c>
      <c r="K630" s="1">
        <v>45617</v>
      </c>
      <c r="L630" t="s">
        <v>105</v>
      </c>
      <c r="M630">
        <v>21</v>
      </c>
      <c r="N630">
        <v>11</v>
      </c>
      <c r="O630">
        <v>4</v>
      </c>
      <c r="P630">
        <v>2024</v>
      </c>
    </row>
    <row r="631" spans="1:16">
      <c r="A631">
        <v>18.02</v>
      </c>
      <c r="B631">
        <v>2</v>
      </c>
      <c r="C631" t="s">
        <v>1062</v>
      </c>
      <c r="D631" t="s">
        <v>1063</v>
      </c>
      <c r="E631" t="s">
        <v>1064</v>
      </c>
      <c r="F631" t="s">
        <v>151</v>
      </c>
      <c r="G631" t="s">
        <v>1003</v>
      </c>
      <c r="H631" t="s">
        <v>455</v>
      </c>
      <c r="I631" t="s">
        <v>69</v>
      </c>
      <c r="J631">
        <v>9.01</v>
      </c>
      <c r="K631" s="1">
        <v>46129</v>
      </c>
      <c r="L631" t="s">
        <v>79</v>
      </c>
      <c r="M631">
        <v>17</v>
      </c>
      <c r="N631">
        <v>4</v>
      </c>
      <c r="O631">
        <v>2</v>
      </c>
      <c r="P631">
        <v>2026</v>
      </c>
    </row>
    <row r="632" spans="1:16">
      <c r="A632">
        <v>228.66</v>
      </c>
      <c r="B632">
        <v>1</v>
      </c>
      <c r="C632" t="s">
        <v>818</v>
      </c>
      <c r="D632" t="s">
        <v>819</v>
      </c>
      <c r="E632" t="s">
        <v>820</v>
      </c>
      <c r="F632" t="s">
        <v>29</v>
      </c>
      <c r="G632" t="s">
        <v>821</v>
      </c>
      <c r="H632" t="s">
        <v>480</v>
      </c>
      <c r="I632" t="s">
        <v>57</v>
      </c>
      <c r="J632">
        <v>228.66</v>
      </c>
      <c r="K632" s="1">
        <v>46237</v>
      </c>
      <c r="L632" t="s">
        <v>93</v>
      </c>
      <c r="M632">
        <v>3</v>
      </c>
      <c r="N632">
        <v>8</v>
      </c>
      <c r="O632">
        <v>3</v>
      </c>
      <c r="P632">
        <v>2026</v>
      </c>
    </row>
    <row r="633" spans="1:16">
      <c r="A633">
        <v>154.88</v>
      </c>
      <c r="B633">
        <v>1</v>
      </c>
      <c r="C633" t="s">
        <v>2061</v>
      </c>
      <c r="D633" t="s">
        <v>2062</v>
      </c>
      <c r="E633" t="s">
        <v>1754</v>
      </c>
      <c r="F633" t="s">
        <v>392</v>
      </c>
      <c r="G633" t="s">
        <v>834</v>
      </c>
      <c r="H633" t="s">
        <v>704</v>
      </c>
      <c r="I633" t="s">
        <v>51</v>
      </c>
      <c r="J633">
        <v>154.88</v>
      </c>
      <c r="K633" s="1">
        <v>45606</v>
      </c>
      <c r="L633" t="s">
        <v>28</v>
      </c>
      <c r="M633">
        <v>10</v>
      </c>
      <c r="N633">
        <v>11</v>
      </c>
      <c r="O633">
        <v>4</v>
      </c>
      <c r="P633">
        <v>2024</v>
      </c>
    </row>
    <row r="634" spans="1:16">
      <c r="A634">
        <v>241.98</v>
      </c>
      <c r="B634">
        <v>1</v>
      </c>
      <c r="C634" t="s">
        <v>2567</v>
      </c>
      <c r="D634" t="s">
        <v>2568</v>
      </c>
      <c r="E634" t="s">
        <v>1512</v>
      </c>
      <c r="F634" t="s">
        <v>106</v>
      </c>
      <c r="G634" t="s">
        <v>748</v>
      </c>
      <c r="H634" t="s">
        <v>203</v>
      </c>
      <c r="I634" t="s">
        <v>100</v>
      </c>
      <c r="J634">
        <v>241.98</v>
      </c>
      <c r="K634" s="1">
        <v>45595</v>
      </c>
      <c r="L634" t="s">
        <v>34</v>
      </c>
      <c r="M634">
        <v>30</v>
      </c>
      <c r="N634">
        <v>10</v>
      </c>
      <c r="O634">
        <v>4</v>
      </c>
      <c r="P634">
        <v>2024</v>
      </c>
    </row>
    <row r="635" spans="1:16">
      <c r="A635">
        <v>110.93</v>
      </c>
      <c r="B635">
        <v>1</v>
      </c>
      <c r="C635" t="s">
        <v>2582</v>
      </c>
      <c r="D635" t="s">
        <v>2583</v>
      </c>
      <c r="E635" t="s">
        <v>891</v>
      </c>
      <c r="F635" t="s">
        <v>1410</v>
      </c>
      <c r="G635" t="s">
        <v>812</v>
      </c>
      <c r="H635" t="s">
        <v>457</v>
      </c>
      <c r="I635" t="s">
        <v>25</v>
      </c>
      <c r="J635">
        <v>110.93</v>
      </c>
      <c r="K635" s="1">
        <v>46207</v>
      </c>
      <c r="L635" t="s">
        <v>14</v>
      </c>
      <c r="M635">
        <v>4</v>
      </c>
      <c r="N635">
        <v>7</v>
      </c>
      <c r="O635">
        <v>3</v>
      </c>
      <c r="P635">
        <v>2026</v>
      </c>
    </row>
    <row r="636" spans="1:16">
      <c r="A636">
        <v>205.45</v>
      </c>
      <c r="B636">
        <v>1</v>
      </c>
      <c r="C636" t="s">
        <v>3003</v>
      </c>
      <c r="D636" t="s">
        <v>3004</v>
      </c>
      <c r="E636" t="s">
        <v>2927</v>
      </c>
      <c r="F636" t="s">
        <v>1384</v>
      </c>
      <c r="G636" t="s">
        <v>908</v>
      </c>
      <c r="H636" t="s">
        <v>107</v>
      </c>
      <c r="I636" t="s">
        <v>17</v>
      </c>
      <c r="J636">
        <v>205.45</v>
      </c>
      <c r="K636" s="1">
        <v>46247</v>
      </c>
      <c r="L636" t="s">
        <v>105</v>
      </c>
      <c r="M636">
        <v>13</v>
      </c>
      <c r="N636">
        <v>8</v>
      </c>
      <c r="O636">
        <v>3</v>
      </c>
      <c r="P636">
        <v>2026</v>
      </c>
    </row>
    <row r="637" spans="1:16">
      <c r="A637">
        <v>32.1</v>
      </c>
      <c r="B637">
        <v>5</v>
      </c>
      <c r="C637" t="s">
        <v>3040</v>
      </c>
      <c r="D637" t="s">
        <v>3041</v>
      </c>
      <c r="E637" t="s">
        <v>1962</v>
      </c>
      <c r="F637" t="s">
        <v>160</v>
      </c>
      <c r="G637" t="s">
        <v>790</v>
      </c>
      <c r="H637" t="s">
        <v>316</v>
      </c>
      <c r="I637" t="s">
        <v>97</v>
      </c>
      <c r="J637">
        <v>6.42</v>
      </c>
      <c r="K637" s="1">
        <v>46001</v>
      </c>
      <c r="L637" t="s">
        <v>34</v>
      </c>
      <c r="M637">
        <v>10</v>
      </c>
      <c r="N637">
        <v>12</v>
      </c>
      <c r="O637">
        <v>4</v>
      </c>
      <c r="P637">
        <v>2025</v>
      </c>
    </row>
    <row r="638" spans="1:16">
      <c r="A638">
        <v>51.72</v>
      </c>
      <c r="B638">
        <v>2</v>
      </c>
      <c r="C638" t="s">
        <v>2134</v>
      </c>
      <c r="D638" t="s">
        <v>2135</v>
      </c>
      <c r="E638" t="s">
        <v>1559</v>
      </c>
      <c r="F638" t="s">
        <v>619</v>
      </c>
      <c r="G638" t="s">
        <v>758</v>
      </c>
      <c r="H638" t="s">
        <v>282</v>
      </c>
      <c r="I638" t="s">
        <v>21</v>
      </c>
      <c r="J638">
        <v>25.86</v>
      </c>
      <c r="K638" s="1">
        <v>46123</v>
      </c>
      <c r="L638" t="s">
        <v>14</v>
      </c>
      <c r="M638">
        <v>11</v>
      </c>
      <c r="N638">
        <v>4</v>
      </c>
      <c r="O638">
        <v>2</v>
      </c>
      <c r="P638">
        <v>2026</v>
      </c>
    </row>
    <row r="639" spans="1:16">
      <c r="A639">
        <v>19.190000000000001</v>
      </c>
      <c r="B639">
        <v>1</v>
      </c>
      <c r="C639" t="s">
        <v>2202</v>
      </c>
      <c r="D639" t="s">
        <v>2203</v>
      </c>
      <c r="E639" t="s">
        <v>2204</v>
      </c>
      <c r="F639" t="s">
        <v>1026</v>
      </c>
      <c r="G639" t="s">
        <v>896</v>
      </c>
      <c r="H639" t="s">
        <v>71</v>
      </c>
      <c r="I639" t="s">
        <v>23</v>
      </c>
      <c r="J639">
        <v>19.190000000000001</v>
      </c>
      <c r="K639" s="1">
        <v>45568</v>
      </c>
      <c r="L639" t="s">
        <v>105</v>
      </c>
      <c r="M639">
        <v>3</v>
      </c>
      <c r="N639">
        <v>10</v>
      </c>
      <c r="O639">
        <v>4</v>
      </c>
      <c r="P639">
        <v>2024</v>
      </c>
    </row>
    <row r="640" spans="1:16">
      <c r="A640">
        <v>213.06</v>
      </c>
      <c r="B640">
        <v>2</v>
      </c>
      <c r="C640" t="s">
        <v>1877</v>
      </c>
      <c r="D640" t="s">
        <v>1878</v>
      </c>
      <c r="E640" t="s">
        <v>1380</v>
      </c>
      <c r="F640" t="s">
        <v>932</v>
      </c>
      <c r="G640" t="s">
        <v>776</v>
      </c>
      <c r="H640" t="s">
        <v>377</v>
      </c>
      <c r="I640" t="s">
        <v>27</v>
      </c>
      <c r="J640">
        <v>106.53</v>
      </c>
      <c r="K640" s="1">
        <v>45894</v>
      </c>
      <c r="L640" t="s">
        <v>93</v>
      </c>
      <c r="M640">
        <v>25</v>
      </c>
      <c r="N640">
        <v>8</v>
      </c>
      <c r="O640">
        <v>3</v>
      </c>
      <c r="P640">
        <v>2025</v>
      </c>
    </row>
    <row r="641" spans="1:16">
      <c r="A641">
        <v>218.29999999999998</v>
      </c>
      <c r="B641">
        <v>5</v>
      </c>
      <c r="C641" t="s">
        <v>1240</v>
      </c>
      <c r="D641" t="s">
        <v>1241</v>
      </c>
      <c r="E641" t="s">
        <v>1242</v>
      </c>
      <c r="F641" t="s">
        <v>1092</v>
      </c>
      <c r="G641" t="s">
        <v>763</v>
      </c>
      <c r="H641" t="s">
        <v>675</v>
      </c>
      <c r="I641" t="s">
        <v>97</v>
      </c>
      <c r="J641">
        <v>43.66</v>
      </c>
      <c r="K641" s="1">
        <v>46076</v>
      </c>
      <c r="L641" t="s">
        <v>93</v>
      </c>
      <c r="M641">
        <v>23</v>
      </c>
      <c r="N641">
        <v>2</v>
      </c>
      <c r="O641">
        <v>1</v>
      </c>
      <c r="P641">
        <v>2026</v>
      </c>
    </row>
    <row r="642" spans="1:16">
      <c r="A642">
        <v>802.12</v>
      </c>
      <c r="B642">
        <v>4</v>
      </c>
      <c r="C642" t="s">
        <v>3262</v>
      </c>
      <c r="D642" t="s">
        <v>3263</v>
      </c>
      <c r="E642" t="s">
        <v>3264</v>
      </c>
      <c r="F642" t="s">
        <v>1630</v>
      </c>
      <c r="G642" t="s">
        <v>763</v>
      </c>
      <c r="H642" t="s">
        <v>429</v>
      </c>
      <c r="I642" t="s">
        <v>19</v>
      </c>
      <c r="J642">
        <v>200.53</v>
      </c>
      <c r="K642" s="1">
        <v>46207</v>
      </c>
      <c r="L642" t="s">
        <v>14</v>
      </c>
      <c r="M642">
        <v>4</v>
      </c>
      <c r="N642">
        <v>7</v>
      </c>
      <c r="O642">
        <v>3</v>
      </c>
      <c r="P642">
        <v>2026</v>
      </c>
    </row>
    <row r="643" spans="1:16">
      <c r="A643">
        <v>600.36</v>
      </c>
      <c r="B643">
        <v>3</v>
      </c>
      <c r="C643" t="s">
        <v>1438</v>
      </c>
      <c r="D643" t="s">
        <v>1439</v>
      </c>
      <c r="E643" t="s">
        <v>1440</v>
      </c>
      <c r="F643" t="s">
        <v>29</v>
      </c>
      <c r="G643" t="s">
        <v>763</v>
      </c>
      <c r="H643" t="s">
        <v>239</v>
      </c>
      <c r="I643" t="s">
        <v>23</v>
      </c>
      <c r="J643">
        <v>200.12</v>
      </c>
      <c r="K643" s="1">
        <v>45988</v>
      </c>
      <c r="L643" t="s">
        <v>105</v>
      </c>
      <c r="M643">
        <v>27</v>
      </c>
      <c r="N643">
        <v>11</v>
      </c>
      <c r="O643">
        <v>4</v>
      </c>
      <c r="P643">
        <v>2025</v>
      </c>
    </row>
    <row r="644" spans="1:16">
      <c r="A644">
        <v>60.12</v>
      </c>
      <c r="B644">
        <v>4</v>
      </c>
      <c r="C644" t="s">
        <v>1068</v>
      </c>
      <c r="D644" t="s">
        <v>1069</v>
      </c>
      <c r="E644" t="s">
        <v>1070</v>
      </c>
      <c r="F644" t="s">
        <v>1071</v>
      </c>
      <c r="G644" t="s">
        <v>817</v>
      </c>
      <c r="H644" t="s">
        <v>523</v>
      </c>
      <c r="I644" t="s">
        <v>23</v>
      </c>
      <c r="J644">
        <v>15.03</v>
      </c>
      <c r="K644" s="1">
        <v>46169</v>
      </c>
      <c r="L644" t="s">
        <v>34</v>
      </c>
      <c r="M644">
        <v>27</v>
      </c>
      <c r="N644">
        <v>5</v>
      </c>
      <c r="O644">
        <v>2</v>
      </c>
      <c r="P644">
        <v>2026</v>
      </c>
    </row>
    <row r="645" spans="1:16">
      <c r="A645">
        <v>65.14</v>
      </c>
      <c r="B645">
        <v>2</v>
      </c>
      <c r="C645" t="s">
        <v>3238</v>
      </c>
      <c r="D645" t="s">
        <v>3239</v>
      </c>
      <c r="E645" t="s">
        <v>820</v>
      </c>
      <c r="F645" t="s">
        <v>328</v>
      </c>
      <c r="G645" t="s">
        <v>1247</v>
      </c>
      <c r="H645" t="s">
        <v>258</v>
      </c>
      <c r="I645" t="s">
        <v>57</v>
      </c>
      <c r="J645">
        <v>32.57</v>
      </c>
      <c r="K645" s="1">
        <v>46237</v>
      </c>
      <c r="L645" t="s">
        <v>93</v>
      </c>
      <c r="M645">
        <v>3</v>
      </c>
      <c r="N645">
        <v>8</v>
      </c>
      <c r="O645">
        <v>3</v>
      </c>
      <c r="P645">
        <v>2026</v>
      </c>
    </row>
    <row r="646" spans="1:16">
      <c r="A646">
        <v>1044.55</v>
      </c>
      <c r="B646">
        <v>5</v>
      </c>
      <c r="C646" t="s">
        <v>3123</v>
      </c>
      <c r="D646" t="s">
        <v>3124</v>
      </c>
      <c r="E646" t="s">
        <v>3114</v>
      </c>
      <c r="F646" t="s">
        <v>1007</v>
      </c>
      <c r="G646" t="s">
        <v>966</v>
      </c>
      <c r="H646" t="s">
        <v>723</v>
      </c>
      <c r="I646" t="s">
        <v>46</v>
      </c>
      <c r="J646">
        <v>208.91</v>
      </c>
      <c r="K646" s="1">
        <v>45565</v>
      </c>
      <c r="L646" t="s">
        <v>93</v>
      </c>
      <c r="M646">
        <v>30</v>
      </c>
      <c r="N646">
        <v>9</v>
      </c>
      <c r="O646">
        <v>3</v>
      </c>
      <c r="P646">
        <v>2024</v>
      </c>
    </row>
    <row r="647" spans="1:16">
      <c r="A647">
        <v>105.69</v>
      </c>
      <c r="B647">
        <v>3</v>
      </c>
      <c r="C647" t="s">
        <v>818</v>
      </c>
      <c r="D647" t="s">
        <v>819</v>
      </c>
      <c r="E647" t="s">
        <v>820</v>
      </c>
      <c r="F647" t="s">
        <v>29</v>
      </c>
      <c r="G647" t="s">
        <v>821</v>
      </c>
      <c r="H647" t="s">
        <v>261</v>
      </c>
      <c r="I647" t="s">
        <v>31</v>
      </c>
      <c r="J647">
        <v>35.229999999999997</v>
      </c>
      <c r="K647" s="1">
        <v>46033</v>
      </c>
      <c r="L647" t="s">
        <v>28</v>
      </c>
      <c r="M647">
        <v>11</v>
      </c>
      <c r="N647">
        <v>1</v>
      </c>
      <c r="O647">
        <v>1</v>
      </c>
      <c r="P647">
        <v>2026</v>
      </c>
    </row>
    <row r="648" spans="1:16">
      <c r="A648">
        <v>403.40999999999997</v>
      </c>
      <c r="B648">
        <v>3</v>
      </c>
      <c r="C648" t="s">
        <v>1023</v>
      </c>
      <c r="D648" t="s">
        <v>1024</v>
      </c>
      <c r="E648" t="s">
        <v>1025</v>
      </c>
      <c r="F648" t="s">
        <v>1026</v>
      </c>
      <c r="G648" t="s">
        <v>896</v>
      </c>
      <c r="H648" t="s">
        <v>76</v>
      </c>
      <c r="I648" t="s">
        <v>69</v>
      </c>
      <c r="J648">
        <v>134.47</v>
      </c>
      <c r="K648" s="1">
        <v>45951</v>
      </c>
      <c r="L648" t="s">
        <v>48</v>
      </c>
      <c r="M648">
        <v>21</v>
      </c>
      <c r="N648">
        <v>10</v>
      </c>
      <c r="O648">
        <v>4</v>
      </c>
      <c r="P648">
        <v>2025</v>
      </c>
    </row>
    <row r="649" spans="1:16">
      <c r="A649">
        <v>323.12</v>
      </c>
      <c r="B649">
        <v>2</v>
      </c>
      <c r="C649" t="s">
        <v>1438</v>
      </c>
      <c r="D649" t="s">
        <v>1439</v>
      </c>
      <c r="E649" t="s">
        <v>1440</v>
      </c>
      <c r="F649" t="s">
        <v>29</v>
      </c>
      <c r="G649" t="s">
        <v>763</v>
      </c>
      <c r="H649" t="s">
        <v>422</v>
      </c>
      <c r="I649" t="s">
        <v>122</v>
      </c>
      <c r="J649">
        <v>161.56</v>
      </c>
      <c r="K649" s="1">
        <v>46032</v>
      </c>
      <c r="L649" t="s">
        <v>14</v>
      </c>
      <c r="M649">
        <v>10</v>
      </c>
      <c r="N649">
        <v>1</v>
      </c>
      <c r="O649">
        <v>1</v>
      </c>
      <c r="P649">
        <v>2026</v>
      </c>
    </row>
    <row r="650" spans="1:16">
      <c r="A650">
        <v>160.78</v>
      </c>
      <c r="B650">
        <v>2</v>
      </c>
      <c r="C650" t="s">
        <v>1743</v>
      </c>
      <c r="D650" t="s">
        <v>1744</v>
      </c>
      <c r="E650" t="s">
        <v>1745</v>
      </c>
      <c r="F650" t="s">
        <v>666</v>
      </c>
      <c r="G650" t="s">
        <v>954</v>
      </c>
      <c r="H650" t="s">
        <v>130</v>
      </c>
      <c r="I650" t="s">
        <v>69</v>
      </c>
      <c r="J650">
        <v>80.39</v>
      </c>
      <c r="K650" s="1">
        <v>46218</v>
      </c>
      <c r="L650" t="s">
        <v>34</v>
      </c>
      <c r="M650">
        <v>15</v>
      </c>
      <c r="N650">
        <v>7</v>
      </c>
      <c r="O650">
        <v>3</v>
      </c>
      <c r="P650">
        <v>2026</v>
      </c>
    </row>
    <row r="651" spans="1:16">
      <c r="A651">
        <v>156.56</v>
      </c>
      <c r="B651">
        <v>2</v>
      </c>
      <c r="C651" t="s">
        <v>3025</v>
      </c>
      <c r="D651" t="s">
        <v>3026</v>
      </c>
      <c r="E651" t="s">
        <v>1010</v>
      </c>
      <c r="F651" t="s">
        <v>806</v>
      </c>
      <c r="G651" t="s">
        <v>807</v>
      </c>
      <c r="H651" t="s">
        <v>441</v>
      </c>
      <c r="I651" t="s">
        <v>37</v>
      </c>
      <c r="J651">
        <v>78.28</v>
      </c>
      <c r="K651" s="1">
        <v>46005</v>
      </c>
      <c r="L651" t="s">
        <v>28</v>
      </c>
      <c r="M651">
        <v>14</v>
      </c>
      <c r="N651">
        <v>12</v>
      </c>
      <c r="O651">
        <v>4</v>
      </c>
      <c r="P651">
        <v>2025</v>
      </c>
    </row>
    <row r="652" spans="1:16">
      <c r="A652">
        <v>189.75</v>
      </c>
      <c r="B652">
        <v>3</v>
      </c>
      <c r="C652" t="s">
        <v>3361</v>
      </c>
      <c r="D652" t="s">
        <v>3362</v>
      </c>
      <c r="E652" t="s">
        <v>1512</v>
      </c>
      <c r="F652" t="s">
        <v>1944</v>
      </c>
      <c r="G652" t="s">
        <v>1003</v>
      </c>
      <c r="H652" t="s">
        <v>740</v>
      </c>
      <c r="I652" t="s">
        <v>46</v>
      </c>
      <c r="J652">
        <v>63.25</v>
      </c>
      <c r="K652" s="1">
        <v>45784</v>
      </c>
      <c r="L652" t="s">
        <v>34</v>
      </c>
      <c r="M652">
        <v>7</v>
      </c>
      <c r="N652">
        <v>5</v>
      </c>
      <c r="O652">
        <v>2</v>
      </c>
      <c r="P652">
        <v>2025</v>
      </c>
    </row>
    <row r="653" spans="1:16">
      <c r="A653">
        <v>655.23</v>
      </c>
      <c r="B653">
        <v>3</v>
      </c>
      <c r="C653" t="s">
        <v>2737</v>
      </c>
      <c r="D653" t="s">
        <v>2738</v>
      </c>
      <c r="E653" t="s">
        <v>1110</v>
      </c>
      <c r="F653" t="s">
        <v>825</v>
      </c>
      <c r="G653" t="s">
        <v>781</v>
      </c>
      <c r="H653" t="s">
        <v>411</v>
      </c>
      <c r="I653" t="s">
        <v>82</v>
      </c>
      <c r="J653">
        <v>218.41</v>
      </c>
      <c r="K653" s="1">
        <v>45934</v>
      </c>
      <c r="L653" t="s">
        <v>14</v>
      </c>
      <c r="M653">
        <v>4</v>
      </c>
      <c r="N653">
        <v>10</v>
      </c>
      <c r="O653">
        <v>4</v>
      </c>
      <c r="P653">
        <v>2025</v>
      </c>
    </row>
    <row r="654" spans="1:16">
      <c r="A654">
        <v>702.93000000000006</v>
      </c>
      <c r="B654">
        <v>3</v>
      </c>
      <c r="C654" t="s">
        <v>2650</v>
      </c>
      <c r="D654" t="s">
        <v>2651</v>
      </c>
      <c r="E654" t="s">
        <v>857</v>
      </c>
      <c r="F654" t="s">
        <v>838</v>
      </c>
      <c r="G654" t="s">
        <v>839</v>
      </c>
      <c r="H654" t="s">
        <v>150</v>
      </c>
      <c r="I654" t="s">
        <v>60</v>
      </c>
      <c r="J654">
        <v>234.31</v>
      </c>
      <c r="K654" s="1">
        <v>45770</v>
      </c>
      <c r="L654" t="s">
        <v>34</v>
      </c>
      <c r="M654">
        <v>23</v>
      </c>
      <c r="N654">
        <v>4</v>
      </c>
      <c r="O654">
        <v>2</v>
      </c>
      <c r="P654">
        <v>2025</v>
      </c>
    </row>
    <row r="655" spans="1:16">
      <c r="A655">
        <v>140.52000000000001</v>
      </c>
      <c r="B655">
        <v>4</v>
      </c>
      <c r="C655" t="s">
        <v>2045</v>
      </c>
      <c r="D655" t="s">
        <v>2046</v>
      </c>
      <c r="E655" t="s">
        <v>833</v>
      </c>
      <c r="F655" t="s">
        <v>1061</v>
      </c>
      <c r="G655" t="s">
        <v>812</v>
      </c>
      <c r="H655" t="s">
        <v>559</v>
      </c>
      <c r="I655" t="s">
        <v>97</v>
      </c>
      <c r="J655">
        <v>35.130000000000003</v>
      </c>
      <c r="K655" s="1">
        <v>45859</v>
      </c>
      <c r="L655" t="s">
        <v>93</v>
      </c>
      <c r="M655">
        <v>21</v>
      </c>
      <c r="N655">
        <v>7</v>
      </c>
      <c r="O655">
        <v>3</v>
      </c>
      <c r="P655">
        <v>2025</v>
      </c>
    </row>
    <row r="656" spans="1:16">
      <c r="A656">
        <v>176.38</v>
      </c>
      <c r="B656">
        <v>1</v>
      </c>
      <c r="C656" t="s">
        <v>2094</v>
      </c>
      <c r="D656" t="s">
        <v>2095</v>
      </c>
      <c r="E656" t="s">
        <v>1038</v>
      </c>
      <c r="F656" t="s">
        <v>1107</v>
      </c>
      <c r="G656" t="s">
        <v>892</v>
      </c>
      <c r="H656" t="s">
        <v>384</v>
      </c>
      <c r="I656" t="s">
        <v>37</v>
      </c>
      <c r="J656">
        <v>176.38</v>
      </c>
      <c r="K656" s="1">
        <v>45578</v>
      </c>
      <c r="L656" t="s">
        <v>28</v>
      </c>
      <c r="M656">
        <v>13</v>
      </c>
      <c r="N656">
        <v>10</v>
      </c>
      <c r="O656">
        <v>4</v>
      </c>
      <c r="P656">
        <v>2024</v>
      </c>
    </row>
    <row r="657" spans="1:16">
      <c r="A657">
        <v>205.24</v>
      </c>
      <c r="B657">
        <v>2</v>
      </c>
      <c r="C657" t="s">
        <v>1794</v>
      </c>
      <c r="D657" t="s">
        <v>1795</v>
      </c>
      <c r="E657" t="s">
        <v>1016</v>
      </c>
      <c r="F657" t="s">
        <v>762</v>
      </c>
      <c r="G657" t="s">
        <v>763</v>
      </c>
      <c r="H657" t="s">
        <v>348</v>
      </c>
      <c r="I657" t="s">
        <v>60</v>
      </c>
      <c r="J657">
        <v>102.62</v>
      </c>
      <c r="K657" s="1">
        <v>45775</v>
      </c>
      <c r="L657" t="s">
        <v>93</v>
      </c>
      <c r="M657">
        <v>28</v>
      </c>
      <c r="N657">
        <v>4</v>
      </c>
      <c r="O657">
        <v>2</v>
      </c>
      <c r="P657">
        <v>2025</v>
      </c>
    </row>
    <row r="658" spans="1:16">
      <c r="A658">
        <v>236.88</v>
      </c>
      <c r="B658">
        <v>4</v>
      </c>
      <c r="C658" t="s">
        <v>1381</v>
      </c>
      <c r="D658" t="s">
        <v>1382</v>
      </c>
      <c r="E658" t="s">
        <v>1383</v>
      </c>
      <c r="F658" t="s">
        <v>1384</v>
      </c>
      <c r="G658" t="s">
        <v>908</v>
      </c>
      <c r="H658" t="s">
        <v>516</v>
      </c>
      <c r="I658" t="s">
        <v>31</v>
      </c>
      <c r="J658">
        <v>59.22</v>
      </c>
      <c r="K658" s="1">
        <v>45617</v>
      </c>
      <c r="L658" t="s">
        <v>105</v>
      </c>
      <c r="M658">
        <v>21</v>
      </c>
      <c r="N658">
        <v>11</v>
      </c>
      <c r="O658">
        <v>4</v>
      </c>
      <c r="P658">
        <v>2024</v>
      </c>
    </row>
    <row r="659" spans="1:16">
      <c r="A659">
        <v>256.70000000000005</v>
      </c>
      <c r="B659">
        <v>5</v>
      </c>
      <c r="C659" t="s">
        <v>1229</v>
      </c>
      <c r="D659" t="s">
        <v>1230</v>
      </c>
      <c r="E659" t="s">
        <v>1231</v>
      </c>
      <c r="F659" t="s">
        <v>1232</v>
      </c>
      <c r="G659" t="s">
        <v>817</v>
      </c>
      <c r="H659" t="s">
        <v>376</v>
      </c>
      <c r="I659" t="s">
        <v>51</v>
      </c>
      <c r="J659">
        <v>51.34</v>
      </c>
      <c r="K659" s="1">
        <v>45609</v>
      </c>
      <c r="L659" t="s">
        <v>34</v>
      </c>
      <c r="M659">
        <v>13</v>
      </c>
      <c r="N659">
        <v>11</v>
      </c>
      <c r="O659">
        <v>4</v>
      </c>
      <c r="P659">
        <v>2024</v>
      </c>
    </row>
    <row r="660" spans="1:16">
      <c r="A660">
        <v>478.1</v>
      </c>
      <c r="B660">
        <v>5</v>
      </c>
      <c r="C660" t="s">
        <v>2951</v>
      </c>
      <c r="D660" t="s">
        <v>2952</v>
      </c>
      <c r="E660" t="s">
        <v>969</v>
      </c>
      <c r="F660" t="s">
        <v>853</v>
      </c>
      <c r="G660" t="s">
        <v>854</v>
      </c>
      <c r="H660" t="s">
        <v>153</v>
      </c>
      <c r="I660" t="s">
        <v>37</v>
      </c>
      <c r="J660">
        <v>95.62</v>
      </c>
      <c r="K660" s="1">
        <v>45866</v>
      </c>
      <c r="L660" t="s">
        <v>93</v>
      </c>
      <c r="M660">
        <v>28</v>
      </c>
      <c r="N660">
        <v>7</v>
      </c>
      <c r="O660">
        <v>3</v>
      </c>
      <c r="P660">
        <v>2025</v>
      </c>
    </row>
    <row r="661" spans="1:16">
      <c r="A661">
        <v>11.83</v>
      </c>
      <c r="B661">
        <v>1</v>
      </c>
      <c r="C661" t="s">
        <v>2066</v>
      </c>
      <c r="D661" t="s">
        <v>2067</v>
      </c>
      <c r="E661" t="s">
        <v>1192</v>
      </c>
      <c r="F661" t="s">
        <v>280</v>
      </c>
      <c r="G661" t="s">
        <v>786</v>
      </c>
      <c r="H661" t="s">
        <v>220</v>
      </c>
      <c r="I661" t="s">
        <v>97</v>
      </c>
      <c r="J661">
        <v>11.83</v>
      </c>
      <c r="K661" s="1">
        <v>46006</v>
      </c>
      <c r="L661" t="s">
        <v>93</v>
      </c>
      <c r="M661">
        <v>15</v>
      </c>
      <c r="N661">
        <v>12</v>
      </c>
      <c r="O661">
        <v>4</v>
      </c>
      <c r="P661">
        <v>2025</v>
      </c>
    </row>
    <row r="662" spans="1:16">
      <c r="A662">
        <v>575.88</v>
      </c>
      <c r="B662">
        <v>3</v>
      </c>
      <c r="C662" t="s">
        <v>2690</v>
      </c>
      <c r="D662" t="s">
        <v>2691</v>
      </c>
      <c r="E662" t="s">
        <v>2692</v>
      </c>
      <c r="F662" t="s">
        <v>2489</v>
      </c>
      <c r="G662" t="s">
        <v>1247</v>
      </c>
      <c r="H662" t="s">
        <v>231</v>
      </c>
      <c r="I662" t="s">
        <v>37</v>
      </c>
      <c r="J662">
        <v>191.96</v>
      </c>
      <c r="K662" s="1">
        <v>45926</v>
      </c>
      <c r="L662" t="s">
        <v>79</v>
      </c>
      <c r="M662">
        <v>26</v>
      </c>
      <c r="N662">
        <v>9</v>
      </c>
      <c r="O662">
        <v>3</v>
      </c>
      <c r="P662">
        <v>2025</v>
      </c>
    </row>
    <row r="663" spans="1:16">
      <c r="A663">
        <v>196.65</v>
      </c>
      <c r="B663">
        <v>1</v>
      </c>
      <c r="C663" t="s">
        <v>3345</v>
      </c>
      <c r="D663" t="s">
        <v>3346</v>
      </c>
      <c r="E663" t="s">
        <v>2030</v>
      </c>
      <c r="F663" t="s">
        <v>1434</v>
      </c>
      <c r="G663" t="s">
        <v>786</v>
      </c>
      <c r="H663" t="s">
        <v>226</v>
      </c>
      <c r="I663" t="s">
        <v>97</v>
      </c>
      <c r="J663">
        <v>196.65</v>
      </c>
      <c r="K663" s="1">
        <v>45725</v>
      </c>
      <c r="L663" t="s">
        <v>28</v>
      </c>
      <c r="M663">
        <v>9</v>
      </c>
      <c r="N663">
        <v>3</v>
      </c>
      <c r="O663">
        <v>1</v>
      </c>
      <c r="P663">
        <v>2025</v>
      </c>
    </row>
    <row r="664" spans="1:16">
      <c r="A664">
        <v>174.99</v>
      </c>
      <c r="B664">
        <v>3</v>
      </c>
      <c r="C664" t="s">
        <v>897</v>
      </c>
      <c r="D664" t="s">
        <v>898</v>
      </c>
      <c r="E664" t="s">
        <v>899</v>
      </c>
      <c r="F664" t="s">
        <v>280</v>
      </c>
      <c r="G664" t="s">
        <v>812</v>
      </c>
      <c r="H664" t="s">
        <v>408</v>
      </c>
      <c r="I664" t="s">
        <v>17</v>
      </c>
      <c r="J664">
        <v>58.33</v>
      </c>
      <c r="K664" s="1">
        <v>45982</v>
      </c>
      <c r="L664" t="s">
        <v>79</v>
      </c>
      <c r="M664">
        <v>21</v>
      </c>
      <c r="N664">
        <v>11</v>
      </c>
      <c r="O664">
        <v>4</v>
      </c>
      <c r="P664">
        <v>2025</v>
      </c>
    </row>
    <row r="665" spans="1:16">
      <c r="A665">
        <v>583.6</v>
      </c>
      <c r="B665">
        <v>5</v>
      </c>
      <c r="C665" t="s">
        <v>2496</v>
      </c>
      <c r="D665" t="s">
        <v>2497</v>
      </c>
      <c r="E665" t="s">
        <v>2498</v>
      </c>
      <c r="F665" t="s">
        <v>1302</v>
      </c>
      <c r="G665" t="s">
        <v>786</v>
      </c>
      <c r="H665" t="s">
        <v>500</v>
      </c>
      <c r="I665" t="s">
        <v>27</v>
      </c>
      <c r="J665">
        <v>116.72</v>
      </c>
      <c r="K665" s="1">
        <v>46078</v>
      </c>
      <c r="L665" t="s">
        <v>34</v>
      </c>
      <c r="M665">
        <v>25</v>
      </c>
      <c r="N665">
        <v>2</v>
      </c>
      <c r="O665">
        <v>1</v>
      </c>
      <c r="P665">
        <v>2026</v>
      </c>
    </row>
    <row r="666" spans="1:16">
      <c r="A666">
        <v>9.51</v>
      </c>
      <c r="B666">
        <v>1</v>
      </c>
      <c r="C666" t="s">
        <v>1488</v>
      </c>
      <c r="D666" t="s">
        <v>1489</v>
      </c>
      <c r="E666" t="s">
        <v>1490</v>
      </c>
      <c r="F666" t="s">
        <v>280</v>
      </c>
      <c r="G666" t="s">
        <v>812</v>
      </c>
      <c r="H666" t="s">
        <v>727</v>
      </c>
      <c r="I666" t="s">
        <v>97</v>
      </c>
      <c r="J666">
        <v>9.51</v>
      </c>
      <c r="K666" s="1">
        <v>45737</v>
      </c>
      <c r="L666" t="s">
        <v>79</v>
      </c>
      <c r="M666">
        <v>21</v>
      </c>
      <c r="N666">
        <v>3</v>
      </c>
      <c r="O666">
        <v>1</v>
      </c>
      <c r="P666">
        <v>2025</v>
      </c>
    </row>
    <row r="667" spans="1:16">
      <c r="A667">
        <v>315.44</v>
      </c>
      <c r="B667">
        <v>4</v>
      </c>
      <c r="C667" t="s">
        <v>1226</v>
      </c>
      <c r="D667" t="s">
        <v>1227</v>
      </c>
      <c r="E667" t="s">
        <v>1228</v>
      </c>
      <c r="F667" t="s">
        <v>199</v>
      </c>
      <c r="G667" t="s">
        <v>781</v>
      </c>
      <c r="H667" t="s">
        <v>208</v>
      </c>
      <c r="I667" t="s">
        <v>43</v>
      </c>
      <c r="J667">
        <v>78.86</v>
      </c>
      <c r="K667" s="1">
        <v>46109</v>
      </c>
      <c r="L667" t="s">
        <v>14</v>
      </c>
      <c r="M667">
        <v>28</v>
      </c>
      <c r="N667">
        <v>3</v>
      </c>
      <c r="O667">
        <v>1</v>
      </c>
      <c r="P667">
        <v>2026</v>
      </c>
    </row>
    <row r="668" spans="1:16">
      <c r="A668">
        <v>117.32</v>
      </c>
      <c r="B668">
        <v>4</v>
      </c>
      <c r="C668" t="s">
        <v>3514</v>
      </c>
      <c r="D668" t="s">
        <v>3515</v>
      </c>
      <c r="E668" t="s">
        <v>1906</v>
      </c>
      <c r="F668" t="s">
        <v>1318</v>
      </c>
      <c r="G668" t="s">
        <v>807</v>
      </c>
      <c r="H668" t="s">
        <v>289</v>
      </c>
      <c r="I668" t="s">
        <v>60</v>
      </c>
      <c r="J668">
        <v>29.33</v>
      </c>
      <c r="K668" s="1">
        <v>45654</v>
      </c>
      <c r="L668" t="s">
        <v>14</v>
      </c>
      <c r="M668">
        <v>28</v>
      </c>
      <c r="N668">
        <v>12</v>
      </c>
      <c r="O668">
        <v>4</v>
      </c>
      <c r="P668">
        <v>2024</v>
      </c>
    </row>
    <row r="669" spans="1:16">
      <c r="A669">
        <v>402.06</v>
      </c>
      <c r="B669">
        <v>2</v>
      </c>
      <c r="C669" t="s">
        <v>3296</v>
      </c>
      <c r="D669" t="s">
        <v>1820</v>
      </c>
      <c r="E669" t="s">
        <v>793</v>
      </c>
      <c r="F669" t="s">
        <v>767</v>
      </c>
      <c r="G669" t="s">
        <v>768</v>
      </c>
      <c r="H669" t="s">
        <v>314</v>
      </c>
      <c r="I669" t="s">
        <v>100</v>
      </c>
      <c r="J669">
        <v>201.03</v>
      </c>
      <c r="K669" s="1">
        <v>45725</v>
      </c>
      <c r="L669" t="s">
        <v>28</v>
      </c>
      <c r="M669">
        <v>9</v>
      </c>
      <c r="N669">
        <v>3</v>
      </c>
      <c r="O669">
        <v>1</v>
      </c>
      <c r="P669">
        <v>2025</v>
      </c>
    </row>
    <row r="670" spans="1:16">
      <c r="A670">
        <v>876.04</v>
      </c>
      <c r="B670">
        <v>4</v>
      </c>
      <c r="C670" t="s">
        <v>2946</v>
      </c>
      <c r="D670" t="s">
        <v>2947</v>
      </c>
      <c r="E670" t="s">
        <v>2948</v>
      </c>
      <c r="F670" t="s">
        <v>136</v>
      </c>
      <c r="G670" t="s">
        <v>776</v>
      </c>
      <c r="H670" t="s">
        <v>279</v>
      </c>
      <c r="I670" t="s">
        <v>82</v>
      </c>
      <c r="J670">
        <v>219.01</v>
      </c>
      <c r="K670" s="1">
        <v>46016</v>
      </c>
      <c r="L670" t="s">
        <v>105</v>
      </c>
      <c r="M670">
        <v>25</v>
      </c>
      <c r="N670">
        <v>12</v>
      </c>
      <c r="O670">
        <v>4</v>
      </c>
      <c r="P670">
        <v>2025</v>
      </c>
    </row>
    <row r="671" spans="1:16">
      <c r="A671">
        <v>217.36</v>
      </c>
      <c r="B671">
        <v>1</v>
      </c>
      <c r="C671" t="s">
        <v>1040</v>
      </c>
      <c r="D671" t="s">
        <v>1041</v>
      </c>
      <c r="E671" t="s">
        <v>1042</v>
      </c>
      <c r="F671" t="s">
        <v>942</v>
      </c>
      <c r="G671" t="s">
        <v>943</v>
      </c>
      <c r="H671" t="s">
        <v>103</v>
      </c>
      <c r="I671" t="s">
        <v>46</v>
      </c>
      <c r="J671">
        <v>217.36</v>
      </c>
      <c r="K671" s="1">
        <v>46061</v>
      </c>
      <c r="L671" t="s">
        <v>28</v>
      </c>
      <c r="M671">
        <v>8</v>
      </c>
      <c r="N671">
        <v>2</v>
      </c>
      <c r="O671">
        <v>1</v>
      </c>
      <c r="P671">
        <v>2026</v>
      </c>
    </row>
    <row r="672" spans="1:16">
      <c r="A672">
        <v>149.72999999999999</v>
      </c>
      <c r="B672">
        <v>1</v>
      </c>
      <c r="C672" t="s">
        <v>1580</v>
      </c>
      <c r="D672" t="s">
        <v>1581</v>
      </c>
      <c r="E672" t="s">
        <v>1582</v>
      </c>
      <c r="F672" t="s">
        <v>862</v>
      </c>
      <c r="G672" t="s">
        <v>908</v>
      </c>
      <c r="H672" t="s">
        <v>425</v>
      </c>
      <c r="I672" t="s">
        <v>51</v>
      </c>
      <c r="J672">
        <v>149.72999999999999</v>
      </c>
      <c r="K672" s="1">
        <v>45790</v>
      </c>
      <c r="L672" t="s">
        <v>48</v>
      </c>
      <c r="M672">
        <v>13</v>
      </c>
      <c r="N672">
        <v>5</v>
      </c>
      <c r="O672">
        <v>2</v>
      </c>
      <c r="P672">
        <v>2025</v>
      </c>
    </row>
    <row r="673" spans="1:16">
      <c r="A673">
        <v>493.64</v>
      </c>
      <c r="B673">
        <v>2</v>
      </c>
      <c r="C673" t="s">
        <v>3005</v>
      </c>
      <c r="D673" t="s">
        <v>3006</v>
      </c>
      <c r="E673" t="s">
        <v>2275</v>
      </c>
      <c r="F673" t="s">
        <v>392</v>
      </c>
      <c r="G673" t="s">
        <v>943</v>
      </c>
      <c r="H673" t="s">
        <v>369</v>
      </c>
      <c r="I673" t="s">
        <v>43</v>
      </c>
      <c r="J673">
        <v>246.82</v>
      </c>
      <c r="K673" s="1">
        <v>45658</v>
      </c>
      <c r="L673" t="s">
        <v>34</v>
      </c>
      <c r="M673">
        <v>1</v>
      </c>
      <c r="N673">
        <v>1</v>
      </c>
      <c r="O673">
        <v>1</v>
      </c>
      <c r="P673">
        <v>2025</v>
      </c>
    </row>
    <row r="674" spans="1:16">
      <c r="A674">
        <v>524.79999999999995</v>
      </c>
      <c r="B674">
        <v>5</v>
      </c>
      <c r="C674" t="s">
        <v>1096</v>
      </c>
      <c r="D674" t="s">
        <v>1097</v>
      </c>
      <c r="E674" t="s">
        <v>1098</v>
      </c>
      <c r="F674" t="s">
        <v>980</v>
      </c>
      <c r="G674" t="s">
        <v>981</v>
      </c>
      <c r="H674" t="s">
        <v>225</v>
      </c>
      <c r="I674" t="s">
        <v>21</v>
      </c>
      <c r="J674">
        <v>104.96</v>
      </c>
      <c r="K674" s="1">
        <v>45588</v>
      </c>
      <c r="L674" t="s">
        <v>34</v>
      </c>
      <c r="M674">
        <v>23</v>
      </c>
      <c r="N674">
        <v>10</v>
      </c>
      <c r="O674">
        <v>4</v>
      </c>
      <c r="P674">
        <v>2024</v>
      </c>
    </row>
    <row r="675" spans="1:16">
      <c r="A675">
        <v>101.34</v>
      </c>
      <c r="B675">
        <v>3</v>
      </c>
      <c r="C675" t="s">
        <v>1470</v>
      </c>
      <c r="D675" t="s">
        <v>1471</v>
      </c>
      <c r="E675" t="s">
        <v>1472</v>
      </c>
      <c r="F675" t="s">
        <v>1128</v>
      </c>
      <c r="G675" t="s">
        <v>954</v>
      </c>
      <c r="H675" t="s">
        <v>625</v>
      </c>
      <c r="I675" t="s">
        <v>43</v>
      </c>
      <c r="J675">
        <v>33.78</v>
      </c>
      <c r="K675" s="1">
        <v>45628</v>
      </c>
      <c r="L675" t="s">
        <v>93</v>
      </c>
      <c r="M675">
        <v>2</v>
      </c>
      <c r="N675">
        <v>12</v>
      </c>
      <c r="O675">
        <v>4</v>
      </c>
      <c r="P675">
        <v>2024</v>
      </c>
    </row>
    <row r="676" spans="1:16">
      <c r="A676">
        <v>137.78</v>
      </c>
      <c r="B676">
        <v>2</v>
      </c>
      <c r="C676" t="s">
        <v>962</v>
      </c>
      <c r="D676" t="s">
        <v>3468</v>
      </c>
      <c r="E676" t="s">
        <v>2881</v>
      </c>
      <c r="F676" t="s">
        <v>196</v>
      </c>
      <c r="G676" t="s">
        <v>830</v>
      </c>
      <c r="H676" t="s">
        <v>606</v>
      </c>
      <c r="I676" t="s">
        <v>82</v>
      </c>
      <c r="J676">
        <v>68.89</v>
      </c>
      <c r="K676" s="1">
        <v>45593</v>
      </c>
      <c r="L676" t="s">
        <v>93</v>
      </c>
      <c r="M676">
        <v>28</v>
      </c>
      <c r="N676">
        <v>10</v>
      </c>
      <c r="O676">
        <v>4</v>
      </c>
      <c r="P676">
        <v>2024</v>
      </c>
    </row>
    <row r="677" spans="1:16">
      <c r="A677">
        <v>367.16</v>
      </c>
      <c r="B677">
        <v>2</v>
      </c>
      <c r="C677" t="s">
        <v>3292</v>
      </c>
      <c r="D677" t="s">
        <v>3293</v>
      </c>
      <c r="E677" t="s">
        <v>1633</v>
      </c>
      <c r="F677" t="s">
        <v>513</v>
      </c>
      <c r="G677" t="s">
        <v>786</v>
      </c>
      <c r="H677" t="s">
        <v>641</v>
      </c>
      <c r="I677" t="s">
        <v>46</v>
      </c>
      <c r="J677">
        <v>183.58</v>
      </c>
      <c r="K677" s="1">
        <v>45575</v>
      </c>
      <c r="L677" t="s">
        <v>105</v>
      </c>
      <c r="M677">
        <v>10</v>
      </c>
      <c r="N677">
        <v>10</v>
      </c>
      <c r="O677">
        <v>4</v>
      </c>
      <c r="P677">
        <v>2024</v>
      </c>
    </row>
    <row r="678" spans="1:16">
      <c r="A678">
        <v>104.12</v>
      </c>
      <c r="B678">
        <v>1</v>
      </c>
      <c r="C678" t="s">
        <v>1863</v>
      </c>
      <c r="D678" t="s">
        <v>1864</v>
      </c>
      <c r="E678" t="s">
        <v>1865</v>
      </c>
      <c r="F678" t="s">
        <v>1168</v>
      </c>
      <c r="G678" t="s">
        <v>758</v>
      </c>
      <c r="H678" t="s">
        <v>620</v>
      </c>
      <c r="I678" t="s">
        <v>21</v>
      </c>
      <c r="J678">
        <v>104.12</v>
      </c>
      <c r="K678" s="1">
        <v>45849</v>
      </c>
      <c r="L678" t="s">
        <v>79</v>
      </c>
      <c r="M678">
        <v>11</v>
      </c>
      <c r="N678">
        <v>7</v>
      </c>
      <c r="O678">
        <v>3</v>
      </c>
      <c r="P678">
        <v>2025</v>
      </c>
    </row>
    <row r="679" spans="1:16">
      <c r="A679">
        <v>360.09999999999997</v>
      </c>
      <c r="B679">
        <v>5</v>
      </c>
      <c r="C679" t="s">
        <v>2490</v>
      </c>
      <c r="D679" t="s">
        <v>2491</v>
      </c>
      <c r="E679" t="s">
        <v>2004</v>
      </c>
      <c r="F679" t="s">
        <v>869</v>
      </c>
      <c r="G679" t="s">
        <v>807</v>
      </c>
      <c r="H679" t="s">
        <v>108</v>
      </c>
      <c r="I679" t="s">
        <v>51</v>
      </c>
      <c r="J679">
        <v>72.02</v>
      </c>
      <c r="K679" s="1">
        <v>46090</v>
      </c>
      <c r="L679" t="s">
        <v>93</v>
      </c>
      <c r="M679">
        <v>9</v>
      </c>
      <c r="N679">
        <v>3</v>
      </c>
      <c r="O679">
        <v>1</v>
      </c>
      <c r="P679">
        <v>2026</v>
      </c>
    </row>
    <row r="680" spans="1:16">
      <c r="A680">
        <v>70.319999999999993</v>
      </c>
      <c r="B680">
        <v>4</v>
      </c>
      <c r="C680" t="s">
        <v>2169</v>
      </c>
      <c r="D680" t="s">
        <v>2170</v>
      </c>
      <c r="E680" t="s">
        <v>1279</v>
      </c>
      <c r="F680" t="s">
        <v>64</v>
      </c>
      <c r="G680" t="s">
        <v>892</v>
      </c>
      <c r="H680" t="s">
        <v>469</v>
      </c>
      <c r="I680" t="s">
        <v>46</v>
      </c>
      <c r="J680">
        <v>17.579999999999998</v>
      </c>
      <c r="K680" s="1">
        <v>46186</v>
      </c>
      <c r="L680" t="s">
        <v>14</v>
      </c>
      <c r="M680">
        <v>13</v>
      </c>
      <c r="N680">
        <v>6</v>
      </c>
      <c r="O680">
        <v>2</v>
      </c>
      <c r="P680">
        <v>2026</v>
      </c>
    </row>
    <row r="681" spans="1:16">
      <c r="A681">
        <v>176.34</v>
      </c>
      <c r="B681">
        <v>2</v>
      </c>
      <c r="C681" t="s">
        <v>2756</v>
      </c>
      <c r="D681" t="s">
        <v>2757</v>
      </c>
      <c r="E681" t="s">
        <v>868</v>
      </c>
      <c r="F681" t="s">
        <v>829</v>
      </c>
      <c r="G681" t="s">
        <v>830</v>
      </c>
      <c r="H681" t="s">
        <v>177</v>
      </c>
      <c r="I681" t="s">
        <v>17</v>
      </c>
      <c r="J681">
        <v>88.17</v>
      </c>
      <c r="K681" s="1">
        <v>46048</v>
      </c>
      <c r="L681" t="s">
        <v>93</v>
      </c>
      <c r="M681">
        <v>26</v>
      </c>
      <c r="N681">
        <v>1</v>
      </c>
      <c r="O681">
        <v>1</v>
      </c>
      <c r="P681">
        <v>2026</v>
      </c>
    </row>
    <row r="682" spans="1:16">
      <c r="A682">
        <v>372.2</v>
      </c>
      <c r="B682">
        <v>4</v>
      </c>
      <c r="C682" t="s">
        <v>1141</v>
      </c>
      <c r="D682" t="s">
        <v>1142</v>
      </c>
      <c r="E682" t="s">
        <v>1143</v>
      </c>
      <c r="F682" t="s">
        <v>862</v>
      </c>
      <c r="G682" t="s">
        <v>908</v>
      </c>
      <c r="H682" t="s">
        <v>350</v>
      </c>
      <c r="I682" t="s">
        <v>60</v>
      </c>
      <c r="J682">
        <v>93.05</v>
      </c>
      <c r="K682" s="1">
        <v>45873</v>
      </c>
      <c r="L682" t="s">
        <v>93</v>
      </c>
      <c r="M682">
        <v>4</v>
      </c>
      <c r="N682">
        <v>8</v>
      </c>
      <c r="O682">
        <v>3</v>
      </c>
      <c r="P682">
        <v>2025</v>
      </c>
    </row>
    <row r="683" spans="1:16">
      <c r="A683">
        <v>735.72</v>
      </c>
      <c r="B683">
        <v>4</v>
      </c>
      <c r="C683" t="s">
        <v>764</v>
      </c>
      <c r="D683" t="s">
        <v>765</v>
      </c>
      <c r="E683" t="s">
        <v>766</v>
      </c>
      <c r="F683" t="s">
        <v>767</v>
      </c>
      <c r="G683" t="s">
        <v>768</v>
      </c>
      <c r="H683" t="s">
        <v>359</v>
      </c>
      <c r="I683" t="s">
        <v>23</v>
      </c>
      <c r="J683">
        <v>183.93</v>
      </c>
      <c r="K683" s="1">
        <v>45665</v>
      </c>
      <c r="L683" t="s">
        <v>34</v>
      </c>
      <c r="M683">
        <v>8</v>
      </c>
      <c r="N683">
        <v>1</v>
      </c>
      <c r="O683">
        <v>1</v>
      </c>
      <c r="P683">
        <v>2025</v>
      </c>
    </row>
    <row r="684" spans="1:16">
      <c r="A684">
        <v>219.20000000000002</v>
      </c>
      <c r="B684">
        <v>5</v>
      </c>
      <c r="C684" t="s">
        <v>1910</v>
      </c>
      <c r="D684" t="s">
        <v>1911</v>
      </c>
      <c r="E684" t="s">
        <v>846</v>
      </c>
      <c r="F684" t="s">
        <v>883</v>
      </c>
      <c r="G684" t="s">
        <v>807</v>
      </c>
      <c r="H684" t="s">
        <v>335</v>
      </c>
      <c r="I684" t="s">
        <v>37</v>
      </c>
      <c r="J684">
        <v>43.84</v>
      </c>
      <c r="K684" s="1">
        <v>45970</v>
      </c>
      <c r="L684" t="s">
        <v>28</v>
      </c>
      <c r="M684">
        <v>9</v>
      </c>
      <c r="N684">
        <v>11</v>
      </c>
      <c r="O684">
        <v>4</v>
      </c>
      <c r="P684">
        <v>2025</v>
      </c>
    </row>
    <row r="685" spans="1:16">
      <c r="A685">
        <v>29.14</v>
      </c>
      <c r="B685">
        <v>2</v>
      </c>
      <c r="C685" t="s">
        <v>1891</v>
      </c>
      <c r="D685" t="s">
        <v>1892</v>
      </c>
      <c r="E685" t="s">
        <v>1893</v>
      </c>
      <c r="F685" t="s">
        <v>806</v>
      </c>
      <c r="G685" t="s">
        <v>807</v>
      </c>
      <c r="H685" t="s">
        <v>166</v>
      </c>
      <c r="I685" t="s">
        <v>23</v>
      </c>
      <c r="J685">
        <v>14.57</v>
      </c>
      <c r="K685" s="1">
        <v>45842</v>
      </c>
      <c r="L685" t="s">
        <v>79</v>
      </c>
      <c r="M685">
        <v>4</v>
      </c>
      <c r="N685">
        <v>7</v>
      </c>
      <c r="O685">
        <v>3</v>
      </c>
      <c r="P685">
        <v>2025</v>
      </c>
    </row>
    <row r="686" spans="1:16">
      <c r="A686">
        <v>340.09999999999997</v>
      </c>
      <c r="B686">
        <v>5</v>
      </c>
      <c r="C686" t="s">
        <v>3065</v>
      </c>
      <c r="D686" t="s">
        <v>3066</v>
      </c>
      <c r="E686" t="s">
        <v>1374</v>
      </c>
      <c r="F686" t="s">
        <v>942</v>
      </c>
      <c r="G686" t="s">
        <v>943</v>
      </c>
      <c r="H686" t="s">
        <v>490</v>
      </c>
      <c r="I686" t="s">
        <v>43</v>
      </c>
      <c r="J686">
        <v>68.02</v>
      </c>
      <c r="K686" s="1">
        <v>46191</v>
      </c>
      <c r="L686" t="s">
        <v>105</v>
      </c>
      <c r="M686">
        <v>18</v>
      </c>
      <c r="N686">
        <v>6</v>
      </c>
      <c r="O686">
        <v>2</v>
      </c>
      <c r="P686">
        <v>2026</v>
      </c>
    </row>
    <row r="687" spans="1:16">
      <c r="A687">
        <v>445.02</v>
      </c>
      <c r="B687">
        <v>2</v>
      </c>
      <c r="C687" t="s">
        <v>1150</v>
      </c>
      <c r="D687" t="s">
        <v>1151</v>
      </c>
      <c r="E687" t="s">
        <v>1152</v>
      </c>
      <c r="F687" t="s">
        <v>843</v>
      </c>
      <c r="G687" t="s">
        <v>753</v>
      </c>
      <c r="H687" t="s">
        <v>142</v>
      </c>
      <c r="I687" t="s">
        <v>60</v>
      </c>
      <c r="J687">
        <v>222.51</v>
      </c>
      <c r="K687" s="1">
        <v>46204</v>
      </c>
      <c r="L687" t="s">
        <v>34</v>
      </c>
      <c r="M687">
        <v>1</v>
      </c>
      <c r="N687">
        <v>7</v>
      </c>
      <c r="O687">
        <v>3</v>
      </c>
      <c r="P687">
        <v>2026</v>
      </c>
    </row>
    <row r="688" spans="1:16">
      <c r="A688">
        <v>346.78</v>
      </c>
      <c r="B688">
        <v>2</v>
      </c>
      <c r="C688" t="s">
        <v>1617</v>
      </c>
      <c r="D688" t="s">
        <v>1618</v>
      </c>
      <c r="E688" t="s">
        <v>1619</v>
      </c>
      <c r="F688" t="s">
        <v>1189</v>
      </c>
      <c r="G688" t="s">
        <v>892</v>
      </c>
      <c r="H688" t="s">
        <v>446</v>
      </c>
      <c r="I688" t="s">
        <v>57</v>
      </c>
      <c r="J688">
        <v>173.39</v>
      </c>
      <c r="K688" s="1">
        <v>46108</v>
      </c>
      <c r="L688" t="s">
        <v>79</v>
      </c>
      <c r="M688">
        <v>27</v>
      </c>
      <c r="N688">
        <v>3</v>
      </c>
      <c r="O688">
        <v>1</v>
      </c>
      <c r="P688">
        <v>2026</v>
      </c>
    </row>
    <row r="689" spans="1:16">
      <c r="A689">
        <v>158.26</v>
      </c>
      <c r="B689">
        <v>2</v>
      </c>
      <c r="C689" t="s">
        <v>1680</v>
      </c>
      <c r="D689" t="s">
        <v>1681</v>
      </c>
      <c r="E689" t="s">
        <v>895</v>
      </c>
      <c r="F689" t="s">
        <v>1682</v>
      </c>
      <c r="G689" t="s">
        <v>892</v>
      </c>
      <c r="H689" t="s">
        <v>83</v>
      </c>
      <c r="I689" t="s">
        <v>51</v>
      </c>
      <c r="J689">
        <v>79.13</v>
      </c>
      <c r="K689" s="1">
        <v>45799</v>
      </c>
      <c r="L689" t="s">
        <v>105</v>
      </c>
      <c r="M689">
        <v>22</v>
      </c>
      <c r="N689">
        <v>5</v>
      </c>
      <c r="O689">
        <v>2</v>
      </c>
      <c r="P689">
        <v>2025</v>
      </c>
    </row>
    <row r="690" spans="1:16">
      <c r="A690">
        <v>71.48</v>
      </c>
      <c r="B690">
        <v>1</v>
      </c>
      <c r="C690" t="s">
        <v>3009</v>
      </c>
      <c r="D690" t="s">
        <v>3010</v>
      </c>
      <c r="E690" t="s">
        <v>1616</v>
      </c>
      <c r="F690" t="s">
        <v>2489</v>
      </c>
      <c r="G690" t="s">
        <v>1247</v>
      </c>
      <c r="H690" t="s">
        <v>610</v>
      </c>
      <c r="I690" t="s">
        <v>69</v>
      </c>
      <c r="J690">
        <v>71.48</v>
      </c>
      <c r="K690" s="1">
        <v>45549</v>
      </c>
      <c r="L690" t="s">
        <v>14</v>
      </c>
      <c r="M690">
        <v>14</v>
      </c>
      <c r="N690">
        <v>9</v>
      </c>
      <c r="O690">
        <v>3</v>
      </c>
      <c r="P690">
        <v>2024</v>
      </c>
    </row>
    <row r="691" spans="1:16">
      <c r="A691">
        <v>1.22</v>
      </c>
      <c r="B691">
        <v>1</v>
      </c>
      <c r="C691" t="s">
        <v>2376</v>
      </c>
      <c r="D691" t="s">
        <v>2377</v>
      </c>
      <c r="E691" t="s">
        <v>2378</v>
      </c>
      <c r="F691" t="s">
        <v>151</v>
      </c>
      <c r="G691" t="s">
        <v>1003</v>
      </c>
      <c r="H691" t="s">
        <v>242</v>
      </c>
      <c r="I691" t="s">
        <v>19</v>
      </c>
      <c r="J691">
        <v>1.22</v>
      </c>
      <c r="K691" s="1">
        <v>45730</v>
      </c>
      <c r="L691" t="s">
        <v>79</v>
      </c>
      <c r="M691">
        <v>14</v>
      </c>
      <c r="N691">
        <v>3</v>
      </c>
      <c r="O691">
        <v>1</v>
      </c>
      <c r="P691">
        <v>2025</v>
      </c>
    </row>
    <row r="692" spans="1:16">
      <c r="A692">
        <v>491.88</v>
      </c>
      <c r="B692">
        <v>3</v>
      </c>
      <c r="C692" t="s">
        <v>1696</v>
      </c>
      <c r="D692" t="s">
        <v>1697</v>
      </c>
      <c r="E692" t="s">
        <v>1698</v>
      </c>
      <c r="F692" t="s">
        <v>1172</v>
      </c>
      <c r="G692" t="s">
        <v>830</v>
      </c>
      <c r="H692" t="s">
        <v>731</v>
      </c>
      <c r="I692" t="s">
        <v>21</v>
      </c>
      <c r="J692">
        <v>163.96</v>
      </c>
      <c r="K692" s="1">
        <v>45559</v>
      </c>
      <c r="L692" t="s">
        <v>48</v>
      </c>
      <c r="M692">
        <v>24</v>
      </c>
      <c r="N692">
        <v>9</v>
      </c>
      <c r="O692">
        <v>3</v>
      </c>
      <c r="P692">
        <v>2024</v>
      </c>
    </row>
    <row r="693" spans="1:16">
      <c r="A693">
        <v>180.06</v>
      </c>
      <c r="B693">
        <v>2</v>
      </c>
      <c r="C693" t="s">
        <v>2393</v>
      </c>
      <c r="D693" t="s">
        <v>2394</v>
      </c>
      <c r="E693" t="s">
        <v>1348</v>
      </c>
      <c r="F693" t="s">
        <v>113</v>
      </c>
      <c r="G693" t="s">
        <v>1247</v>
      </c>
      <c r="H693" t="s">
        <v>442</v>
      </c>
      <c r="I693" t="s">
        <v>100</v>
      </c>
      <c r="J693">
        <v>90.03</v>
      </c>
      <c r="K693" s="1">
        <v>46006</v>
      </c>
      <c r="L693" t="s">
        <v>93</v>
      </c>
      <c r="M693">
        <v>15</v>
      </c>
      <c r="N693">
        <v>12</v>
      </c>
      <c r="O693">
        <v>4</v>
      </c>
      <c r="P693">
        <v>2025</v>
      </c>
    </row>
    <row r="694" spans="1:16">
      <c r="A694">
        <v>52.39</v>
      </c>
      <c r="B694">
        <v>1</v>
      </c>
      <c r="C694" t="s">
        <v>2163</v>
      </c>
      <c r="D694" t="s">
        <v>2164</v>
      </c>
      <c r="E694" t="s">
        <v>2153</v>
      </c>
      <c r="F694" t="s">
        <v>478</v>
      </c>
      <c r="G694" t="s">
        <v>781</v>
      </c>
      <c r="H694" t="s">
        <v>358</v>
      </c>
      <c r="I694" t="s">
        <v>37</v>
      </c>
      <c r="J694">
        <v>52.39</v>
      </c>
      <c r="K694" s="1">
        <v>46172</v>
      </c>
      <c r="L694" t="s">
        <v>14</v>
      </c>
      <c r="M694">
        <v>30</v>
      </c>
      <c r="N694">
        <v>5</v>
      </c>
      <c r="O694">
        <v>2</v>
      </c>
      <c r="P694">
        <v>2026</v>
      </c>
    </row>
    <row r="695" spans="1:16">
      <c r="A695">
        <v>272.7</v>
      </c>
      <c r="B695">
        <v>5</v>
      </c>
      <c r="C695" t="s">
        <v>3100</v>
      </c>
      <c r="D695" t="s">
        <v>3101</v>
      </c>
      <c r="E695" t="s">
        <v>1791</v>
      </c>
      <c r="F695" t="s">
        <v>392</v>
      </c>
      <c r="G695" t="s">
        <v>943</v>
      </c>
      <c r="H695" t="s">
        <v>292</v>
      </c>
      <c r="I695" t="s">
        <v>97</v>
      </c>
      <c r="J695">
        <v>54.54</v>
      </c>
      <c r="K695" s="1">
        <v>45641</v>
      </c>
      <c r="L695" t="s">
        <v>28</v>
      </c>
      <c r="M695">
        <v>15</v>
      </c>
      <c r="N695">
        <v>12</v>
      </c>
      <c r="O695">
        <v>4</v>
      </c>
      <c r="P695">
        <v>2024</v>
      </c>
    </row>
    <row r="696" spans="1:16">
      <c r="A696">
        <v>251.12</v>
      </c>
      <c r="B696">
        <v>2</v>
      </c>
      <c r="C696" t="s">
        <v>3106</v>
      </c>
      <c r="D696" t="s">
        <v>3107</v>
      </c>
      <c r="E696" t="s">
        <v>2476</v>
      </c>
      <c r="F696" t="s">
        <v>1722</v>
      </c>
      <c r="G696" t="s">
        <v>954</v>
      </c>
      <c r="H696" t="s">
        <v>87</v>
      </c>
      <c r="I696" t="s">
        <v>39</v>
      </c>
      <c r="J696">
        <v>125.56</v>
      </c>
      <c r="K696" s="1">
        <v>45976</v>
      </c>
      <c r="L696" t="s">
        <v>14</v>
      </c>
      <c r="M696">
        <v>15</v>
      </c>
      <c r="N696">
        <v>11</v>
      </c>
      <c r="O696">
        <v>4</v>
      </c>
      <c r="P696">
        <v>2025</v>
      </c>
    </row>
    <row r="697" spans="1:16">
      <c r="A697">
        <v>5.44</v>
      </c>
      <c r="B697">
        <v>2</v>
      </c>
      <c r="C697" t="s">
        <v>2768</v>
      </c>
      <c r="D697" t="s">
        <v>2769</v>
      </c>
      <c r="E697" t="s">
        <v>857</v>
      </c>
      <c r="F697" t="s">
        <v>1209</v>
      </c>
      <c r="G697" t="s">
        <v>776</v>
      </c>
      <c r="H697" t="s">
        <v>99</v>
      </c>
      <c r="I697" t="s">
        <v>100</v>
      </c>
      <c r="J697">
        <v>2.72</v>
      </c>
      <c r="K697" s="1">
        <v>46018</v>
      </c>
      <c r="L697" t="s">
        <v>14</v>
      </c>
      <c r="M697">
        <v>27</v>
      </c>
      <c r="N697">
        <v>12</v>
      </c>
      <c r="O697">
        <v>4</v>
      </c>
      <c r="P697">
        <v>2025</v>
      </c>
    </row>
    <row r="698" spans="1:16">
      <c r="A698">
        <v>11.46</v>
      </c>
      <c r="B698">
        <v>2</v>
      </c>
      <c r="C698" t="s">
        <v>2702</v>
      </c>
      <c r="D698" t="s">
        <v>2703</v>
      </c>
      <c r="E698" t="s">
        <v>2383</v>
      </c>
      <c r="F698" t="s">
        <v>942</v>
      </c>
      <c r="G698" t="s">
        <v>943</v>
      </c>
      <c r="H698" t="s">
        <v>407</v>
      </c>
      <c r="I698" t="s">
        <v>21</v>
      </c>
      <c r="J698">
        <v>5.73</v>
      </c>
      <c r="K698" s="1">
        <v>46211</v>
      </c>
      <c r="L698" t="s">
        <v>34</v>
      </c>
      <c r="M698">
        <v>8</v>
      </c>
      <c r="N698">
        <v>7</v>
      </c>
      <c r="O698">
        <v>3</v>
      </c>
      <c r="P698">
        <v>2026</v>
      </c>
    </row>
    <row r="699" spans="1:16">
      <c r="A699">
        <v>133.1</v>
      </c>
      <c r="B699">
        <v>2</v>
      </c>
      <c r="C699" t="s">
        <v>3046</v>
      </c>
      <c r="D699" t="s">
        <v>3047</v>
      </c>
      <c r="E699" t="s">
        <v>2513</v>
      </c>
      <c r="F699" t="s">
        <v>829</v>
      </c>
      <c r="G699" t="s">
        <v>830</v>
      </c>
      <c r="H699" t="s">
        <v>452</v>
      </c>
      <c r="I699" t="s">
        <v>69</v>
      </c>
      <c r="J699">
        <v>66.55</v>
      </c>
      <c r="K699" s="1">
        <v>45867</v>
      </c>
      <c r="L699" t="s">
        <v>48</v>
      </c>
      <c r="M699">
        <v>29</v>
      </c>
      <c r="N699">
        <v>7</v>
      </c>
      <c r="O699">
        <v>3</v>
      </c>
      <c r="P699">
        <v>2025</v>
      </c>
    </row>
    <row r="700" spans="1:16">
      <c r="A700">
        <v>477.06</v>
      </c>
      <c r="B700">
        <v>2</v>
      </c>
      <c r="C700" t="s">
        <v>744</v>
      </c>
      <c r="D700" t="s">
        <v>745</v>
      </c>
      <c r="E700" t="s">
        <v>746</v>
      </c>
      <c r="F700" t="s">
        <v>747</v>
      </c>
      <c r="G700" t="s">
        <v>748</v>
      </c>
      <c r="H700" t="s">
        <v>660</v>
      </c>
      <c r="I700" t="s">
        <v>25</v>
      </c>
      <c r="J700">
        <v>238.53</v>
      </c>
      <c r="K700" s="1">
        <v>45932</v>
      </c>
      <c r="L700" t="s">
        <v>105</v>
      </c>
      <c r="M700">
        <v>2</v>
      </c>
      <c r="N700">
        <v>10</v>
      </c>
      <c r="O700">
        <v>4</v>
      </c>
      <c r="P700">
        <v>2025</v>
      </c>
    </row>
    <row r="701" spans="1:16">
      <c r="A701">
        <v>444.38</v>
      </c>
      <c r="B701">
        <v>2</v>
      </c>
      <c r="C701" t="s">
        <v>835</v>
      </c>
      <c r="D701" t="s">
        <v>836</v>
      </c>
      <c r="E701" t="s">
        <v>837</v>
      </c>
      <c r="F701" t="s">
        <v>838</v>
      </c>
      <c r="G701" t="s">
        <v>839</v>
      </c>
      <c r="H701" t="s">
        <v>1082</v>
      </c>
      <c r="I701" t="s">
        <v>69</v>
      </c>
      <c r="J701">
        <v>222.19</v>
      </c>
      <c r="K701" s="1">
        <v>45894</v>
      </c>
      <c r="L701" t="s">
        <v>93</v>
      </c>
      <c r="M701">
        <v>25</v>
      </c>
      <c r="N701">
        <v>8</v>
      </c>
      <c r="O701">
        <v>3</v>
      </c>
      <c r="P701">
        <v>2025</v>
      </c>
    </row>
    <row r="702" spans="1:16">
      <c r="A702">
        <v>383.38</v>
      </c>
      <c r="B702">
        <v>2</v>
      </c>
      <c r="C702" t="s">
        <v>3381</v>
      </c>
      <c r="D702" t="s">
        <v>3382</v>
      </c>
      <c r="E702" t="s">
        <v>1844</v>
      </c>
      <c r="F702" t="s">
        <v>666</v>
      </c>
      <c r="G702" t="s">
        <v>954</v>
      </c>
      <c r="H702" t="s">
        <v>186</v>
      </c>
      <c r="I702" t="s">
        <v>37</v>
      </c>
      <c r="J702">
        <v>191.69</v>
      </c>
      <c r="K702" s="1">
        <v>45806</v>
      </c>
      <c r="L702" t="s">
        <v>105</v>
      </c>
      <c r="M702">
        <v>29</v>
      </c>
      <c r="N702">
        <v>5</v>
      </c>
      <c r="O702">
        <v>2</v>
      </c>
      <c r="P702">
        <v>2025</v>
      </c>
    </row>
    <row r="703" spans="1:16">
      <c r="A703">
        <v>196.84</v>
      </c>
      <c r="B703">
        <v>4</v>
      </c>
      <c r="C703" t="s">
        <v>1588</v>
      </c>
      <c r="D703" t="s">
        <v>1589</v>
      </c>
      <c r="E703" t="s">
        <v>1590</v>
      </c>
      <c r="F703" t="s">
        <v>1591</v>
      </c>
      <c r="G703" t="s">
        <v>966</v>
      </c>
      <c r="H703" t="s">
        <v>717</v>
      </c>
      <c r="I703" t="s">
        <v>17</v>
      </c>
      <c r="J703">
        <v>49.21</v>
      </c>
      <c r="K703" s="1">
        <v>45969</v>
      </c>
      <c r="L703" t="s">
        <v>14</v>
      </c>
      <c r="M703">
        <v>8</v>
      </c>
      <c r="N703">
        <v>11</v>
      </c>
      <c r="O703">
        <v>4</v>
      </c>
      <c r="P703">
        <v>2025</v>
      </c>
    </row>
    <row r="704" spans="1:16">
      <c r="A704">
        <v>147.75</v>
      </c>
      <c r="B704">
        <v>3</v>
      </c>
      <c r="C704" t="s">
        <v>1144</v>
      </c>
      <c r="D704" t="s">
        <v>1145</v>
      </c>
      <c r="E704" t="s">
        <v>1146</v>
      </c>
      <c r="F704" t="s">
        <v>1128</v>
      </c>
      <c r="G704" t="s">
        <v>954</v>
      </c>
      <c r="H704" t="s">
        <v>518</v>
      </c>
      <c r="I704" t="s">
        <v>17</v>
      </c>
      <c r="J704">
        <v>49.25</v>
      </c>
      <c r="K704" s="1">
        <v>46070</v>
      </c>
      <c r="L704" t="s">
        <v>48</v>
      </c>
      <c r="M704">
        <v>17</v>
      </c>
      <c r="N704">
        <v>2</v>
      </c>
      <c r="O704">
        <v>1</v>
      </c>
      <c r="P704">
        <v>2026</v>
      </c>
    </row>
    <row r="705" spans="1:16">
      <c r="A705">
        <v>396.25</v>
      </c>
      <c r="B705">
        <v>5</v>
      </c>
      <c r="C705" t="s">
        <v>847</v>
      </c>
      <c r="D705" t="s">
        <v>848</v>
      </c>
      <c r="E705" t="s">
        <v>849</v>
      </c>
      <c r="F705" t="s">
        <v>387</v>
      </c>
      <c r="G705" t="s">
        <v>821</v>
      </c>
      <c r="H705" t="s">
        <v>253</v>
      </c>
      <c r="I705" t="s">
        <v>23</v>
      </c>
      <c r="J705">
        <v>79.25</v>
      </c>
      <c r="K705" s="1">
        <v>46244</v>
      </c>
      <c r="L705" t="s">
        <v>93</v>
      </c>
      <c r="M705">
        <v>10</v>
      </c>
      <c r="N705">
        <v>8</v>
      </c>
      <c r="O705">
        <v>3</v>
      </c>
      <c r="P705">
        <v>2026</v>
      </c>
    </row>
    <row r="706" spans="1:16">
      <c r="A706">
        <v>282.09000000000003</v>
      </c>
      <c r="B706">
        <v>3</v>
      </c>
      <c r="C706" t="s">
        <v>1229</v>
      </c>
      <c r="D706" t="s">
        <v>1230</v>
      </c>
      <c r="E706" t="s">
        <v>1231</v>
      </c>
      <c r="F706" t="s">
        <v>1232</v>
      </c>
      <c r="G706" t="s">
        <v>817</v>
      </c>
      <c r="H706" t="s">
        <v>364</v>
      </c>
      <c r="I706" t="s">
        <v>21</v>
      </c>
      <c r="J706">
        <v>94.03</v>
      </c>
      <c r="K706" s="1">
        <v>45552</v>
      </c>
      <c r="L706" t="s">
        <v>48</v>
      </c>
      <c r="M706">
        <v>17</v>
      </c>
      <c r="N706">
        <v>9</v>
      </c>
      <c r="O706">
        <v>3</v>
      </c>
      <c r="P706">
        <v>2024</v>
      </c>
    </row>
    <row r="707" spans="1:16">
      <c r="A707">
        <v>34.17</v>
      </c>
      <c r="B707">
        <v>3</v>
      </c>
      <c r="C707" t="s">
        <v>2972</v>
      </c>
      <c r="D707" t="s">
        <v>2973</v>
      </c>
      <c r="E707" t="s">
        <v>1771</v>
      </c>
      <c r="F707" t="s">
        <v>1533</v>
      </c>
      <c r="G707" t="s">
        <v>781</v>
      </c>
      <c r="H707" t="s">
        <v>325</v>
      </c>
      <c r="I707" t="s">
        <v>55</v>
      </c>
      <c r="J707">
        <v>11.39</v>
      </c>
      <c r="K707" s="1">
        <v>46133</v>
      </c>
      <c r="L707" t="s">
        <v>48</v>
      </c>
      <c r="M707">
        <v>21</v>
      </c>
      <c r="N707">
        <v>4</v>
      </c>
      <c r="O707">
        <v>2</v>
      </c>
      <c r="P707">
        <v>2026</v>
      </c>
    </row>
    <row r="708" spans="1:16">
      <c r="A708">
        <v>945.15</v>
      </c>
      <c r="B708">
        <v>5</v>
      </c>
      <c r="C708" t="s">
        <v>2196</v>
      </c>
      <c r="D708" t="s">
        <v>2197</v>
      </c>
      <c r="E708" t="s">
        <v>1777</v>
      </c>
      <c r="F708" t="s">
        <v>953</v>
      </c>
      <c r="G708" t="s">
        <v>954</v>
      </c>
      <c r="H708" t="s">
        <v>654</v>
      </c>
      <c r="I708" t="s">
        <v>60</v>
      </c>
      <c r="J708">
        <v>189.03</v>
      </c>
      <c r="K708" s="1">
        <v>46173</v>
      </c>
      <c r="L708" t="s">
        <v>28</v>
      </c>
      <c r="M708">
        <v>31</v>
      </c>
      <c r="N708">
        <v>5</v>
      </c>
      <c r="O708">
        <v>2</v>
      </c>
      <c r="P708">
        <v>2026</v>
      </c>
    </row>
    <row r="709" spans="1:16">
      <c r="A709">
        <v>20.97</v>
      </c>
      <c r="B709">
        <v>1</v>
      </c>
      <c r="C709" t="s">
        <v>1894</v>
      </c>
      <c r="D709" t="s">
        <v>1895</v>
      </c>
      <c r="E709" t="s">
        <v>1387</v>
      </c>
      <c r="F709" t="s">
        <v>1213</v>
      </c>
      <c r="G709" t="s">
        <v>839</v>
      </c>
      <c r="H709" t="s">
        <v>472</v>
      </c>
      <c r="I709" t="s">
        <v>122</v>
      </c>
      <c r="J709">
        <v>20.97</v>
      </c>
      <c r="K709" s="1">
        <v>45870</v>
      </c>
      <c r="L709" t="s">
        <v>79</v>
      </c>
      <c r="M709">
        <v>1</v>
      </c>
      <c r="N709">
        <v>8</v>
      </c>
      <c r="O709">
        <v>3</v>
      </c>
      <c r="P709">
        <v>2025</v>
      </c>
    </row>
    <row r="710" spans="1:16">
      <c r="A710">
        <v>253</v>
      </c>
      <c r="B710">
        <v>4</v>
      </c>
      <c r="C710" t="s">
        <v>3038</v>
      </c>
      <c r="D710" t="s">
        <v>3039</v>
      </c>
      <c r="E710" t="s">
        <v>878</v>
      </c>
      <c r="F710" t="s">
        <v>862</v>
      </c>
      <c r="G710" t="s">
        <v>807</v>
      </c>
      <c r="H710" t="s">
        <v>740</v>
      </c>
      <c r="I710" t="s">
        <v>46</v>
      </c>
      <c r="J710">
        <v>63.25</v>
      </c>
      <c r="K710" s="1">
        <v>46112</v>
      </c>
      <c r="L710" t="s">
        <v>48</v>
      </c>
      <c r="M710">
        <v>31</v>
      </c>
      <c r="N710">
        <v>3</v>
      </c>
      <c r="O710">
        <v>1</v>
      </c>
      <c r="P710">
        <v>2026</v>
      </c>
    </row>
    <row r="711" spans="1:16">
      <c r="A711">
        <v>391.08000000000004</v>
      </c>
      <c r="B711">
        <v>3</v>
      </c>
      <c r="C711" t="s">
        <v>835</v>
      </c>
      <c r="D711" t="s">
        <v>836</v>
      </c>
      <c r="E711" t="s">
        <v>837</v>
      </c>
      <c r="F711" t="s">
        <v>838</v>
      </c>
      <c r="G711" t="s">
        <v>839</v>
      </c>
      <c r="H711" t="s">
        <v>118</v>
      </c>
      <c r="I711" t="s">
        <v>31</v>
      </c>
      <c r="J711">
        <v>130.36000000000001</v>
      </c>
      <c r="K711" s="1">
        <v>45584</v>
      </c>
      <c r="L711" t="s">
        <v>14</v>
      </c>
      <c r="M711">
        <v>19</v>
      </c>
      <c r="N711">
        <v>10</v>
      </c>
      <c r="O711">
        <v>4</v>
      </c>
      <c r="P711">
        <v>2024</v>
      </c>
    </row>
    <row r="712" spans="1:16">
      <c r="A712">
        <v>347.12</v>
      </c>
      <c r="B712">
        <v>2</v>
      </c>
      <c r="C712" t="s">
        <v>2897</v>
      </c>
      <c r="D712" t="s">
        <v>2898</v>
      </c>
      <c r="E712" t="s">
        <v>811</v>
      </c>
      <c r="F712" t="s">
        <v>1318</v>
      </c>
      <c r="G712" t="s">
        <v>807</v>
      </c>
      <c r="H712" t="s">
        <v>706</v>
      </c>
      <c r="I712" t="s">
        <v>39</v>
      </c>
      <c r="J712">
        <v>173.56</v>
      </c>
      <c r="K712" s="1">
        <v>45621</v>
      </c>
      <c r="L712" t="s">
        <v>93</v>
      </c>
      <c r="M712">
        <v>25</v>
      </c>
      <c r="N712">
        <v>11</v>
      </c>
      <c r="O712">
        <v>4</v>
      </c>
      <c r="P712">
        <v>2024</v>
      </c>
    </row>
    <row r="713" spans="1:16">
      <c r="A713">
        <v>141.08000000000001</v>
      </c>
      <c r="B713">
        <v>4</v>
      </c>
      <c r="C713" t="s">
        <v>2556</v>
      </c>
      <c r="D713" t="s">
        <v>2557</v>
      </c>
      <c r="E713" t="s">
        <v>976</v>
      </c>
      <c r="F713" t="s">
        <v>136</v>
      </c>
      <c r="G713" t="s">
        <v>776</v>
      </c>
      <c r="H713" t="s">
        <v>33</v>
      </c>
      <c r="I713" t="s">
        <v>19</v>
      </c>
      <c r="J713">
        <v>35.270000000000003</v>
      </c>
      <c r="K713" s="1">
        <v>45905</v>
      </c>
      <c r="L713" t="s">
        <v>79</v>
      </c>
      <c r="M713">
        <v>5</v>
      </c>
      <c r="N713">
        <v>9</v>
      </c>
      <c r="O713">
        <v>3</v>
      </c>
      <c r="P713">
        <v>2025</v>
      </c>
    </row>
    <row r="714" spans="1:16">
      <c r="A714">
        <v>23.26</v>
      </c>
      <c r="B714">
        <v>2</v>
      </c>
      <c r="C714" t="s">
        <v>3084</v>
      </c>
      <c r="D714" t="s">
        <v>3085</v>
      </c>
      <c r="E714" t="s">
        <v>3086</v>
      </c>
      <c r="F714" t="s">
        <v>562</v>
      </c>
      <c r="G714" t="s">
        <v>753</v>
      </c>
      <c r="H714" t="s">
        <v>301</v>
      </c>
      <c r="I714" t="s">
        <v>69</v>
      </c>
      <c r="J714">
        <v>11.63</v>
      </c>
      <c r="K714" s="1">
        <v>45963</v>
      </c>
      <c r="L714" t="s">
        <v>28</v>
      </c>
      <c r="M714">
        <v>2</v>
      </c>
      <c r="N714">
        <v>11</v>
      </c>
      <c r="O714">
        <v>4</v>
      </c>
      <c r="P714">
        <v>2025</v>
      </c>
    </row>
    <row r="715" spans="1:16">
      <c r="A715">
        <v>215.48</v>
      </c>
      <c r="B715">
        <v>4</v>
      </c>
      <c r="C715" t="s">
        <v>2028</v>
      </c>
      <c r="D715" t="s">
        <v>2029</v>
      </c>
      <c r="E715" t="s">
        <v>2030</v>
      </c>
      <c r="F715" t="s">
        <v>1002</v>
      </c>
      <c r="G715" t="s">
        <v>892</v>
      </c>
      <c r="H715" t="s">
        <v>2034</v>
      </c>
      <c r="I715" t="s">
        <v>100</v>
      </c>
      <c r="J715">
        <v>53.87</v>
      </c>
      <c r="K715" s="1">
        <v>45642</v>
      </c>
      <c r="L715" t="s">
        <v>93</v>
      </c>
      <c r="M715">
        <v>16</v>
      </c>
      <c r="N715">
        <v>12</v>
      </c>
      <c r="O715">
        <v>4</v>
      </c>
      <c r="P715">
        <v>2024</v>
      </c>
    </row>
    <row r="716" spans="1:16">
      <c r="A716">
        <v>245.78</v>
      </c>
      <c r="B716">
        <v>2</v>
      </c>
      <c r="C716" t="s">
        <v>2817</v>
      </c>
      <c r="D716" t="s">
        <v>2818</v>
      </c>
      <c r="E716" t="s">
        <v>1512</v>
      </c>
      <c r="F716" t="s">
        <v>1469</v>
      </c>
      <c r="G716" t="s">
        <v>908</v>
      </c>
      <c r="H716" t="s">
        <v>665</v>
      </c>
      <c r="I716" t="s">
        <v>17</v>
      </c>
      <c r="J716">
        <v>122.89</v>
      </c>
      <c r="K716" s="1">
        <v>46029</v>
      </c>
      <c r="L716" t="s">
        <v>34</v>
      </c>
      <c r="M716">
        <v>7</v>
      </c>
      <c r="N716">
        <v>1</v>
      </c>
      <c r="O716">
        <v>1</v>
      </c>
      <c r="P716">
        <v>2026</v>
      </c>
    </row>
    <row r="717" spans="1:16">
      <c r="A717">
        <v>297.8</v>
      </c>
      <c r="B717">
        <v>5</v>
      </c>
      <c r="C717" t="s">
        <v>1528</v>
      </c>
      <c r="D717" t="s">
        <v>1529</v>
      </c>
      <c r="E717" t="s">
        <v>998</v>
      </c>
      <c r="F717" t="s">
        <v>1465</v>
      </c>
      <c r="G717" t="s">
        <v>817</v>
      </c>
      <c r="H717" t="s">
        <v>573</v>
      </c>
      <c r="I717" t="s">
        <v>55</v>
      </c>
      <c r="J717">
        <v>59.56</v>
      </c>
      <c r="K717" s="1">
        <v>45917</v>
      </c>
      <c r="L717" t="s">
        <v>34</v>
      </c>
      <c r="M717">
        <v>17</v>
      </c>
      <c r="N717">
        <v>9</v>
      </c>
      <c r="O717">
        <v>3</v>
      </c>
      <c r="P717">
        <v>2025</v>
      </c>
    </row>
    <row r="718" spans="1:16">
      <c r="A718">
        <v>132.03</v>
      </c>
      <c r="B718">
        <v>3</v>
      </c>
      <c r="C718" t="s">
        <v>1203</v>
      </c>
      <c r="D718" t="s">
        <v>1204</v>
      </c>
      <c r="E718" t="s">
        <v>1205</v>
      </c>
      <c r="F718" t="s">
        <v>1206</v>
      </c>
      <c r="G718" t="s">
        <v>943</v>
      </c>
      <c r="H718" t="s">
        <v>689</v>
      </c>
      <c r="I718" t="s">
        <v>55</v>
      </c>
      <c r="J718">
        <v>44.01</v>
      </c>
      <c r="K718" s="1">
        <v>45680</v>
      </c>
      <c r="L718" t="s">
        <v>105</v>
      </c>
      <c r="M718">
        <v>23</v>
      </c>
      <c r="N718">
        <v>1</v>
      </c>
      <c r="O718">
        <v>1</v>
      </c>
      <c r="P718">
        <v>2025</v>
      </c>
    </row>
    <row r="719" spans="1:16">
      <c r="A719">
        <v>632.84999999999991</v>
      </c>
      <c r="B719">
        <v>5</v>
      </c>
      <c r="C719" t="s">
        <v>2450</v>
      </c>
      <c r="D719" t="s">
        <v>2451</v>
      </c>
      <c r="E719" t="s">
        <v>1162</v>
      </c>
      <c r="F719" t="s">
        <v>1032</v>
      </c>
      <c r="G719" t="s">
        <v>839</v>
      </c>
      <c r="H719" t="s">
        <v>367</v>
      </c>
      <c r="I719" t="s">
        <v>31</v>
      </c>
      <c r="J719">
        <v>126.57</v>
      </c>
      <c r="K719" s="1">
        <v>45813</v>
      </c>
      <c r="L719" t="s">
        <v>105</v>
      </c>
      <c r="M719">
        <v>5</v>
      </c>
      <c r="N719">
        <v>6</v>
      </c>
      <c r="O719">
        <v>2</v>
      </c>
      <c r="P719">
        <v>2025</v>
      </c>
    </row>
    <row r="720" spans="1:16">
      <c r="A720">
        <v>133.03</v>
      </c>
      <c r="B720">
        <v>1</v>
      </c>
      <c r="C720" t="s">
        <v>2792</v>
      </c>
      <c r="D720" t="s">
        <v>2793</v>
      </c>
      <c r="E720" t="s">
        <v>2794</v>
      </c>
      <c r="F720" t="s">
        <v>548</v>
      </c>
      <c r="G720" t="s">
        <v>790</v>
      </c>
      <c r="H720" t="s">
        <v>112</v>
      </c>
      <c r="I720" t="s">
        <v>21</v>
      </c>
      <c r="J720">
        <v>133.03</v>
      </c>
      <c r="K720" s="1">
        <v>45907</v>
      </c>
      <c r="L720" t="s">
        <v>28</v>
      </c>
      <c r="M720">
        <v>7</v>
      </c>
      <c r="N720">
        <v>9</v>
      </c>
      <c r="O720">
        <v>3</v>
      </c>
      <c r="P720">
        <v>2025</v>
      </c>
    </row>
    <row r="721" spans="1:16">
      <c r="A721">
        <v>431.97</v>
      </c>
      <c r="B721">
        <v>3</v>
      </c>
      <c r="C721" t="s">
        <v>1907</v>
      </c>
      <c r="D721" t="s">
        <v>1908</v>
      </c>
      <c r="E721" t="s">
        <v>1909</v>
      </c>
      <c r="F721" t="s">
        <v>965</v>
      </c>
      <c r="G721" t="s">
        <v>839</v>
      </c>
      <c r="H721" t="s">
        <v>2838</v>
      </c>
      <c r="I721" t="s">
        <v>57</v>
      </c>
      <c r="J721">
        <v>143.99</v>
      </c>
      <c r="K721" s="1">
        <v>46230</v>
      </c>
      <c r="L721" t="s">
        <v>93</v>
      </c>
      <c r="M721">
        <v>27</v>
      </c>
      <c r="N721">
        <v>7</v>
      </c>
      <c r="O721">
        <v>3</v>
      </c>
      <c r="P721">
        <v>2026</v>
      </c>
    </row>
    <row r="722" spans="1:16">
      <c r="A722">
        <v>438.35</v>
      </c>
      <c r="B722">
        <v>5</v>
      </c>
      <c r="C722" t="s">
        <v>1994</v>
      </c>
      <c r="D722" t="s">
        <v>864</v>
      </c>
      <c r="E722" t="s">
        <v>1881</v>
      </c>
      <c r="F722" t="s">
        <v>1002</v>
      </c>
      <c r="G722" t="s">
        <v>892</v>
      </c>
      <c r="H722" t="s">
        <v>1774</v>
      </c>
      <c r="I722" t="s">
        <v>27</v>
      </c>
      <c r="J722">
        <v>87.67</v>
      </c>
      <c r="K722" s="1">
        <v>45601</v>
      </c>
      <c r="L722" t="s">
        <v>48</v>
      </c>
      <c r="M722">
        <v>5</v>
      </c>
      <c r="N722">
        <v>11</v>
      </c>
      <c r="O722">
        <v>4</v>
      </c>
      <c r="P722">
        <v>2024</v>
      </c>
    </row>
    <row r="723" spans="1:16">
      <c r="A723">
        <v>89.64</v>
      </c>
      <c r="B723">
        <v>4</v>
      </c>
      <c r="C723" t="s">
        <v>813</v>
      </c>
      <c r="D723" t="s">
        <v>814</v>
      </c>
      <c r="E723" t="s">
        <v>815</v>
      </c>
      <c r="F723" t="s">
        <v>816</v>
      </c>
      <c r="G723" t="s">
        <v>817</v>
      </c>
      <c r="H723" t="s">
        <v>484</v>
      </c>
      <c r="I723" t="s">
        <v>25</v>
      </c>
      <c r="J723">
        <v>22.41</v>
      </c>
      <c r="K723" s="1">
        <v>45904</v>
      </c>
      <c r="L723" t="s">
        <v>105</v>
      </c>
      <c r="M723">
        <v>4</v>
      </c>
      <c r="N723">
        <v>9</v>
      </c>
      <c r="O723">
        <v>3</v>
      </c>
      <c r="P723">
        <v>2025</v>
      </c>
    </row>
    <row r="724" spans="1:16">
      <c r="A724">
        <v>372.12</v>
      </c>
      <c r="B724">
        <v>3</v>
      </c>
      <c r="C724" t="s">
        <v>2895</v>
      </c>
      <c r="D724" t="s">
        <v>2896</v>
      </c>
      <c r="E724" t="s">
        <v>1987</v>
      </c>
      <c r="F724" t="s">
        <v>2468</v>
      </c>
      <c r="G724" t="s">
        <v>763</v>
      </c>
      <c r="H724" t="s">
        <v>543</v>
      </c>
      <c r="I724" t="s">
        <v>37</v>
      </c>
      <c r="J724">
        <v>124.04</v>
      </c>
      <c r="K724" s="1">
        <v>46165</v>
      </c>
      <c r="L724" t="s">
        <v>14</v>
      </c>
      <c r="M724">
        <v>23</v>
      </c>
      <c r="N724">
        <v>5</v>
      </c>
      <c r="O724">
        <v>2</v>
      </c>
      <c r="P724">
        <v>2026</v>
      </c>
    </row>
    <row r="725" spans="1:16">
      <c r="A725">
        <v>229.09</v>
      </c>
      <c r="B725">
        <v>1</v>
      </c>
      <c r="C725" t="s">
        <v>1442</v>
      </c>
      <c r="D725" t="s">
        <v>1443</v>
      </c>
      <c r="E725" t="s">
        <v>1444</v>
      </c>
      <c r="F725" t="s">
        <v>380</v>
      </c>
      <c r="G725" t="s">
        <v>896</v>
      </c>
      <c r="H725" t="s">
        <v>622</v>
      </c>
      <c r="I725" t="s">
        <v>37</v>
      </c>
      <c r="J725">
        <v>229.09</v>
      </c>
      <c r="K725" s="1">
        <v>46022</v>
      </c>
      <c r="L725" t="s">
        <v>34</v>
      </c>
      <c r="M725">
        <v>31</v>
      </c>
      <c r="N725">
        <v>12</v>
      </c>
      <c r="O725">
        <v>4</v>
      </c>
      <c r="P725">
        <v>2025</v>
      </c>
    </row>
    <row r="726" spans="1:16">
      <c r="A726">
        <v>659.35</v>
      </c>
      <c r="B726">
        <v>5</v>
      </c>
      <c r="C726" t="s">
        <v>831</v>
      </c>
      <c r="D726" t="s">
        <v>832</v>
      </c>
      <c r="E726" t="s">
        <v>833</v>
      </c>
      <c r="F726" t="s">
        <v>392</v>
      </c>
      <c r="G726" t="s">
        <v>834</v>
      </c>
      <c r="H726" t="s">
        <v>165</v>
      </c>
      <c r="I726" t="s">
        <v>69</v>
      </c>
      <c r="J726">
        <v>131.87</v>
      </c>
      <c r="K726" s="1">
        <v>45931</v>
      </c>
      <c r="L726" t="s">
        <v>34</v>
      </c>
      <c r="M726">
        <v>1</v>
      </c>
      <c r="N726">
        <v>10</v>
      </c>
      <c r="O726">
        <v>4</v>
      </c>
      <c r="P726">
        <v>2025</v>
      </c>
    </row>
    <row r="727" spans="1:16">
      <c r="A727">
        <v>76.44</v>
      </c>
      <c r="B727">
        <v>1</v>
      </c>
      <c r="C727" t="s">
        <v>2764</v>
      </c>
      <c r="D727" t="s">
        <v>2765</v>
      </c>
      <c r="E727" t="s">
        <v>1074</v>
      </c>
      <c r="F727" t="s">
        <v>838</v>
      </c>
      <c r="G727" t="s">
        <v>839</v>
      </c>
      <c r="H727" t="s">
        <v>92</v>
      </c>
      <c r="I727" t="s">
        <v>51</v>
      </c>
      <c r="J727">
        <v>76.44</v>
      </c>
      <c r="K727" s="1">
        <v>45758</v>
      </c>
      <c r="L727" t="s">
        <v>79</v>
      </c>
      <c r="M727">
        <v>11</v>
      </c>
      <c r="N727">
        <v>4</v>
      </c>
      <c r="O727">
        <v>2</v>
      </c>
      <c r="P727">
        <v>2025</v>
      </c>
    </row>
    <row r="728" spans="1:16">
      <c r="A728">
        <v>404.64</v>
      </c>
      <c r="B728">
        <v>3</v>
      </c>
      <c r="C728" t="s">
        <v>2810</v>
      </c>
      <c r="D728" t="s">
        <v>2811</v>
      </c>
      <c r="E728" t="s">
        <v>2775</v>
      </c>
      <c r="F728" t="s">
        <v>199</v>
      </c>
      <c r="G728" t="s">
        <v>781</v>
      </c>
      <c r="H728" t="s">
        <v>595</v>
      </c>
      <c r="I728" t="s">
        <v>27</v>
      </c>
      <c r="J728">
        <v>134.88</v>
      </c>
      <c r="K728" s="1">
        <v>46031</v>
      </c>
      <c r="L728" t="s">
        <v>79</v>
      </c>
      <c r="M728">
        <v>9</v>
      </c>
      <c r="N728">
        <v>1</v>
      </c>
      <c r="O728">
        <v>1</v>
      </c>
      <c r="P728">
        <v>2026</v>
      </c>
    </row>
    <row r="729" spans="1:16">
      <c r="A729">
        <v>428.12</v>
      </c>
      <c r="B729">
        <v>4</v>
      </c>
      <c r="C729" t="s">
        <v>2961</v>
      </c>
      <c r="D729" t="s">
        <v>2962</v>
      </c>
      <c r="E729" t="s">
        <v>2522</v>
      </c>
      <c r="F729" t="s">
        <v>211</v>
      </c>
      <c r="G729" t="s">
        <v>812</v>
      </c>
      <c r="H729" t="s">
        <v>529</v>
      </c>
      <c r="I729" t="s">
        <v>37</v>
      </c>
      <c r="J729">
        <v>107.03</v>
      </c>
      <c r="K729" s="1">
        <v>46117</v>
      </c>
      <c r="L729" t="s">
        <v>28</v>
      </c>
      <c r="M729">
        <v>5</v>
      </c>
      <c r="N729">
        <v>4</v>
      </c>
      <c r="O729">
        <v>2</v>
      </c>
      <c r="P729">
        <v>2026</v>
      </c>
    </row>
    <row r="730" spans="1:16">
      <c r="A730">
        <v>105</v>
      </c>
      <c r="B730">
        <v>4</v>
      </c>
      <c r="C730" t="s">
        <v>3306</v>
      </c>
      <c r="D730" t="s">
        <v>3307</v>
      </c>
      <c r="E730" t="s">
        <v>1493</v>
      </c>
      <c r="F730" t="s">
        <v>961</v>
      </c>
      <c r="G730" t="s">
        <v>807</v>
      </c>
      <c r="H730" t="s">
        <v>493</v>
      </c>
      <c r="I730" t="s">
        <v>46</v>
      </c>
      <c r="J730">
        <v>26.25</v>
      </c>
      <c r="K730" s="1">
        <v>45860</v>
      </c>
      <c r="L730" t="s">
        <v>48</v>
      </c>
      <c r="M730">
        <v>22</v>
      </c>
      <c r="N730">
        <v>7</v>
      </c>
      <c r="O730">
        <v>3</v>
      </c>
      <c r="P730">
        <v>2025</v>
      </c>
    </row>
    <row r="731" spans="1:16">
      <c r="A731">
        <v>95.55</v>
      </c>
      <c r="B731">
        <v>5</v>
      </c>
      <c r="C731" t="s">
        <v>3203</v>
      </c>
      <c r="D731" t="s">
        <v>3204</v>
      </c>
      <c r="E731" t="s">
        <v>1050</v>
      </c>
      <c r="F731" t="s">
        <v>961</v>
      </c>
      <c r="G731" t="s">
        <v>807</v>
      </c>
      <c r="H731" t="s">
        <v>410</v>
      </c>
      <c r="I731" t="s">
        <v>97</v>
      </c>
      <c r="J731">
        <v>19.11</v>
      </c>
      <c r="K731" s="1">
        <v>46238</v>
      </c>
      <c r="L731" t="s">
        <v>48</v>
      </c>
      <c r="M731">
        <v>4</v>
      </c>
      <c r="N731">
        <v>8</v>
      </c>
      <c r="O731">
        <v>3</v>
      </c>
      <c r="P731">
        <v>2026</v>
      </c>
    </row>
    <row r="732" spans="1:16">
      <c r="A732">
        <v>277.46999999999997</v>
      </c>
      <c r="B732">
        <v>3</v>
      </c>
      <c r="C732" t="s">
        <v>2115</v>
      </c>
      <c r="D732" t="s">
        <v>2116</v>
      </c>
      <c r="E732" t="s">
        <v>2117</v>
      </c>
      <c r="F732" t="s">
        <v>29</v>
      </c>
      <c r="G732" t="s">
        <v>763</v>
      </c>
      <c r="H732" t="s">
        <v>36</v>
      </c>
      <c r="I732" t="s">
        <v>37</v>
      </c>
      <c r="J732">
        <v>92.49</v>
      </c>
      <c r="K732" s="1">
        <v>45710</v>
      </c>
      <c r="L732" t="s">
        <v>14</v>
      </c>
      <c r="M732">
        <v>22</v>
      </c>
      <c r="N732">
        <v>2</v>
      </c>
      <c r="O732">
        <v>1</v>
      </c>
      <c r="P732">
        <v>2025</v>
      </c>
    </row>
    <row r="733" spans="1:16">
      <c r="A733">
        <v>676.92</v>
      </c>
      <c r="B733">
        <v>4</v>
      </c>
      <c r="C733" t="s">
        <v>3212</v>
      </c>
      <c r="D733" t="s">
        <v>3213</v>
      </c>
      <c r="E733" t="s">
        <v>2013</v>
      </c>
      <c r="F733" t="s">
        <v>1111</v>
      </c>
      <c r="G733" t="s">
        <v>981</v>
      </c>
      <c r="H733" t="s">
        <v>3427</v>
      </c>
      <c r="I733" t="s">
        <v>39</v>
      </c>
      <c r="J733">
        <v>169.23</v>
      </c>
      <c r="K733" s="1">
        <v>46053</v>
      </c>
      <c r="L733" t="s">
        <v>14</v>
      </c>
      <c r="M733">
        <v>31</v>
      </c>
      <c r="N733">
        <v>1</v>
      </c>
      <c r="O733">
        <v>1</v>
      </c>
      <c r="P733">
        <v>2026</v>
      </c>
    </row>
    <row r="734" spans="1:16">
      <c r="A734">
        <v>60.82</v>
      </c>
      <c r="B734">
        <v>2</v>
      </c>
      <c r="C734" t="s">
        <v>2884</v>
      </c>
      <c r="D734" t="s">
        <v>2885</v>
      </c>
      <c r="E734" t="s">
        <v>1152</v>
      </c>
      <c r="F734" t="s">
        <v>965</v>
      </c>
      <c r="G734" t="s">
        <v>966</v>
      </c>
      <c r="H734" t="s">
        <v>718</v>
      </c>
      <c r="I734" t="s">
        <v>21</v>
      </c>
      <c r="J734">
        <v>30.41</v>
      </c>
      <c r="K734" s="1">
        <v>45885</v>
      </c>
      <c r="L734" t="s">
        <v>14</v>
      </c>
      <c r="M734">
        <v>16</v>
      </c>
      <c r="N734">
        <v>8</v>
      </c>
      <c r="O734">
        <v>3</v>
      </c>
      <c r="P734">
        <v>2025</v>
      </c>
    </row>
    <row r="735" spans="1:16">
      <c r="A735">
        <v>406.38</v>
      </c>
      <c r="B735">
        <v>3</v>
      </c>
      <c r="C735" t="s">
        <v>944</v>
      </c>
      <c r="D735" t="s">
        <v>945</v>
      </c>
      <c r="E735" t="s">
        <v>946</v>
      </c>
      <c r="F735" t="s">
        <v>199</v>
      </c>
      <c r="G735" t="s">
        <v>781</v>
      </c>
      <c r="H735" t="s">
        <v>503</v>
      </c>
      <c r="I735" t="s">
        <v>43</v>
      </c>
      <c r="J735">
        <v>135.46</v>
      </c>
      <c r="K735" s="1">
        <v>46227</v>
      </c>
      <c r="L735" t="s">
        <v>79</v>
      </c>
      <c r="M735">
        <v>24</v>
      </c>
      <c r="N735">
        <v>7</v>
      </c>
      <c r="O735">
        <v>3</v>
      </c>
      <c r="P735">
        <v>2026</v>
      </c>
    </row>
    <row r="736" spans="1:16">
      <c r="A736">
        <v>338.29999999999995</v>
      </c>
      <c r="B736">
        <v>5</v>
      </c>
      <c r="C736" t="s">
        <v>2483</v>
      </c>
      <c r="D736" t="s">
        <v>2484</v>
      </c>
      <c r="E736" t="s">
        <v>1155</v>
      </c>
      <c r="F736" t="s">
        <v>106</v>
      </c>
      <c r="G736" t="s">
        <v>790</v>
      </c>
      <c r="H736" t="s">
        <v>2624</v>
      </c>
      <c r="I736" t="s">
        <v>82</v>
      </c>
      <c r="J736">
        <v>67.66</v>
      </c>
      <c r="K736" s="1">
        <v>46114</v>
      </c>
      <c r="L736" t="s">
        <v>105</v>
      </c>
      <c r="M736">
        <v>2</v>
      </c>
      <c r="N736">
        <v>4</v>
      </c>
      <c r="O736">
        <v>2</v>
      </c>
      <c r="P736">
        <v>2026</v>
      </c>
    </row>
    <row r="737" spans="1:16">
      <c r="A737">
        <v>735.72</v>
      </c>
      <c r="B737">
        <v>4</v>
      </c>
      <c r="C737" t="s">
        <v>2081</v>
      </c>
      <c r="D737" t="s">
        <v>2082</v>
      </c>
      <c r="E737" t="s">
        <v>2083</v>
      </c>
      <c r="F737" t="s">
        <v>1944</v>
      </c>
      <c r="G737" t="s">
        <v>1003</v>
      </c>
      <c r="H737" t="s">
        <v>359</v>
      </c>
      <c r="I737" t="s">
        <v>23</v>
      </c>
      <c r="J737">
        <v>183.93</v>
      </c>
      <c r="K737" s="1">
        <v>46004</v>
      </c>
      <c r="L737" t="s">
        <v>14</v>
      </c>
      <c r="M737">
        <v>13</v>
      </c>
      <c r="N737">
        <v>12</v>
      </c>
      <c r="O737">
        <v>4</v>
      </c>
      <c r="P737">
        <v>2025</v>
      </c>
    </row>
    <row r="738" spans="1:16">
      <c r="A738">
        <v>959.09999999999991</v>
      </c>
      <c r="B738">
        <v>5</v>
      </c>
      <c r="C738" t="s">
        <v>2131</v>
      </c>
      <c r="D738" t="s">
        <v>2132</v>
      </c>
      <c r="E738" t="s">
        <v>2133</v>
      </c>
      <c r="F738" t="s">
        <v>929</v>
      </c>
      <c r="G738" t="s">
        <v>830</v>
      </c>
      <c r="H738" t="s">
        <v>584</v>
      </c>
      <c r="I738" t="s">
        <v>19</v>
      </c>
      <c r="J738">
        <v>191.82</v>
      </c>
      <c r="K738" s="1">
        <v>46255</v>
      </c>
      <c r="L738" t="s">
        <v>79</v>
      </c>
      <c r="M738">
        <v>21</v>
      </c>
      <c r="N738">
        <v>8</v>
      </c>
      <c r="O738">
        <v>3</v>
      </c>
      <c r="P738">
        <v>2026</v>
      </c>
    </row>
    <row r="739" spans="1:16">
      <c r="A739">
        <v>608.28</v>
      </c>
      <c r="B739">
        <v>4</v>
      </c>
      <c r="C739" t="s">
        <v>1543</v>
      </c>
      <c r="D739" t="s">
        <v>1544</v>
      </c>
      <c r="E739" t="s">
        <v>1545</v>
      </c>
      <c r="F739" t="s">
        <v>29</v>
      </c>
      <c r="G739" t="s">
        <v>763</v>
      </c>
      <c r="H739" t="s">
        <v>674</v>
      </c>
      <c r="I739" t="s">
        <v>122</v>
      </c>
      <c r="J739">
        <v>152.07</v>
      </c>
      <c r="K739" s="1">
        <v>46225</v>
      </c>
      <c r="L739" t="s">
        <v>34</v>
      </c>
      <c r="M739">
        <v>22</v>
      </c>
      <c r="N739">
        <v>7</v>
      </c>
      <c r="O739">
        <v>3</v>
      </c>
      <c r="P739">
        <v>2026</v>
      </c>
    </row>
    <row r="740" spans="1:16">
      <c r="A740">
        <v>273.04000000000002</v>
      </c>
      <c r="B740">
        <v>4</v>
      </c>
      <c r="C740" t="s">
        <v>1748</v>
      </c>
      <c r="D740" t="s">
        <v>1749</v>
      </c>
      <c r="E740" t="s">
        <v>766</v>
      </c>
      <c r="F740" t="s">
        <v>980</v>
      </c>
      <c r="G740" t="s">
        <v>981</v>
      </c>
      <c r="H740" t="s">
        <v>306</v>
      </c>
      <c r="I740" t="s">
        <v>39</v>
      </c>
      <c r="J740">
        <v>68.260000000000005</v>
      </c>
      <c r="K740" s="1">
        <v>45748</v>
      </c>
      <c r="L740" t="s">
        <v>48</v>
      </c>
      <c r="M740">
        <v>1</v>
      </c>
      <c r="N740">
        <v>4</v>
      </c>
      <c r="O740">
        <v>2</v>
      </c>
      <c r="P740">
        <v>2025</v>
      </c>
    </row>
    <row r="741" spans="1:16">
      <c r="A741">
        <v>449.25</v>
      </c>
      <c r="B741">
        <v>5</v>
      </c>
      <c r="C741" t="s">
        <v>2435</v>
      </c>
      <c r="D741" t="s">
        <v>2436</v>
      </c>
      <c r="E741" t="s">
        <v>1295</v>
      </c>
      <c r="F741" t="s">
        <v>280</v>
      </c>
      <c r="G741" t="s">
        <v>786</v>
      </c>
      <c r="H741" t="s">
        <v>381</v>
      </c>
      <c r="I741" t="s">
        <v>27</v>
      </c>
      <c r="J741">
        <v>89.85</v>
      </c>
      <c r="K741" s="1">
        <v>45914</v>
      </c>
      <c r="L741" t="s">
        <v>28</v>
      </c>
      <c r="M741">
        <v>14</v>
      </c>
      <c r="N741">
        <v>9</v>
      </c>
      <c r="O741">
        <v>3</v>
      </c>
      <c r="P741">
        <v>2025</v>
      </c>
    </row>
    <row r="742" spans="1:16">
      <c r="A742">
        <v>932.32</v>
      </c>
      <c r="B742">
        <v>4</v>
      </c>
      <c r="C742" t="s">
        <v>1900</v>
      </c>
      <c r="D742" t="s">
        <v>1901</v>
      </c>
      <c r="E742" t="s">
        <v>1477</v>
      </c>
      <c r="F742" t="s">
        <v>961</v>
      </c>
      <c r="G742" t="s">
        <v>753</v>
      </c>
      <c r="H742" t="s">
        <v>213</v>
      </c>
      <c r="I742" t="s">
        <v>69</v>
      </c>
      <c r="J742">
        <v>233.08</v>
      </c>
      <c r="K742" s="1">
        <v>45704</v>
      </c>
      <c r="L742" t="s">
        <v>28</v>
      </c>
      <c r="M742">
        <v>16</v>
      </c>
      <c r="N742">
        <v>2</v>
      </c>
      <c r="O742">
        <v>1</v>
      </c>
      <c r="P742">
        <v>2025</v>
      </c>
    </row>
    <row r="743" spans="1:16">
      <c r="A743">
        <v>447.44</v>
      </c>
      <c r="B743">
        <v>4</v>
      </c>
      <c r="C743" t="s">
        <v>2251</v>
      </c>
      <c r="D743" t="s">
        <v>2252</v>
      </c>
      <c r="E743" t="s">
        <v>2253</v>
      </c>
      <c r="F743" t="s">
        <v>1882</v>
      </c>
      <c r="G743" t="s">
        <v>795</v>
      </c>
      <c r="H743" t="s">
        <v>432</v>
      </c>
      <c r="I743" t="s">
        <v>46</v>
      </c>
      <c r="J743">
        <v>111.86</v>
      </c>
      <c r="K743" s="1">
        <v>45618</v>
      </c>
      <c r="L743" t="s">
        <v>79</v>
      </c>
      <c r="M743">
        <v>22</v>
      </c>
      <c r="N743">
        <v>11</v>
      </c>
      <c r="O743">
        <v>4</v>
      </c>
      <c r="P743">
        <v>2024</v>
      </c>
    </row>
    <row r="744" spans="1:16">
      <c r="A744">
        <v>154.94</v>
      </c>
      <c r="B744">
        <v>2</v>
      </c>
      <c r="C744" t="s">
        <v>2187</v>
      </c>
      <c r="D744" t="s">
        <v>2188</v>
      </c>
      <c r="E744" t="s">
        <v>1418</v>
      </c>
      <c r="F744" t="s">
        <v>1292</v>
      </c>
      <c r="G744" t="s">
        <v>1247</v>
      </c>
      <c r="H744" t="s">
        <v>638</v>
      </c>
      <c r="I744" t="s">
        <v>100</v>
      </c>
      <c r="J744">
        <v>77.47</v>
      </c>
      <c r="K744" s="1">
        <v>45928</v>
      </c>
      <c r="L744" t="s">
        <v>28</v>
      </c>
      <c r="M744">
        <v>28</v>
      </c>
      <c r="N744">
        <v>9</v>
      </c>
      <c r="O744">
        <v>3</v>
      </c>
      <c r="P744">
        <v>2025</v>
      </c>
    </row>
    <row r="745" spans="1:16">
      <c r="A745">
        <v>668.55000000000007</v>
      </c>
      <c r="B745">
        <v>5</v>
      </c>
      <c r="C745" t="s">
        <v>3244</v>
      </c>
      <c r="D745" t="s">
        <v>3245</v>
      </c>
      <c r="E745" t="s">
        <v>1114</v>
      </c>
      <c r="F745" t="s">
        <v>1401</v>
      </c>
      <c r="G745" t="s">
        <v>943</v>
      </c>
      <c r="H745" t="s">
        <v>539</v>
      </c>
      <c r="I745" t="s">
        <v>69</v>
      </c>
      <c r="J745">
        <v>133.71</v>
      </c>
      <c r="K745" s="1">
        <v>46257</v>
      </c>
      <c r="L745" t="s">
        <v>28</v>
      </c>
      <c r="M745">
        <v>23</v>
      </c>
      <c r="N745">
        <v>8</v>
      </c>
      <c r="O745">
        <v>3</v>
      </c>
      <c r="P745">
        <v>2026</v>
      </c>
    </row>
    <row r="746" spans="1:16">
      <c r="A746">
        <v>426.32</v>
      </c>
      <c r="B746">
        <v>4</v>
      </c>
      <c r="C746" t="s">
        <v>1769</v>
      </c>
      <c r="D746" t="s">
        <v>1770</v>
      </c>
      <c r="E746" t="s">
        <v>1771</v>
      </c>
      <c r="F746" t="s">
        <v>915</v>
      </c>
      <c r="G746" t="s">
        <v>768</v>
      </c>
      <c r="H746" t="s">
        <v>670</v>
      </c>
      <c r="I746" t="s">
        <v>57</v>
      </c>
      <c r="J746">
        <v>106.58</v>
      </c>
      <c r="K746" s="1">
        <v>46114</v>
      </c>
      <c r="L746" t="s">
        <v>105</v>
      </c>
      <c r="M746">
        <v>2</v>
      </c>
      <c r="N746">
        <v>4</v>
      </c>
      <c r="O746">
        <v>2</v>
      </c>
      <c r="P746">
        <v>2026</v>
      </c>
    </row>
    <row r="747" spans="1:16">
      <c r="A747">
        <v>558.40000000000009</v>
      </c>
      <c r="B747">
        <v>5</v>
      </c>
      <c r="C747" t="s">
        <v>2096</v>
      </c>
      <c r="D747" t="s">
        <v>2097</v>
      </c>
      <c r="E747" t="s">
        <v>2098</v>
      </c>
      <c r="F747" t="s">
        <v>464</v>
      </c>
      <c r="G747" t="s">
        <v>896</v>
      </c>
      <c r="H747" t="s">
        <v>540</v>
      </c>
      <c r="I747" t="s">
        <v>19</v>
      </c>
      <c r="J747">
        <v>111.68</v>
      </c>
      <c r="K747" s="1">
        <v>45908</v>
      </c>
      <c r="L747" t="s">
        <v>93</v>
      </c>
      <c r="M747">
        <v>8</v>
      </c>
      <c r="N747">
        <v>9</v>
      </c>
      <c r="O747">
        <v>3</v>
      </c>
      <c r="P747">
        <v>2025</v>
      </c>
    </row>
    <row r="748" spans="1:16">
      <c r="A748">
        <v>525.67999999999995</v>
      </c>
      <c r="B748">
        <v>4</v>
      </c>
      <c r="C748" t="s">
        <v>1541</v>
      </c>
      <c r="D748" t="s">
        <v>1542</v>
      </c>
      <c r="E748" t="s">
        <v>1305</v>
      </c>
      <c r="F748" t="s">
        <v>869</v>
      </c>
      <c r="G748" t="s">
        <v>1247</v>
      </c>
      <c r="H748" t="s">
        <v>679</v>
      </c>
      <c r="I748" t="s">
        <v>25</v>
      </c>
      <c r="J748">
        <v>131.41999999999999</v>
      </c>
      <c r="K748" s="1">
        <v>46253</v>
      </c>
      <c r="L748" t="s">
        <v>34</v>
      </c>
      <c r="M748">
        <v>19</v>
      </c>
      <c r="N748">
        <v>8</v>
      </c>
      <c r="O748">
        <v>3</v>
      </c>
      <c r="P748">
        <v>2026</v>
      </c>
    </row>
    <row r="749" spans="1:16">
      <c r="A749">
        <v>394.52</v>
      </c>
      <c r="B749">
        <v>2</v>
      </c>
      <c r="C749" t="s">
        <v>2325</v>
      </c>
      <c r="D749" t="s">
        <v>2326</v>
      </c>
      <c r="E749" t="s">
        <v>2117</v>
      </c>
      <c r="F749" t="s">
        <v>548</v>
      </c>
      <c r="G749" t="s">
        <v>790</v>
      </c>
      <c r="H749" t="s">
        <v>293</v>
      </c>
      <c r="I749" t="s">
        <v>100</v>
      </c>
      <c r="J749">
        <v>197.26</v>
      </c>
      <c r="K749" s="1">
        <v>45585</v>
      </c>
      <c r="L749" t="s">
        <v>28</v>
      </c>
      <c r="M749">
        <v>20</v>
      </c>
      <c r="N749">
        <v>10</v>
      </c>
      <c r="O749">
        <v>4</v>
      </c>
      <c r="P749">
        <v>2024</v>
      </c>
    </row>
    <row r="750" spans="1:16">
      <c r="A750">
        <v>1045.1000000000001</v>
      </c>
      <c r="B750">
        <v>5</v>
      </c>
      <c r="C750" t="s">
        <v>1704</v>
      </c>
      <c r="D750" t="s">
        <v>1705</v>
      </c>
      <c r="E750" t="s">
        <v>1706</v>
      </c>
      <c r="F750" t="s">
        <v>1092</v>
      </c>
      <c r="G750" t="s">
        <v>763</v>
      </c>
      <c r="H750" t="s">
        <v>62</v>
      </c>
      <c r="I750" t="s">
        <v>17</v>
      </c>
      <c r="J750">
        <v>209.02</v>
      </c>
      <c r="K750" s="1">
        <v>45671</v>
      </c>
      <c r="L750" t="s">
        <v>48</v>
      </c>
      <c r="M750">
        <v>14</v>
      </c>
      <c r="N750">
        <v>1</v>
      </c>
      <c r="O750">
        <v>1</v>
      </c>
      <c r="P750">
        <v>2025</v>
      </c>
    </row>
    <row r="751" spans="1:16">
      <c r="A751">
        <v>74.58</v>
      </c>
      <c r="B751">
        <v>3</v>
      </c>
      <c r="C751" t="s">
        <v>3169</v>
      </c>
      <c r="D751" t="s">
        <v>3170</v>
      </c>
      <c r="E751" t="s">
        <v>2434</v>
      </c>
      <c r="F751" t="s">
        <v>1649</v>
      </c>
      <c r="G751" t="s">
        <v>790</v>
      </c>
      <c r="H751" t="s">
        <v>531</v>
      </c>
      <c r="I751" t="s">
        <v>69</v>
      </c>
      <c r="J751">
        <v>24.86</v>
      </c>
      <c r="K751" s="1">
        <v>45876</v>
      </c>
      <c r="L751" t="s">
        <v>105</v>
      </c>
      <c r="M751">
        <v>7</v>
      </c>
      <c r="N751">
        <v>8</v>
      </c>
      <c r="O751">
        <v>3</v>
      </c>
      <c r="P751">
        <v>2025</v>
      </c>
    </row>
    <row r="752" spans="1:16">
      <c r="A752">
        <v>707.75</v>
      </c>
      <c r="B752">
        <v>5</v>
      </c>
      <c r="C752" t="s">
        <v>2886</v>
      </c>
      <c r="D752" t="s">
        <v>2887</v>
      </c>
      <c r="E752" t="s">
        <v>935</v>
      </c>
      <c r="F752" t="s">
        <v>843</v>
      </c>
      <c r="G752" t="s">
        <v>753</v>
      </c>
      <c r="H752" t="s">
        <v>273</v>
      </c>
      <c r="I752" t="s">
        <v>100</v>
      </c>
      <c r="J752">
        <v>141.55000000000001</v>
      </c>
      <c r="K752" s="1">
        <v>45866</v>
      </c>
      <c r="L752" t="s">
        <v>93</v>
      </c>
      <c r="M752">
        <v>28</v>
      </c>
      <c r="N752">
        <v>7</v>
      </c>
      <c r="O752">
        <v>3</v>
      </c>
      <c r="P752">
        <v>2025</v>
      </c>
    </row>
    <row r="753" spans="1:16">
      <c r="A753">
        <v>616.75</v>
      </c>
      <c r="B753">
        <v>5</v>
      </c>
      <c r="C753" t="s">
        <v>2196</v>
      </c>
      <c r="D753" t="s">
        <v>2197</v>
      </c>
      <c r="E753" t="s">
        <v>1777</v>
      </c>
      <c r="F753" t="s">
        <v>953</v>
      </c>
      <c r="G753" t="s">
        <v>954</v>
      </c>
      <c r="H753" t="s">
        <v>630</v>
      </c>
      <c r="I753" t="s">
        <v>69</v>
      </c>
      <c r="J753">
        <v>123.35</v>
      </c>
      <c r="K753" s="1">
        <v>45800</v>
      </c>
      <c r="L753" t="s">
        <v>79</v>
      </c>
      <c r="M753">
        <v>23</v>
      </c>
      <c r="N753">
        <v>5</v>
      </c>
      <c r="O753">
        <v>2</v>
      </c>
      <c r="P753">
        <v>2025</v>
      </c>
    </row>
    <row r="754" spans="1:16">
      <c r="A754">
        <v>131.87</v>
      </c>
      <c r="B754">
        <v>1</v>
      </c>
      <c r="C754" t="s">
        <v>2448</v>
      </c>
      <c r="D754" t="s">
        <v>2449</v>
      </c>
      <c r="E754" t="s">
        <v>1070</v>
      </c>
      <c r="F754" t="s">
        <v>961</v>
      </c>
      <c r="G754" t="s">
        <v>807</v>
      </c>
      <c r="H754" t="s">
        <v>165</v>
      </c>
      <c r="I754" t="s">
        <v>69</v>
      </c>
      <c r="J754">
        <v>131.87</v>
      </c>
      <c r="K754" s="1">
        <v>45747</v>
      </c>
      <c r="L754" t="s">
        <v>93</v>
      </c>
      <c r="M754">
        <v>31</v>
      </c>
      <c r="N754">
        <v>3</v>
      </c>
      <c r="O754">
        <v>1</v>
      </c>
      <c r="P754">
        <v>2025</v>
      </c>
    </row>
    <row r="755" spans="1:16">
      <c r="A755">
        <v>135.05000000000001</v>
      </c>
      <c r="B755">
        <v>5</v>
      </c>
      <c r="C755" t="s">
        <v>866</v>
      </c>
      <c r="D755" t="s">
        <v>867</v>
      </c>
      <c r="E755" t="s">
        <v>868</v>
      </c>
      <c r="F755" t="s">
        <v>869</v>
      </c>
      <c r="G755" t="s">
        <v>812</v>
      </c>
      <c r="H755" t="s">
        <v>117</v>
      </c>
      <c r="I755" t="s">
        <v>55</v>
      </c>
      <c r="J755">
        <v>27.01</v>
      </c>
      <c r="K755" s="1">
        <v>45623</v>
      </c>
      <c r="L755" t="s">
        <v>34</v>
      </c>
      <c r="M755">
        <v>27</v>
      </c>
      <c r="N755">
        <v>11</v>
      </c>
      <c r="O755">
        <v>4</v>
      </c>
      <c r="P755">
        <v>2024</v>
      </c>
    </row>
    <row r="756" spans="1:16">
      <c r="A756">
        <v>5.61</v>
      </c>
      <c r="B756">
        <v>1</v>
      </c>
      <c r="C756" t="s">
        <v>3084</v>
      </c>
      <c r="D756" t="s">
        <v>3085</v>
      </c>
      <c r="E756" t="s">
        <v>3086</v>
      </c>
      <c r="F756" t="s">
        <v>562</v>
      </c>
      <c r="G756" t="s">
        <v>753</v>
      </c>
      <c r="H756" t="s">
        <v>352</v>
      </c>
      <c r="I756" t="s">
        <v>82</v>
      </c>
      <c r="J756">
        <v>5.61</v>
      </c>
      <c r="K756" s="1">
        <v>45730</v>
      </c>
      <c r="L756" t="s">
        <v>79</v>
      </c>
      <c r="M756">
        <v>14</v>
      </c>
      <c r="N756">
        <v>3</v>
      </c>
      <c r="O756">
        <v>1</v>
      </c>
      <c r="P756">
        <v>2025</v>
      </c>
    </row>
    <row r="757" spans="1:16">
      <c r="A757">
        <v>38.730000000000004</v>
      </c>
      <c r="B757">
        <v>3</v>
      </c>
      <c r="C757" t="s">
        <v>1530</v>
      </c>
      <c r="D757" t="s">
        <v>1902</v>
      </c>
      <c r="E757" t="s">
        <v>1903</v>
      </c>
      <c r="F757" t="s">
        <v>49</v>
      </c>
      <c r="G757" t="s">
        <v>892</v>
      </c>
      <c r="H757" t="s">
        <v>38</v>
      </c>
      <c r="I757" t="s">
        <v>39</v>
      </c>
      <c r="J757">
        <v>12.91</v>
      </c>
      <c r="K757" s="1">
        <v>45665</v>
      </c>
      <c r="L757" t="s">
        <v>34</v>
      </c>
      <c r="M757">
        <v>8</v>
      </c>
      <c r="N757">
        <v>1</v>
      </c>
      <c r="O757">
        <v>1</v>
      </c>
      <c r="P757">
        <v>2025</v>
      </c>
    </row>
    <row r="758" spans="1:16">
      <c r="A758">
        <v>154.11000000000001</v>
      </c>
      <c r="B758">
        <v>1</v>
      </c>
      <c r="C758" t="s">
        <v>1093</v>
      </c>
      <c r="D758" t="s">
        <v>1094</v>
      </c>
      <c r="E758" t="s">
        <v>1095</v>
      </c>
      <c r="F758" t="s">
        <v>862</v>
      </c>
      <c r="G758" t="s">
        <v>758</v>
      </c>
      <c r="H758" t="s">
        <v>161</v>
      </c>
      <c r="I758" t="s">
        <v>37</v>
      </c>
      <c r="J758">
        <v>154.11000000000001</v>
      </c>
      <c r="K758" s="1">
        <v>45627</v>
      </c>
      <c r="L758" t="s">
        <v>28</v>
      </c>
      <c r="M758">
        <v>1</v>
      </c>
      <c r="N758">
        <v>12</v>
      </c>
      <c r="O758">
        <v>4</v>
      </c>
      <c r="P758">
        <v>2024</v>
      </c>
    </row>
    <row r="759" spans="1:16">
      <c r="A759">
        <v>469.91999999999996</v>
      </c>
      <c r="B759">
        <v>3</v>
      </c>
      <c r="C759" t="s">
        <v>1653</v>
      </c>
      <c r="D759" t="s">
        <v>1654</v>
      </c>
      <c r="E759" t="s">
        <v>976</v>
      </c>
      <c r="F759" t="s">
        <v>1306</v>
      </c>
      <c r="G759" t="s">
        <v>966</v>
      </c>
      <c r="H759" t="s">
        <v>207</v>
      </c>
      <c r="I759" t="s">
        <v>19</v>
      </c>
      <c r="J759">
        <v>156.63999999999999</v>
      </c>
      <c r="K759" s="1">
        <v>45904</v>
      </c>
      <c r="L759" t="s">
        <v>105</v>
      </c>
      <c r="M759">
        <v>4</v>
      </c>
      <c r="N759">
        <v>9</v>
      </c>
      <c r="O759">
        <v>3</v>
      </c>
      <c r="P759">
        <v>2025</v>
      </c>
    </row>
    <row r="760" spans="1:16">
      <c r="A760">
        <v>473.62</v>
      </c>
      <c r="B760">
        <v>2</v>
      </c>
      <c r="C760" t="s">
        <v>2586</v>
      </c>
      <c r="D760" t="s">
        <v>2587</v>
      </c>
      <c r="E760" t="s">
        <v>2588</v>
      </c>
      <c r="F760" t="s">
        <v>961</v>
      </c>
      <c r="G760" t="s">
        <v>807</v>
      </c>
      <c r="H760" t="s">
        <v>84</v>
      </c>
      <c r="I760" t="s">
        <v>31</v>
      </c>
      <c r="J760">
        <v>236.81</v>
      </c>
      <c r="K760" s="1">
        <v>46100</v>
      </c>
      <c r="L760" t="s">
        <v>105</v>
      </c>
      <c r="M760">
        <v>19</v>
      </c>
      <c r="N760">
        <v>3</v>
      </c>
      <c r="O760">
        <v>1</v>
      </c>
      <c r="P760">
        <v>2026</v>
      </c>
    </row>
    <row r="761" spans="1:16">
      <c r="A761">
        <v>169.77</v>
      </c>
      <c r="B761">
        <v>1</v>
      </c>
      <c r="C761" t="s">
        <v>2934</v>
      </c>
      <c r="D761" t="s">
        <v>2935</v>
      </c>
      <c r="E761" t="s">
        <v>2043</v>
      </c>
      <c r="F761" t="s">
        <v>1509</v>
      </c>
      <c r="G761" t="s">
        <v>821</v>
      </c>
      <c r="H761" t="s">
        <v>300</v>
      </c>
      <c r="I761" t="s">
        <v>55</v>
      </c>
      <c r="J761">
        <v>169.77</v>
      </c>
      <c r="K761" s="1">
        <v>46114</v>
      </c>
      <c r="L761" t="s">
        <v>105</v>
      </c>
      <c r="M761">
        <v>2</v>
      </c>
      <c r="N761">
        <v>4</v>
      </c>
      <c r="O761">
        <v>2</v>
      </c>
      <c r="P761">
        <v>2026</v>
      </c>
    </row>
    <row r="762" spans="1:16">
      <c r="A762">
        <v>54.02</v>
      </c>
      <c r="B762">
        <v>2</v>
      </c>
      <c r="C762" t="s">
        <v>1027</v>
      </c>
      <c r="D762" t="s">
        <v>1028</v>
      </c>
      <c r="E762" t="s">
        <v>805</v>
      </c>
      <c r="F762" t="s">
        <v>825</v>
      </c>
      <c r="G762" t="s">
        <v>781</v>
      </c>
      <c r="H762" t="s">
        <v>117</v>
      </c>
      <c r="I762" t="s">
        <v>55</v>
      </c>
      <c r="J762">
        <v>27.01</v>
      </c>
      <c r="K762" s="1">
        <v>45729</v>
      </c>
      <c r="L762" t="s">
        <v>105</v>
      </c>
      <c r="M762">
        <v>13</v>
      </c>
      <c r="N762">
        <v>3</v>
      </c>
      <c r="O762">
        <v>1</v>
      </c>
      <c r="P762">
        <v>2025</v>
      </c>
    </row>
    <row r="763" spans="1:16">
      <c r="A763">
        <v>69.78</v>
      </c>
      <c r="B763">
        <v>2</v>
      </c>
      <c r="C763" t="s">
        <v>3421</v>
      </c>
      <c r="D763" t="s">
        <v>3422</v>
      </c>
      <c r="E763" t="s">
        <v>906</v>
      </c>
      <c r="F763" t="s">
        <v>1118</v>
      </c>
      <c r="G763" t="s">
        <v>821</v>
      </c>
      <c r="H763" t="s">
        <v>488</v>
      </c>
      <c r="I763" t="s">
        <v>46</v>
      </c>
      <c r="J763">
        <v>34.89</v>
      </c>
      <c r="K763" s="1">
        <v>45644</v>
      </c>
      <c r="L763" t="s">
        <v>34</v>
      </c>
      <c r="M763">
        <v>18</v>
      </c>
      <c r="N763">
        <v>12</v>
      </c>
      <c r="O763">
        <v>4</v>
      </c>
      <c r="P763">
        <v>2024</v>
      </c>
    </row>
    <row r="764" spans="1:16">
      <c r="A764">
        <v>68.11</v>
      </c>
      <c r="B764">
        <v>1</v>
      </c>
      <c r="C764" t="s">
        <v>2408</v>
      </c>
      <c r="D764" t="s">
        <v>2778</v>
      </c>
      <c r="E764" t="s">
        <v>1452</v>
      </c>
      <c r="F764" t="s">
        <v>1550</v>
      </c>
      <c r="G764" t="s">
        <v>776</v>
      </c>
      <c r="H764" t="s">
        <v>739</v>
      </c>
      <c r="I764" t="s">
        <v>27</v>
      </c>
      <c r="J764">
        <v>68.11</v>
      </c>
      <c r="K764" s="1">
        <v>45860</v>
      </c>
      <c r="L764" t="s">
        <v>48</v>
      </c>
      <c r="M764">
        <v>22</v>
      </c>
      <c r="N764">
        <v>7</v>
      </c>
      <c r="O764">
        <v>3</v>
      </c>
      <c r="P764">
        <v>2025</v>
      </c>
    </row>
    <row r="765" spans="1:16">
      <c r="A765">
        <v>505.56000000000006</v>
      </c>
      <c r="B765">
        <v>3</v>
      </c>
      <c r="C765" t="s">
        <v>2990</v>
      </c>
      <c r="D765" t="s">
        <v>2991</v>
      </c>
      <c r="E765" t="s">
        <v>2992</v>
      </c>
      <c r="F765" t="s">
        <v>136</v>
      </c>
      <c r="G765" t="s">
        <v>954</v>
      </c>
      <c r="H765" t="s">
        <v>311</v>
      </c>
      <c r="I765" t="s">
        <v>46</v>
      </c>
      <c r="J765">
        <v>168.52</v>
      </c>
      <c r="K765" s="1">
        <v>46122</v>
      </c>
      <c r="L765" t="s">
        <v>79</v>
      </c>
      <c r="M765">
        <v>10</v>
      </c>
      <c r="N765">
        <v>4</v>
      </c>
      <c r="O765">
        <v>2</v>
      </c>
      <c r="P765">
        <v>2026</v>
      </c>
    </row>
    <row r="766" spans="1:16">
      <c r="A766">
        <v>487.86</v>
      </c>
      <c r="B766">
        <v>2</v>
      </c>
      <c r="C766" t="s">
        <v>2139</v>
      </c>
      <c r="D766" t="s">
        <v>2140</v>
      </c>
      <c r="E766" t="s">
        <v>2141</v>
      </c>
      <c r="F766" t="s">
        <v>464</v>
      </c>
      <c r="G766" t="s">
        <v>896</v>
      </c>
      <c r="H766" t="s">
        <v>564</v>
      </c>
      <c r="I766" t="s">
        <v>17</v>
      </c>
      <c r="J766">
        <v>243.93</v>
      </c>
      <c r="K766" s="1">
        <v>45976</v>
      </c>
      <c r="L766" t="s">
        <v>14</v>
      </c>
      <c r="M766">
        <v>15</v>
      </c>
      <c r="N766">
        <v>11</v>
      </c>
      <c r="O766">
        <v>4</v>
      </c>
      <c r="P766">
        <v>2025</v>
      </c>
    </row>
    <row r="767" spans="1:16">
      <c r="A767">
        <v>301.84999999999997</v>
      </c>
      <c r="B767">
        <v>5</v>
      </c>
      <c r="C767" t="s">
        <v>1214</v>
      </c>
      <c r="D767" t="s">
        <v>1215</v>
      </c>
      <c r="E767" t="s">
        <v>1216</v>
      </c>
      <c r="F767" t="s">
        <v>199</v>
      </c>
      <c r="G767" t="s">
        <v>781</v>
      </c>
      <c r="H767" t="s">
        <v>681</v>
      </c>
      <c r="I767" t="s">
        <v>43</v>
      </c>
      <c r="J767">
        <v>60.37</v>
      </c>
      <c r="K767" s="1">
        <v>46074</v>
      </c>
      <c r="L767" t="s">
        <v>14</v>
      </c>
      <c r="M767">
        <v>21</v>
      </c>
      <c r="N767">
        <v>2</v>
      </c>
      <c r="O767">
        <v>1</v>
      </c>
      <c r="P767">
        <v>2026</v>
      </c>
    </row>
    <row r="768" spans="1:16">
      <c r="A768">
        <v>153.85</v>
      </c>
      <c r="B768">
        <v>5</v>
      </c>
      <c r="C768" t="s">
        <v>2178</v>
      </c>
      <c r="D768" t="s">
        <v>2179</v>
      </c>
      <c r="E768" t="s">
        <v>2060</v>
      </c>
      <c r="F768" t="s">
        <v>1566</v>
      </c>
      <c r="G768" t="s">
        <v>763</v>
      </c>
      <c r="H768" t="s">
        <v>522</v>
      </c>
      <c r="I768" t="s">
        <v>97</v>
      </c>
      <c r="J768">
        <v>30.77</v>
      </c>
      <c r="K768" s="1">
        <v>45560</v>
      </c>
      <c r="L768" t="s">
        <v>34</v>
      </c>
      <c r="M768">
        <v>25</v>
      </c>
      <c r="N768">
        <v>9</v>
      </c>
      <c r="O768">
        <v>3</v>
      </c>
      <c r="P768">
        <v>2024</v>
      </c>
    </row>
    <row r="769" spans="1:16">
      <c r="A769">
        <v>198.44</v>
      </c>
      <c r="B769">
        <v>1</v>
      </c>
      <c r="C769" t="s">
        <v>2239</v>
      </c>
      <c r="D769" t="s">
        <v>2240</v>
      </c>
      <c r="E769" t="s">
        <v>2241</v>
      </c>
      <c r="F769" t="s">
        <v>1002</v>
      </c>
      <c r="G769" t="s">
        <v>1003</v>
      </c>
      <c r="H769" t="s">
        <v>40</v>
      </c>
      <c r="I769" t="s">
        <v>37</v>
      </c>
      <c r="J769">
        <v>198.44</v>
      </c>
      <c r="K769" s="1">
        <v>46148</v>
      </c>
      <c r="L769" t="s">
        <v>34</v>
      </c>
      <c r="M769">
        <v>6</v>
      </c>
      <c r="N769">
        <v>5</v>
      </c>
      <c r="O769">
        <v>2</v>
      </c>
      <c r="P769">
        <v>2026</v>
      </c>
    </row>
    <row r="770" spans="1:16">
      <c r="A770">
        <v>33.17</v>
      </c>
      <c r="B770">
        <v>1</v>
      </c>
      <c r="C770" t="s">
        <v>2129</v>
      </c>
      <c r="D770" t="s">
        <v>2130</v>
      </c>
      <c r="E770" t="s">
        <v>998</v>
      </c>
      <c r="F770" t="s">
        <v>380</v>
      </c>
      <c r="G770" t="s">
        <v>776</v>
      </c>
      <c r="H770" t="s">
        <v>481</v>
      </c>
      <c r="I770" t="s">
        <v>69</v>
      </c>
      <c r="J770">
        <v>33.17</v>
      </c>
      <c r="K770" s="1">
        <v>45883</v>
      </c>
      <c r="L770" t="s">
        <v>105</v>
      </c>
      <c r="M770">
        <v>14</v>
      </c>
      <c r="N770">
        <v>8</v>
      </c>
      <c r="O770">
        <v>3</v>
      </c>
      <c r="P770">
        <v>2025</v>
      </c>
    </row>
    <row r="771" spans="1:16">
      <c r="A771">
        <v>101.56</v>
      </c>
      <c r="B771">
        <v>1</v>
      </c>
      <c r="C771" t="s">
        <v>1601</v>
      </c>
      <c r="D771" t="s">
        <v>1602</v>
      </c>
      <c r="E771" t="s">
        <v>1603</v>
      </c>
      <c r="F771" t="s">
        <v>1339</v>
      </c>
      <c r="G771" t="s">
        <v>1247</v>
      </c>
      <c r="H771" t="s">
        <v>426</v>
      </c>
      <c r="I771" t="s">
        <v>37</v>
      </c>
      <c r="J771">
        <v>101.56</v>
      </c>
      <c r="K771" s="1">
        <v>45614</v>
      </c>
      <c r="L771" t="s">
        <v>93</v>
      </c>
      <c r="M771">
        <v>18</v>
      </c>
      <c r="N771">
        <v>11</v>
      </c>
      <c r="O771">
        <v>4</v>
      </c>
      <c r="P771">
        <v>2024</v>
      </c>
    </row>
    <row r="772" spans="1:16">
      <c r="A772">
        <v>407.48</v>
      </c>
      <c r="B772">
        <v>2</v>
      </c>
      <c r="C772" t="s">
        <v>2129</v>
      </c>
      <c r="D772" t="s">
        <v>2130</v>
      </c>
      <c r="E772" t="s">
        <v>998</v>
      </c>
      <c r="F772" t="s">
        <v>380</v>
      </c>
      <c r="G772" t="s">
        <v>776</v>
      </c>
      <c r="H772" t="s">
        <v>552</v>
      </c>
      <c r="I772" t="s">
        <v>31</v>
      </c>
      <c r="J772">
        <v>203.74</v>
      </c>
      <c r="K772" s="1">
        <v>46107</v>
      </c>
      <c r="L772" t="s">
        <v>105</v>
      </c>
      <c r="M772">
        <v>26</v>
      </c>
      <c r="N772">
        <v>3</v>
      </c>
      <c r="O772">
        <v>1</v>
      </c>
      <c r="P772">
        <v>2026</v>
      </c>
    </row>
    <row r="773" spans="1:16">
      <c r="A773">
        <v>525.67999999999995</v>
      </c>
      <c r="B773">
        <v>4</v>
      </c>
      <c r="C773" t="s">
        <v>900</v>
      </c>
      <c r="D773" t="s">
        <v>901</v>
      </c>
      <c r="E773" t="s">
        <v>902</v>
      </c>
      <c r="F773" t="s">
        <v>903</v>
      </c>
      <c r="G773" t="s">
        <v>786</v>
      </c>
      <c r="H773" t="s">
        <v>679</v>
      </c>
      <c r="I773" t="s">
        <v>25</v>
      </c>
      <c r="J773">
        <v>131.41999999999999</v>
      </c>
      <c r="K773" s="1">
        <v>45975</v>
      </c>
      <c r="L773" t="s">
        <v>79</v>
      </c>
      <c r="M773">
        <v>14</v>
      </c>
      <c r="N773">
        <v>11</v>
      </c>
      <c r="O773">
        <v>4</v>
      </c>
      <c r="P773">
        <v>2025</v>
      </c>
    </row>
    <row r="774" spans="1:16">
      <c r="A774">
        <v>22.97</v>
      </c>
      <c r="B774">
        <v>1</v>
      </c>
      <c r="C774" t="s">
        <v>2238</v>
      </c>
      <c r="D774" t="s">
        <v>1357</v>
      </c>
      <c r="E774" t="s">
        <v>1515</v>
      </c>
      <c r="F774" t="s">
        <v>1626</v>
      </c>
      <c r="G774" t="s">
        <v>812</v>
      </c>
      <c r="H774" t="s">
        <v>90</v>
      </c>
      <c r="I774" t="s">
        <v>23</v>
      </c>
      <c r="J774">
        <v>22.97</v>
      </c>
      <c r="K774" s="1">
        <v>46218</v>
      </c>
      <c r="L774" t="s">
        <v>34</v>
      </c>
      <c r="M774">
        <v>15</v>
      </c>
      <c r="N774">
        <v>7</v>
      </c>
      <c r="O774">
        <v>3</v>
      </c>
      <c r="P774">
        <v>2026</v>
      </c>
    </row>
    <row r="775" spans="1:16">
      <c r="A775">
        <v>51.72</v>
      </c>
      <c r="B775">
        <v>2</v>
      </c>
      <c r="C775" t="s">
        <v>2916</v>
      </c>
      <c r="D775" t="s">
        <v>2917</v>
      </c>
      <c r="E775" t="s">
        <v>2173</v>
      </c>
      <c r="F775" t="s">
        <v>328</v>
      </c>
      <c r="G775" t="s">
        <v>1003</v>
      </c>
      <c r="H775" t="s">
        <v>282</v>
      </c>
      <c r="I775" t="s">
        <v>21</v>
      </c>
      <c r="J775">
        <v>25.86</v>
      </c>
      <c r="K775" s="1">
        <v>46028</v>
      </c>
      <c r="L775" t="s">
        <v>48</v>
      </c>
      <c r="M775">
        <v>6</v>
      </c>
      <c r="N775">
        <v>1</v>
      </c>
      <c r="O775">
        <v>1</v>
      </c>
      <c r="P775">
        <v>2026</v>
      </c>
    </row>
    <row r="776" spans="1:16">
      <c r="A776">
        <v>384.7</v>
      </c>
      <c r="B776">
        <v>5</v>
      </c>
      <c r="C776" t="s">
        <v>2795</v>
      </c>
      <c r="D776" t="s">
        <v>2796</v>
      </c>
      <c r="E776" t="s">
        <v>2797</v>
      </c>
      <c r="F776" t="s">
        <v>1691</v>
      </c>
      <c r="G776" t="s">
        <v>821</v>
      </c>
      <c r="H776" t="s">
        <v>119</v>
      </c>
      <c r="I776" t="s">
        <v>60</v>
      </c>
      <c r="J776">
        <v>76.94</v>
      </c>
      <c r="K776" s="1">
        <v>45822</v>
      </c>
      <c r="L776" t="s">
        <v>14</v>
      </c>
      <c r="M776">
        <v>14</v>
      </c>
      <c r="N776">
        <v>6</v>
      </c>
      <c r="O776">
        <v>2</v>
      </c>
      <c r="P776">
        <v>2025</v>
      </c>
    </row>
    <row r="777" spans="1:16">
      <c r="A777">
        <v>591.16</v>
      </c>
      <c r="B777">
        <v>4</v>
      </c>
      <c r="C777" t="s">
        <v>1258</v>
      </c>
      <c r="D777" t="s">
        <v>1259</v>
      </c>
      <c r="E777" t="s">
        <v>1260</v>
      </c>
      <c r="F777" t="s">
        <v>15</v>
      </c>
      <c r="G777" t="s">
        <v>834</v>
      </c>
      <c r="H777" t="s">
        <v>176</v>
      </c>
      <c r="I777" t="s">
        <v>21</v>
      </c>
      <c r="J777">
        <v>147.79</v>
      </c>
      <c r="K777" s="1">
        <v>45701</v>
      </c>
      <c r="L777" t="s">
        <v>105</v>
      </c>
      <c r="M777">
        <v>13</v>
      </c>
      <c r="N777">
        <v>2</v>
      </c>
      <c r="O777">
        <v>1</v>
      </c>
      <c r="P777">
        <v>2025</v>
      </c>
    </row>
    <row r="778" spans="1:16">
      <c r="A778">
        <v>229.85</v>
      </c>
      <c r="B778">
        <v>1</v>
      </c>
      <c r="C778" t="s">
        <v>2298</v>
      </c>
      <c r="D778" t="s">
        <v>2299</v>
      </c>
      <c r="E778" t="s">
        <v>1498</v>
      </c>
      <c r="F778" t="s">
        <v>1318</v>
      </c>
      <c r="G778" t="s">
        <v>807</v>
      </c>
      <c r="H778" t="s">
        <v>63</v>
      </c>
      <c r="I778" t="s">
        <v>25</v>
      </c>
      <c r="J778">
        <v>229.85</v>
      </c>
      <c r="K778" s="1">
        <v>45786</v>
      </c>
      <c r="L778" t="s">
        <v>79</v>
      </c>
      <c r="M778">
        <v>9</v>
      </c>
      <c r="N778">
        <v>5</v>
      </c>
      <c r="O778">
        <v>2</v>
      </c>
      <c r="P778">
        <v>2025</v>
      </c>
    </row>
    <row r="779" spans="1:16">
      <c r="A779">
        <v>426.45000000000005</v>
      </c>
      <c r="B779">
        <v>3</v>
      </c>
      <c r="C779" t="s">
        <v>1898</v>
      </c>
      <c r="D779" t="s">
        <v>1899</v>
      </c>
      <c r="E779" t="s">
        <v>824</v>
      </c>
      <c r="F779" t="s">
        <v>762</v>
      </c>
      <c r="G779" t="s">
        <v>763</v>
      </c>
      <c r="H779" t="s">
        <v>216</v>
      </c>
      <c r="I779" t="s">
        <v>100</v>
      </c>
      <c r="J779">
        <v>142.15</v>
      </c>
      <c r="K779" s="1">
        <v>45845</v>
      </c>
      <c r="L779" t="s">
        <v>93</v>
      </c>
      <c r="M779">
        <v>7</v>
      </c>
      <c r="N779">
        <v>7</v>
      </c>
      <c r="O779">
        <v>3</v>
      </c>
      <c r="P779">
        <v>2025</v>
      </c>
    </row>
    <row r="780" spans="1:16">
      <c r="A780">
        <v>106.53</v>
      </c>
      <c r="B780">
        <v>1</v>
      </c>
      <c r="C780" t="s">
        <v>1567</v>
      </c>
      <c r="D780" t="s">
        <v>1568</v>
      </c>
      <c r="E780" t="s">
        <v>1569</v>
      </c>
      <c r="F780" t="s">
        <v>322</v>
      </c>
      <c r="G780" t="s">
        <v>795</v>
      </c>
      <c r="H780" t="s">
        <v>377</v>
      </c>
      <c r="I780" t="s">
        <v>27</v>
      </c>
      <c r="J780">
        <v>106.53</v>
      </c>
      <c r="K780" s="1">
        <v>45987</v>
      </c>
      <c r="L780" t="s">
        <v>34</v>
      </c>
      <c r="M780">
        <v>26</v>
      </c>
      <c r="N780">
        <v>11</v>
      </c>
      <c r="O780">
        <v>4</v>
      </c>
      <c r="P780">
        <v>2025</v>
      </c>
    </row>
    <row r="781" spans="1:16">
      <c r="A781">
        <v>722.4</v>
      </c>
      <c r="B781">
        <v>5</v>
      </c>
      <c r="C781" t="s">
        <v>1388</v>
      </c>
      <c r="D781" t="s">
        <v>1389</v>
      </c>
      <c r="E781" t="s">
        <v>1390</v>
      </c>
      <c r="F781" t="s">
        <v>322</v>
      </c>
      <c r="G781" t="s">
        <v>795</v>
      </c>
      <c r="H781" t="s">
        <v>1441</v>
      </c>
      <c r="I781" t="s">
        <v>19</v>
      </c>
      <c r="J781">
        <v>144.47999999999999</v>
      </c>
      <c r="K781" s="1">
        <v>45886</v>
      </c>
      <c r="L781" t="s">
        <v>28</v>
      </c>
      <c r="M781">
        <v>17</v>
      </c>
      <c r="N781">
        <v>8</v>
      </c>
      <c r="O781">
        <v>3</v>
      </c>
      <c r="P781">
        <v>2025</v>
      </c>
    </row>
    <row r="782" spans="1:16">
      <c r="A782">
        <v>205.95</v>
      </c>
      <c r="B782">
        <v>1</v>
      </c>
      <c r="C782" t="s">
        <v>1184</v>
      </c>
      <c r="D782" t="s">
        <v>1185</v>
      </c>
      <c r="E782" t="s">
        <v>994</v>
      </c>
      <c r="F782" t="s">
        <v>915</v>
      </c>
      <c r="G782" t="s">
        <v>908</v>
      </c>
      <c r="H782" t="s">
        <v>705</v>
      </c>
      <c r="I782" t="s">
        <v>60</v>
      </c>
      <c r="J782">
        <v>205.95</v>
      </c>
      <c r="K782" s="1">
        <v>45989</v>
      </c>
      <c r="L782" t="s">
        <v>79</v>
      </c>
      <c r="M782">
        <v>28</v>
      </c>
      <c r="N782">
        <v>11</v>
      </c>
      <c r="O782">
        <v>4</v>
      </c>
      <c r="P782">
        <v>2025</v>
      </c>
    </row>
    <row r="783" spans="1:16">
      <c r="A783">
        <v>74.489999999999995</v>
      </c>
      <c r="B783">
        <v>3</v>
      </c>
      <c r="C783" t="s">
        <v>2897</v>
      </c>
      <c r="D783" t="s">
        <v>2898</v>
      </c>
      <c r="E783" t="s">
        <v>811</v>
      </c>
      <c r="F783" t="s">
        <v>1318</v>
      </c>
      <c r="G783" t="s">
        <v>807</v>
      </c>
      <c r="H783" t="s">
        <v>338</v>
      </c>
      <c r="I783" t="s">
        <v>82</v>
      </c>
      <c r="J783">
        <v>24.83</v>
      </c>
      <c r="K783" s="1">
        <v>46170</v>
      </c>
      <c r="L783" t="s">
        <v>105</v>
      </c>
      <c r="M783">
        <v>28</v>
      </c>
      <c r="N783">
        <v>5</v>
      </c>
      <c r="O783">
        <v>2</v>
      </c>
      <c r="P783">
        <v>2026</v>
      </c>
    </row>
    <row r="784" spans="1:16">
      <c r="A784">
        <v>43.84</v>
      </c>
      <c r="B784">
        <v>1</v>
      </c>
      <c r="C784" t="s">
        <v>2092</v>
      </c>
      <c r="D784" t="s">
        <v>2093</v>
      </c>
      <c r="E784" t="s">
        <v>1016</v>
      </c>
      <c r="F784" t="s">
        <v>151</v>
      </c>
      <c r="G784" t="s">
        <v>1003</v>
      </c>
      <c r="H784" t="s">
        <v>335</v>
      </c>
      <c r="I784" t="s">
        <v>37</v>
      </c>
      <c r="J784">
        <v>43.84</v>
      </c>
      <c r="K784" s="1">
        <v>46017</v>
      </c>
      <c r="L784" t="s">
        <v>79</v>
      </c>
      <c r="M784">
        <v>26</v>
      </c>
      <c r="N784">
        <v>12</v>
      </c>
      <c r="O784">
        <v>4</v>
      </c>
      <c r="P784">
        <v>2025</v>
      </c>
    </row>
    <row r="785" spans="1:16">
      <c r="A785">
        <v>152.05000000000001</v>
      </c>
      <c r="B785">
        <v>5</v>
      </c>
      <c r="C785" t="s">
        <v>2781</v>
      </c>
      <c r="D785" t="s">
        <v>2782</v>
      </c>
      <c r="E785" t="s">
        <v>2419</v>
      </c>
      <c r="F785" t="s">
        <v>136</v>
      </c>
      <c r="G785" t="s">
        <v>776</v>
      </c>
      <c r="H785" t="s">
        <v>718</v>
      </c>
      <c r="I785" t="s">
        <v>21</v>
      </c>
      <c r="J785">
        <v>30.41</v>
      </c>
      <c r="K785" s="1">
        <v>45757</v>
      </c>
      <c r="L785" t="s">
        <v>105</v>
      </c>
      <c r="M785">
        <v>10</v>
      </c>
      <c r="N785">
        <v>4</v>
      </c>
      <c r="O785">
        <v>2</v>
      </c>
      <c r="P785">
        <v>2025</v>
      </c>
    </row>
    <row r="786" spans="1:16">
      <c r="A786">
        <v>63.099999999999994</v>
      </c>
      <c r="B786">
        <v>5</v>
      </c>
      <c r="C786" t="s">
        <v>2469</v>
      </c>
      <c r="D786" t="s">
        <v>2470</v>
      </c>
      <c r="E786" t="s">
        <v>2471</v>
      </c>
      <c r="F786" t="s">
        <v>985</v>
      </c>
      <c r="G786" t="s">
        <v>817</v>
      </c>
      <c r="H786" t="s">
        <v>256</v>
      </c>
      <c r="I786" t="s">
        <v>31</v>
      </c>
      <c r="J786">
        <v>12.62</v>
      </c>
      <c r="K786" s="1">
        <v>46167</v>
      </c>
      <c r="L786" t="s">
        <v>93</v>
      </c>
      <c r="M786">
        <v>25</v>
      </c>
      <c r="N786">
        <v>5</v>
      </c>
      <c r="O786">
        <v>2</v>
      </c>
      <c r="P786">
        <v>2026</v>
      </c>
    </row>
    <row r="787" spans="1:16">
      <c r="A787">
        <v>31.24</v>
      </c>
      <c r="B787">
        <v>4</v>
      </c>
      <c r="C787" t="s">
        <v>2653</v>
      </c>
      <c r="D787" t="s">
        <v>2654</v>
      </c>
      <c r="E787" t="s">
        <v>2315</v>
      </c>
      <c r="F787" t="s">
        <v>780</v>
      </c>
      <c r="G787" t="s">
        <v>781</v>
      </c>
      <c r="H787" t="s">
        <v>532</v>
      </c>
      <c r="I787" t="s">
        <v>55</v>
      </c>
      <c r="J787">
        <v>7.81</v>
      </c>
      <c r="K787" s="1">
        <v>46100</v>
      </c>
      <c r="L787" t="s">
        <v>105</v>
      </c>
      <c r="M787">
        <v>19</v>
      </c>
      <c r="N787">
        <v>3</v>
      </c>
      <c r="O787">
        <v>1</v>
      </c>
      <c r="P787">
        <v>2026</v>
      </c>
    </row>
    <row r="788" spans="1:16">
      <c r="A788">
        <v>56.2</v>
      </c>
      <c r="B788">
        <v>4</v>
      </c>
      <c r="C788" t="s">
        <v>1732</v>
      </c>
      <c r="D788" t="s">
        <v>1733</v>
      </c>
      <c r="E788" t="s">
        <v>1734</v>
      </c>
      <c r="F788" t="s">
        <v>15</v>
      </c>
      <c r="G788" t="s">
        <v>834</v>
      </c>
      <c r="H788" t="s">
        <v>435</v>
      </c>
      <c r="I788" t="s">
        <v>51</v>
      </c>
      <c r="J788">
        <v>14.05</v>
      </c>
      <c r="K788" s="1">
        <v>45843</v>
      </c>
      <c r="L788" t="s">
        <v>14</v>
      </c>
      <c r="M788">
        <v>5</v>
      </c>
      <c r="N788">
        <v>7</v>
      </c>
      <c r="O788">
        <v>3</v>
      </c>
      <c r="P788">
        <v>2025</v>
      </c>
    </row>
    <row r="789" spans="1:16">
      <c r="A789">
        <v>209.56</v>
      </c>
      <c r="B789">
        <v>4</v>
      </c>
      <c r="C789" t="s">
        <v>1631</v>
      </c>
      <c r="D789" t="s">
        <v>1632</v>
      </c>
      <c r="E789" t="s">
        <v>1633</v>
      </c>
      <c r="F789" t="s">
        <v>136</v>
      </c>
      <c r="G789" t="s">
        <v>776</v>
      </c>
      <c r="H789" t="s">
        <v>358</v>
      </c>
      <c r="I789" t="s">
        <v>37</v>
      </c>
      <c r="J789">
        <v>52.39</v>
      </c>
      <c r="K789" s="1">
        <v>45908</v>
      </c>
      <c r="L789" t="s">
        <v>93</v>
      </c>
      <c r="M789">
        <v>8</v>
      </c>
      <c r="N789">
        <v>9</v>
      </c>
      <c r="O789">
        <v>3</v>
      </c>
      <c r="P789">
        <v>2025</v>
      </c>
    </row>
    <row r="790" spans="1:16">
      <c r="A790">
        <v>4.08</v>
      </c>
      <c r="B790">
        <v>4</v>
      </c>
      <c r="C790" t="s">
        <v>2914</v>
      </c>
      <c r="D790" t="s">
        <v>2915</v>
      </c>
      <c r="E790" t="s">
        <v>2503</v>
      </c>
      <c r="F790" t="s">
        <v>1061</v>
      </c>
      <c r="G790" t="s">
        <v>834</v>
      </c>
      <c r="H790" t="s">
        <v>477</v>
      </c>
      <c r="I790" t="s">
        <v>39</v>
      </c>
      <c r="J790">
        <v>1.02</v>
      </c>
      <c r="K790" s="1">
        <v>45655</v>
      </c>
      <c r="L790" t="s">
        <v>28</v>
      </c>
      <c r="M790">
        <v>29</v>
      </c>
      <c r="N790">
        <v>12</v>
      </c>
      <c r="O790">
        <v>4</v>
      </c>
      <c r="P790">
        <v>2024</v>
      </c>
    </row>
    <row r="791" spans="1:16">
      <c r="A791">
        <v>335.04</v>
      </c>
      <c r="B791">
        <v>3</v>
      </c>
      <c r="C791" t="s">
        <v>2454</v>
      </c>
      <c r="D791" t="s">
        <v>2455</v>
      </c>
      <c r="E791" t="s">
        <v>1447</v>
      </c>
      <c r="F791" t="s">
        <v>635</v>
      </c>
      <c r="G791" t="s">
        <v>768</v>
      </c>
      <c r="H791" t="s">
        <v>540</v>
      </c>
      <c r="I791" t="s">
        <v>19</v>
      </c>
      <c r="J791">
        <v>111.68</v>
      </c>
      <c r="K791" s="1">
        <v>45780</v>
      </c>
      <c r="L791" t="s">
        <v>14</v>
      </c>
      <c r="M791">
        <v>3</v>
      </c>
      <c r="N791">
        <v>5</v>
      </c>
      <c r="O791">
        <v>2</v>
      </c>
      <c r="P791">
        <v>2025</v>
      </c>
    </row>
    <row r="792" spans="1:16">
      <c r="A792">
        <v>9.01</v>
      </c>
      <c r="B792">
        <v>1</v>
      </c>
      <c r="C792" t="s">
        <v>2902</v>
      </c>
      <c r="D792" t="s">
        <v>2903</v>
      </c>
      <c r="E792" t="s">
        <v>2904</v>
      </c>
      <c r="F792" t="s">
        <v>160</v>
      </c>
      <c r="G792" t="s">
        <v>790</v>
      </c>
      <c r="H792" t="s">
        <v>455</v>
      </c>
      <c r="I792" t="s">
        <v>69</v>
      </c>
      <c r="J792">
        <v>9.01</v>
      </c>
      <c r="K792" s="1">
        <v>45889</v>
      </c>
      <c r="L792" t="s">
        <v>34</v>
      </c>
      <c r="M792">
        <v>20</v>
      </c>
      <c r="N792">
        <v>8</v>
      </c>
      <c r="O792">
        <v>3</v>
      </c>
      <c r="P792">
        <v>2025</v>
      </c>
    </row>
    <row r="793" spans="1:16">
      <c r="A793">
        <v>234.7</v>
      </c>
      <c r="B793">
        <v>5</v>
      </c>
      <c r="C793" t="s">
        <v>3074</v>
      </c>
      <c r="D793" t="s">
        <v>3075</v>
      </c>
      <c r="E793" t="s">
        <v>2272</v>
      </c>
      <c r="F793" t="s">
        <v>414</v>
      </c>
      <c r="G793" t="s">
        <v>795</v>
      </c>
      <c r="H793" t="s">
        <v>365</v>
      </c>
      <c r="I793" t="s">
        <v>51</v>
      </c>
      <c r="J793">
        <v>46.94</v>
      </c>
      <c r="K793" s="1">
        <v>45648</v>
      </c>
      <c r="L793" t="s">
        <v>28</v>
      </c>
      <c r="M793">
        <v>22</v>
      </c>
      <c r="N793">
        <v>12</v>
      </c>
      <c r="O793">
        <v>4</v>
      </c>
      <c r="P793">
        <v>2024</v>
      </c>
    </row>
    <row r="794" spans="1:16">
      <c r="A794">
        <v>713.16</v>
      </c>
      <c r="B794">
        <v>3</v>
      </c>
      <c r="C794" t="s">
        <v>2792</v>
      </c>
      <c r="D794" t="s">
        <v>2793</v>
      </c>
      <c r="E794" t="s">
        <v>2794</v>
      </c>
      <c r="F794" t="s">
        <v>548</v>
      </c>
      <c r="G794" t="s">
        <v>790</v>
      </c>
      <c r="H794" t="s">
        <v>343</v>
      </c>
      <c r="I794" t="s">
        <v>46</v>
      </c>
      <c r="J794">
        <v>237.72</v>
      </c>
      <c r="K794" s="1">
        <v>46056</v>
      </c>
      <c r="L794" t="s">
        <v>48</v>
      </c>
      <c r="M794">
        <v>3</v>
      </c>
      <c r="N794">
        <v>2</v>
      </c>
      <c r="O794">
        <v>1</v>
      </c>
      <c r="P794">
        <v>2026</v>
      </c>
    </row>
    <row r="795" spans="1:16">
      <c r="A795">
        <v>511.70000000000005</v>
      </c>
      <c r="B795">
        <v>5</v>
      </c>
      <c r="C795" t="s">
        <v>1728</v>
      </c>
      <c r="D795" t="s">
        <v>1729</v>
      </c>
      <c r="E795" t="s">
        <v>1140</v>
      </c>
      <c r="F795" t="s">
        <v>1525</v>
      </c>
      <c r="G795" t="s">
        <v>763</v>
      </c>
      <c r="H795" t="s">
        <v>538</v>
      </c>
      <c r="I795" t="s">
        <v>43</v>
      </c>
      <c r="J795">
        <v>102.34</v>
      </c>
      <c r="K795" s="1">
        <v>46105</v>
      </c>
      <c r="L795" t="s">
        <v>48</v>
      </c>
      <c r="M795">
        <v>24</v>
      </c>
      <c r="N795">
        <v>3</v>
      </c>
      <c r="O795">
        <v>1</v>
      </c>
      <c r="P795">
        <v>2026</v>
      </c>
    </row>
    <row r="796" spans="1:16">
      <c r="A796">
        <v>7.9</v>
      </c>
      <c r="B796">
        <v>2</v>
      </c>
      <c r="C796" t="s">
        <v>1328</v>
      </c>
      <c r="D796" t="s">
        <v>1329</v>
      </c>
      <c r="E796" t="s">
        <v>1330</v>
      </c>
      <c r="F796" t="s">
        <v>883</v>
      </c>
      <c r="G796" t="s">
        <v>807</v>
      </c>
      <c r="H796" t="s">
        <v>187</v>
      </c>
      <c r="I796" t="s">
        <v>60</v>
      </c>
      <c r="J796">
        <v>3.95</v>
      </c>
      <c r="K796" s="1">
        <v>46033</v>
      </c>
      <c r="L796" t="s">
        <v>28</v>
      </c>
      <c r="M796">
        <v>11</v>
      </c>
      <c r="N796">
        <v>1</v>
      </c>
      <c r="O796">
        <v>1</v>
      </c>
      <c r="P796">
        <v>2026</v>
      </c>
    </row>
    <row r="797" spans="1:16">
      <c r="A797">
        <v>674.95</v>
      </c>
      <c r="B797">
        <v>5</v>
      </c>
      <c r="C797" t="s">
        <v>2437</v>
      </c>
      <c r="D797" t="s">
        <v>2438</v>
      </c>
      <c r="E797" t="s">
        <v>1025</v>
      </c>
      <c r="F797" t="s">
        <v>1111</v>
      </c>
      <c r="G797" t="s">
        <v>981</v>
      </c>
      <c r="H797" t="s">
        <v>428</v>
      </c>
      <c r="I797" t="s">
        <v>31</v>
      </c>
      <c r="J797">
        <v>134.99</v>
      </c>
      <c r="K797" s="1">
        <v>45787</v>
      </c>
      <c r="L797" t="s">
        <v>14</v>
      </c>
      <c r="M797">
        <v>10</v>
      </c>
      <c r="N797">
        <v>5</v>
      </c>
      <c r="O797">
        <v>2</v>
      </c>
      <c r="P797">
        <v>2025</v>
      </c>
    </row>
    <row r="798" spans="1:16">
      <c r="A798">
        <v>70.22</v>
      </c>
      <c r="B798">
        <v>2</v>
      </c>
      <c r="C798" t="s">
        <v>2869</v>
      </c>
      <c r="D798" t="s">
        <v>2870</v>
      </c>
      <c r="E798" t="s">
        <v>1616</v>
      </c>
      <c r="F798" t="s">
        <v>64</v>
      </c>
      <c r="G798" t="s">
        <v>892</v>
      </c>
      <c r="H798" t="s">
        <v>400</v>
      </c>
      <c r="I798" t="s">
        <v>57</v>
      </c>
      <c r="J798">
        <v>35.11</v>
      </c>
      <c r="K798" s="1">
        <v>45966</v>
      </c>
      <c r="L798" t="s">
        <v>34</v>
      </c>
      <c r="M798">
        <v>5</v>
      </c>
      <c r="N798">
        <v>11</v>
      </c>
      <c r="O798">
        <v>4</v>
      </c>
      <c r="P798">
        <v>2025</v>
      </c>
    </row>
    <row r="799" spans="1:16">
      <c r="A799">
        <v>652.91999999999996</v>
      </c>
      <c r="B799">
        <v>4</v>
      </c>
      <c r="C799" t="s">
        <v>1601</v>
      </c>
      <c r="D799" t="s">
        <v>1602</v>
      </c>
      <c r="E799" t="s">
        <v>1603</v>
      </c>
      <c r="F799" t="s">
        <v>1339</v>
      </c>
      <c r="G799" t="s">
        <v>1247</v>
      </c>
      <c r="H799" t="s">
        <v>593</v>
      </c>
      <c r="I799" t="s">
        <v>97</v>
      </c>
      <c r="J799">
        <v>163.22999999999999</v>
      </c>
      <c r="K799" s="1">
        <v>45966</v>
      </c>
      <c r="L799" t="s">
        <v>34</v>
      </c>
      <c r="M799">
        <v>5</v>
      </c>
      <c r="N799">
        <v>11</v>
      </c>
      <c r="O799">
        <v>4</v>
      </c>
      <c r="P799">
        <v>2025</v>
      </c>
    </row>
    <row r="800" spans="1:16">
      <c r="A800">
        <v>5.15</v>
      </c>
      <c r="B800">
        <v>5</v>
      </c>
      <c r="C800" t="s">
        <v>3510</v>
      </c>
      <c r="D800" t="s">
        <v>3388</v>
      </c>
      <c r="E800" t="s">
        <v>3511</v>
      </c>
      <c r="F800" t="s">
        <v>1533</v>
      </c>
      <c r="G800" t="s">
        <v>781</v>
      </c>
      <c r="H800" t="s">
        <v>711</v>
      </c>
      <c r="I800" t="s">
        <v>122</v>
      </c>
      <c r="J800">
        <v>1.03</v>
      </c>
      <c r="K800" s="1">
        <v>46269</v>
      </c>
      <c r="L800" t="s">
        <v>79</v>
      </c>
      <c r="M800">
        <v>4</v>
      </c>
      <c r="N800">
        <v>9</v>
      </c>
      <c r="O800">
        <v>3</v>
      </c>
      <c r="P800">
        <v>2026</v>
      </c>
    </row>
    <row r="801" spans="1:16">
      <c r="A801">
        <v>180.84</v>
      </c>
      <c r="B801">
        <v>4</v>
      </c>
      <c r="C801" t="s">
        <v>1951</v>
      </c>
      <c r="D801" t="s">
        <v>1952</v>
      </c>
      <c r="E801" t="s">
        <v>1953</v>
      </c>
      <c r="F801" t="s">
        <v>1882</v>
      </c>
      <c r="G801" t="s">
        <v>795</v>
      </c>
      <c r="H801" t="s">
        <v>542</v>
      </c>
      <c r="I801" t="s">
        <v>46</v>
      </c>
      <c r="J801">
        <v>45.21</v>
      </c>
      <c r="K801" s="1">
        <v>46138</v>
      </c>
      <c r="L801" t="s">
        <v>28</v>
      </c>
      <c r="M801">
        <v>26</v>
      </c>
      <c r="N801">
        <v>4</v>
      </c>
      <c r="O801">
        <v>2</v>
      </c>
      <c r="P801">
        <v>2026</v>
      </c>
    </row>
    <row r="802" spans="1:16">
      <c r="A802">
        <v>27.4</v>
      </c>
      <c r="B802">
        <v>4</v>
      </c>
      <c r="C802" t="s">
        <v>3001</v>
      </c>
      <c r="D802" t="s">
        <v>3002</v>
      </c>
      <c r="E802" t="s">
        <v>1231</v>
      </c>
      <c r="F802" t="s">
        <v>1302</v>
      </c>
      <c r="G802" t="s">
        <v>786</v>
      </c>
      <c r="H802" t="s">
        <v>673</v>
      </c>
      <c r="I802" t="s">
        <v>100</v>
      </c>
      <c r="J802">
        <v>6.85</v>
      </c>
      <c r="K802" s="1">
        <v>45805</v>
      </c>
      <c r="L802" t="s">
        <v>34</v>
      </c>
      <c r="M802">
        <v>28</v>
      </c>
      <c r="N802">
        <v>5</v>
      </c>
      <c r="O802">
        <v>2</v>
      </c>
      <c r="P802">
        <v>2025</v>
      </c>
    </row>
    <row r="803" spans="1:16">
      <c r="A803">
        <v>49.56</v>
      </c>
      <c r="B803">
        <v>3</v>
      </c>
      <c r="C803" t="s">
        <v>2215</v>
      </c>
      <c r="D803" t="s">
        <v>2216</v>
      </c>
      <c r="E803" t="s">
        <v>1821</v>
      </c>
      <c r="F803" t="s">
        <v>965</v>
      </c>
      <c r="G803" t="s">
        <v>839</v>
      </c>
      <c r="H803" t="s">
        <v>339</v>
      </c>
      <c r="I803" t="s">
        <v>19</v>
      </c>
      <c r="J803">
        <v>16.52</v>
      </c>
      <c r="K803" s="1">
        <v>46094</v>
      </c>
      <c r="L803" t="s">
        <v>79</v>
      </c>
      <c r="M803">
        <v>13</v>
      </c>
      <c r="N803">
        <v>3</v>
      </c>
      <c r="O803">
        <v>1</v>
      </c>
      <c r="P803">
        <v>2026</v>
      </c>
    </row>
    <row r="804" spans="1:16">
      <c r="A804">
        <v>549.88</v>
      </c>
      <c r="B804">
        <v>4</v>
      </c>
      <c r="C804" t="s">
        <v>3373</v>
      </c>
      <c r="D804" t="s">
        <v>3374</v>
      </c>
      <c r="E804" t="s">
        <v>2754</v>
      </c>
      <c r="F804" t="s">
        <v>211</v>
      </c>
      <c r="G804" t="s">
        <v>966</v>
      </c>
      <c r="H804" t="s">
        <v>379</v>
      </c>
      <c r="I804" t="s">
        <v>69</v>
      </c>
      <c r="J804">
        <v>137.47</v>
      </c>
      <c r="K804" s="1">
        <v>45720</v>
      </c>
      <c r="L804" t="s">
        <v>48</v>
      </c>
      <c r="M804">
        <v>4</v>
      </c>
      <c r="N804">
        <v>3</v>
      </c>
      <c r="O804">
        <v>1</v>
      </c>
      <c r="P804">
        <v>2025</v>
      </c>
    </row>
    <row r="805" spans="1:16">
      <c r="A805">
        <v>615.81000000000006</v>
      </c>
      <c r="B805">
        <v>3</v>
      </c>
      <c r="C805" t="s">
        <v>3034</v>
      </c>
      <c r="D805" t="s">
        <v>3035</v>
      </c>
      <c r="E805" t="s">
        <v>2354</v>
      </c>
      <c r="F805" t="s">
        <v>380</v>
      </c>
      <c r="G805" t="s">
        <v>896</v>
      </c>
      <c r="H805" t="s">
        <v>404</v>
      </c>
      <c r="I805" t="s">
        <v>37</v>
      </c>
      <c r="J805">
        <v>205.27</v>
      </c>
      <c r="K805" s="1">
        <v>45663</v>
      </c>
      <c r="L805" t="s">
        <v>93</v>
      </c>
      <c r="M805">
        <v>6</v>
      </c>
      <c r="N805">
        <v>1</v>
      </c>
      <c r="O805">
        <v>1</v>
      </c>
      <c r="P805">
        <v>2025</v>
      </c>
    </row>
    <row r="806" spans="1:16">
      <c r="A806">
        <v>219.68</v>
      </c>
      <c r="B806">
        <v>2</v>
      </c>
      <c r="C806" t="s">
        <v>1435</v>
      </c>
      <c r="D806" t="s">
        <v>1436</v>
      </c>
      <c r="E806" t="s">
        <v>1437</v>
      </c>
      <c r="F806" t="s">
        <v>387</v>
      </c>
      <c r="G806" t="s">
        <v>821</v>
      </c>
      <c r="H806" t="s">
        <v>663</v>
      </c>
      <c r="I806" t="s">
        <v>27</v>
      </c>
      <c r="J806">
        <v>109.84</v>
      </c>
      <c r="K806" s="1">
        <v>45989</v>
      </c>
      <c r="L806" t="s">
        <v>79</v>
      </c>
      <c r="M806">
        <v>28</v>
      </c>
      <c r="N806">
        <v>11</v>
      </c>
      <c r="O806">
        <v>4</v>
      </c>
      <c r="P806">
        <v>2025</v>
      </c>
    </row>
    <row r="807" spans="1:16">
      <c r="A807">
        <v>11.46</v>
      </c>
      <c r="B807">
        <v>2</v>
      </c>
      <c r="C807" t="s">
        <v>2504</v>
      </c>
      <c r="D807" t="s">
        <v>2505</v>
      </c>
      <c r="E807" t="s">
        <v>1452</v>
      </c>
      <c r="F807" t="s">
        <v>1339</v>
      </c>
      <c r="G807" t="s">
        <v>1247</v>
      </c>
      <c r="H807" t="s">
        <v>407</v>
      </c>
      <c r="I807" t="s">
        <v>21</v>
      </c>
      <c r="J807">
        <v>5.73</v>
      </c>
      <c r="K807" s="1">
        <v>45807</v>
      </c>
      <c r="L807" t="s">
        <v>79</v>
      </c>
      <c r="M807">
        <v>30</v>
      </c>
      <c r="N807">
        <v>5</v>
      </c>
      <c r="O807">
        <v>2</v>
      </c>
      <c r="P807">
        <v>2025</v>
      </c>
    </row>
    <row r="808" spans="1:16">
      <c r="A808">
        <v>204.25</v>
      </c>
      <c r="B808">
        <v>1</v>
      </c>
      <c r="C808" t="s">
        <v>2564</v>
      </c>
      <c r="D808" t="s">
        <v>2565</v>
      </c>
      <c r="E808" t="s">
        <v>2566</v>
      </c>
      <c r="F808" t="s">
        <v>280</v>
      </c>
      <c r="G808" t="s">
        <v>812</v>
      </c>
      <c r="H808" t="s">
        <v>341</v>
      </c>
      <c r="I808" t="s">
        <v>21</v>
      </c>
      <c r="J808">
        <v>204.25</v>
      </c>
      <c r="K808" s="1">
        <v>45674</v>
      </c>
      <c r="L808" t="s">
        <v>79</v>
      </c>
      <c r="M808">
        <v>17</v>
      </c>
      <c r="N808">
        <v>1</v>
      </c>
      <c r="O808">
        <v>1</v>
      </c>
      <c r="P808">
        <v>2025</v>
      </c>
    </row>
    <row r="809" spans="1:16">
      <c r="A809">
        <v>195.99</v>
      </c>
      <c r="B809">
        <v>3</v>
      </c>
      <c r="C809" t="s">
        <v>1221</v>
      </c>
      <c r="D809" t="s">
        <v>1222</v>
      </c>
      <c r="E809" t="s">
        <v>1098</v>
      </c>
      <c r="F809" t="s">
        <v>802</v>
      </c>
      <c r="G809" t="s">
        <v>748</v>
      </c>
      <c r="H809" t="s">
        <v>189</v>
      </c>
      <c r="I809" t="s">
        <v>43</v>
      </c>
      <c r="J809">
        <v>65.33</v>
      </c>
      <c r="K809" s="1">
        <v>45711</v>
      </c>
      <c r="L809" t="s">
        <v>28</v>
      </c>
      <c r="M809">
        <v>23</v>
      </c>
      <c r="N809">
        <v>2</v>
      </c>
      <c r="O809">
        <v>1</v>
      </c>
      <c r="P809">
        <v>2025</v>
      </c>
    </row>
    <row r="810" spans="1:16">
      <c r="A810">
        <v>79.13</v>
      </c>
      <c r="B810">
        <v>1</v>
      </c>
      <c r="C810" t="s">
        <v>1275</v>
      </c>
      <c r="D810" t="s">
        <v>1276</v>
      </c>
      <c r="E810" t="s">
        <v>1245</v>
      </c>
      <c r="F810" t="s">
        <v>965</v>
      </c>
      <c r="G810" t="s">
        <v>839</v>
      </c>
      <c r="H810" t="s">
        <v>83</v>
      </c>
      <c r="I810" t="s">
        <v>51</v>
      </c>
      <c r="J810">
        <v>79.13</v>
      </c>
      <c r="K810" s="1">
        <v>45868</v>
      </c>
      <c r="L810" t="s">
        <v>34</v>
      </c>
      <c r="M810">
        <v>30</v>
      </c>
      <c r="N810">
        <v>7</v>
      </c>
      <c r="O810">
        <v>3</v>
      </c>
      <c r="P810">
        <v>2025</v>
      </c>
    </row>
    <row r="811" spans="1:16">
      <c r="A811">
        <v>19.579999999999998</v>
      </c>
      <c r="B811">
        <v>2</v>
      </c>
      <c r="C811" t="s">
        <v>2807</v>
      </c>
      <c r="D811" t="s">
        <v>2808</v>
      </c>
      <c r="E811" t="s">
        <v>2809</v>
      </c>
      <c r="F811" t="s">
        <v>1607</v>
      </c>
      <c r="G811" t="s">
        <v>839</v>
      </c>
      <c r="H811" t="s">
        <v>374</v>
      </c>
      <c r="I811" t="s">
        <v>19</v>
      </c>
      <c r="J811">
        <v>9.7899999999999991</v>
      </c>
      <c r="K811" s="1">
        <v>45689</v>
      </c>
      <c r="L811" t="s">
        <v>14</v>
      </c>
      <c r="M811">
        <v>1</v>
      </c>
      <c r="N811">
        <v>2</v>
      </c>
      <c r="O811">
        <v>1</v>
      </c>
      <c r="P811">
        <v>2025</v>
      </c>
    </row>
    <row r="812" spans="1:16">
      <c r="A812">
        <v>131.25</v>
      </c>
      <c r="B812">
        <v>3</v>
      </c>
      <c r="C812" t="s">
        <v>1486</v>
      </c>
      <c r="D812" t="s">
        <v>1487</v>
      </c>
      <c r="E812" t="s">
        <v>1042</v>
      </c>
      <c r="F812" t="s">
        <v>196</v>
      </c>
      <c r="G812" t="s">
        <v>830</v>
      </c>
      <c r="H812" t="s">
        <v>386</v>
      </c>
      <c r="I812" t="s">
        <v>21</v>
      </c>
      <c r="J812">
        <v>43.75</v>
      </c>
      <c r="K812" s="1">
        <v>45921</v>
      </c>
      <c r="L812" t="s">
        <v>28</v>
      </c>
      <c r="M812">
        <v>21</v>
      </c>
      <c r="N812">
        <v>9</v>
      </c>
      <c r="O812">
        <v>3</v>
      </c>
      <c r="P812">
        <v>2025</v>
      </c>
    </row>
    <row r="813" spans="1:16">
      <c r="A813">
        <v>104.12</v>
      </c>
      <c r="B813">
        <v>1</v>
      </c>
      <c r="C813" t="s">
        <v>2879</v>
      </c>
      <c r="D813" t="s">
        <v>2880</v>
      </c>
      <c r="E813" t="s">
        <v>2881</v>
      </c>
      <c r="F813" t="s">
        <v>151</v>
      </c>
      <c r="G813" t="s">
        <v>1003</v>
      </c>
      <c r="H813" t="s">
        <v>620</v>
      </c>
      <c r="I813" t="s">
        <v>21</v>
      </c>
      <c r="J813">
        <v>104.12</v>
      </c>
      <c r="K813" s="1">
        <v>46040</v>
      </c>
      <c r="L813" t="s">
        <v>28</v>
      </c>
      <c r="M813">
        <v>18</v>
      </c>
      <c r="N813">
        <v>1</v>
      </c>
      <c r="O813">
        <v>1</v>
      </c>
      <c r="P813">
        <v>2026</v>
      </c>
    </row>
    <row r="814" spans="1:16">
      <c r="A814">
        <v>191.25</v>
      </c>
      <c r="B814">
        <v>3</v>
      </c>
      <c r="C814" t="s">
        <v>1138</v>
      </c>
      <c r="D814" t="s">
        <v>1139</v>
      </c>
      <c r="E814" t="s">
        <v>1140</v>
      </c>
      <c r="F814" t="s">
        <v>666</v>
      </c>
      <c r="G814" t="s">
        <v>954</v>
      </c>
      <c r="H814" t="s">
        <v>418</v>
      </c>
      <c r="I814" t="s">
        <v>43</v>
      </c>
      <c r="J814">
        <v>63.75</v>
      </c>
      <c r="K814" s="1">
        <v>45658</v>
      </c>
      <c r="L814" t="s">
        <v>34</v>
      </c>
      <c r="M814">
        <v>1</v>
      </c>
      <c r="N814">
        <v>1</v>
      </c>
      <c r="O814">
        <v>1</v>
      </c>
      <c r="P814">
        <v>2025</v>
      </c>
    </row>
    <row r="815" spans="1:16">
      <c r="A815">
        <v>121.82</v>
      </c>
      <c r="B815">
        <v>2</v>
      </c>
      <c r="C815" t="s">
        <v>2389</v>
      </c>
      <c r="D815" t="s">
        <v>2390</v>
      </c>
      <c r="E815" t="s">
        <v>1925</v>
      </c>
      <c r="F815" t="s">
        <v>816</v>
      </c>
      <c r="G815" t="s">
        <v>817</v>
      </c>
      <c r="H815" t="s">
        <v>550</v>
      </c>
      <c r="I815" t="s">
        <v>55</v>
      </c>
      <c r="J815">
        <v>60.91</v>
      </c>
      <c r="K815" s="1">
        <v>45721</v>
      </c>
      <c r="L815" t="s">
        <v>34</v>
      </c>
      <c r="M815">
        <v>5</v>
      </c>
      <c r="N815">
        <v>3</v>
      </c>
      <c r="O815">
        <v>1</v>
      </c>
      <c r="P815">
        <v>2025</v>
      </c>
    </row>
    <row r="816" spans="1:16">
      <c r="A816">
        <v>185.67</v>
      </c>
      <c r="B816">
        <v>1</v>
      </c>
      <c r="C816" t="s">
        <v>1799</v>
      </c>
      <c r="D816" t="s">
        <v>1800</v>
      </c>
      <c r="E816" t="s">
        <v>1801</v>
      </c>
      <c r="F816" t="s">
        <v>883</v>
      </c>
      <c r="G816" t="s">
        <v>807</v>
      </c>
      <c r="H816" t="s">
        <v>720</v>
      </c>
      <c r="I816" t="s">
        <v>100</v>
      </c>
      <c r="J816">
        <v>185.67</v>
      </c>
      <c r="K816" s="1">
        <v>46061</v>
      </c>
      <c r="L816" t="s">
        <v>28</v>
      </c>
      <c r="M816">
        <v>8</v>
      </c>
      <c r="N816">
        <v>2</v>
      </c>
      <c r="O816">
        <v>1</v>
      </c>
      <c r="P816">
        <v>2026</v>
      </c>
    </row>
    <row r="817" spans="1:16">
      <c r="A817">
        <v>729.48</v>
      </c>
      <c r="B817">
        <v>4</v>
      </c>
      <c r="C817" t="s">
        <v>2951</v>
      </c>
      <c r="D817" t="s">
        <v>2952</v>
      </c>
      <c r="E817" t="s">
        <v>969</v>
      </c>
      <c r="F817" t="s">
        <v>853</v>
      </c>
      <c r="G817" t="s">
        <v>854</v>
      </c>
      <c r="H817" t="s">
        <v>661</v>
      </c>
      <c r="I817" t="s">
        <v>122</v>
      </c>
      <c r="J817">
        <v>182.37</v>
      </c>
      <c r="K817" s="1">
        <v>45816</v>
      </c>
      <c r="L817" t="s">
        <v>28</v>
      </c>
      <c r="M817">
        <v>8</v>
      </c>
      <c r="N817">
        <v>6</v>
      </c>
      <c r="O817">
        <v>2</v>
      </c>
      <c r="P817">
        <v>2025</v>
      </c>
    </row>
    <row r="818" spans="1:16">
      <c r="A818">
        <v>14.29</v>
      </c>
      <c r="B818">
        <v>1</v>
      </c>
      <c r="C818" t="s">
        <v>1942</v>
      </c>
      <c r="D818" t="s">
        <v>1943</v>
      </c>
      <c r="E818" t="s">
        <v>1195</v>
      </c>
      <c r="F818" t="s">
        <v>1944</v>
      </c>
      <c r="G818" t="s">
        <v>1003</v>
      </c>
      <c r="H818" t="s">
        <v>170</v>
      </c>
      <c r="I818" t="s">
        <v>82</v>
      </c>
      <c r="J818">
        <v>14.29</v>
      </c>
      <c r="K818" s="1">
        <v>45790</v>
      </c>
      <c r="L818" t="s">
        <v>48</v>
      </c>
      <c r="M818">
        <v>13</v>
      </c>
      <c r="N818">
        <v>5</v>
      </c>
      <c r="O818">
        <v>2</v>
      </c>
      <c r="P818">
        <v>2025</v>
      </c>
    </row>
    <row r="819" spans="1:16">
      <c r="A819">
        <v>339.04</v>
      </c>
      <c r="B819">
        <v>4</v>
      </c>
      <c r="C819" t="s">
        <v>1402</v>
      </c>
      <c r="D819" t="s">
        <v>1403</v>
      </c>
      <c r="E819" t="s">
        <v>1404</v>
      </c>
      <c r="F819" t="s">
        <v>691</v>
      </c>
      <c r="G819" t="s">
        <v>776</v>
      </c>
      <c r="H819" t="s">
        <v>363</v>
      </c>
      <c r="I819" t="s">
        <v>100</v>
      </c>
      <c r="J819">
        <v>84.76</v>
      </c>
      <c r="K819" s="1">
        <v>46180</v>
      </c>
      <c r="L819" t="s">
        <v>28</v>
      </c>
      <c r="M819">
        <v>7</v>
      </c>
      <c r="N819">
        <v>6</v>
      </c>
      <c r="O819">
        <v>2</v>
      </c>
      <c r="P819">
        <v>2026</v>
      </c>
    </row>
    <row r="820" spans="1:16">
      <c r="A820">
        <v>818.2</v>
      </c>
      <c r="B820">
        <v>4</v>
      </c>
      <c r="C820" t="s">
        <v>2151</v>
      </c>
      <c r="D820" t="s">
        <v>2152</v>
      </c>
      <c r="E820" t="s">
        <v>2153</v>
      </c>
      <c r="F820" t="s">
        <v>2154</v>
      </c>
      <c r="G820" t="s">
        <v>1003</v>
      </c>
      <c r="H820" t="s">
        <v>323</v>
      </c>
      <c r="I820" t="s">
        <v>100</v>
      </c>
      <c r="J820">
        <v>204.55</v>
      </c>
      <c r="K820" s="1">
        <v>46260</v>
      </c>
      <c r="L820" t="s">
        <v>34</v>
      </c>
      <c r="M820">
        <v>26</v>
      </c>
      <c r="N820">
        <v>8</v>
      </c>
      <c r="O820">
        <v>3</v>
      </c>
      <c r="P820">
        <v>2026</v>
      </c>
    </row>
    <row r="821" spans="1:16">
      <c r="A821">
        <v>437.49</v>
      </c>
      <c r="B821">
        <v>3</v>
      </c>
      <c r="C821" t="s">
        <v>2700</v>
      </c>
      <c r="D821" t="s">
        <v>2701</v>
      </c>
      <c r="E821" t="s">
        <v>1688</v>
      </c>
      <c r="F821" t="s">
        <v>635</v>
      </c>
      <c r="G821" t="s">
        <v>768</v>
      </c>
      <c r="H821" t="s">
        <v>171</v>
      </c>
      <c r="I821" t="s">
        <v>46</v>
      </c>
      <c r="J821">
        <v>145.83000000000001</v>
      </c>
      <c r="K821" s="1">
        <v>45675</v>
      </c>
      <c r="L821" t="s">
        <v>14</v>
      </c>
      <c r="M821">
        <v>18</v>
      </c>
      <c r="N821">
        <v>1</v>
      </c>
      <c r="O821">
        <v>1</v>
      </c>
      <c r="P821">
        <v>2025</v>
      </c>
    </row>
    <row r="822" spans="1:16">
      <c r="A822">
        <v>590.34</v>
      </c>
      <c r="B822">
        <v>3</v>
      </c>
      <c r="C822" t="s">
        <v>2766</v>
      </c>
      <c r="D822" t="s">
        <v>2767</v>
      </c>
      <c r="E822" t="s">
        <v>1709</v>
      </c>
      <c r="F822" t="s">
        <v>608</v>
      </c>
      <c r="G822" t="s">
        <v>966</v>
      </c>
      <c r="H822" t="s">
        <v>397</v>
      </c>
      <c r="I822" t="s">
        <v>31</v>
      </c>
      <c r="J822">
        <v>196.78</v>
      </c>
      <c r="K822" s="1">
        <v>46012</v>
      </c>
      <c r="L822" t="s">
        <v>28</v>
      </c>
      <c r="M822">
        <v>21</v>
      </c>
      <c r="N822">
        <v>12</v>
      </c>
      <c r="O822">
        <v>4</v>
      </c>
      <c r="P822">
        <v>2025</v>
      </c>
    </row>
    <row r="823" spans="1:16">
      <c r="A823">
        <v>131.12</v>
      </c>
      <c r="B823">
        <v>2</v>
      </c>
      <c r="C823" t="s">
        <v>2182</v>
      </c>
      <c r="D823" t="s">
        <v>2183</v>
      </c>
      <c r="E823" t="s">
        <v>2184</v>
      </c>
      <c r="F823" t="s">
        <v>838</v>
      </c>
      <c r="G823" t="s">
        <v>839</v>
      </c>
      <c r="H823" t="s">
        <v>291</v>
      </c>
      <c r="I823" t="s">
        <v>51</v>
      </c>
      <c r="J823">
        <v>65.56</v>
      </c>
      <c r="K823" s="1">
        <v>45896</v>
      </c>
      <c r="L823" t="s">
        <v>34</v>
      </c>
      <c r="M823">
        <v>27</v>
      </c>
      <c r="N823">
        <v>8</v>
      </c>
      <c r="O823">
        <v>3</v>
      </c>
      <c r="P823">
        <v>2025</v>
      </c>
    </row>
    <row r="824" spans="1:16">
      <c r="A824">
        <v>169.52</v>
      </c>
      <c r="B824">
        <v>2</v>
      </c>
      <c r="C824" t="s">
        <v>2398</v>
      </c>
      <c r="D824" t="s">
        <v>2399</v>
      </c>
      <c r="E824" t="s">
        <v>1452</v>
      </c>
      <c r="F824" t="s">
        <v>816</v>
      </c>
      <c r="G824" t="s">
        <v>817</v>
      </c>
      <c r="H824" t="s">
        <v>363</v>
      </c>
      <c r="I824" t="s">
        <v>100</v>
      </c>
      <c r="J824">
        <v>84.76</v>
      </c>
      <c r="K824" s="1">
        <v>45863</v>
      </c>
      <c r="L824" t="s">
        <v>79</v>
      </c>
      <c r="M824">
        <v>25</v>
      </c>
      <c r="N824">
        <v>7</v>
      </c>
      <c r="O824">
        <v>3</v>
      </c>
      <c r="P824">
        <v>2025</v>
      </c>
    </row>
    <row r="825" spans="1:16">
      <c r="A825">
        <v>953.05000000000007</v>
      </c>
      <c r="B825">
        <v>5</v>
      </c>
      <c r="C825" t="s">
        <v>1945</v>
      </c>
      <c r="D825" t="s">
        <v>1946</v>
      </c>
      <c r="E825" t="s">
        <v>1556</v>
      </c>
      <c r="F825" t="s">
        <v>1061</v>
      </c>
      <c r="G825" t="s">
        <v>834</v>
      </c>
      <c r="H825" t="s">
        <v>156</v>
      </c>
      <c r="I825" t="s">
        <v>57</v>
      </c>
      <c r="J825">
        <v>190.61</v>
      </c>
      <c r="K825" s="1">
        <v>45884</v>
      </c>
      <c r="L825" t="s">
        <v>79</v>
      </c>
      <c r="M825">
        <v>15</v>
      </c>
      <c r="N825">
        <v>8</v>
      </c>
      <c r="O825">
        <v>3</v>
      </c>
      <c r="P825">
        <v>2025</v>
      </c>
    </row>
    <row r="826" spans="1:16">
      <c r="A826">
        <v>215.16</v>
      </c>
      <c r="B826">
        <v>3</v>
      </c>
      <c r="C826" t="s">
        <v>2448</v>
      </c>
      <c r="D826" t="s">
        <v>2449</v>
      </c>
      <c r="E826" t="s">
        <v>1070</v>
      </c>
      <c r="F826" t="s">
        <v>961</v>
      </c>
      <c r="G826" t="s">
        <v>807</v>
      </c>
      <c r="H826" t="s">
        <v>141</v>
      </c>
      <c r="I826" t="s">
        <v>46</v>
      </c>
      <c r="J826">
        <v>71.72</v>
      </c>
      <c r="K826" s="1">
        <v>45560</v>
      </c>
      <c r="L826" t="s">
        <v>34</v>
      </c>
      <c r="M826">
        <v>25</v>
      </c>
      <c r="N826">
        <v>9</v>
      </c>
      <c r="O826">
        <v>3</v>
      </c>
      <c r="P826">
        <v>2024</v>
      </c>
    </row>
    <row r="827" spans="1:16">
      <c r="A827">
        <v>721.24</v>
      </c>
      <c r="B827">
        <v>4</v>
      </c>
      <c r="C827" t="s">
        <v>1218</v>
      </c>
      <c r="D827" t="s">
        <v>1219</v>
      </c>
      <c r="E827" t="s">
        <v>1220</v>
      </c>
      <c r="F827" t="s">
        <v>1206</v>
      </c>
      <c r="G827" t="s">
        <v>943</v>
      </c>
      <c r="H827" t="s">
        <v>643</v>
      </c>
      <c r="I827" t="s">
        <v>37</v>
      </c>
      <c r="J827">
        <v>180.31</v>
      </c>
      <c r="K827" s="1">
        <v>45790</v>
      </c>
      <c r="L827" t="s">
        <v>48</v>
      </c>
      <c r="M827">
        <v>13</v>
      </c>
      <c r="N827">
        <v>5</v>
      </c>
      <c r="O827">
        <v>2</v>
      </c>
      <c r="P827">
        <v>2025</v>
      </c>
    </row>
    <row r="828" spans="1:16">
      <c r="A828">
        <v>384.7</v>
      </c>
      <c r="B828">
        <v>5</v>
      </c>
      <c r="C828" t="s">
        <v>3409</v>
      </c>
      <c r="D828" t="s">
        <v>3410</v>
      </c>
      <c r="E828" t="s">
        <v>2306</v>
      </c>
      <c r="F828" t="s">
        <v>392</v>
      </c>
      <c r="G828" t="s">
        <v>943</v>
      </c>
      <c r="H828" t="s">
        <v>119</v>
      </c>
      <c r="I828" t="s">
        <v>60</v>
      </c>
      <c r="J828">
        <v>76.94</v>
      </c>
      <c r="K828" s="1">
        <v>45935</v>
      </c>
      <c r="L828" t="s">
        <v>28</v>
      </c>
      <c r="M828">
        <v>5</v>
      </c>
      <c r="N828">
        <v>10</v>
      </c>
      <c r="O828">
        <v>4</v>
      </c>
      <c r="P828">
        <v>2025</v>
      </c>
    </row>
    <row r="829" spans="1:16">
      <c r="A829">
        <v>457.48</v>
      </c>
      <c r="B829">
        <v>2</v>
      </c>
      <c r="C829" t="s">
        <v>3098</v>
      </c>
      <c r="D829" t="s">
        <v>3099</v>
      </c>
      <c r="E829" t="s">
        <v>1585</v>
      </c>
      <c r="F829" t="s">
        <v>2247</v>
      </c>
      <c r="G829" t="s">
        <v>781</v>
      </c>
      <c r="H829" t="s">
        <v>566</v>
      </c>
      <c r="I829" t="s">
        <v>69</v>
      </c>
      <c r="J829">
        <v>228.74</v>
      </c>
      <c r="K829" s="1">
        <v>45731</v>
      </c>
      <c r="L829" t="s">
        <v>14</v>
      </c>
      <c r="M829">
        <v>15</v>
      </c>
      <c r="N829">
        <v>3</v>
      </c>
      <c r="O829">
        <v>1</v>
      </c>
      <c r="P829">
        <v>2025</v>
      </c>
    </row>
    <row r="830" spans="1:16">
      <c r="A830">
        <v>40.9</v>
      </c>
      <c r="B830">
        <v>2</v>
      </c>
      <c r="C830" t="s">
        <v>787</v>
      </c>
      <c r="D830" t="s">
        <v>788</v>
      </c>
      <c r="E830" t="s">
        <v>789</v>
      </c>
      <c r="F830" t="s">
        <v>160</v>
      </c>
      <c r="G830" t="s">
        <v>790</v>
      </c>
      <c r="H830" t="s">
        <v>555</v>
      </c>
      <c r="I830" t="s">
        <v>37</v>
      </c>
      <c r="J830">
        <v>20.45</v>
      </c>
      <c r="K830" s="1">
        <v>45940</v>
      </c>
      <c r="L830" t="s">
        <v>79</v>
      </c>
      <c r="M830">
        <v>10</v>
      </c>
      <c r="N830">
        <v>10</v>
      </c>
      <c r="O830">
        <v>4</v>
      </c>
      <c r="P830">
        <v>2025</v>
      </c>
    </row>
    <row r="831" spans="1:16">
      <c r="A831">
        <v>1184.75</v>
      </c>
      <c r="B831">
        <v>5</v>
      </c>
      <c r="C831" t="s">
        <v>2439</v>
      </c>
      <c r="D831" t="s">
        <v>2440</v>
      </c>
      <c r="E831" t="s">
        <v>1716</v>
      </c>
      <c r="F831" t="s">
        <v>2441</v>
      </c>
      <c r="G831" t="s">
        <v>834</v>
      </c>
      <c r="H831" t="s">
        <v>50</v>
      </c>
      <c r="I831" t="s">
        <v>51</v>
      </c>
      <c r="J831">
        <v>236.95</v>
      </c>
      <c r="K831" s="1">
        <v>46067</v>
      </c>
      <c r="L831" t="s">
        <v>14</v>
      </c>
      <c r="M831">
        <v>14</v>
      </c>
      <c r="N831">
        <v>2</v>
      </c>
      <c r="O831">
        <v>1</v>
      </c>
      <c r="P831">
        <v>2026</v>
      </c>
    </row>
    <row r="832" spans="1:16">
      <c r="A832">
        <v>512.67999999999995</v>
      </c>
      <c r="B832">
        <v>4</v>
      </c>
      <c r="C832" t="s">
        <v>1046</v>
      </c>
      <c r="D832" t="s">
        <v>1047</v>
      </c>
      <c r="E832" t="s">
        <v>746</v>
      </c>
      <c r="F832" t="s">
        <v>29</v>
      </c>
      <c r="G832" t="s">
        <v>821</v>
      </c>
      <c r="H832" t="s">
        <v>487</v>
      </c>
      <c r="I832" t="s">
        <v>19</v>
      </c>
      <c r="J832">
        <v>128.16999999999999</v>
      </c>
      <c r="K832" s="1">
        <v>45723</v>
      </c>
      <c r="L832" t="s">
        <v>79</v>
      </c>
      <c r="M832">
        <v>7</v>
      </c>
      <c r="N832">
        <v>3</v>
      </c>
      <c r="O832">
        <v>1</v>
      </c>
      <c r="P832">
        <v>2025</v>
      </c>
    </row>
    <row r="833" spans="1:16">
      <c r="A833">
        <v>89.25</v>
      </c>
      <c r="B833">
        <v>5</v>
      </c>
      <c r="C833" t="s">
        <v>2805</v>
      </c>
      <c r="D833" t="s">
        <v>2806</v>
      </c>
      <c r="E833" t="s">
        <v>2141</v>
      </c>
      <c r="F833" t="s">
        <v>995</v>
      </c>
      <c r="G833" t="s">
        <v>781</v>
      </c>
      <c r="H833" t="s">
        <v>605</v>
      </c>
      <c r="I833" t="s">
        <v>39</v>
      </c>
      <c r="J833">
        <v>17.850000000000001</v>
      </c>
      <c r="K833" s="1">
        <v>45649</v>
      </c>
      <c r="L833" t="s">
        <v>93</v>
      </c>
      <c r="M833">
        <v>23</v>
      </c>
      <c r="N833">
        <v>12</v>
      </c>
      <c r="O833">
        <v>4</v>
      </c>
      <c r="P833">
        <v>2024</v>
      </c>
    </row>
    <row r="834" spans="1:16">
      <c r="A834">
        <v>10.58</v>
      </c>
      <c r="B834">
        <v>2</v>
      </c>
      <c r="C834" t="s">
        <v>3272</v>
      </c>
      <c r="D834" t="s">
        <v>3273</v>
      </c>
      <c r="E834" t="s">
        <v>2416</v>
      </c>
      <c r="F834" t="s">
        <v>1740</v>
      </c>
      <c r="G834" t="s">
        <v>954</v>
      </c>
      <c r="H834" t="s">
        <v>394</v>
      </c>
      <c r="I834" t="s">
        <v>122</v>
      </c>
      <c r="J834">
        <v>5.29</v>
      </c>
      <c r="K834" s="1">
        <v>45662</v>
      </c>
      <c r="L834" t="s">
        <v>28</v>
      </c>
      <c r="M834">
        <v>5</v>
      </c>
      <c r="N834">
        <v>1</v>
      </c>
      <c r="O834">
        <v>1</v>
      </c>
      <c r="P834">
        <v>2025</v>
      </c>
    </row>
    <row r="835" spans="1:16">
      <c r="A835">
        <v>624.94999999999993</v>
      </c>
      <c r="B835">
        <v>5</v>
      </c>
      <c r="C835" t="s">
        <v>3260</v>
      </c>
      <c r="D835" t="s">
        <v>3261</v>
      </c>
      <c r="E835" t="s">
        <v>766</v>
      </c>
      <c r="F835" t="s">
        <v>380</v>
      </c>
      <c r="G835" t="s">
        <v>896</v>
      </c>
      <c r="H835" t="s">
        <v>512</v>
      </c>
      <c r="I835" t="s">
        <v>27</v>
      </c>
      <c r="J835">
        <v>124.99</v>
      </c>
      <c r="K835" s="1">
        <v>45757</v>
      </c>
      <c r="L835" t="s">
        <v>105</v>
      </c>
      <c r="M835">
        <v>10</v>
      </c>
      <c r="N835">
        <v>4</v>
      </c>
      <c r="O835">
        <v>2</v>
      </c>
      <c r="P835">
        <v>2025</v>
      </c>
    </row>
    <row r="836" spans="1:16">
      <c r="A836">
        <v>168.77</v>
      </c>
      <c r="B836">
        <v>1</v>
      </c>
      <c r="C836" t="s">
        <v>1293</v>
      </c>
      <c r="D836" t="s">
        <v>1294</v>
      </c>
      <c r="E836" t="s">
        <v>1295</v>
      </c>
      <c r="F836" t="s">
        <v>883</v>
      </c>
      <c r="G836" t="s">
        <v>807</v>
      </c>
      <c r="H836" t="s">
        <v>287</v>
      </c>
      <c r="I836" t="s">
        <v>46</v>
      </c>
      <c r="J836">
        <v>168.77</v>
      </c>
      <c r="K836" s="1">
        <v>46215</v>
      </c>
      <c r="L836" t="s">
        <v>28</v>
      </c>
      <c r="M836">
        <v>12</v>
      </c>
      <c r="N836">
        <v>7</v>
      </c>
      <c r="O836">
        <v>3</v>
      </c>
      <c r="P836">
        <v>2026</v>
      </c>
    </row>
    <row r="837" spans="1:16">
      <c r="A837">
        <v>21.93</v>
      </c>
      <c r="B837">
        <v>1</v>
      </c>
      <c r="C837" t="s">
        <v>2462</v>
      </c>
      <c r="D837" t="s">
        <v>2463</v>
      </c>
      <c r="E837" t="s">
        <v>1501</v>
      </c>
      <c r="F837" t="s">
        <v>1156</v>
      </c>
      <c r="G837" t="s">
        <v>839</v>
      </c>
      <c r="H837" t="s">
        <v>445</v>
      </c>
      <c r="I837" t="s">
        <v>60</v>
      </c>
      <c r="J837">
        <v>21.93</v>
      </c>
      <c r="K837" s="1">
        <v>45726</v>
      </c>
      <c r="L837" t="s">
        <v>93</v>
      </c>
      <c r="M837">
        <v>10</v>
      </c>
      <c r="N837">
        <v>3</v>
      </c>
      <c r="O837">
        <v>1</v>
      </c>
      <c r="P837">
        <v>2025</v>
      </c>
    </row>
    <row r="838" spans="1:16">
      <c r="A838">
        <v>163.96</v>
      </c>
      <c r="B838">
        <v>1</v>
      </c>
      <c r="C838" t="s">
        <v>3011</v>
      </c>
      <c r="D838" t="s">
        <v>3012</v>
      </c>
      <c r="E838" t="s">
        <v>1171</v>
      </c>
      <c r="F838" t="s">
        <v>1327</v>
      </c>
      <c r="G838" t="s">
        <v>795</v>
      </c>
      <c r="H838" t="s">
        <v>731</v>
      </c>
      <c r="I838" t="s">
        <v>21</v>
      </c>
      <c r="J838">
        <v>163.96</v>
      </c>
      <c r="K838" s="1">
        <v>45723</v>
      </c>
      <c r="L838" t="s">
        <v>79</v>
      </c>
      <c r="M838">
        <v>7</v>
      </c>
      <c r="N838">
        <v>3</v>
      </c>
      <c r="O838">
        <v>1</v>
      </c>
      <c r="P838">
        <v>2025</v>
      </c>
    </row>
    <row r="839" spans="1:16">
      <c r="A839">
        <v>352.76</v>
      </c>
      <c r="B839">
        <v>2</v>
      </c>
      <c r="C839" t="s">
        <v>2325</v>
      </c>
      <c r="D839" t="s">
        <v>2326</v>
      </c>
      <c r="E839" t="s">
        <v>2117</v>
      </c>
      <c r="F839" t="s">
        <v>548</v>
      </c>
      <c r="G839" t="s">
        <v>790</v>
      </c>
      <c r="H839" t="s">
        <v>384</v>
      </c>
      <c r="I839" t="s">
        <v>37</v>
      </c>
      <c r="J839">
        <v>176.38</v>
      </c>
      <c r="K839" s="1">
        <v>46185</v>
      </c>
      <c r="L839" t="s">
        <v>79</v>
      </c>
      <c r="M839">
        <v>12</v>
      </c>
      <c r="N839">
        <v>6</v>
      </c>
      <c r="O839">
        <v>2</v>
      </c>
      <c r="P839">
        <v>2026</v>
      </c>
    </row>
    <row r="840" spans="1:16">
      <c r="A840">
        <v>1128.6499999999999</v>
      </c>
      <c r="B840">
        <v>5</v>
      </c>
      <c r="C840" t="s">
        <v>3127</v>
      </c>
      <c r="D840" t="s">
        <v>3128</v>
      </c>
      <c r="E840" t="s">
        <v>1159</v>
      </c>
      <c r="F840" t="s">
        <v>1092</v>
      </c>
      <c r="G840" t="s">
        <v>763</v>
      </c>
      <c r="H840" t="s">
        <v>444</v>
      </c>
      <c r="I840" t="s">
        <v>37</v>
      </c>
      <c r="J840">
        <v>225.73</v>
      </c>
      <c r="K840" s="1">
        <v>46038</v>
      </c>
      <c r="L840" t="s">
        <v>79</v>
      </c>
      <c r="M840">
        <v>16</v>
      </c>
      <c r="N840">
        <v>1</v>
      </c>
      <c r="O840">
        <v>1</v>
      </c>
      <c r="P840">
        <v>2026</v>
      </c>
    </row>
    <row r="841" spans="1:16">
      <c r="A841">
        <v>646.48</v>
      </c>
      <c r="B841">
        <v>4</v>
      </c>
      <c r="C841" t="s">
        <v>2456</v>
      </c>
      <c r="D841" t="s">
        <v>2457</v>
      </c>
      <c r="E841" t="s">
        <v>882</v>
      </c>
      <c r="F841" t="s">
        <v>1280</v>
      </c>
      <c r="G841" t="s">
        <v>908</v>
      </c>
      <c r="H841" t="s">
        <v>224</v>
      </c>
      <c r="I841" t="s">
        <v>39</v>
      </c>
      <c r="J841">
        <v>161.62</v>
      </c>
      <c r="K841" s="1">
        <v>46267</v>
      </c>
      <c r="L841" t="s">
        <v>34</v>
      </c>
      <c r="M841">
        <v>2</v>
      </c>
      <c r="N841">
        <v>9</v>
      </c>
      <c r="O841">
        <v>3</v>
      </c>
      <c r="P841">
        <v>2026</v>
      </c>
    </row>
    <row r="842" spans="1:16">
      <c r="A842">
        <v>90.25</v>
      </c>
      <c r="B842">
        <v>5</v>
      </c>
      <c r="C842" t="s">
        <v>1537</v>
      </c>
      <c r="D842" t="s">
        <v>1538</v>
      </c>
      <c r="E842" t="s">
        <v>1539</v>
      </c>
      <c r="F842" t="s">
        <v>1540</v>
      </c>
      <c r="G842" t="s">
        <v>768</v>
      </c>
      <c r="H842" t="s">
        <v>30</v>
      </c>
      <c r="I842" t="s">
        <v>31</v>
      </c>
      <c r="J842">
        <v>18.05</v>
      </c>
      <c r="K842" s="1">
        <v>45554</v>
      </c>
      <c r="L842" t="s">
        <v>105</v>
      </c>
      <c r="M842">
        <v>19</v>
      </c>
      <c r="N842">
        <v>9</v>
      </c>
      <c r="O842">
        <v>3</v>
      </c>
      <c r="P842">
        <v>2024</v>
      </c>
    </row>
    <row r="843" spans="1:16">
      <c r="A843">
        <v>672.35</v>
      </c>
      <c r="B843">
        <v>5</v>
      </c>
      <c r="C843" t="s">
        <v>3392</v>
      </c>
      <c r="D843" t="s">
        <v>3393</v>
      </c>
      <c r="E843" t="s">
        <v>1642</v>
      </c>
      <c r="F843" t="s">
        <v>691</v>
      </c>
      <c r="G843" t="s">
        <v>776</v>
      </c>
      <c r="H843" t="s">
        <v>76</v>
      </c>
      <c r="I843" t="s">
        <v>69</v>
      </c>
      <c r="J843">
        <v>134.47</v>
      </c>
      <c r="K843" s="1">
        <v>46166</v>
      </c>
      <c r="L843" t="s">
        <v>28</v>
      </c>
      <c r="M843">
        <v>24</v>
      </c>
      <c r="N843">
        <v>5</v>
      </c>
      <c r="O843">
        <v>2</v>
      </c>
      <c r="P843">
        <v>2026</v>
      </c>
    </row>
    <row r="844" spans="1:16">
      <c r="A844">
        <v>81.8</v>
      </c>
      <c r="B844">
        <v>4</v>
      </c>
      <c r="C844" t="s">
        <v>1470</v>
      </c>
      <c r="D844" t="s">
        <v>1471</v>
      </c>
      <c r="E844" t="s">
        <v>1472</v>
      </c>
      <c r="F844" t="s">
        <v>1128</v>
      </c>
      <c r="G844" t="s">
        <v>954</v>
      </c>
      <c r="H844" t="s">
        <v>555</v>
      </c>
      <c r="I844" t="s">
        <v>37</v>
      </c>
      <c r="J844">
        <v>20.45</v>
      </c>
      <c r="K844" s="1">
        <v>45861</v>
      </c>
      <c r="L844" t="s">
        <v>34</v>
      </c>
      <c r="M844">
        <v>23</v>
      </c>
      <c r="N844">
        <v>7</v>
      </c>
      <c r="O844">
        <v>3</v>
      </c>
      <c r="P844">
        <v>2025</v>
      </c>
    </row>
    <row r="845" spans="1:16">
      <c r="A845">
        <v>136.12</v>
      </c>
      <c r="B845">
        <v>4</v>
      </c>
      <c r="C845" t="s">
        <v>2005</v>
      </c>
      <c r="D845" t="s">
        <v>2006</v>
      </c>
      <c r="E845" t="s">
        <v>2007</v>
      </c>
      <c r="F845" t="s">
        <v>1156</v>
      </c>
      <c r="G845" t="s">
        <v>821</v>
      </c>
      <c r="H845" t="s">
        <v>678</v>
      </c>
      <c r="I845" t="s">
        <v>100</v>
      </c>
      <c r="J845">
        <v>34.03</v>
      </c>
      <c r="K845" s="1">
        <v>45975</v>
      </c>
      <c r="L845" t="s">
        <v>79</v>
      </c>
      <c r="M845">
        <v>14</v>
      </c>
      <c r="N845">
        <v>11</v>
      </c>
      <c r="O845">
        <v>4</v>
      </c>
      <c r="P845">
        <v>2025</v>
      </c>
    </row>
    <row r="846" spans="1:16">
      <c r="A846">
        <v>636.9</v>
      </c>
      <c r="B846">
        <v>5</v>
      </c>
      <c r="C846" t="s">
        <v>1960</v>
      </c>
      <c r="D846" t="s">
        <v>1961</v>
      </c>
      <c r="E846" t="s">
        <v>1962</v>
      </c>
      <c r="F846" t="s">
        <v>1089</v>
      </c>
      <c r="G846" t="s">
        <v>812</v>
      </c>
      <c r="H846" t="s">
        <v>1217</v>
      </c>
      <c r="I846" t="s">
        <v>122</v>
      </c>
      <c r="J846">
        <v>127.38</v>
      </c>
      <c r="K846" s="1">
        <v>45902</v>
      </c>
      <c r="L846" t="s">
        <v>48</v>
      </c>
      <c r="M846">
        <v>2</v>
      </c>
      <c r="N846">
        <v>9</v>
      </c>
      <c r="O846">
        <v>3</v>
      </c>
      <c r="P846">
        <v>2025</v>
      </c>
    </row>
    <row r="847" spans="1:16">
      <c r="A847">
        <v>649.84</v>
      </c>
      <c r="B847">
        <v>4</v>
      </c>
      <c r="C847" t="s">
        <v>2442</v>
      </c>
      <c r="D847" t="s">
        <v>2443</v>
      </c>
      <c r="E847" t="s">
        <v>872</v>
      </c>
      <c r="F847" t="s">
        <v>1525</v>
      </c>
      <c r="G847" t="s">
        <v>763</v>
      </c>
      <c r="H847" t="s">
        <v>218</v>
      </c>
      <c r="I847" t="s">
        <v>97</v>
      </c>
      <c r="J847">
        <v>162.46</v>
      </c>
      <c r="K847" s="1">
        <v>46165</v>
      </c>
      <c r="L847" t="s">
        <v>14</v>
      </c>
      <c r="M847">
        <v>23</v>
      </c>
      <c r="N847">
        <v>5</v>
      </c>
      <c r="O847">
        <v>2</v>
      </c>
      <c r="P847">
        <v>2026</v>
      </c>
    </row>
    <row r="848" spans="1:16">
      <c r="A848">
        <v>58.48</v>
      </c>
      <c r="B848">
        <v>4</v>
      </c>
      <c r="C848" t="s">
        <v>3504</v>
      </c>
      <c r="D848" t="s">
        <v>3505</v>
      </c>
      <c r="E848" t="s">
        <v>2419</v>
      </c>
      <c r="F848" t="s">
        <v>1626</v>
      </c>
      <c r="G848" t="s">
        <v>812</v>
      </c>
      <c r="H848" t="s">
        <v>102</v>
      </c>
      <c r="I848" t="s">
        <v>51</v>
      </c>
      <c r="J848">
        <v>14.62</v>
      </c>
      <c r="K848" s="1">
        <v>45662</v>
      </c>
      <c r="L848" t="s">
        <v>28</v>
      </c>
      <c r="M848">
        <v>5</v>
      </c>
      <c r="N848">
        <v>1</v>
      </c>
      <c r="O848">
        <v>1</v>
      </c>
      <c r="P848">
        <v>2025</v>
      </c>
    </row>
    <row r="849" spans="1:16">
      <c r="A849">
        <v>680.91</v>
      </c>
      <c r="B849">
        <v>3</v>
      </c>
      <c r="C849" t="s">
        <v>1328</v>
      </c>
      <c r="D849" t="s">
        <v>1329</v>
      </c>
      <c r="E849" t="s">
        <v>1330</v>
      </c>
      <c r="F849" t="s">
        <v>883</v>
      </c>
      <c r="G849" t="s">
        <v>807</v>
      </c>
      <c r="H849" t="s">
        <v>283</v>
      </c>
      <c r="I849" t="s">
        <v>100</v>
      </c>
      <c r="J849">
        <v>226.97</v>
      </c>
      <c r="K849" s="1">
        <v>45944</v>
      </c>
      <c r="L849" t="s">
        <v>48</v>
      </c>
      <c r="M849">
        <v>14</v>
      </c>
      <c r="N849">
        <v>10</v>
      </c>
      <c r="O849">
        <v>4</v>
      </c>
      <c r="P849">
        <v>2025</v>
      </c>
    </row>
    <row r="850" spans="1:16">
      <c r="A850">
        <v>96.31</v>
      </c>
      <c r="B850">
        <v>1</v>
      </c>
      <c r="C850" t="s">
        <v>3508</v>
      </c>
      <c r="D850" t="s">
        <v>3509</v>
      </c>
      <c r="E850" t="s">
        <v>875</v>
      </c>
      <c r="F850" t="s">
        <v>1722</v>
      </c>
      <c r="G850" t="s">
        <v>954</v>
      </c>
      <c r="H850" t="s">
        <v>237</v>
      </c>
      <c r="I850" t="s">
        <v>27</v>
      </c>
      <c r="J850">
        <v>96.31</v>
      </c>
      <c r="K850" s="1">
        <v>46206</v>
      </c>
      <c r="L850" t="s">
        <v>79</v>
      </c>
      <c r="M850">
        <v>3</v>
      </c>
      <c r="N850">
        <v>7</v>
      </c>
      <c r="O850">
        <v>3</v>
      </c>
      <c r="P850">
        <v>2026</v>
      </c>
    </row>
    <row r="851" spans="1:16">
      <c r="A851">
        <v>175.65</v>
      </c>
      <c r="B851">
        <v>5</v>
      </c>
      <c r="C851" t="s">
        <v>3029</v>
      </c>
      <c r="D851" t="s">
        <v>760</v>
      </c>
      <c r="E851" t="s">
        <v>1228</v>
      </c>
      <c r="F851" t="s">
        <v>1886</v>
      </c>
      <c r="G851" t="s">
        <v>753</v>
      </c>
      <c r="H851" t="s">
        <v>559</v>
      </c>
      <c r="I851" t="s">
        <v>97</v>
      </c>
      <c r="J851">
        <v>35.130000000000003</v>
      </c>
      <c r="K851" s="1">
        <v>45971</v>
      </c>
      <c r="L851" t="s">
        <v>93</v>
      </c>
      <c r="M851">
        <v>10</v>
      </c>
      <c r="N851">
        <v>11</v>
      </c>
      <c r="O851">
        <v>4</v>
      </c>
      <c r="P851">
        <v>2025</v>
      </c>
    </row>
    <row r="852" spans="1:16">
      <c r="A852">
        <v>643.77</v>
      </c>
      <c r="B852">
        <v>3</v>
      </c>
      <c r="C852" t="s">
        <v>3017</v>
      </c>
      <c r="D852" t="s">
        <v>3018</v>
      </c>
      <c r="E852" t="s">
        <v>2007</v>
      </c>
      <c r="F852" t="s">
        <v>1359</v>
      </c>
      <c r="G852" t="s">
        <v>768</v>
      </c>
      <c r="H852" t="s">
        <v>571</v>
      </c>
      <c r="I852" t="s">
        <v>23</v>
      </c>
      <c r="J852">
        <v>214.59</v>
      </c>
      <c r="K852" s="1">
        <v>46163</v>
      </c>
      <c r="L852" t="s">
        <v>105</v>
      </c>
      <c r="M852">
        <v>21</v>
      </c>
      <c r="N852">
        <v>5</v>
      </c>
      <c r="O852">
        <v>2</v>
      </c>
      <c r="P852">
        <v>2026</v>
      </c>
    </row>
    <row r="853" spans="1:16">
      <c r="A853">
        <v>394.52</v>
      </c>
      <c r="B853">
        <v>2</v>
      </c>
      <c r="C853" t="s">
        <v>1575</v>
      </c>
      <c r="D853" t="s">
        <v>1576</v>
      </c>
      <c r="E853" t="s">
        <v>1577</v>
      </c>
      <c r="F853" t="s">
        <v>392</v>
      </c>
      <c r="G853" t="s">
        <v>834</v>
      </c>
      <c r="H853" t="s">
        <v>402</v>
      </c>
      <c r="I853" t="s">
        <v>19</v>
      </c>
      <c r="J853">
        <v>197.26</v>
      </c>
      <c r="K853" s="1">
        <v>46161</v>
      </c>
      <c r="L853" t="s">
        <v>48</v>
      </c>
      <c r="M853">
        <v>19</v>
      </c>
      <c r="N853">
        <v>5</v>
      </c>
      <c r="O853">
        <v>2</v>
      </c>
      <c r="P853">
        <v>2026</v>
      </c>
    </row>
    <row r="854" spans="1:16">
      <c r="A854">
        <v>14.05</v>
      </c>
      <c r="B854">
        <v>1</v>
      </c>
      <c r="C854" t="s">
        <v>754</v>
      </c>
      <c r="D854" t="s">
        <v>755</v>
      </c>
      <c r="E854" t="s">
        <v>756</v>
      </c>
      <c r="F854" t="s">
        <v>757</v>
      </c>
      <c r="G854" t="s">
        <v>758</v>
      </c>
      <c r="H854" t="s">
        <v>435</v>
      </c>
      <c r="I854" t="s">
        <v>51</v>
      </c>
      <c r="J854">
        <v>14.05</v>
      </c>
      <c r="K854" s="1">
        <v>45887</v>
      </c>
      <c r="L854" t="s">
        <v>93</v>
      </c>
      <c r="M854">
        <v>18</v>
      </c>
      <c r="N854">
        <v>8</v>
      </c>
      <c r="O854">
        <v>3</v>
      </c>
      <c r="P854">
        <v>2025</v>
      </c>
    </row>
    <row r="855" spans="1:16">
      <c r="A855">
        <v>20.02</v>
      </c>
      <c r="B855">
        <v>2</v>
      </c>
      <c r="C855" t="s">
        <v>2662</v>
      </c>
      <c r="D855" t="s">
        <v>2663</v>
      </c>
      <c r="E855" t="s">
        <v>2416</v>
      </c>
      <c r="F855" t="s">
        <v>825</v>
      </c>
      <c r="G855" t="s">
        <v>781</v>
      </c>
      <c r="H855" t="s">
        <v>163</v>
      </c>
      <c r="I855" t="s">
        <v>97</v>
      </c>
      <c r="J855">
        <v>10.01</v>
      </c>
      <c r="K855" s="1">
        <v>46189</v>
      </c>
      <c r="L855" t="s">
        <v>48</v>
      </c>
      <c r="M855">
        <v>16</v>
      </c>
      <c r="N855">
        <v>6</v>
      </c>
      <c r="O855">
        <v>2</v>
      </c>
      <c r="P855">
        <v>2026</v>
      </c>
    </row>
    <row r="856" spans="1:16">
      <c r="A856">
        <v>690.68</v>
      </c>
      <c r="B856">
        <v>4</v>
      </c>
      <c r="C856" t="s">
        <v>1393</v>
      </c>
      <c r="D856" t="s">
        <v>1394</v>
      </c>
      <c r="E856" t="s">
        <v>1182</v>
      </c>
      <c r="F856" t="s">
        <v>1395</v>
      </c>
      <c r="G856" t="s">
        <v>776</v>
      </c>
      <c r="H856" t="s">
        <v>551</v>
      </c>
      <c r="I856" t="s">
        <v>122</v>
      </c>
      <c r="J856">
        <v>172.67</v>
      </c>
      <c r="K856" s="1">
        <v>45597</v>
      </c>
      <c r="L856" t="s">
        <v>79</v>
      </c>
      <c r="M856">
        <v>1</v>
      </c>
      <c r="N856">
        <v>11</v>
      </c>
      <c r="O856">
        <v>4</v>
      </c>
      <c r="P856">
        <v>2024</v>
      </c>
    </row>
    <row r="857" spans="1:16">
      <c r="A857">
        <v>22.259999999999998</v>
      </c>
      <c r="B857">
        <v>3</v>
      </c>
      <c r="C857" t="s">
        <v>3227</v>
      </c>
      <c r="D857" t="s">
        <v>3228</v>
      </c>
      <c r="E857" t="s">
        <v>865</v>
      </c>
      <c r="F857" t="s">
        <v>802</v>
      </c>
      <c r="G857" t="s">
        <v>748</v>
      </c>
      <c r="H857" t="s">
        <v>194</v>
      </c>
      <c r="I857" t="s">
        <v>39</v>
      </c>
      <c r="J857">
        <v>7.42</v>
      </c>
      <c r="K857" s="1">
        <v>46136</v>
      </c>
      <c r="L857" t="s">
        <v>79</v>
      </c>
      <c r="M857">
        <v>24</v>
      </c>
      <c r="N857">
        <v>4</v>
      </c>
      <c r="O857">
        <v>2</v>
      </c>
      <c r="P857">
        <v>2026</v>
      </c>
    </row>
    <row r="858" spans="1:16">
      <c r="A858">
        <v>1011.35</v>
      </c>
      <c r="B858">
        <v>5</v>
      </c>
      <c r="C858" t="s">
        <v>893</v>
      </c>
      <c r="D858" t="s">
        <v>894</v>
      </c>
      <c r="E858" t="s">
        <v>895</v>
      </c>
      <c r="F858" t="s">
        <v>106</v>
      </c>
      <c r="G858" t="s">
        <v>896</v>
      </c>
      <c r="H858" t="s">
        <v>541</v>
      </c>
      <c r="I858" t="s">
        <v>43</v>
      </c>
      <c r="J858">
        <v>202.27</v>
      </c>
      <c r="K858" s="1">
        <v>46171</v>
      </c>
      <c r="L858" t="s">
        <v>79</v>
      </c>
      <c r="M858">
        <v>29</v>
      </c>
      <c r="N858">
        <v>5</v>
      </c>
      <c r="O858">
        <v>2</v>
      </c>
      <c r="P858">
        <v>2026</v>
      </c>
    </row>
    <row r="859" spans="1:16">
      <c r="A859">
        <v>301.16000000000003</v>
      </c>
      <c r="B859">
        <v>2</v>
      </c>
      <c r="C859" t="s">
        <v>1979</v>
      </c>
      <c r="D859" t="s">
        <v>1980</v>
      </c>
      <c r="E859" t="s">
        <v>1981</v>
      </c>
      <c r="F859" t="s">
        <v>1691</v>
      </c>
      <c r="G859" t="s">
        <v>821</v>
      </c>
      <c r="H859" t="s">
        <v>398</v>
      </c>
      <c r="I859" t="s">
        <v>27</v>
      </c>
      <c r="J859">
        <v>150.58000000000001</v>
      </c>
      <c r="K859" s="1">
        <v>45688</v>
      </c>
      <c r="L859" t="s">
        <v>79</v>
      </c>
      <c r="M859">
        <v>31</v>
      </c>
      <c r="N859">
        <v>1</v>
      </c>
      <c r="O859">
        <v>1</v>
      </c>
      <c r="P859">
        <v>2025</v>
      </c>
    </row>
    <row r="860" spans="1:16">
      <c r="A860">
        <v>535.15</v>
      </c>
      <c r="B860">
        <v>5</v>
      </c>
      <c r="C860" t="s">
        <v>2372</v>
      </c>
      <c r="D860" t="s">
        <v>2373</v>
      </c>
      <c r="E860" t="s">
        <v>2319</v>
      </c>
      <c r="F860" t="s">
        <v>713</v>
      </c>
      <c r="G860" t="s">
        <v>908</v>
      </c>
      <c r="H860" t="s">
        <v>529</v>
      </c>
      <c r="I860" t="s">
        <v>37</v>
      </c>
      <c r="J860">
        <v>107.03</v>
      </c>
      <c r="K860" s="1">
        <v>45889</v>
      </c>
      <c r="L860" t="s">
        <v>34</v>
      </c>
      <c r="M860">
        <v>20</v>
      </c>
      <c r="N860">
        <v>8</v>
      </c>
      <c r="O860">
        <v>3</v>
      </c>
      <c r="P860">
        <v>2025</v>
      </c>
    </row>
    <row r="861" spans="1:16">
      <c r="A861">
        <v>105.9</v>
      </c>
      <c r="B861">
        <v>5</v>
      </c>
      <c r="C861" t="s">
        <v>2504</v>
      </c>
      <c r="D861" t="s">
        <v>2505</v>
      </c>
      <c r="E861" t="s">
        <v>1452</v>
      </c>
      <c r="F861" t="s">
        <v>1339</v>
      </c>
      <c r="G861" t="s">
        <v>1247</v>
      </c>
      <c r="H861" t="s">
        <v>712</v>
      </c>
      <c r="I861" t="s">
        <v>60</v>
      </c>
      <c r="J861">
        <v>21.18</v>
      </c>
      <c r="K861" s="1">
        <v>45765</v>
      </c>
      <c r="L861" t="s">
        <v>79</v>
      </c>
      <c r="M861">
        <v>18</v>
      </c>
      <c r="N861">
        <v>4</v>
      </c>
      <c r="O861">
        <v>2</v>
      </c>
      <c r="P861">
        <v>2025</v>
      </c>
    </row>
    <row r="862" spans="1:16">
      <c r="A862">
        <v>95.62</v>
      </c>
      <c r="B862">
        <v>1</v>
      </c>
      <c r="C862" t="s">
        <v>2420</v>
      </c>
      <c r="D862" t="s">
        <v>2421</v>
      </c>
      <c r="E862" t="s">
        <v>1001</v>
      </c>
      <c r="F862" t="s">
        <v>1254</v>
      </c>
      <c r="G862" t="s">
        <v>781</v>
      </c>
      <c r="H862" t="s">
        <v>153</v>
      </c>
      <c r="I862" t="s">
        <v>37</v>
      </c>
      <c r="J862">
        <v>95.62</v>
      </c>
      <c r="K862" s="1">
        <v>45791</v>
      </c>
      <c r="L862" t="s">
        <v>34</v>
      </c>
      <c r="M862">
        <v>14</v>
      </c>
      <c r="N862">
        <v>5</v>
      </c>
      <c r="O862">
        <v>2</v>
      </c>
      <c r="P862">
        <v>2025</v>
      </c>
    </row>
    <row r="863" spans="1:16">
      <c r="A863">
        <v>144.51</v>
      </c>
      <c r="B863">
        <v>3</v>
      </c>
      <c r="C863" t="s">
        <v>3065</v>
      </c>
      <c r="D863" t="s">
        <v>3066</v>
      </c>
      <c r="E863" t="s">
        <v>1374</v>
      </c>
      <c r="F863" t="s">
        <v>942</v>
      </c>
      <c r="G863" t="s">
        <v>943</v>
      </c>
      <c r="H863" t="s">
        <v>709</v>
      </c>
      <c r="I863" t="s">
        <v>25</v>
      </c>
      <c r="J863">
        <v>48.17</v>
      </c>
      <c r="K863" s="1">
        <v>46278</v>
      </c>
      <c r="L863" t="s">
        <v>28</v>
      </c>
      <c r="M863">
        <v>13</v>
      </c>
      <c r="N863">
        <v>9</v>
      </c>
      <c r="O863">
        <v>3</v>
      </c>
      <c r="P863">
        <v>2026</v>
      </c>
    </row>
    <row r="864" spans="1:16">
      <c r="A864">
        <v>47.16</v>
      </c>
      <c r="B864">
        <v>2</v>
      </c>
      <c r="C864" t="s">
        <v>989</v>
      </c>
      <c r="D864" t="s">
        <v>990</v>
      </c>
      <c r="E864" t="s">
        <v>991</v>
      </c>
      <c r="F864" t="s">
        <v>915</v>
      </c>
      <c r="G864" t="s">
        <v>768</v>
      </c>
      <c r="H864" t="s">
        <v>466</v>
      </c>
      <c r="I864" t="s">
        <v>46</v>
      </c>
      <c r="J864">
        <v>23.58</v>
      </c>
      <c r="K864" s="1">
        <v>45745</v>
      </c>
      <c r="L864" t="s">
        <v>14</v>
      </c>
      <c r="M864">
        <v>29</v>
      </c>
      <c r="N864">
        <v>3</v>
      </c>
      <c r="O864">
        <v>1</v>
      </c>
      <c r="P864">
        <v>2025</v>
      </c>
    </row>
    <row r="865" spans="1:16">
      <c r="A865">
        <v>928.56</v>
      </c>
      <c r="B865">
        <v>4</v>
      </c>
      <c r="C865" t="s">
        <v>2256</v>
      </c>
      <c r="D865" t="s">
        <v>2257</v>
      </c>
      <c r="E865" t="s">
        <v>2232</v>
      </c>
      <c r="F865" t="s">
        <v>1649</v>
      </c>
      <c r="G865" t="s">
        <v>790</v>
      </c>
      <c r="H865" t="s">
        <v>439</v>
      </c>
      <c r="I865" t="s">
        <v>21</v>
      </c>
      <c r="J865">
        <v>232.14</v>
      </c>
      <c r="K865" s="1">
        <v>46270</v>
      </c>
      <c r="L865" t="s">
        <v>14</v>
      </c>
      <c r="M865">
        <v>5</v>
      </c>
      <c r="N865">
        <v>9</v>
      </c>
      <c r="O865">
        <v>3</v>
      </c>
      <c r="P865">
        <v>2026</v>
      </c>
    </row>
    <row r="866" spans="1:16">
      <c r="A866">
        <v>694.24</v>
      </c>
      <c r="B866">
        <v>4</v>
      </c>
      <c r="C866" t="s">
        <v>3331</v>
      </c>
      <c r="D866" t="s">
        <v>3332</v>
      </c>
      <c r="E866" t="s">
        <v>2726</v>
      </c>
      <c r="F866" t="s">
        <v>1342</v>
      </c>
      <c r="G866" t="s">
        <v>776</v>
      </c>
      <c r="H866" t="s">
        <v>706</v>
      </c>
      <c r="I866" t="s">
        <v>39</v>
      </c>
      <c r="J866">
        <v>173.56</v>
      </c>
      <c r="K866" s="1">
        <v>45627</v>
      </c>
      <c r="L866" t="s">
        <v>28</v>
      </c>
      <c r="M866">
        <v>1</v>
      </c>
      <c r="N866">
        <v>12</v>
      </c>
      <c r="O866">
        <v>4</v>
      </c>
      <c r="P866">
        <v>2024</v>
      </c>
    </row>
    <row r="867" spans="1:16">
      <c r="A867">
        <v>183.22</v>
      </c>
      <c r="B867">
        <v>1</v>
      </c>
      <c r="C867" t="s">
        <v>2790</v>
      </c>
      <c r="D867" t="s">
        <v>2791</v>
      </c>
      <c r="E867" t="s">
        <v>1440</v>
      </c>
      <c r="F867" t="s">
        <v>1342</v>
      </c>
      <c r="G867" t="s">
        <v>776</v>
      </c>
      <c r="H867" t="s">
        <v>491</v>
      </c>
      <c r="I867" t="s">
        <v>25</v>
      </c>
      <c r="J867">
        <v>183.22</v>
      </c>
      <c r="K867" s="1">
        <v>45900</v>
      </c>
      <c r="L867" t="s">
        <v>28</v>
      </c>
      <c r="M867">
        <v>31</v>
      </c>
      <c r="N867">
        <v>8</v>
      </c>
      <c r="O867">
        <v>3</v>
      </c>
      <c r="P867">
        <v>2025</v>
      </c>
    </row>
    <row r="868" spans="1:16">
      <c r="A868">
        <v>996.64</v>
      </c>
      <c r="B868">
        <v>4</v>
      </c>
      <c r="C868" t="s">
        <v>3142</v>
      </c>
      <c r="D868" t="s">
        <v>3143</v>
      </c>
      <c r="E868" t="s">
        <v>1152</v>
      </c>
      <c r="F868" t="s">
        <v>825</v>
      </c>
      <c r="G868" t="s">
        <v>781</v>
      </c>
      <c r="H868" t="s">
        <v>265</v>
      </c>
      <c r="I868" t="s">
        <v>46</v>
      </c>
      <c r="J868">
        <v>249.16</v>
      </c>
      <c r="K868" s="1">
        <v>46171</v>
      </c>
      <c r="L868" t="s">
        <v>79</v>
      </c>
      <c r="M868">
        <v>29</v>
      </c>
      <c r="N868">
        <v>5</v>
      </c>
      <c r="O868">
        <v>2</v>
      </c>
      <c r="P868">
        <v>2026</v>
      </c>
    </row>
    <row r="869" spans="1:16">
      <c r="A869">
        <v>420.04</v>
      </c>
      <c r="B869">
        <v>4</v>
      </c>
      <c r="C869" t="s">
        <v>958</v>
      </c>
      <c r="D869" t="s">
        <v>2368</v>
      </c>
      <c r="E869" t="s">
        <v>2369</v>
      </c>
      <c r="F869" t="s">
        <v>691</v>
      </c>
      <c r="G869" t="s">
        <v>776</v>
      </c>
      <c r="H869" t="s">
        <v>448</v>
      </c>
      <c r="I869" t="s">
        <v>55</v>
      </c>
      <c r="J869">
        <v>105.01</v>
      </c>
      <c r="K869" s="1">
        <v>46209</v>
      </c>
      <c r="L869" t="s">
        <v>93</v>
      </c>
      <c r="M869">
        <v>6</v>
      </c>
      <c r="N869">
        <v>7</v>
      </c>
      <c r="O869">
        <v>3</v>
      </c>
      <c r="P869">
        <v>2026</v>
      </c>
    </row>
    <row r="870" spans="1:16">
      <c r="A870">
        <v>401.42</v>
      </c>
      <c r="B870">
        <v>2</v>
      </c>
      <c r="C870" t="s">
        <v>930</v>
      </c>
      <c r="D870" t="s">
        <v>931</v>
      </c>
      <c r="E870" t="s">
        <v>932</v>
      </c>
      <c r="F870" t="s">
        <v>280</v>
      </c>
      <c r="G870" t="s">
        <v>812</v>
      </c>
      <c r="H870" t="s">
        <v>298</v>
      </c>
      <c r="I870" t="s">
        <v>31</v>
      </c>
      <c r="J870">
        <v>200.71</v>
      </c>
      <c r="K870" s="1">
        <v>46151</v>
      </c>
      <c r="L870" t="s">
        <v>14</v>
      </c>
      <c r="M870">
        <v>9</v>
      </c>
      <c r="N870">
        <v>5</v>
      </c>
      <c r="O870">
        <v>2</v>
      </c>
      <c r="P870">
        <v>2026</v>
      </c>
    </row>
    <row r="871" spans="1:16">
      <c r="A871">
        <v>176.34</v>
      </c>
      <c r="B871">
        <v>2</v>
      </c>
      <c r="C871" t="s">
        <v>1062</v>
      </c>
      <c r="D871" t="s">
        <v>1063</v>
      </c>
      <c r="E871" t="s">
        <v>1064</v>
      </c>
      <c r="F871" t="s">
        <v>151</v>
      </c>
      <c r="G871" t="s">
        <v>1003</v>
      </c>
      <c r="H871" t="s">
        <v>177</v>
      </c>
      <c r="I871" t="s">
        <v>17</v>
      </c>
      <c r="J871">
        <v>88.17</v>
      </c>
      <c r="K871" s="1">
        <v>45935</v>
      </c>
      <c r="L871" t="s">
        <v>28</v>
      </c>
      <c r="M871">
        <v>5</v>
      </c>
      <c r="N871">
        <v>10</v>
      </c>
      <c r="O871">
        <v>4</v>
      </c>
      <c r="P871">
        <v>2025</v>
      </c>
    </row>
    <row r="872" spans="1:16">
      <c r="A872">
        <v>102.25</v>
      </c>
      <c r="B872">
        <v>5</v>
      </c>
      <c r="C872" t="s">
        <v>1874</v>
      </c>
      <c r="D872" t="s">
        <v>1875</v>
      </c>
      <c r="E872" t="s">
        <v>1876</v>
      </c>
      <c r="F872" t="s">
        <v>929</v>
      </c>
      <c r="G872" t="s">
        <v>786</v>
      </c>
      <c r="H872" t="s">
        <v>555</v>
      </c>
      <c r="I872" t="s">
        <v>37</v>
      </c>
      <c r="J872">
        <v>20.45</v>
      </c>
      <c r="K872" s="1">
        <v>45997</v>
      </c>
      <c r="L872" t="s">
        <v>14</v>
      </c>
      <c r="M872">
        <v>6</v>
      </c>
      <c r="N872">
        <v>12</v>
      </c>
      <c r="O872">
        <v>4</v>
      </c>
      <c r="P872">
        <v>2025</v>
      </c>
    </row>
    <row r="873" spans="1:16">
      <c r="A873">
        <v>589.95000000000005</v>
      </c>
      <c r="B873">
        <v>3</v>
      </c>
      <c r="C873" t="s">
        <v>2185</v>
      </c>
      <c r="D873" t="s">
        <v>2186</v>
      </c>
      <c r="E873" t="s">
        <v>1429</v>
      </c>
      <c r="F873" t="s">
        <v>1395</v>
      </c>
      <c r="G873" t="s">
        <v>776</v>
      </c>
      <c r="H873" t="s">
        <v>226</v>
      </c>
      <c r="I873" t="s">
        <v>97</v>
      </c>
      <c r="J873">
        <v>196.65</v>
      </c>
      <c r="K873" s="1">
        <v>45551</v>
      </c>
      <c r="L873" t="s">
        <v>93</v>
      </c>
      <c r="M873">
        <v>16</v>
      </c>
      <c r="N873">
        <v>9</v>
      </c>
      <c r="O873">
        <v>3</v>
      </c>
      <c r="P873">
        <v>2024</v>
      </c>
    </row>
    <row r="874" spans="1:16">
      <c r="A874">
        <v>158.5</v>
      </c>
      <c r="B874">
        <v>2</v>
      </c>
      <c r="C874" t="s">
        <v>2180</v>
      </c>
      <c r="D874" t="s">
        <v>2181</v>
      </c>
      <c r="E874" t="s">
        <v>1455</v>
      </c>
      <c r="F874" t="s">
        <v>1239</v>
      </c>
      <c r="G874" t="s">
        <v>795</v>
      </c>
      <c r="H874" t="s">
        <v>253</v>
      </c>
      <c r="I874" t="s">
        <v>23</v>
      </c>
      <c r="J874">
        <v>79.25</v>
      </c>
      <c r="K874" s="1">
        <v>46115</v>
      </c>
      <c r="L874" t="s">
        <v>79</v>
      </c>
      <c r="M874">
        <v>3</v>
      </c>
      <c r="N874">
        <v>4</v>
      </c>
      <c r="O874">
        <v>2</v>
      </c>
      <c r="P874">
        <v>2026</v>
      </c>
    </row>
    <row r="875" spans="1:16">
      <c r="A875">
        <v>409.1</v>
      </c>
      <c r="B875">
        <v>2</v>
      </c>
      <c r="C875" t="s">
        <v>2072</v>
      </c>
      <c r="D875" t="s">
        <v>2073</v>
      </c>
      <c r="E875" t="s">
        <v>1709</v>
      </c>
      <c r="F875" t="s">
        <v>961</v>
      </c>
      <c r="G875" t="s">
        <v>807</v>
      </c>
      <c r="H875" t="s">
        <v>323</v>
      </c>
      <c r="I875" t="s">
        <v>100</v>
      </c>
      <c r="J875">
        <v>204.55</v>
      </c>
      <c r="K875" s="1">
        <v>45562</v>
      </c>
      <c r="L875" t="s">
        <v>79</v>
      </c>
      <c r="M875">
        <v>27</v>
      </c>
      <c r="N875">
        <v>9</v>
      </c>
      <c r="O875">
        <v>3</v>
      </c>
      <c r="P875">
        <v>2024</v>
      </c>
    </row>
    <row r="876" spans="1:16">
      <c r="A876">
        <v>343.76</v>
      </c>
      <c r="B876">
        <v>2</v>
      </c>
      <c r="C876" t="s">
        <v>2215</v>
      </c>
      <c r="D876" t="s">
        <v>2216</v>
      </c>
      <c r="E876" t="s">
        <v>1821</v>
      </c>
      <c r="F876" t="s">
        <v>965</v>
      </c>
      <c r="G876" t="s">
        <v>839</v>
      </c>
      <c r="H876" t="s">
        <v>525</v>
      </c>
      <c r="I876" t="s">
        <v>17</v>
      </c>
      <c r="J876">
        <v>171.88</v>
      </c>
      <c r="K876" s="1">
        <v>45985</v>
      </c>
      <c r="L876" t="s">
        <v>93</v>
      </c>
      <c r="M876">
        <v>24</v>
      </c>
      <c r="N876">
        <v>11</v>
      </c>
      <c r="O876">
        <v>4</v>
      </c>
      <c r="P876">
        <v>2025</v>
      </c>
    </row>
    <row r="877" spans="1:16">
      <c r="A877">
        <v>296.56</v>
      </c>
      <c r="B877">
        <v>2</v>
      </c>
      <c r="C877" t="s">
        <v>3516</v>
      </c>
      <c r="D877" t="s">
        <v>3517</v>
      </c>
      <c r="E877" t="s">
        <v>1404</v>
      </c>
      <c r="F877" t="s">
        <v>392</v>
      </c>
      <c r="G877" t="s">
        <v>834</v>
      </c>
      <c r="H877" t="s">
        <v>568</v>
      </c>
      <c r="I877" t="s">
        <v>51</v>
      </c>
      <c r="J877">
        <v>148.28</v>
      </c>
      <c r="K877" s="1">
        <v>45990</v>
      </c>
      <c r="L877" t="s">
        <v>14</v>
      </c>
      <c r="M877">
        <v>29</v>
      </c>
      <c r="N877">
        <v>11</v>
      </c>
      <c r="O877">
        <v>4</v>
      </c>
      <c r="P877">
        <v>2025</v>
      </c>
    </row>
    <row r="878" spans="1:16">
      <c r="A878">
        <v>26.25</v>
      </c>
      <c r="B878">
        <v>1</v>
      </c>
      <c r="C878" t="s">
        <v>1483</v>
      </c>
      <c r="D878" t="s">
        <v>1484</v>
      </c>
      <c r="E878" t="s">
        <v>1485</v>
      </c>
      <c r="F878" t="s">
        <v>802</v>
      </c>
      <c r="G878" t="s">
        <v>748</v>
      </c>
      <c r="H878" t="s">
        <v>493</v>
      </c>
      <c r="I878" t="s">
        <v>46</v>
      </c>
      <c r="J878">
        <v>26.25</v>
      </c>
      <c r="K878" s="1">
        <v>45860</v>
      </c>
      <c r="L878" t="s">
        <v>48</v>
      </c>
      <c r="M878">
        <v>22</v>
      </c>
      <c r="N878">
        <v>7</v>
      </c>
      <c r="O878">
        <v>3</v>
      </c>
      <c r="P878">
        <v>2025</v>
      </c>
    </row>
    <row r="879" spans="1:16">
      <c r="A879">
        <v>286.92</v>
      </c>
      <c r="B879">
        <v>2</v>
      </c>
      <c r="C879" t="s">
        <v>2770</v>
      </c>
      <c r="D879" t="s">
        <v>2771</v>
      </c>
      <c r="E879" t="s">
        <v>2772</v>
      </c>
      <c r="F879" t="s">
        <v>903</v>
      </c>
      <c r="G879" t="s">
        <v>786</v>
      </c>
      <c r="H879" t="s">
        <v>299</v>
      </c>
      <c r="I879" t="s">
        <v>57</v>
      </c>
      <c r="J879">
        <v>143.46</v>
      </c>
      <c r="K879" s="1">
        <v>46126</v>
      </c>
      <c r="L879" t="s">
        <v>48</v>
      </c>
      <c r="M879">
        <v>14</v>
      </c>
      <c r="N879">
        <v>4</v>
      </c>
      <c r="O879">
        <v>2</v>
      </c>
      <c r="P879">
        <v>2026</v>
      </c>
    </row>
    <row r="880" spans="1:16">
      <c r="A880">
        <v>313.72000000000003</v>
      </c>
      <c r="B880">
        <v>2</v>
      </c>
      <c r="C880" t="s">
        <v>2066</v>
      </c>
      <c r="D880" t="s">
        <v>2067</v>
      </c>
      <c r="E880" t="s">
        <v>1192</v>
      </c>
      <c r="F880" t="s">
        <v>280</v>
      </c>
      <c r="G880" t="s">
        <v>786</v>
      </c>
      <c r="H880" t="s">
        <v>602</v>
      </c>
      <c r="I880" t="s">
        <v>17</v>
      </c>
      <c r="J880">
        <v>156.86000000000001</v>
      </c>
      <c r="K880" s="1">
        <v>45720</v>
      </c>
      <c r="L880" t="s">
        <v>48</v>
      </c>
      <c r="M880">
        <v>4</v>
      </c>
      <c r="N880">
        <v>3</v>
      </c>
      <c r="O880">
        <v>1</v>
      </c>
      <c r="P880">
        <v>2025</v>
      </c>
    </row>
    <row r="881" spans="1:16">
      <c r="A881">
        <v>374.96999999999997</v>
      </c>
      <c r="B881">
        <v>3</v>
      </c>
      <c r="C881" t="s">
        <v>2207</v>
      </c>
      <c r="D881" t="s">
        <v>2208</v>
      </c>
      <c r="E881" t="s">
        <v>1854</v>
      </c>
      <c r="F881" t="s">
        <v>1920</v>
      </c>
      <c r="G881" t="s">
        <v>807</v>
      </c>
      <c r="H881" t="s">
        <v>512</v>
      </c>
      <c r="I881" t="s">
        <v>27</v>
      </c>
      <c r="J881">
        <v>124.99</v>
      </c>
      <c r="K881" s="1">
        <v>45858</v>
      </c>
      <c r="L881" t="s">
        <v>28</v>
      </c>
      <c r="M881">
        <v>20</v>
      </c>
      <c r="N881">
        <v>7</v>
      </c>
      <c r="O881">
        <v>3</v>
      </c>
      <c r="P881">
        <v>2025</v>
      </c>
    </row>
    <row r="882" spans="1:16">
      <c r="A882">
        <v>263.74</v>
      </c>
      <c r="B882">
        <v>2</v>
      </c>
      <c r="C882" t="s">
        <v>2435</v>
      </c>
      <c r="D882" t="s">
        <v>2436</v>
      </c>
      <c r="E882" t="s">
        <v>1295</v>
      </c>
      <c r="F882" t="s">
        <v>280</v>
      </c>
      <c r="G882" t="s">
        <v>786</v>
      </c>
      <c r="H882" t="s">
        <v>165</v>
      </c>
      <c r="I882" t="s">
        <v>69</v>
      </c>
      <c r="J882">
        <v>131.87</v>
      </c>
      <c r="K882" s="1">
        <v>46140</v>
      </c>
      <c r="L882" t="s">
        <v>48</v>
      </c>
      <c r="M882">
        <v>28</v>
      </c>
      <c r="N882">
        <v>4</v>
      </c>
      <c r="O882">
        <v>2</v>
      </c>
      <c r="P882">
        <v>2026</v>
      </c>
    </row>
    <row r="883" spans="1:16">
      <c r="A883">
        <v>438.1</v>
      </c>
      <c r="B883">
        <v>5</v>
      </c>
      <c r="C883" t="s">
        <v>3032</v>
      </c>
      <c r="D883" t="s">
        <v>3033</v>
      </c>
      <c r="E883" t="s">
        <v>1768</v>
      </c>
      <c r="F883" t="s">
        <v>1670</v>
      </c>
      <c r="G883" t="s">
        <v>1247</v>
      </c>
      <c r="H883" t="s">
        <v>59</v>
      </c>
      <c r="I883" t="s">
        <v>60</v>
      </c>
      <c r="J883">
        <v>87.62</v>
      </c>
      <c r="K883" s="1">
        <v>46180</v>
      </c>
      <c r="L883" t="s">
        <v>28</v>
      </c>
      <c r="M883">
        <v>7</v>
      </c>
      <c r="N883">
        <v>6</v>
      </c>
      <c r="O883">
        <v>2</v>
      </c>
      <c r="P883">
        <v>2026</v>
      </c>
    </row>
    <row r="884" spans="1:16">
      <c r="A884">
        <v>356.92</v>
      </c>
      <c r="B884">
        <v>4</v>
      </c>
      <c r="C884" t="s">
        <v>1990</v>
      </c>
      <c r="D884" t="s">
        <v>1991</v>
      </c>
      <c r="E884" t="s">
        <v>779</v>
      </c>
      <c r="F884" t="s">
        <v>562</v>
      </c>
      <c r="G884" t="s">
        <v>753</v>
      </c>
      <c r="H884" t="s">
        <v>401</v>
      </c>
      <c r="I884" t="s">
        <v>31</v>
      </c>
      <c r="J884">
        <v>89.23</v>
      </c>
      <c r="K884" s="1">
        <v>46239</v>
      </c>
      <c r="L884" t="s">
        <v>34</v>
      </c>
      <c r="M884">
        <v>5</v>
      </c>
      <c r="N884">
        <v>8</v>
      </c>
      <c r="O884">
        <v>3</v>
      </c>
      <c r="P884">
        <v>2026</v>
      </c>
    </row>
    <row r="885" spans="1:16">
      <c r="A885">
        <v>233.32</v>
      </c>
      <c r="B885">
        <v>4</v>
      </c>
      <c r="C885" t="s">
        <v>2708</v>
      </c>
      <c r="D885" t="s">
        <v>2709</v>
      </c>
      <c r="E885" t="s">
        <v>2710</v>
      </c>
      <c r="F885" t="s">
        <v>1039</v>
      </c>
      <c r="G885" t="s">
        <v>758</v>
      </c>
      <c r="H885" t="s">
        <v>408</v>
      </c>
      <c r="I885" t="s">
        <v>17</v>
      </c>
      <c r="J885">
        <v>58.33</v>
      </c>
      <c r="K885" s="1">
        <v>45819</v>
      </c>
      <c r="L885" t="s">
        <v>34</v>
      </c>
      <c r="M885">
        <v>11</v>
      </c>
      <c r="N885">
        <v>6</v>
      </c>
      <c r="O885">
        <v>2</v>
      </c>
      <c r="P885">
        <v>2025</v>
      </c>
    </row>
    <row r="886" spans="1:16">
      <c r="A886">
        <v>1136.0999999999999</v>
      </c>
      <c r="B886">
        <v>5</v>
      </c>
      <c r="C886" t="s">
        <v>1312</v>
      </c>
      <c r="D886" t="s">
        <v>1313</v>
      </c>
      <c r="E886" t="s">
        <v>820</v>
      </c>
      <c r="F886" t="s">
        <v>1061</v>
      </c>
      <c r="G886" t="s">
        <v>834</v>
      </c>
      <c r="H886" t="s">
        <v>1314</v>
      </c>
      <c r="I886" t="s">
        <v>55</v>
      </c>
      <c r="J886">
        <v>227.22</v>
      </c>
      <c r="K886" s="1">
        <v>46185</v>
      </c>
      <c r="L886" t="s">
        <v>79</v>
      </c>
      <c r="M886">
        <v>12</v>
      </c>
      <c r="N886">
        <v>6</v>
      </c>
      <c r="O886">
        <v>2</v>
      </c>
      <c r="P886">
        <v>2026</v>
      </c>
    </row>
    <row r="887" spans="1:16">
      <c r="A887">
        <v>141.47999999999999</v>
      </c>
      <c r="B887">
        <v>1</v>
      </c>
      <c r="C887" t="s">
        <v>2638</v>
      </c>
      <c r="D887" t="s">
        <v>2639</v>
      </c>
      <c r="E887" t="s">
        <v>2640</v>
      </c>
      <c r="F887" t="s">
        <v>328</v>
      </c>
      <c r="G887" t="s">
        <v>1247</v>
      </c>
      <c r="H887" t="s">
        <v>240</v>
      </c>
      <c r="I887" t="s">
        <v>23</v>
      </c>
      <c r="J887">
        <v>141.47999999999999</v>
      </c>
      <c r="K887" s="1">
        <v>45918</v>
      </c>
      <c r="L887" t="s">
        <v>105</v>
      </c>
      <c r="M887">
        <v>18</v>
      </c>
      <c r="N887">
        <v>9</v>
      </c>
      <c r="O887">
        <v>3</v>
      </c>
      <c r="P887">
        <v>2025</v>
      </c>
    </row>
    <row r="888" spans="1:16">
      <c r="A888">
        <v>934.08</v>
      </c>
      <c r="B888">
        <v>4</v>
      </c>
      <c r="C888" t="s">
        <v>2242</v>
      </c>
      <c r="D888" t="s">
        <v>2243</v>
      </c>
      <c r="E888" t="s">
        <v>1124</v>
      </c>
      <c r="F888" t="s">
        <v>1626</v>
      </c>
      <c r="G888" t="s">
        <v>812</v>
      </c>
      <c r="H888" t="s">
        <v>676</v>
      </c>
      <c r="I888" t="s">
        <v>69</v>
      </c>
      <c r="J888">
        <v>233.52</v>
      </c>
      <c r="K888" s="1">
        <v>45984</v>
      </c>
      <c r="L888" t="s">
        <v>28</v>
      </c>
      <c r="M888">
        <v>23</v>
      </c>
      <c r="N888">
        <v>11</v>
      </c>
      <c r="O888">
        <v>4</v>
      </c>
      <c r="P888">
        <v>2025</v>
      </c>
    </row>
    <row r="889" spans="1:16">
      <c r="A889">
        <v>202.23</v>
      </c>
      <c r="B889">
        <v>1</v>
      </c>
      <c r="C889" t="s">
        <v>1309</v>
      </c>
      <c r="D889" t="s">
        <v>1310</v>
      </c>
      <c r="E889" t="s">
        <v>1311</v>
      </c>
      <c r="F889" t="s">
        <v>49</v>
      </c>
      <c r="G889" t="s">
        <v>807</v>
      </c>
      <c r="H889" t="s">
        <v>321</v>
      </c>
      <c r="I889" t="s">
        <v>17</v>
      </c>
      <c r="J889">
        <v>202.23</v>
      </c>
      <c r="K889" s="1">
        <v>45749</v>
      </c>
      <c r="L889" t="s">
        <v>34</v>
      </c>
      <c r="M889">
        <v>2</v>
      </c>
      <c r="N889">
        <v>4</v>
      </c>
      <c r="O889">
        <v>2</v>
      </c>
      <c r="P889">
        <v>2025</v>
      </c>
    </row>
    <row r="890" spans="1:16">
      <c r="A890">
        <v>35.11</v>
      </c>
      <c r="B890">
        <v>1</v>
      </c>
      <c r="C890" t="s">
        <v>1787</v>
      </c>
      <c r="D890" t="s">
        <v>1788</v>
      </c>
      <c r="E890" t="s">
        <v>1162</v>
      </c>
      <c r="F890" t="s">
        <v>767</v>
      </c>
      <c r="G890" t="s">
        <v>768</v>
      </c>
      <c r="H890" t="s">
        <v>400</v>
      </c>
      <c r="I890" t="s">
        <v>57</v>
      </c>
      <c r="J890">
        <v>35.11</v>
      </c>
      <c r="K890" s="1">
        <v>45792</v>
      </c>
      <c r="L890" t="s">
        <v>105</v>
      </c>
      <c r="M890">
        <v>15</v>
      </c>
      <c r="N890">
        <v>5</v>
      </c>
      <c r="O890">
        <v>2</v>
      </c>
      <c r="P890">
        <v>2025</v>
      </c>
    </row>
    <row r="891" spans="1:16">
      <c r="A891">
        <v>646.34999999999991</v>
      </c>
      <c r="B891">
        <v>3</v>
      </c>
      <c r="C891" t="s">
        <v>909</v>
      </c>
      <c r="D891" t="s">
        <v>910</v>
      </c>
      <c r="E891" t="s">
        <v>911</v>
      </c>
      <c r="F891" t="s">
        <v>29</v>
      </c>
      <c r="G891" t="s">
        <v>763</v>
      </c>
      <c r="H891" t="s">
        <v>395</v>
      </c>
      <c r="I891" t="s">
        <v>19</v>
      </c>
      <c r="J891">
        <v>215.45</v>
      </c>
      <c r="K891" s="1">
        <v>45883</v>
      </c>
      <c r="L891" t="s">
        <v>105</v>
      </c>
      <c r="M891">
        <v>14</v>
      </c>
      <c r="N891">
        <v>8</v>
      </c>
      <c r="O891">
        <v>3</v>
      </c>
      <c r="P891">
        <v>2025</v>
      </c>
    </row>
    <row r="892" spans="1:16">
      <c r="A892">
        <v>105.81</v>
      </c>
      <c r="B892">
        <v>3</v>
      </c>
      <c r="C892" t="s">
        <v>1926</v>
      </c>
      <c r="D892" t="s">
        <v>1927</v>
      </c>
      <c r="E892" t="s">
        <v>998</v>
      </c>
      <c r="F892" t="s">
        <v>666</v>
      </c>
      <c r="G892" t="s">
        <v>954</v>
      </c>
      <c r="H892" t="s">
        <v>33</v>
      </c>
      <c r="I892" t="s">
        <v>19</v>
      </c>
      <c r="J892">
        <v>35.270000000000003</v>
      </c>
      <c r="K892" s="1">
        <v>46196</v>
      </c>
      <c r="L892" t="s">
        <v>48</v>
      </c>
      <c r="M892">
        <v>23</v>
      </c>
      <c r="N892">
        <v>6</v>
      </c>
      <c r="O892">
        <v>2</v>
      </c>
      <c r="P892">
        <v>2026</v>
      </c>
    </row>
    <row r="893" spans="1:16">
      <c r="A893">
        <v>27.44</v>
      </c>
      <c r="B893">
        <v>1</v>
      </c>
      <c r="C893" t="s">
        <v>1055</v>
      </c>
      <c r="D893" t="s">
        <v>1056</v>
      </c>
      <c r="E893" t="s">
        <v>1057</v>
      </c>
      <c r="F893" t="s">
        <v>380</v>
      </c>
      <c r="G893" t="s">
        <v>776</v>
      </c>
      <c r="H893" t="s">
        <v>722</v>
      </c>
      <c r="I893" t="s">
        <v>37</v>
      </c>
      <c r="J893">
        <v>27.44</v>
      </c>
      <c r="K893" s="1">
        <v>46145</v>
      </c>
      <c r="L893" t="s">
        <v>28</v>
      </c>
      <c r="M893">
        <v>3</v>
      </c>
      <c r="N893">
        <v>5</v>
      </c>
      <c r="O893">
        <v>2</v>
      </c>
      <c r="P893">
        <v>2026</v>
      </c>
    </row>
    <row r="894" spans="1:16">
      <c r="A894">
        <v>5.15</v>
      </c>
      <c r="B894">
        <v>5</v>
      </c>
      <c r="C894" t="s">
        <v>2690</v>
      </c>
      <c r="D894" t="s">
        <v>2691</v>
      </c>
      <c r="E894" t="s">
        <v>2692</v>
      </c>
      <c r="F894" t="s">
        <v>2489</v>
      </c>
      <c r="G894" t="s">
        <v>1247</v>
      </c>
      <c r="H894" t="s">
        <v>711</v>
      </c>
      <c r="I894" t="s">
        <v>122</v>
      </c>
      <c r="J894">
        <v>1.03</v>
      </c>
      <c r="K894" s="1">
        <v>45895</v>
      </c>
      <c r="L894" t="s">
        <v>48</v>
      </c>
      <c r="M894">
        <v>26</v>
      </c>
      <c r="N894">
        <v>8</v>
      </c>
      <c r="O894">
        <v>3</v>
      </c>
      <c r="P894">
        <v>2025</v>
      </c>
    </row>
    <row r="895" spans="1:16">
      <c r="A895">
        <v>148.22999999999999</v>
      </c>
      <c r="B895">
        <v>3</v>
      </c>
      <c r="C895" t="s">
        <v>1299</v>
      </c>
      <c r="D895" t="s">
        <v>1300</v>
      </c>
      <c r="E895" t="s">
        <v>1301</v>
      </c>
      <c r="F895" t="s">
        <v>1302</v>
      </c>
      <c r="G895" t="s">
        <v>786</v>
      </c>
      <c r="H895" t="s">
        <v>144</v>
      </c>
      <c r="I895" t="s">
        <v>97</v>
      </c>
      <c r="J895">
        <v>49.41</v>
      </c>
      <c r="K895" s="1">
        <v>46061</v>
      </c>
      <c r="L895" t="s">
        <v>28</v>
      </c>
      <c r="M895">
        <v>8</v>
      </c>
      <c r="N895">
        <v>2</v>
      </c>
      <c r="O895">
        <v>1</v>
      </c>
      <c r="P895">
        <v>2026</v>
      </c>
    </row>
    <row r="896" spans="1:16">
      <c r="A896">
        <v>383.94</v>
      </c>
      <c r="B896">
        <v>3</v>
      </c>
      <c r="C896" t="s">
        <v>1650</v>
      </c>
      <c r="D896" t="s">
        <v>1651</v>
      </c>
      <c r="E896" t="s">
        <v>1652</v>
      </c>
      <c r="F896" t="s">
        <v>1239</v>
      </c>
      <c r="G896" t="s">
        <v>795</v>
      </c>
      <c r="H896" t="s">
        <v>277</v>
      </c>
      <c r="I896" t="s">
        <v>122</v>
      </c>
      <c r="J896">
        <v>127.98</v>
      </c>
      <c r="K896" s="1">
        <v>45612</v>
      </c>
      <c r="L896" t="s">
        <v>14</v>
      </c>
      <c r="M896">
        <v>16</v>
      </c>
      <c r="N896">
        <v>11</v>
      </c>
      <c r="O896">
        <v>4</v>
      </c>
      <c r="P896">
        <v>2024</v>
      </c>
    </row>
    <row r="897" spans="1:16">
      <c r="A897">
        <v>253.89</v>
      </c>
      <c r="B897">
        <v>3</v>
      </c>
      <c r="C897" t="s">
        <v>1802</v>
      </c>
      <c r="D897" t="s">
        <v>1803</v>
      </c>
      <c r="E897" t="s">
        <v>906</v>
      </c>
      <c r="F897" t="s">
        <v>970</v>
      </c>
      <c r="G897" t="s">
        <v>790</v>
      </c>
      <c r="H897" t="s">
        <v>528</v>
      </c>
      <c r="I897" t="s">
        <v>69</v>
      </c>
      <c r="J897">
        <v>84.63</v>
      </c>
      <c r="K897" s="1">
        <v>46138</v>
      </c>
      <c r="L897" t="s">
        <v>28</v>
      </c>
      <c r="M897">
        <v>26</v>
      </c>
      <c r="N897">
        <v>4</v>
      </c>
      <c r="O897">
        <v>2</v>
      </c>
      <c r="P897">
        <v>2026</v>
      </c>
    </row>
    <row r="898" spans="1:16">
      <c r="A898">
        <v>396.88</v>
      </c>
      <c r="B898">
        <v>2</v>
      </c>
      <c r="C898" t="s">
        <v>2630</v>
      </c>
      <c r="D898" t="s">
        <v>2631</v>
      </c>
      <c r="E898" t="s">
        <v>1633</v>
      </c>
      <c r="F898" t="s">
        <v>1421</v>
      </c>
      <c r="G898" t="s">
        <v>776</v>
      </c>
      <c r="H898" t="s">
        <v>40</v>
      </c>
      <c r="I898" t="s">
        <v>37</v>
      </c>
      <c r="J898">
        <v>198.44</v>
      </c>
      <c r="K898" s="1">
        <v>45662</v>
      </c>
      <c r="L898" t="s">
        <v>28</v>
      </c>
      <c r="M898">
        <v>5</v>
      </c>
      <c r="N898">
        <v>1</v>
      </c>
      <c r="O898">
        <v>1</v>
      </c>
      <c r="P898">
        <v>2025</v>
      </c>
    </row>
    <row r="899" spans="1:16">
      <c r="A899">
        <v>980.04</v>
      </c>
      <c r="B899">
        <v>4</v>
      </c>
      <c r="C899" t="s">
        <v>1787</v>
      </c>
      <c r="D899" t="s">
        <v>1788</v>
      </c>
      <c r="E899" t="s">
        <v>1162</v>
      </c>
      <c r="F899" t="s">
        <v>767</v>
      </c>
      <c r="G899" t="s">
        <v>768</v>
      </c>
      <c r="H899" t="s">
        <v>53</v>
      </c>
      <c r="I899" t="s">
        <v>43</v>
      </c>
      <c r="J899">
        <v>245.01</v>
      </c>
      <c r="K899" s="1">
        <v>45840</v>
      </c>
      <c r="L899" t="s">
        <v>34</v>
      </c>
      <c r="M899">
        <v>2</v>
      </c>
      <c r="N899">
        <v>7</v>
      </c>
      <c r="O899">
        <v>3</v>
      </c>
      <c r="P899">
        <v>2025</v>
      </c>
    </row>
    <row r="900" spans="1:16">
      <c r="A900">
        <v>106.58</v>
      </c>
      <c r="B900">
        <v>1</v>
      </c>
      <c r="C900" t="s">
        <v>3055</v>
      </c>
      <c r="D900" t="s">
        <v>3056</v>
      </c>
      <c r="E900" t="s">
        <v>960</v>
      </c>
      <c r="F900" t="s">
        <v>1540</v>
      </c>
      <c r="G900" t="s">
        <v>768</v>
      </c>
      <c r="H900" t="s">
        <v>670</v>
      </c>
      <c r="I900" t="s">
        <v>57</v>
      </c>
      <c r="J900">
        <v>106.58</v>
      </c>
      <c r="K900" s="1">
        <v>46080</v>
      </c>
      <c r="L900" t="s">
        <v>79</v>
      </c>
      <c r="M900">
        <v>27</v>
      </c>
      <c r="N900">
        <v>2</v>
      </c>
      <c r="O900">
        <v>1</v>
      </c>
      <c r="P900">
        <v>2026</v>
      </c>
    </row>
    <row r="901" spans="1:16">
      <c r="A901">
        <v>1158.1999999999998</v>
      </c>
      <c r="B901">
        <v>5</v>
      </c>
      <c r="C901" t="s">
        <v>1425</v>
      </c>
      <c r="D901" t="s">
        <v>1426</v>
      </c>
      <c r="E901" t="s">
        <v>1358</v>
      </c>
      <c r="F901" t="s">
        <v>74</v>
      </c>
      <c r="G901" t="s">
        <v>943</v>
      </c>
      <c r="H901" t="s">
        <v>658</v>
      </c>
      <c r="I901" t="s">
        <v>69</v>
      </c>
      <c r="J901">
        <v>231.64</v>
      </c>
      <c r="K901" s="1">
        <v>45878</v>
      </c>
      <c r="L901" t="s">
        <v>14</v>
      </c>
      <c r="M901">
        <v>9</v>
      </c>
      <c r="N901">
        <v>8</v>
      </c>
      <c r="O901">
        <v>3</v>
      </c>
      <c r="P901">
        <v>2025</v>
      </c>
    </row>
    <row r="902" spans="1:16">
      <c r="A902">
        <v>519.88</v>
      </c>
      <c r="B902">
        <v>4</v>
      </c>
      <c r="C902" t="s">
        <v>2814</v>
      </c>
      <c r="D902" t="s">
        <v>2361</v>
      </c>
      <c r="E902" t="s">
        <v>1321</v>
      </c>
      <c r="F902" t="s">
        <v>858</v>
      </c>
      <c r="G902" t="s">
        <v>753</v>
      </c>
      <c r="H902" t="s">
        <v>263</v>
      </c>
      <c r="I902" t="s">
        <v>60</v>
      </c>
      <c r="J902">
        <v>129.97</v>
      </c>
      <c r="K902" s="1">
        <v>45704</v>
      </c>
      <c r="L902" t="s">
        <v>28</v>
      </c>
      <c r="M902">
        <v>16</v>
      </c>
      <c r="N902">
        <v>2</v>
      </c>
      <c r="O902">
        <v>1</v>
      </c>
      <c r="P902">
        <v>2025</v>
      </c>
    </row>
    <row r="903" spans="1:16">
      <c r="A903">
        <v>429.18</v>
      </c>
      <c r="B903">
        <v>2</v>
      </c>
      <c r="C903" t="s">
        <v>2531</v>
      </c>
      <c r="D903" t="s">
        <v>2532</v>
      </c>
      <c r="E903" t="s">
        <v>756</v>
      </c>
      <c r="F903" t="s">
        <v>29</v>
      </c>
      <c r="G903" t="s">
        <v>821</v>
      </c>
      <c r="H903" t="s">
        <v>571</v>
      </c>
      <c r="I903" t="s">
        <v>23</v>
      </c>
      <c r="J903">
        <v>214.59</v>
      </c>
      <c r="K903" s="1">
        <v>45960</v>
      </c>
      <c r="L903" t="s">
        <v>105</v>
      </c>
      <c r="M903">
        <v>30</v>
      </c>
      <c r="N903">
        <v>10</v>
      </c>
      <c r="O903">
        <v>4</v>
      </c>
      <c r="P903">
        <v>2025</v>
      </c>
    </row>
    <row r="904" spans="1:16">
      <c r="A904">
        <v>493.64</v>
      </c>
      <c r="B904">
        <v>2</v>
      </c>
      <c r="C904" t="s">
        <v>3119</v>
      </c>
      <c r="D904" t="s">
        <v>3120</v>
      </c>
      <c r="E904" t="s">
        <v>1001</v>
      </c>
      <c r="F904" t="s">
        <v>862</v>
      </c>
      <c r="G904" t="s">
        <v>807</v>
      </c>
      <c r="H904" t="s">
        <v>369</v>
      </c>
      <c r="I904" t="s">
        <v>43</v>
      </c>
      <c r="J904">
        <v>246.82</v>
      </c>
      <c r="K904" s="1">
        <v>45898</v>
      </c>
      <c r="L904" t="s">
        <v>79</v>
      </c>
      <c r="M904">
        <v>29</v>
      </c>
      <c r="N904">
        <v>8</v>
      </c>
      <c r="O904">
        <v>3</v>
      </c>
      <c r="P904">
        <v>2025</v>
      </c>
    </row>
    <row r="905" spans="1:16">
      <c r="A905">
        <v>625.64</v>
      </c>
      <c r="B905">
        <v>4</v>
      </c>
      <c r="C905" t="s">
        <v>2430</v>
      </c>
      <c r="D905" t="s">
        <v>2431</v>
      </c>
      <c r="E905" t="s">
        <v>1893</v>
      </c>
      <c r="F905" t="s">
        <v>762</v>
      </c>
      <c r="G905" t="s">
        <v>763</v>
      </c>
      <c r="H905" t="s">
        <v>238</v>
      </c>
      <c r="I905" t="s">
        <v>97</v>
      </c>
      <c r="J905">
        <v>156.41</v>
      </c>
      <c r="K905" s="1">
        <v>45712</v>
      </c>
      <c r="L905" t="s">
        <v>93</v>
      </c>
      <c r="M905">
        <v>24</v>
      </c>
      <c r="N905">
        <v>2</v>
      </c>
      <c r="O905">
        <v>1</v>
      </c>
      <c r="P905">
        <v>2025</v>
      </c>
    </row>
    <row r="906" spans="1:16">
      <c r="A906">
        <v>454.35</v>
      </c>
      <c r="B906">
        <v>5</v>
      </c>
      <c r="C906" t="s">
        <v>2608</v>
      </c>
      <c r="D906" t="s">
        <v>2609</v>
      </c>
      <c r="E906" t="s">
        <v>2610</v>
      </c>
      <c r="F906" t="s">
        <v>464</v>
      </c>
      <c r="G906" t="s">
        <v>896</v>
      </c>
      <c r="H906" t="s">
        <v>470</v>
      </c>
      <c r="I906" t="s">
        <v>39</v>
      </c>
      <c r="J906">
        <v>90.87</v>
      </c>
      <c r="K906" s="1">
        <v>45620</v>
      </c>
      <c r="L906" t="s">
        <v>28</v>
      </c>
      <c r="M906">
        <v>24</v>
      </c>
      <c r="N906">
        <v>11</v>
      </c>
      <c r="O906">
        <v>4</v>
      </c>
      <c r="P906">
        <v>2024</v>
      </c>
    </row>
    <row r="907" spans="1:16">
      <c r="A907">
        <v>121.64</v>
      </c>
      <c r="B907">
        <v>4</v>
      </c>
      <c r="C907" t="s">
        <v>2182</v>
      </c>
      <c r="D907" t="s">
        <v>2183</v>
      </c>
      <c r="E907" t="s">
        <v>2184</v>
      </c>
      <c r="F907" t="s">
        <v>838</v>
      </c>
      <c r="G907" t="s">
        <v>839</v>
      </c>
      <c r="H907" t="s">
        <v>718</v>
      </c>
      <c r="I907" t="s">
        <v>21</v>
      </c>
      <c r="J907">
        <v>30.41</v>
      </c>
      <c r="K907" s="1">
        <v>45981</v>
      </c>
      <c r="L907" t="s">
        <v>105</v>
      </c>
      <c r="M907">
        <v>20</v>
      </c>
      <c r="N907">
        <v>11</v>
      </c>
      <c r="O907">
        <v>4</v>
      </c>
      <c r="P907">
        <v>2025</v>
      </c>
    </row>
    <row r="908" spans="1:16">
      <c r="A908">
        <v>97.83</v>
      </c>
      <c r="B908">
        <v>1</v>
      </c>
      <c r="C908" t="s">
        <v>3175</v>
      </c>
      <c r="D908" t="s">
        <v>3176</v>
      </c>
      <c r="E908" t="s">
        <v>882</v>
      </c>
      <c r="F908" t="s">
        <v>392</v>
      </c>
      <c r="G908" t="s">
        <v>834</v>
      </c>
      <c r="H908" t="s">
        <v>135</v>
      </c>
      <c r="I908" t="s">
        <v>122</v>
      </c>
      <c r="J908">
        <v>97.83</v>
      </c>
      <c r="K908" s="1">
        <v>46090</v>
      </c>
      <c r="L908" t="s">
        <v>93</v>
      </c>
      <c r="M908">
        <v>9</v>
      </c>
      <c r="N908">
        <v>3</v>
      </c>
      <c r="O908">
        <v>1</v>
      </c>
      <c r="P908">
        <v>2026</v>
      </c>
    </row>
    <row r="909" spans="1:16">
      <c r="A909">
        <v>78.75</v>
      </c>
      <c r="B909">
        <v>3</v>
      </c>
      <c r="C909" t="s">
        <v>2511</v>
      </c>
      <c r="D909" t="s">
        <v>2512</v>
      </c>
      <c r="E909" t="s">
        <v>2513</v>
      </c>
      <c r="F909" t="s">
        <v>995</v>
      </c>
      <c r="G909" t="s">
        <v>781</v>
      </c>
      <c r="H909" t="s">
        <v>493</v>
      </c>
      <c r="I909" t="s">
        <v>46</v>
      </c>
      <c r="J909">
        <v>26.25</v>
      </c>
      <c r="K909" s="1">
        <v>45550</v>
      </c>
      <c r="L909" t="s">
        <v>28</v>
      </c>
      <c r="M909">
        <v>15</v>
      </c>
      <c r="N909">
        <v>9</v>
      </c>
      <c r="O909">
        <v>3</v>
      </c>
      <c r="P909">
        <v>2024</v>
      </c>
    </row>
    <row r="910" spans="1:16">
      <c r="A910">
        <v>662.55</v>
      </c>
      <c r="B910">
        <v>3</v>
      </c>
      <c r="C910" t="s">
        <v>3258</v>
      </c>
      <c r="D910" t="s">
        <v>3259</v>
      </c>
      <c r="E910" t="s">
        <v>820</v>
      </c>
      <c r="F910" t="s">
        <v>794</v>
      </c>
      <c r="G910" t="s">
        <v>795</v>
      </c>
      <c r="H910" t="s">
        <v>309</v>
      </c>
      <c r="I910" t="s">
        <v>100</v>
      </c>
      <c r="J910">
        <v>220.85</v>
      </c>
      <c r="K910" s="1">
        <v>46097</v>
      </c>
      <c r="L910" t="s">
        <v>93</v>
      </c>
      <c r="M910">
        <v>16</v>
      </c>
      <c r="N910">
        <v>3</v>
      </c>
      <c r="O910">
        <v>1</v>
      </c>
      <c r="P910">
        <v>2026</v>
      </c>
    </row>
    <row r="911" spans="1:16">
      <c r="A911">
        <v>35.229999999999997</v>
      </c>
      <c r="B911">
        <v>1</v>
      </c>
      <c r="C911" t="s">
        <v>1802</v>
      </c>
      <c r="D911" t="s">
        <v>1803</v>
      </c>
      <c r="E911" t="s">
        <v>906</v>
      </c>
      <c r="F911" t="s">
        <v>970</v>
      </c>
      <c r="G911" t="s">
        <v>790</v>
      </c>
      <c r="H911" t="s">
        <v>261</v>
      </c>
      <c r="I911" t="s">
        <v>31</v>
      </c>
      <c r="J911">
        <v>35.229999999999997</v>
      </c>
      <c r="K911" s="1">
        <v>45973</v>
      </c>
      <c r="L911" t="s">
        <v>34</v>
      </c>
      <c r="M911">
        <v>12</v>
      </c>
      <c r="N911">
        <v>11</v>
      </c>
      <c r="O911">
        <v>4</v>
      </c>
      <c r="P911">
        <v>2025</v>
      </c>
    </row>
    <row r="912" spans="1:16">
      <c r="A912">
        <v>382.14</v>
      </c>
      <c r="B912">
        <v>3</v>
      </c>
      <c r="C912" t="s">
        <v>1448</v>
      </c>
      <c r="D912" t="s">
        <v>1449</v>
      </c>
      <c r="E912" t="s">
        <v>1050</v>
      </c>
      <c r="F912" t="s">
        <v>806</v>
      </c>
      <c r="G912" t="s">
        <v>807</v>
      </c>
      <c r="H912" t="s">
        <v>1217</v>
      </c>
      <c r="I912" t="s">
        <v>122</v>
      </c>
      <c r="J912">
        <v>127.38</v>
      </c>
      <c r="K912" s="1">
        <v>46120</v>
      </c>
      <c r="L912" t="s">
        <v>34</v>
      </c>
      <c r="M912">
        <v>8</v>
      </c>
      <c r="N912">
        <v>4</v>
      </c>
      <c r="O912">
        <v>2</v>
      </c>
      <c r="P912">
        <v>2026</v>
      </c>
    </row>
    <row r="913" spans="1:16">
      <c r="A913">
        <v>444.84000000000003</v>
      </c>
      <c r="B913">
        <v>3</v>
      </c>
      <c r="C913" t="s">
        <v>1578</v>
      </c>
      <c r="D913" t="s">
        <v>1579</v>
      </c>
      <c r="E913" t="s">
        <v>891</v>
      </c>
      <c r="F913" t="s">
        <v>106</v>
      </c>
      <c r="G913" t="s">
        <v>748</v>
      </c>
      <c r="H913" t="s">
        <v>568</v>
      </c>
      <c r="I913" t="s">
        <v>51</v>
      </c>
      <c r="J913">
        <v>148.28</v>
      </c>
      <c r="K913" s="1">
        <v>46190</v>
      </c>
      <c r="L913" t="s">
        <v>34</v>
      </c>
      <c r="M913">
        <v>17</v>
      </c>
      <c r="N913">
        <v>6</v>
      </c>
      <c r="O913">
        <v>2</v>
      </c>
      <c r="P913">
        <v>2026</v>
      </c>
    </row>
    <row r="914" spans="1:16">
      <c r="A914">
        <v>340.09999999999997</v>
      </c>
      <c r="B914">
        <v>5</v>
      </c>
      <c r="C914" t="s">
        <v>1021</v>
      </c>
      <c r="D914" t="s">
        <v>1022</v>
      </c>
      <c r="E914" t="s">
        <v>984</v>
      </c>
      <c r="F914" t="s">
        <v>929</v>
      </c>
      <c r="G914" t="s">
        <v>830</v>
      </c>
      <c r="H914" t="s">
        <v>490</v>
      </c>
      <c r="I914" t="s">
        <v>43</v>
      </c>
      <c r="J914">
        <v>68.02</v>
      </c>
      <c r="K914" s="1">
        <v>46215</v>
      </c>
      <c r="L914" t="s">
        <v>28</v>
      </c>
      <c r="M914">
        <v>12</v>
      </c>
      <c r="N914">
        <v>7</v>
      </c>
      <c r="O914">
        <v>3</v>
      </c>
      <c r="P914">
        <v>2026</v>
      </c>
    </row>
    <row r="915" spans="1:16">
      <c r="A915">
        <v>137.18</v>
      </c>
      <c r="B915">
        <v>1</v>
      </c>
      <c r="C915" t="s">
        <v>1141</v>
      </c>
      <c r="D915" t="s">
        <v>1142</v>
      </c>
      <c r="E915" t="s">
        <v>1143</v>
      </c>
      <c r="F915" t="s">
        <v>862</v>
      </c>
      <c r="G915" t="s">
        <v>908</v>
      </c>
      <c r="H915" t="s">
        <v>219</v>
      </c>
      <c r="I915" t="s">
        <v>39</v>
      </c>
      <c r="J915">
        <v>137.18</v>
      </c>
      <c r="K915" s="1">
        <v>46249</v>
      </c>
      <c r="L915" t="s">
        <v>14</v>
      </c>
      <c r="M915">
        <v>15</v>
      </c>
      <c r="N915">
        <v>8</v>
      </c>
      <c r="O915">
        <v>3</v>
      </c>
      <c r="P915">
        <v>2026</v>
      </c>
    </row>
    <row r="916" spans="1:16">
      <c r="A916">
        <v>338.1</v>
      </c>
      <c r="B916">
        <v>5</v>
      </c>
      <c r="C916" t="s">
        <v>955</v>
      </c>
      <c r="D916" t="s">
        <v>956</v>
      </c>
      <c r="E916" t="s">
        <v>957</v>
      </c>
      <c r="F916" t="s">
        <v>825</v>
      </c>
      <c r="G916" t="s">
        <v>781</v>
      </c>
      <c r="H916" t="s">
        <v>697</v>
      </c>
      <c r="I916" t="s">
        <v>17</v>
      </c>
      <c r="J916">
        <v>67.62</v>
      </c>
      <c r="K916" s="1">
        <v>46231</v>
      </c>
      <c r="L916" t="s">
        <v>48</v>
      </c>
      <c r="M916">
        <v>28</v>
      </c>
      <c r="N916">
        <v>7</v>
      </c>
      <c r="O916">
        <v>3</v>
      </c>
      <c r="P916">
        <v>2026</v>
      </c>
    </row>
    <row r="917" spans="1:16">
      <c r="A917">
        <v>195.04</v>
      </c>
      <c r="B917">
        <v>4</v>
      </c>
      <c r="C917" t="s">
        <v>1958</v>
      </c>
      <c r="D917" t="s">
        <v>1959</v>
      </c>
      <c r="E917" t="s">
        <v>1437</v>
      </c>
      <c r="F917" t="s">
        <v>196</v>
      </c>
      <c r="G917" t="s">
        <v>1247</v>
      </c>
      <c r="H917" t="s">
        <v>567</v>
      </c>
      <c r="I917" t="s">
        <v>100</v>
      </c>
      <c r="J917">
        <v>48.76</v>
      </c>
      <c r="K917" s="1">
        <v>46054</v>
      </c>
      <c r="L917" t="s">
        <v>28</v>
      </c>
      <c r="M917">
        <v>1</v>
      </c>
      <c r="N917">
        <v>2</v>
      </c>
      <c r="O917">
        <v>1</v>
      </c>
      <c r="P917">
        <v>2026</v>
      </c>
    </row>
    <row r="918" spans="1:16">
      <c r="A918">
        <v>133.03</v>
      </c>
      <c r="B918">
        <v>1</v>
      </c>
      <c r="C918" t="s">
        <v>1522</v>
      </c>
      <c r="D918" t="s">
        <v>1523</v>
      </c>
      <c r="E918" t="s">
        <v>1524</v>
      </c>
      <c r="F918" t="s">
        <v>1525</v>
      </c>
      <c r="G918" t="s">
        <v>763</v>
      </c>
      <c r="H918" t="s">
        <v>112</v>
      </c>
      <c r="I918" t="s">
        <v>21</v>
      </c>
      <c r="J918">
        <v>133.03</v>
      </c>
      <c r="K918" s="1">
        <v>45688</v>
      </c>
      <c r="L918" t="s">
        <v>79</v>
      </c>
      <c r="M918">
        <v>31</v>
      </c>
      <c r="N918">
        <v>1</v>
      </c>
      <c r="O918">
        <v>1</v>
      </c>
      <c r="P918">
        <v>2025</v>
      </c>
    </row>
    <row r="919" spans="1:16">
      <c r="A919">
        <v>873.85</v>
      </c>
      <c r="B919">
        <v>5</v>
      </c>
      <c r="C919" t="s">
        <v>2634</v>
      </c>
      <c r="D919" t="s">
        <v>2635</v>
      </c>
      <c r="E919" t="s">
        <v>1490</v>
      </c>
      <c r="F919" t="s">
        <v>816</v>
      </c>
      <c r="G919" t="s">
        <v>817</v>
      </c>
      <c r="H919" t="s">
        <v>483</v>
      </c>
      <c r="I919" t="s">
        <v>100</v>
      </c>
      <c r="J919">
        <v>174.77</v>
      </c>
      <c r="K919" s="1">
        <v>45948</v>
      </c>
      <c r="L919" t="s">
        <v>14</v>
      </c>
      <c r="M919">
        <v>18</v>
      </c>
      <c r="N919">
        <v>10</v>
      </c>
      <c r="O919">
        <v>4</v>
      </c>
      <c r="P919">
        <v>2025</v>
      </c>
    </row>
    <row r="920" spans="1:16">
      <c r="A920">
        <v>287.14999999999998</v>
      </c>
      <c r="B920">
        <v>5</v>
      </c>
      <c r="C920" t="s">
        <v>1653</v>
      </c>
      <c r="D920" t="s">
        <v>1654</v>
      </c>
      <c r="E920" t="s">
        <v>976</v>
      </c>
      <c r="F920" t="s">
        <v>1306</v>
      </c>
      <c r="G920" t="s">
        <v>966</v>
      </c>
      <c r="H920" t="s">
        <v>730</v>
      </c>
      <c r="I920" t="s">
        <v>51</v>
      </c>
      <c r="J920">
        <v>57.43</v>
      </c>
      <c r="K920" s="1">
        <v>45879</v>
      </c>
      <c r="L920" t="s">
        <v>28</v>
      </c>
      <c r="M920">
        <v>10</v>
      </c>
      <c r="N920">
        <v>8</v>
      </c>
      <c r="O920">
        <v>3</v>
      </c>
      <c r="P920">
        <v>2025</v>
      </c>
    </row>
    <row r="921" spans="1:16">
      <c r="A921">
        <v>461.84999999999997</v>
      </c>
      <c r="B921">
        <v>3</v>
      </c>
      <c r="C921" t="s">
        <v>2099</v>
      </c>
      <c r="D921" t="s">
        <v>2100</v>
      </c>
      <c r="E921" t="s">
        <v>1085</v>
      </c>
      <c r="F921" t="s">
        <v>1172</v>
      </c>
      <c r="G921" t="s">
        <v>830</v>
      </c>
      <c r="H921" t="s">
        <v>158</v>
      </c>
      <c r="I921" t="s">
        <v>60</v>
      </c>
      <c r="J921">
        <v>153.94999999999999</v>
      </c>
      <c r="K921" s="1">
        <v>46196</v>
      </c>
      <c r="L921" t="s">
        <v>48</v>
      </c>
      <c r="M921">
        <v>23</v>
      </c>
      <c r="N921">
        <v>6</v>
      </c>
      <c r="O921">
        <v>2</v>
      </c>
      <c r="P921">
        <v>2026</v>
      </c>
    </row>
    <row r="922" spans="1:16">
      <c r="A922">
        <v>259.94</v>
      </c>
      <c r="B922">
        <v>2</v>
      </c>
      <c r="C922" t="s">
        <v>2941</v>
      </c>
      <c r="D922" t="s">
        <v>2942</v>
      </c>
      <c r="E922" t="s">
        <v>2566</v>
      </c>
      <c r="F922" t="s">
        <v>1415</v>
      </c>
      <c r="G922" t="s">
        <v>812</v>
      </c>
      <c r="H922" t="s">
        <v>263</v>
      </c>
      <c r="I922" t="s">
        <v>60</v>
      </c>
      <c r="J922">
        <v>129.97</v>
      </c>
      <c r="K922" s="1">
        <v>45764</v>
      </c>
      <c r="L922" t="s">
        <v>105</v>
      </c>
      <c r="M922">
        <v>17</v>
      </c>
      <c r="N922">
        <v>4</v>
      </c>
      <c r="O922">
        <v>2</v>
      </c>
      <c r="P922">
        <v>2025</v>
      </c>
    </row>
    <row r="923" spans="1:16">
      <c r="A923">
        <v>57.16</v>
      </c>
      <c r="B923">
        <v>4</v>
      </c>
      <c r="C923" t="s">
        <v>2779</v>
      </c>
      <c r="D923" t="s">
        <v>2780</v>
      </c>
      <c r="E923" t="s">
        <v>1020</v>
      </c>
      <c r="F923" t="s">
        <v>883</v>
      </c>
      <c r="G923" t="s">
        <v>807</v>
      </c>
      <c r="H923" t="s">
        <v>685</v>
      </c>
      <c r="I923" t="s">
        <v>69</v>
      </c>
      <c r="J923">
        <v>14.29</v>
      </c>
      <c r="K923" s="1">
        <v>46094</v>
      </c>
      <c r="L923" t="s">
        <v>79</v>
      </c>
      <c r="M923">
        <v>13</v>
      </c>
      <c r="N923">
        <v>3</v>
      </c>
      <c r="O923">
        <v>1</v>
      </c>
      <c r="P923">
        <v>2026</v>
      </c>
    </row>
    <row r="924" spans="1:16">
      <c r="A924">
        <v>120.98</v>
      </c>
      <c r="B924">
        <v>2</v>
      </c>
      <c r="C924" t="s">
        <v>1966</v>
      </c>
      <c r="D924" t="s">
        <v>1967</v>
      </c>
      <c r="E924" t="s">
        <v>1968</v>
      </c>
      <c r="F924" t="s">
        <v>1421</v>
      </c>
      <c r="G924" t="s">
        <v>776</v>
      </c>
      <c r="H924" t="s">
        <v>558</v>
      </c>
      <c r="I924" t="s">
        <v>43</v>
      </c>
      <c r="J924">
        <v>60.49</v>
      </c>
      <c r="K924" s="1">
        <v>45614</v>
      </c>
      <c r="L924" t="s">
        <v>93</v>
      </c>
      <c r="M924">
        <v>18</v>
      </c>
      <c r="N924">
        <v>11</v>
      </c>
      <c r="O924">
        <v>4</v>
      </c>
      <c r="P924">
        <v>2024</v>
      </c>
    </row>
    <row r="925" spans="1:16">
      <c r="A925">
        <v>288.95999999999998</v>
      </c>
      <c r="B925">
        <v>2</v>
      </c>
      <c r="C925" t="s">
        <v>2671</v>
      </c>
      <c r="D925" t="s">
        <v>2672</v>
      </c>
      <c r="E925" t="s">
        <v>1182</v>
      </c>
      <c r="F925" t="s">
        <v>328</v>
      </c>
      <c r="G925" t="s">
        <v>1247</v>
      </c>
      <c r="H925" t="s">
        <v>1441</v>
      </c>
      <c r="I925" t="s">
        <v>19</v>
      </c>
      <c r="J925">
        <v>144.47999999999999</v>
      </c>
      <c r="K925" s="1">
        <v>46039</v>
      </c>
      <c r="L925" t="s">
        <v>14</v>
      </c>
      <c r="M925">
        <v>17</v>
      </c>
      <c r="N925">
        <v>1</v>
      </c>
      <c r="O925">
        <v>1</v>
      </c>
      <c r="P925">
        <v>2026</v>
      </c>
    </row>
    <row r="926" spans="1:16">
      <c r="A926">
        <v>326.43</v>
      </c>
      <c r="B926">
        <v>3</v>
      </c>
      <c r="C926" t="s">
        <v>1661</v>
      </c>
      <c r="D926" t="s">
        <v>1662</v>
      </c>
      <c r="E926" t="s">
        <v>1515</v>
      </c>
      <c r="F926" t="s">
        <v>883</v>
      </c>
      <c r="G926" t="s">
        <v>807</v>
      </c>
      <c r="H926" t="s">
        <v>453</v>
      </c>
      <c r="I926" t="s">
        <v>55</v>
      </c>
      <c r="J926">
        <v>108.81</v>
      </c>
      <c r="K926" s="1">
        <v>46221</v>
      </c>
      <c r="L926" t="s">
        <v>14</v>
      </c>
      <c r="M926">
        <v>18</v>
      </c>
      <c r="N926">
        <v>7</v>
      </c>
      <c r="O926">
        <v>3</v>
      </c>
      <c r="P926">
        <v>2026</v>
      </c>
    </row>
    <row r="927" spans="1:16">
      <c r="A927">
        <v>176.04</v>
      </c>
      <c r="B927">
        <v>4</v>
      </c>
      <c r="C927" t="s">
        <v>2669</v>
      </c>
      <c r="D927" t="s">
        <v>2670</v>
      </c>
      <c r="E927" t="s">
        <v>1025</v>
      </c>
      <c r="F927" t="s">
        <v>942</v>
      </c>
      <c r="G927" t="s">
        <v>943</v>
      </c>
      <c r="H927" t="s">
        <v>689</v>
      </c>
      <c r="I927" t="s">
        <v>55</v>
      </c>
      <c r="J927">
        <v>44.01</v>
      </c>
      <c r="K927" s="1">
        <v>46207</v>
      </c>
      <c r="L927" t="s">
        <v>14</v>
      </c>
      <c r="M927">
        <v>4</v>
      </c>
      <c r="N927">
        <v>7</v>
      </c>
      <c r="O927">
        <v>3</v>
      </c>
      <c r="P927">
        <v>2026</v>
      </c>
    </row>
    <row r="928" spans="1:16">
      <c r="A928">
        <v>901.56</v>
      </c>
      <c r="B928">
        <v>4</v>
      </c>
      <c r="C928" t="s">
        <v>1726</v>
      </c>
      <c r="D928" t="s">
        <v>1727</v>
      </c>
      <c r="E928" t="s">
        <v>1106</v>
      </c>
      <c r="F928" t="s">
        <v>414</v>
      </c>
      <c r="G928" t="s">
        <v>795</v>
      </c>
      <c r="H928" t="s">
        <v>152</v>
      </c>
      <c r="I928" t="s">
        <v>19</v>
      </c>
      <c r="J928">
        <v>225.39</v>
      </c>
      <c r="K928" s="1">
        <v>46038</v>
      </c>
      <c r="L928" t="s">
        <v>79</v>
      </c>
      <c r="M928">
        <v>16</v>
      </c>
      <c r="N928">
        <v>1</v>
      </c>
      <c r="O928">
        <v>1</v>
      </c>
      <c r="P928">
        <v>2026</v>
      </c>
    </row>
    <row r="929" spans="1:16">
      <c r="A929">
        <v>103.9</v>
      </c>
      <c r="B929">
        <v>2</v>
      </c>
      <c r="C929" t="s">
        <v>2014</v>
      </c>
      <c r="D929" t="s">
        <v>2015</v>
      </c>
      <c r="E929" t="s">
        <v>1585</v>
      </c>
      <c r="F929" t="s">
        <v>862</v>
      </c>
      <c r="G929" t="s">
        <v>908</v>
      </c>
      <c r="H929" t="s">
        <v>315</v>
      </c>
      <c r="I929" t="s">
        <v>27</v>
      </c>
      <c r="J929">
        <v>51.95</v>
      </c>
      <c r="K929" s="1">
        <v>45949</v>
      </c>
      <c r="L929" t="s">
        <v>28</v>
      </c>
      <c r="M929">
        <v>19</v>
      </c>
      <c r="N929">
        <v>10</v>
      </c>
      <c r="O929">
        <v>4</v>
      </c>
      <c r="P929">
        <v>2025</v>
      </c>
    </row>
    <row r="930" spans="1:16">
      <c r="A930">
        <v>169.26</v>
      </c>
      <c r="B930">
        <v>2</v>
      </c>
      <c r="C930" t="s">
        <v>2554</v>
      </c>
      <c r="D930" t="s">
        <v>2555</v>
      </c>
      <c r="E930" t="s">
        <v>2004</v>
      </c>
      <c r="F930" t="s">
        <v>1172</v>
      </c>
      <c r="G930" t="s">
        <v>830</v>
      </c>
      <c r="H930" t="s">
        <v>528</v>
      </c>
      <c r="I930" t="s">
        <v>69</v>
      </c>
      <c r="J930">
        <v>84.63</v>
      </c>
      <c r="K930" s="1">
        <v>45715</v>
      </c>
      <c r="L930" t="s">
        <v>105</v>
      </c>
      <c r="M930">
        <v>27</v>
      </c>
      <c r="N930">
        <v>2</v>
      </c>
      <c r="O930">
        <v>1</v>
      </c>
      <c r="P930">
        <v>2025</v>
      </c>
    </row>
    <row r="931" spans="1:16">
      <c r="A931">
        <v>119.58</v>
      </c>
      <c r="B931">
        <v>1</v>
      </c>
      <c r="C931" t="s">
        <v>3297</v>
      </c>
      <c r="D931" t="s">
        <v>3298</v>
      </c>
      <c r="E931" t="s">
        <v>3299</v>
      </c>
      <c r="F931" t="s">
        <v>1071</v>
      </c>
      <c r="G931" t="s">
        <v>817</v>
      </c>
      <c r="H931" t="s">
        <v>143</v>
      </c>
      <c r="I931" t="s">
        <v>69</v>
      </c>
      <c r="J931">
        <v>119.58</v>
      </c>
      <c r="K931" s="1">
        <v>46015</v>
      </c>
      <c r="L931" t="s">
        <v>34</v>
      </c>
      <c r="M931">
        <v>24</v>
      </c>
      <c r="N931">
        <v>12</v>
      </c>
      <c r="O931">
        <v>4</v>
      </c>
      <c r="P931">
        <v>2025</v>
      </c>
    </row>
    <row r="932" spans="1:16">
      <c r="A932">
        <v>662.55</v>
      </c>
      <c r="B932">
        <v>3</v>
      </c>
      <c r="C932" t="s">
        <v>2897</v>
      </c>
      <c r="D932" t="s">
        <v>2898</v>
      </c>
      <c r="E932" t="s">
        <v>811</v>
      </c>
      <c r="F932" t="s">
        <v>1318</v>
      </c>
      <c r="G932" t="s">
        <v>807</v>
      </c>
      <c r="H932" t="s">
        <v>309</v>
      </c>
      <c r="I932" t="s">
        <v>100</v>
      </c>
      <c r="J932">
        <v>220.85</v>
      </c>
      <c r="K932" s="1">
        <v>46095</v>
      </c>
      <c r="L932" t="s">
        <v>14</v>
      </c>
      <c r="M932">
        <v>14</v>
      </c>
      <c r="N932">
        <v>3</v>
      </c>
      <c r="O932">
        <v>1</v>
      </c>
      <c r="P932">
        <v>2026</v>
      </c>
    </row>
    <row r="933" spans="1:16">
      <c r="A933">
        <v>1202.9000000000001</v>
      </c>
      <c r="B933">
        <v>5</v>
      </c>
      <c r="C933" t="s">
        <v>3400</v>
      </c>
      <c r="D933" t="s">
        <v>3401</v>
      </c>
      <c r="E933" t="s">
        <v>1231</v>
      </c>
      <c r="F933" t="s">
        <v>2154</v>
      </c>
      <c r="G933" t="s">
        <v>1003</v>
      </c>
      <c r="H933" t="s">
        <v>475</v>
      </c>
      <c r="I933" t="s">
        <v>27</v>
      </c>
      <c r="J933">
        <v>240.58</v>
      </c>
      <c r="K933" s="1">
        <v>45699</v>
      </c>
      <c r="L933" t="s">
        <v>48</v>
      </c>
      <c r="M933">
        <v>11</v>
      </c>
      <c r="N933">
        <v>2</v>
      </c>
      <c r="O933">
        <v>1</v>
      </c>
      <c r="P933">
        <v>2025</v>
      </c>
    </row>
    <row r="934" spans="1:16">
      <c r="A934">
        <v>178.46</v>
      </c>
      <c r="B934">
        <v>2</v>
      </c>
      <c r="C934" t="s">
        <v>2099</v>
      </c>
      <c r="D934" t="s">
        <v>2100</v>
      </c>
      <c r="E934" t="s">
        <v>1085</v>
      </c>
      <c r="F934" t="s">
        <v>1172</v>
      </c>
      <c r="G934" t="s">
        <v>830</v>
      </c>
      <c r="H934" t="s">
        <v>401</v>
      </c>
      <c r="I934" t="s">
        <v>31</v>
      </c>
      <c r="J934">
        <v>89.23</v>
      </c>
      <c r="K934" s="1">
        <v>45639</v>
      </c>
      <c r="L934" t="s">
        <v>79</v>
      </c>
      <c r="M934">
        <v>13</v>
      </c>
      <c r="N934">
        <v>12</v>
      </c>
      <c r="O934">
        <v>4</v>
      </c>
      <c r="P934">
        <v>2024</v>
      </c>
    </row>
    <row r="935" spans="1:16">
      <c r="A935">
        <v>314.52</v>
      </c>
      <c r="B935">
        <v>2</v>
      </c>
      <c r="C935" t="s">
        <v>912</v>
      </c>
      <c r="D935" t="s">
        <v>913</v>
      </c>
      <c r="E935" t="s">
        <v>914</v>
      </c>
      <c r="F935" t="s">
        <v>915</v>
      </c>
      <c r="G935" t="s">
        <v>768</v>
      </c>
      <c r="H935" t="s">
        <v>68</v>
      </c>
      <c r="I935" t="s">
        <v>69</v>
      </c>
      <c r="J935">
        <v>157.26</v>
      </c>
      <c r="K935" s="1">
        <v>46177</v>
      </c>
      <c r="L935" t="s">
        <v>105</v>
      </c>
      <c r="M935">
        <v>4</v>
      </c>
      <c r="N935">
        <v>6</v>
      </c>
      <c r="O935">
        <v>2</v>
      </c>
      <c r="P935">
        <v>2026</v>
      </c>
    </row>
    <row r="936" spans="1:16">
      <c r="A936">
        <v>945.15</v>
      </c>
      <c r="B936">
        <v>5</v>
      </c>
      <c r="C936" t="s">
        <v>1834</v>
      </c>
      <c r="D936" t="s">
        <v>1835</v>
      </c>
      <c r="E936" t="s">
        <v>946</v>
      </c>
      <c r="F936" t="s">
        <v>1525</v>
      </c>
      <c r="G936" t="s">
        <v>763</v>
      </c>
      <c r="H936" t="s">
        <v>654</v>
      </c>
      <c r="I936" t="s">
        <v>60</v>
      </c>
      <c r="J936">
        <v>189.03</v>
      </c>
      <c r="K936" s="1">
        <v>46090</v>
      </c>
      <c r="L936" t="s">
        <v>93</v>
      </c>
      <c r="M936">
        <v>9</v>
      </c>
      <c r="N936">
        <v>3</v>
      </c>
      <c r="O936">
        <v>1</v>
      </c>
      <c r="P936">
        <v>2026</v>
      </c>
    </row>
    <row r="937" spans="1:16">
      <c r="A937">
        <v>78.900000000000006</v>
      </c>
      <c r="B937">
        <v>2</v>
      </c>
      <c r="C937" t="s">
        <v>822</v>
      </c>
      <c r="D937" t="s">
        <v>823</v>
      </c>
      <c r="E937" t="s">
        <v>824</v>
      </c>
      <c r="F937" t="s">
        <v>825</v>
      </c>
      <c r="G937" t="s">
        <v>781</v>
      </c>
      <c r="H937" t="s">
        <v>668</v>
      </c>
      <c r="I937" t="s">
        <v>46</v>
      </c>
      <c r="J937">
        <v>39.450000000000003</v>
      </c>
      <c r="K937" s="1">
        <v>46185</v>
      </c>
      <c r="L937" t="s">
        <v>79</v>
      </c>
      <c r="M937">
        <v>12</v>
      </c>
      <c r="N937">
        <v>6</v>
      </c>
      <c r="O937">
        <v>2</v>
      </c>
      <c r="P937">
        <v>2026</v>
      </c>
    </row>
    <row r="938" spans="1:16">
      <c r="A938">
        <v>391.08000000000004</v>
      </c>
      <c r="B938">
        <v>3</v>
      </c>
      <c r="C938" t="s">
        <v>2655</v>
      </c>
      <c r="D938" t="s">
        <v>2656</v>
      </c>
      <c r="E938" t="s">
        <v>2657</v>
      </c>
      <c r="F938" t="s">
        <v>1395</v>
      </c>
      <c r="G938" t="s">
        <v>776</v>
      </c>
      <c r="H938" t="s">
        <v>118</v>
      </c>
      <c r="I938" t="s">
        <v>31</v>
      </c>
      <c r="J938">
        <v>130.36000000000001</v>
      </c>
      <c r="K938" s="1">
        <v>45831</v>
      </c>
      <c r="L938" t="s">
        <v>93</v>
      </c>
      <c r="M938">
        <v>23</v>
      </c>
      <c r="N938">
        <v>6</v>
      </c>
      <c r="O938">
        <v>2</v>
      </c>
      <c r="P938">
        <v>2025</v>
      </c>
    </row>
    <row r="939" spans="1:16">
      <c r="A939">
        <v>406.86</v>
      </c>
      <c r="B939">
        <v>2</v>
      </c>
      <c r="C939" t="s">
        <v>2586</v>
      </c>
      <c r="D939" t="s">
        <v>2587</v>
      </c>
      <c r="E939" t="s">
        <v>2588</v>
      </c>
      <c r="F939" t="s">
        <v>961</v>
      </c>
      <c r="G939" t="s">
        <v>807</v>
      </c>
      <c r="H939" t="s">
        <v>128</v>
      </c>
      <c r="I939" t="s">
        <v>55</v>
      </c>
      <c r="J939">
        <v>203.43</v>
      </c>
      <c r="K939" s="1">
        <v>46120</v>
      </c>
      <c r="L939" t="s">
        <v>34</v>
      </c>
      <c r="M939">
        <v>8</v>
      </c>
      <c r="N939">
        <v>4</v>
      </c>
      <c r="O939">
        <v>2</v>
      </c>
      <c r="P939">
        <v>2026</v>
      </c>
    </row>
    <row r="940" spans="1:16">
      <c r="A940">
        <v>407.48</v>
      </c>
      <c r="B940">
        <v>2</v>
      </c>
      <c r="C940" t="s">
        <v>3262</v>
      </c>
      <c r="D940" t="s">
        <v>3263</v>
      </c>
      <c r="E940" t="s">
        <v>3264</v>
      </c>
      <c r="F940" t="s">
        <v>1630</v>
      </c>
      <c r="G940" t="s">
        <v>763</v>
      </c>
      <c r="H940" t="s">
        <v>552</v>
      </c>
      <c r="I940" t="s">
        <v>31</v>
      </c>
      <c r="J940">
        <v>203.74</v>
      </c>
      <c r="K940" s="1">
        <v>45674</v>
      </c>
      <c r="L940" t="s">
        <v>79</v>
      </c>
      <c r="M940">
        <v>17</v>
      </c>
      <c r="N940">
        <v>1</v>
      </c>
      <c r="O940">
        <v>1</v>
      </c>
      <c r="P940">
        <v>2025</v>
      </c>
    </row>
    <row r="941" spans="1:16">
      <c r="A941">
        <v>941.75</v>
      </c>
      <c r="B941">
        <v>5</v>
      </c>
      <c r="C941" t="s">
        <v>1210</v>
      </c>
      <c r="D941" t="s">
        <v>1211</v>
      </c>
      <c r="E941" t="s">
        <v>1212</v>
      </c>
      <c r="F941" t="s">
        <v>1213</v>
      </c>
      <c r="G941" t="s">
        <v>839</v>
      </c>
      <c r="H941" t="s">
        <v>699</v>
      </c>
      <c r="I941" t="s">
        <v>100</v>
      </c>
      <c r="J941">
        <v>188.35</v>
      </c>
      <c r="K941" s="1">
        <v>46156</v>
      </c>
      <c r="L941" t="s">
        <v>105</v>
      </c>
      <c r="M941">
        <v>14</v>
      </c>
      <c r="N941">
        <v>5</v>
      </c>
      <c r="O941">
        <v>2</v>
      </c>
      <c r="P941">
        <v>2026</v>
      </c>
    </row>
    <row r="942" spans="1:16">
      <c r="A942">
        <v>646.48</v>
      </c>
      <c r="B942">
        <v>4</v>
      </c>
      <c r="C942" t="s">
        <v>3135</v>
      </c>
      <c r="D942" t="s">
        <v>3136</v>
      </c>
      <c r="E942" t="s">
        <v>906</v>
      </c>
      <c r="F942" t="s">
        <v>29</v>
      </c>
      <c r="G942" t="s">
        <v>821</v>
      </c>
      <c r="H942" t="s">
        <v>224</v>
      </c>
      <c r="I942" t="s">
        <v>39</v>
      </c>
      <c r="J942">
        <v>161.62</v>
      </c>
      <c r="K942" s="1">
        <v>46271</v>
      </c>
      <c r="L942" t="s">
        <v>28</v>
      </c>
      <c r="M942">
        <v>6</v>
      </c>
      <c r="N942">
        <v>9</v>
      </c>
      <c r="O942">
        <v>3</v>
      </c>
      <c r="P942">
        <v>2026</v>
      </c>
    </row>
    <row r="943" spans="1:16">
      <c r="A943">
        <v>1076.25</v>
      </c>
      <c r="B943">
        <v>5</v>
      </c>
      <c r="C943" t="s">
        <v>1083</v>
      </c>
      <c r="D943" t="s">
        <v>1084</v>
      </c>
      <c r="E943" t="s">
        <v>1085</v>
      </c>
      <c r="F943" t="s">
        <v>1007</v>
      </c>
      <c r="G943" t="s">
        <v>966</v>
      </c>
      <c r="H943" t="s">
        <v>148</v>
      </c>
      <c r="I943" t="s">
        <v>51</v>
      </c>
      <c r="J943">
        <v>215.25</v>
      </c>
      <c r="K943" s="1">
        <v>46130</v>
      </c>
      <c r="L943" t="s">
        <v>14</v>
      </c>
      <c r="M943">
        <v>18</v>
      </c>
      <c r="N943">
        <v>4</v>
      </c>
      <c r="O943">
        <v>2</v>
      </c>
      <c r="P943">
        <v>2026</v>
      </c>
    </row>
    <row r="944" spans="1:16">
      <c r="A944">
        <v>111.06</v>
      </c>
      <c r="B944">
        <v>1</v>
      </c>
      <c r="C944" t="s">
        <v>1735</v>
      </c>
      <c r="D944" t="s">
        <v>1736</v>
      </c>
      <c r="E944" t="s">
        <v>857</v>
      </c>
      <c r="F944" t="s">
        <v>980</v>
      </c>
      <c r="G944" t="s">
        <v>981</v>
      </c>
      <c r="H944" t="s">
        <v>89</v>
      </c>
      <c r="I944" t="s">
        <v>69</v>
      </c>
      <c r="J944">
        <v>111.06</v>
      </c>
      <c r="K944" s="1">
        <v>46136</v>
      </c>
      <c r="L944" t="s">
        <v>79</v>
      </c>
      <c r="M944">
        <v>24</v>
      </c>
      <c r="N944">
        <v>4</v>
      </c>
      <c r="O944">
        <v>2</v>
      </c>
      <c r="P944">
        <v>2026</v>
      </c>
    </row>
    <row r="945" spans="1:16">
      <c r="A945">
        <v>73.739999999999995</v>
      </c>
      <c r="B945">
        <v>3</v>
      </c>
      <c r="C945" t="s">
        <v>3246</v>
      </c>
      <c r="D945" t="s">
        <v>3247</v>
      </c>
      <c r="E945" t="s">
        <v>1192</v>
      </c>
      <c r="F945" t="s">
        <v>29</v>
      </c>
      <c r="G945" t="s">
        <v>821</v>
      </c>
      <c r="H945" t="s">
        <v>370</v>
      </c>
      <c r="I945" t="s">
        <v>43</v>
      </c>
      <c r="J945">
        <v>24.58</v>
      </c>
      <c r="K945" s="1">
        <v>45552</v>
      </c>
      <c r="L945" t="s">
        <v>48</v>
      </c>
      <c r="M945">
        <v>17</v>
      </c>
      <c r="N945">
        <v>9</v>
      </c>
      <c r="O945">
        <v>3</v>
      </c>
      <c r="P945">
        <v>2024</v>
      </c>
    </row>
    <row r="946" spans="1:16">
      <c r="A946">
        <v>67.62</v>
      </c>
      <c r="B946">
        <v>1</v>
      </c>
      <c r="C946" t="s">
        <v>1229</v>
      </c>
      <c r="D946" t="s">
        <v>1230</v>
      </c>
      <c r="E946" t="s">
        <v>1231</v>
      </c>
      <c r="F946" t="s">
        <v>1232</v>
      </c>
      <c r="G946" t="s">
        <v>817</v>
      </c>
      <c r="H946" t="s">
        <v>697</v>
      </c>
      <c r="I946" t="s">
        <v>17</v>
      </c>
      <c r="J946">
        <v>67.62</v>
      </c>
      <c r="K946" s="1">
        <v>45564</v>
      </c>
      <c r="L946" t="s">
        <v>28</v>
      </c>
      <c r="M946">
        <v>29</v>
      </c>
      <c r="N946">
        <v>9</v>
      </c>
      <c r="O946">
        <v>3</v>
      </c>
      <c r="P946">
        <v>2024</v>
      </c>
    </row>
    <row r="947" spans="1:16">
      <c r="A947">
        <v>453.1</v>
      </c>
      <c r="B947">
        <v>5</v>
      </c>
      <c r="C947" t="s">
        <v>1391</v>
      </c>
      <c r="D947" t="s">
        <v>1392</v>
      </c>
      <c r="E947" t="s">
        <v>1231</v>
      </c>
      <c r="F947" t="s">
        <v>757</v>
      </c>
      <c r="G947" t="s">
        <v>758</v>
      </c>
      <c r="H947" t="s">
        <v>686</v>
      </c>
      <c r="I947" t="s">
        <v>82</v>
      </c>
      <c r="J947">
        <v>90.62</v>
      </c>
      <c r="K947" s="1">
        <v>45815</v>
      </c>
      <c r="L947" t="s">
        <v>14</v>
      </c>
      <c r="M947">
        <v>7</v>
      </c>
      <c r="N947">
        <v>6</v>
      </c>
      <c r="O947">
        <v>2</v>
      </c>
      <c r="P947">
        <v>2025</v>
      </c>
    </row>
    <row r="948" spans="1:16">
      <c r="A948">
        <v>347.02</v>
      </c>
      <c r="B948">
        <v>2</v>
      </c>
      <c r="C948" t="s">
        <v>2477</v>
      </c>
      <c r="D948" t="s">
        <v>2478</v>
      </c>
      <c r="E948" t="s">
        <v>2479</v>
      </c>
      <c r="F948" t="s">
        <v>196</v>
      </c>
      <c r="G948" t="s">
        <v>1247</v>
      </c>
      <c r="H948" t="s">
        <v>734</v>
      </c>
      <c r="I948" t="s">
        <v>51</v>
      </c>
      <c r="J948">
        <v>173.51</v>
      </c>
      <c r="K948" s="1">
        <v>46179</v>
      </c>
      <c r="L948" t="s">
        <v>14</v>
      </c>
      <c r="M948">
        <v>6</v>
      </c>
      <c r="N948">
        <v>6</v>
      </c>
      <c r="O948">
        <v>2</v>
      </c>
      <c r="P948">
        <v>2026</v>
      </c>
    </row>
    <row r="949" spans="1:16">
      <c r="A949">
        <v>895.28</v>
      </c>
      <c r="B949">
        <v>4</v>
      </c>
      <c r="C949" t="s">
        <v>2278</v>
      </c>
      <c r="D949" t="s">
        <v>2279</v>
      </c>
      <c r="E949" t="s">
        <v>2280</v>
      </c>
      <c r="F949" t="s">
        <v>1239</v>
      </c>
      <c r="G949" t="s">
        <v>795</v>
      </c>
      <c r="H949" t="s">
        <v>588</v>
      </c>
      <c r="I949" t="s">
        <v>82</v>
      </c>
      <c r="J949">
        <v>223.82</v>
      </c>
      <c r="K949" s="1">
        <v>45921</v>
      </c>
      <c r="L949" t="s">
        <v>28</v>
      </c>
      <c r="M949">
        <v>21</v>
      </c>
      <c r="N949">
        <v>9</v>
      </c>
      <c r="O949">
        <v>3</v>
      </c>
      <c r="P949">
        <v>2025</v>
      </c>
    </row>
    <row r="950" spans="1:16">
      <c r="A950">
        <v>916.36</v>
      </c>
      <c r="B950">
        <v>4</v>
      </c>
      <c r="C950" t="s">
        <v>2602</v>
      </c>
      <c r="D950" t="s">
        <v>2603</v>
      </c>
      <c r="E950" t="s">
        <v>932</v>
      </c>
      <c r="F950" t="s">
        <v>1199</v>
      </c>
      <c r="G950" t="s">
        <v>839</v>
      </c>
      <c r="H950" t="s">
        <v>622</v>
      </c>
      <c r="I950" t="s">
        <v>37</v>
      </c>
      <c r="J950">
        <v>229.09</v>
      </c>
      <c r="K950" s="1">
        <v>45666</v>
      </c>
      <c r="L950" t="s">
        <v>105</v>
      </c>
      <c r="M950">
        <v>9</v>
      </c>
      <c r="N950">
        <v>1</v>
      </c>
      <c r="O950">
        <v>1</v>
      </c>
      <c r="P950">
        <v>2025</v>
      </c>
    </row>
    <row r="951" spans="1:16">
      <c r="A951">
        <v>815.69999999999993</v>
      </c>
      <c r="B951">
        <v>5</v>
      </c>
      <c r="C951" t="s">
        <v>2053</v>
      </c>
      <c r="D951" t="s">
        <v>2054</v>
      </c>
      <c r="E951" t="s">
        <v>1140</v>
      </c>
      <c r="F951" t="s">
        <v>1540</v>
      </c>
      <c r="G951" t="s">
        <v>768</v>
      </c>
      <c r="H951" t="s">
        <v>183</v>
      </c>
      <c r="I951" t="s">
        <v>19</v>
      </c>
      <c r="J951">
        <v>163.13999999999999</v>
      </c>
      <c r="K951" s="1">
        <v>45959</v>
      </c>
      <c r="L951" t="s">
        <v>34</v>
      </c>
      <c r="M951">
        <v>29</v>
      </c>
      <c r="N951">
        <v>10</v>
      </c>
      <c r="O951">
        <v>4</v>
      </c>
      <c r="P951">
        <v>2025</v>
      </c>
    </row>
    <row r="952" spans="1:16">
      <c r="A952">
        <v>154.94</v>
      </c>
      <c r="B952">
        <v>2</v>
      </c>
      <c r="C952" t="s">
        <v>3276</v>
      </c>
      <c r="D952" t="s">
        <v>3277</v>
      </c>
      <c r="E952" t="s">
        <v>1348</v>
      </c>
      <c r="F952" t="s">
        <v>380</v>
      </c>
      <c r="G952" t="s">
        <v>896</v>
      </c>
      <c r="H952" t="s">
        <v>638</v>
      </c>
      <c r="I952" t="s">
        <v>100</v>
      </c>
      <c r="J952">
        <v>77.47</v>
      </c>
      <c r="K952" s="1">
        <v>46207</v>
      </c>
      <c r="L952" t="s">
        <v>14</v>
      </c>
      <c r="M952">
        <v>4</v>
      </c>
      <c r="N952">
        <v>7</v>
      </c>
      <c r="O952">
        <v>3</v>
      </c>
      <c r="P952">
        <v>2026</v>
      </c>
    </row>
    <row r="953" spans="1:16">
      <c r="A953">
        <v>274.36</v>
      </c>
      <c r="B953">
        <v>2</v>
      </c>
      <c r="C953" t="s">
        <v>773</v>
      </c>
      <c r="D953" t="s">
        <v>774</v>
      </c>
      <c r="E953" t="s">
        <v>775</v>
      </c>
      <c r="F953" t="s">
        <v>691</v>
      </c>
      <c r="G953" t="s">
        <v>776</v>
      </c>
      <c r="H953" t="s">
        <v>219</v>
      </c>
      <c r="I953" t="s">
        <v>39</v>
      </c>
      <c r="J953">
        <v>137.18</v>
      </c>
      <c r="K953" s="1">
        <v>46054</v>
      </c>
      <c r="L953" t="s">
        <v>28</v>
      </c>
      <c r="M953">
        <v>1</v>
      </c>
      <c r="N953">
        <v>2</v>
      </c>
      <c r="O953">
        <v>1</v>
      </c>
      <c r="P953">
        <v>2026</v>
      </c>
    </row>
    <row r="954" spans="1:16">
      <c r="A954">
        <v>226.05</v>
      </c>
      <c r="B954">
        <v>5</v>
      </c>
      <c r="C954" t="s">
        <v>3433</v>
      </c>
      <c r="D954" t="s">
        <v>3434</v>
      </c>
      <c r="E954" t="s">
        <v>1859</v>
      </c>
      <c r="F954" t="s">
        <v>825</v>
      </c>
      <c r="G954" t="s">
        <v>781</v>
      </c>
      <c r="H954" t="s">
        <v>542</v>
      </c>
      <c r="I954" t="s">
        <v>46</v>
      </c>
      <c r="J954">
        <v>45.21</v>
      </c>
      <c r="K954" s="1">
        <v>45589</v>
      </c>
      <c r="L954" t="s">
        <v>105</v>
      </c>
      <c r="M954">
        <v>24</v>
      </c>
      <c r="N954">
        <v>10</v>
      </c>
      <c r="O954">
        <v>4</v>
      </c>
      <c r="P954">
        <v>2024</v>
      </c>
    </row>
    <row r="955" spans="1:16">
      <c r="A955">
        <v>340.09999999999997</v>
      </c>
      <c r="B955">
        <v>5</v>
      </c>
      <c r="C955" t="s">
        <v>2207</v>
      </c>
      <c r="D955" t="s">
        <v>2208</v>
      </c>
      <c r="E955" t="s">
        <v>1854</v>
      </c>
      <c r="F955" t="s">
        <v>1920</v>
      </c>
      <c r="G955" t="s">
        <v>807</v>
      </c>
      <c r="H955" t="s">
        <v>490</v>
      </c>
      <c r="I955" t="s">
        <v>43</v>
      </c>
      <c r="J955">
        <v>68.02</v>
      </c>
      <c r="K955" s="1">
        <v>45959</v>
      </c>
      <c r="L955" t="s">
        <v>34</v>
      </c>
      <c r="M955">
        <v>29</v>
      </c>
      <c r="N955">
        <v>10</v>
      </c>
      <c r="O955">
        <v>4</v>
      </c>
      <c r="P955">
        <v>2025</v>
      </c>
    </row>
    <row r="956" spans="1:16">
      <c r="A956">
        <v>171.88</v>
      </c>
      <c r="B956">
        <v>1</v>
      </c>
      <c r="C956" t="s">
        <v>2693</v>
      </c>
      <c r="D956" t="s">
        <v>2694</v>
      </c>
      <c r="E956" t="s">
        <v>2695</v>
      </c>
      <c r="F956" t="s">
        <v>691</v>
      </c>
      <c r="G956" t="s">
        <v>776</v>
      </c>
      <c r="H956" t="s">
        <v>525</v>
      </c>
      <c r="I956" t="s">
        <v>17</v>
      </c>
      <c r="J956">
        <v>171.88</v>
      </c>
      <c r="K956" s="1">
        <v>46149</v>
      </c>
      <c r="L956" t="s">
        <v>105</v>
      </c>
      <c r="M956">
        <v>7</v>
      </c>
      <c r="N956">
        <v>5</v>
      </c>
      <c r="O956">
        <v>2</v>
      </c>
      <c r="P956">
        <v>2026</v>
      </c>
    </row>
    <row r="957" spans="1:16">
      <c r="A957">
        <v>724.96</v>
      </c>
      <c r="B957">
        <v>4</v>
      </c>
      <c r="C957" t="s">
        <v>1458</v>
      </c>
      <c r="D957" t="s">
        <v>1459</v>
      </c>
      <c r="E957" t="s">
        <v>1286</v>
      </c>
      <c r="F957" t="s">
        <v>1359</v>
      </c>
      <c r="G957" t="s">
        <v>768</v>
      </c>
      <c r="H957" t="s">
        <v>81</v>
      </c>
      <c r="I957" t="s">
        <v>82</v>
      </c>
      <c r="J957">
        <v>181.24</v>
      </c>
      <c r="K957" s="1">
        <v>45701</v>
      </c>
      <c r="L957" t="s">
        <v>105</v>
      </c>
      <c r="M957">
        <v>13</v>
      </c>
      <c r="N957">
        <v>2</v>
      </c>
      <c r="O957">
        <v>1</v>
      </c>
      <c r="P957">
        <v>2025</v>
      </c>
    </row>
    <row r="958" spans="1:16">
      <c r="A958">
        <v>243.23</v>
      </c>
      <c r="B958">
        <v>1</v>
      </c>
      <c r="C958" t="s">
        <v>1608</v>
      </c>
      <c r="D958" t="s">
        <v>1609</v>
      </c>
      <c r="E958" t="s">
        <v>998</v>
      </c>
      <c r="F958" t="s">
        <v>1502</v>
      </c>
      <c r="G958" t="s">
        <v>817</v>
      </c>
      <c r="H958" t="s">
        <v>126</v>
      </c>
      <c r="I958" t="s">
        <v>43</v>
      </c>
      <c r="J958">
        <v>243.23</v>
      </c>
      <c r="K958" s="1">
        <v>46216</v>
      </c>
      <c r="L958" t="s">
        <v>93</v>
      </c>
      <c r="M958">
        <v>13</v>
      </c>
      <c r="N958">
        <v>7</v>
      </c>
      <c r="O958">
        <v>3</v>
      </c>
      <c r="P958">
        <v>2026</v>
      </c>
    </row>
    <row r="959" spans="1:16">
      <c r="A959">
        <v>366.24</v>
      </c>
      <c r="B959">
        <v>3</v>
      </c>
      <c r="C959" t="s">
        <v>3375</v>
      </c>
      <c r="D959" t="s">
        <v>3376</v>
      </c>
      <c r="E959" t="s">
        <v>1625</v>
      </c>
      <c r="F959" t="s">
        <v>1434</v>
      </c>
      <c r="G959" t="s">
        <v>786</v>
      </c>
      <c r="H959" t="s">
        <v>646</v>
      </c>
      <c r="I959" t="s">
        <v>21</v>
      </c>
      <c r="J959">
        <v>122.08</v>
      </c>
      <c r="K959" s="1">
        <v>46081</v>
      </c>
      <c r="L959" t="s">
        <v>14</v>
      </c>
      <c r="M959">
        <v>28</v>
      </c>
      <c r="N959">
        <v>2</v>
      </c>
      <c r="O959">
        <v>1</v>
      </c>
      <c r="P959">
        <v>2026</v>
      </c>
    </row>
    <row r="960" spans="1:16">
      <c r="A960">
        <v>152.05000000000001</v>
      </c>
      <c r="B960">
        <v>5</v>
      </c>
      <c r="C960" t="s">
        <v>933</v>
      </c>
      <c r="D960" t="s">
        <v>934</v>
      </c>
      <c r="E960" t="s">
        <v>935</v>
      </c>
      <c r="F960" t="s">
        <v>322</v>
      </c>
      <c r="G960" t="s">
        <v>795</v>
      </c>
      <c r="H960" t="s">
        <v>718</v>
      </c>
      <c r="I960" t="s">
        <v>21</v>
      </c>
      <c r="J960">
        <v>30.41</v>
      </c>
      <c r="K960" s="1">
        <v>45625</v>
      </c>
      <c r="L960" t="s">
        <v>79</v>
      </c>
      <c r="M960">
        <v>29</v>
      </c>
      <c r="N960">
        <v>11</v>
      </c>
      <c r="O960">
        <v>4</v>
      </c>
      <c r="P960">
        <v>2024</v>
      </c>
    </row>
    <row r="961" spans="1:16">
      <c r="A961">
        <v>248.72</v>
      </c>
      <c r="B961">
        <v>4</v>
      </c>
      <c r="C961" t="s">
        <v>3100</v>
      </c>
      <c r="D961" t="s">
        <v>3101</v>
      </c>
      <c r="E961" t="s">
        <v>1791</v>
      </c>
      <c r="F961" t="s">
        <v>392</v>
      </c>
      <c r="G961" t="s">
        <v>943</v>
      </c>
      <c r="H961" t="s">
        <v>276</v>
      </c>
      <c r="I961" t="s">
        <v>57</v>
      </c>
      <c r="J961">
        <v>62.18</v>
      </c>
      <c r="K961" s="1">
        <v>46090</v>
      </c>
      <c r="L961" t="s">
        <v>93</v>
      </c>
      <c r="M961">
        <v>9</v>
      </c>
      <c r="N961">
        <v>3</v>
      </c>
      <c r="O961">
        <v>1</v>
      </c>
      <c r="P961">
        <v>2026</v>
      </c>
    </row>
    <row r="962" spans="1:16">
      <c r="A962">
        <v>389.66999999999996</v>
      </c>
      <c r="B962">
        <v>3</v>
      </c>
      <c r="C962" t="s">
        <v>2339</v>
      </c>
      <c r="D962" t="s">
        <v>2340</v>
      </c>
      <c r="E962" t="s">
        <v>2341</v>
      </c>
      <c r="F962" t="s">
        <v>1469</v>
      </c>
      <c r="G962" t="s">
        <v>908</v>
      </c>
      <c r="H962" t="s">
        <v>271</v>
      </c>
      <c r="I962" t="s">
        <v>25</v>
      </c>
      <c r="J962">
        <v>129.88999999999999</v>
      </c>
      <c r="K962" s="1">
        <v>46167</v>
      </c>
      <c r="L962" t="s">
        <v>93</v>
      </c>
      <c r="M962">
        <v>25</v>
      </c>
      <c r="N962">
        <v>5</v>
      </c>
      <c r="O962">
        <v>2</v>
      </c>
      <c r="P962">
        <v>2026</v>
      </c>
    </row>
    <row r="963" spans="1:16">
      <c r="A963">
        <v>35.44</v>
      </c>
      <c r="B963">
        <v>1</v>
      </c>
      <c r="C963" t="s">
        <v>1958</v>
      </c>
      <c r="D963" t="s">
        <v>1959</v>
      </c>
      <c r="E963" t="s">
        <v>1437</v>
      </c>
      <c r="F963" t="s">
        <v>196</v>
      </c>
      <c r="G963" t="s">
        <v>1247</v>
      </c>
      <c r="H963" t="s">
        <v>173</v>
      </c>
      <c r="I963" t="s">
        <v>55</v>
      </c>
      <c r="J963">
        <v>35.44</v>
      </c>
      <c r="K963" s="1">
        <v>46024</v>
      </c>
      <c r="L963" t="s">
        <v>79</v>
      </c>
      <c r="M963">
        <v>2</v>
      </c>
      <c r="N963">
        <v>1</v>
      </c>
      <c r="O963">
        <v>1</v>
      </c>
      <c r="P963">
        <v>2026</v>
      </c>
    </row>
    <row r="964" spans="1:16">
      <c r="A964">
        <v>309.48</v>
      </c>
      <c r="B964">
        <v>2</v>
      </c>
      <c r="C964" t="s">
        <v>1949</v>
      </c>
      <c r="D964" t="s">
        <v>1950</v>
      </c>
      <c r="E964" t="s">
        <v>1335</v>
      </c>
      <c r="F964" t="s">
        <v>767</v>
      </c>
      <c r="G964" t="s">
        <v>768</v>
      </c>
      <c r="H964" t="s">
        <v>547</v>
      </c>
      <c r="I964" t="s">
        <v>97</v>
      </c>
      <c r="J964">
        <v>154.74</v>
      </c>
      <c r="K964" s="1">
        <v>45901</v>
      </c>
      <c r="L964" t="s">
        <v>93</v>
      </c>
      <c r="M964">
        <v>1</v>
      </c>
      <c r="N964">
        <v>9</v>
      </c>
      <c r="O964">
        <v>3</v>
      </c>
      <c r="P964">
        <v>2025</v>
      </c>
    </row>
    <row r="965" spans="1:16">
      <c r="A965">
        <v>19.38</v>
      </c>
      <c r="B965">
        <v>1</v>
      </c>
      <c r="C965" t="s">
        <v>3084</v>
      </c>
      <c r="D965" t="s">
        <v>3085</v>
      </c>
      <c r="E965" t="s">
        <v>3086</v>
      </c>
      <c r="F965" t="s">
        <v>562</v>
      </c>
      <c r="G965" t="s">
        <v>753</v>
      </c>
      <c r="H965" t="s">
        <v>733</v>
      </c>
      <c r="I965" t="s">
        <v>51</v>
      </c>
      <c r="J965">
        <v>19.38</v>
      </c>
      <c r="K965" s="1">
        <v>46133</v>
      </c>
      <c r="L965" t="s">
        <v>48</v>
      </c>
      <c r="M965">
        <v>21</v>
      </c>
      <c r="N965">
        <v>4</v>
      </c>
      <c r="O965">
        <v>2</v>
      </c>
      <c r="P965">
        <v>2026</v>
      </c>
    </row>
    <row r="966" spans="1:16">
      <c r="A966">
        <v>574.48</v>
      </c>
      <c r="B966">
        <v>4</v>
      </c>
      <c r="C966" t="s">
        <v>1251</v>
      </c>
      <c r="D966" t="s">
        <v>1252</v>
      </c>
      <c r="E966" t="s">
        <v>1253</v>
      </c>
      <c r="F966" t="s">
        <v>1254</v>
      </c>
      <c r="G966" t="s">
        <v>781</v>
      </c>
      <c r="H966" t="s">
        <v>326</v>
      </c>
      <c r="I966" t="s">
        <v>97</v>
      </c>
      <c r="J966">
        <v>143.62</v>
      </c>
      <c r="K966" s="1">
        <v>45607</v>
      </c>
      <c r="L966" t="s">
        <v>93</v>
      </c>
      <c r="M966">
        <v>11</v>
      </c>
      <c r="N966">
        <v>11</v>
      </c>
      <c r="O966">
        <v>4</v>
      </c>
      <c r="P966">
        <v>2024</v>
      </c>
    </row>
    <row r="967" spans="1:16">
      <c r="A967">
        <v>173.48</v>
      </c>
      <c r="B967">
        <v>1</v>
      </c>
      <c r="C967" t="s">
        <v>2693</v>
      </c>
      <c r="D967" t="s">
        <v>2694</v>
      </c>
      <c r="E967" t="s">
        <v>2695</v>
      </c>
      <c r="F967" t="s">
        <v>691</v>
      </c>
      <c r="G967" t="s">
        <v>776</v>
      </c>
      <c r="H967" t="s">
        <v>728</v>
      </c>
      <c r="I967" t="s">
        <v>46</v>
      </c>
      <c r="J967">
        <v>173.48</v>
      </c>
      <c r="K967" s="1">
        <v>46161</v>
      </c>
      <c r="L967" t="s">
        <v>48</v>
      </c>
      <c r="M967">
        <v>19</v>
      </c>
      <c r="N967">
        <v>5</v>
      </c>
      <c r="O967">
        <v>2</v>
      </c>
      <c r="P967">
        <v>2026</v>
      </c>
    </row>
    <row r="968" spans="1:16">
      <c r="A968">
        <v>5.05</v>
      </c>
      <c r="B968">
        <v>1</v>
      </c>
      <c r="C968" t="s">
        <v>1620</v>
      </c>
      <c r="D968" t="s">
        <v>1621</v>
      </c>
      <c r="E968" t="s">
        <v>1622</v>
      </c>
      <c r="F968" t="s">
        <v>1566</v>
      </c>
      <c r="G968" t="s">
        <v>763</v>
      </c>
      <c r="H968" t="s">
        <v>182</v>
      </c>
      <c r="I968" t="s">
        <v>39</v>
      </c>
      <c r="J968">
        <v>5.05</v>
      </c>
      <c r="K968" s="1">
        <v>45904</v>
      </c>
      <c r="L968" t="s">
        <v>105</v>
      </c>
      <c r="M968">
        <v>4</v>
      </c>
      <c r="N968">
        <v>9</v>
      </c>
      <c r="O968">
        <v>3</v>
      </c>
      <c r="P968">
        <v>2025</v>
      </c>
    </row>
    <row r="969" spans="1:16">
      <c r="A969">
        <v>9.73</v>
      </c>
      <c r="B969">
        <v>1</v>
      </c>
      <c r="C969" t="s">
        <v>2448</v>
      </c>
      <c r="D969" t="s">
        <v>2449</v>
      </c>
      <c r="E969" t="s">
        <v>1070</v>
      </c>
      <c r="F969" t="s">
        <v>961</v>
      </c>
      <c r="G969" t="s">
        <v>807</v>
      </c>
      <c r="H969" t="s">
        <v>716</v>
      </c>
      <c r="I969" t="s">
        <v>19</v>
      </c>
      <c r="J969">
        <v>9.73</v>
      </c>
      <c r="K969" s="1">
        <v>46245</v>
      </c>
      <c r="L969" t="s">
        <v>48</v>
      </c>
      <c r="M969">
        <v>11</v>
      </c>
      <c r="N969">
        <v>8</v>
      </c>
      <c r="O969">
        <v>3</v>
      </c>
      <c r="P969">
        <v>2026</v>
      </c>
    </row>
    <row r="970" spans="1:16">
      <c r="A970">
        <v>7.9</v>
      </c>
      <c r="B970">
        <v>2</v>
      </c>
      <c r="C970" t="s">
        <v>3070</v>
      </c>
      <c r="D970" t="s">
        <v>3071</v>
      </c>
      <c r="E970" t="s">
        <v>798</v>
      </c>
      <c r="F970" t="s">
        <v>980</v>
      </c>
      <c r="G970" t="s">
        <v>981</v>
      </c>
      <c r="H970" t="s">
        <v>187</v>
      </c>
      <c r="I970" t="s">
        <v>60</v>
      </c>
      <c r="J970">
        <v>3.95</v>
      </c>
      <c r="K970" s="1">
        <v>45913</v>
      </c>
      <c r="L970" t="s">
        <v>14</v>
      </c>
      <c r="M970">
        <v>13</v>
      </c>
      <c r="N970">
        <v>9</v>
      </c>
      <c r="O970">
        <v>3</v>
      </c>
      <c r="P970">
        <v>2025</v>
      </c>
    </row>
    <row r="971" spans="1:16">
      <c r="A971">
        <v>62.22</v>
      </c>
      <c r="B971">
        <v>3</v>
      </c>
      <c r="C971" t="s">
        <v>1399</v>
      </c>
      <c r="D971" t="s">
        <v>1400</v>
      </c>
      <c r="E971" t="s">
        <v>922</v>
      </c>
      <c r="F971" t="s">
        <v>1401</v>
      </c>
      <c r="G971" t="s">
        <v>943</v>
      </c>
      <c r="H971" t="s">
        <v>70</v>
      </c>
      <c r="I971" t="s">
        <v>27</v>
      </c>
      <c r="J971">
        <v>20.74</v>
      </c>
      <c r="K971" s="1">
        <v>45614</v>
      </c>
      <c r="L971" t="s">
        <v>93</v>
      </c>
      <c r="M971">
        <v>18</v>
      </c>
      <c r="N971">
        <v>11</v>
      </c>
      <c r="O971">
        <v>4</v>
      </c>
      <c r="P971">
        <v>2024</v>
      </c>
    </row>
    <row r="972" spans="1:16">
      <c r="A972">
        <v>519.70000000000005</v>
      </c>
      <c r="B972">
        <v>5</v>
      </c>
      <c r="C972" t="s">
        <v>2002</v>
      </c>
      <c r="D972" t="s">
        <v>2003</v>
      </c>
      <c r="E972" t="s">
        <v>2004</v>
      </c>
      <c r="F972" t="s">
        <v>794</v>
      </c>
      <c r="G972" t="s">
        <v>821</v>
      </c>
      <c r="H972" t="s">
        <v>210</v>
      </c>
      <c r="I972" t="s">
        <v>55</v>
      </c>
      <c r="J972">
        <v>103.94</v>
      </c>
      <c r="K972" s="1">
        <v>45817</v>
      </c>
      <c r="L972" t="s">
        <v>93</v>
      </c>
      <c r="M972">
        <v>9</v>
      </c>
      <c r="N972">
        <v>6</v>
      </c>
      <c r="O972">
        <v>2</v>
      </c>
      <c r="P972">
        <v>2025</v>
      </c>
    </row>
    <row r="973" spans="1:16">
      <c r="A973">
        <v>419.84</v>
      </c>
      <c r="B973">
        <v>4</v>
      </c>
      <c r="C973" t="s">
        <v>3137</v>
      </c>
      <c r="D973" t="s">
        <v>3138</v>
      </c>
      <c r="E973" t="s">
        <v>2383</v>
      </c>
      <c r="F973" t="s">
        <v>3139</v>
      </c>
      <c r="G973" t="s">
        <v>908</v>
      </c>
      <c r="H973" t="s">
        <v>225</v>
      </c>
      <c r="I973" t="s">
        <v>21</v>
      </c>
      <c r="J973">
        <v>104.96</v>
      </c>
      <c r="K973" s="1">
        <v>45731</v>
      </c>
      <c r="L973" t="s">
        <v>14</v>
      </c>
      <c r="M973">
        <v>15</v>
      </c>
      <c r="N973">
        <v>3</v>
      </c>
      <c r="O973">
        <v>1</v>
      </c>
      <c r="P973">
        <v>2025</v>
      </c>
    </row>
    <row r="974" spans="1:16">
      <c r="A974">
        <v>170.75</v>
      </c>
      <c r="B974">
        <v>1</v>
      </c>
      <c r="C974" t="s">
        <v>2599</v>
      </c>
      <c r="D974" t="s">
        <v>2600</v>
      </c>
      <c r="E974" t="s">
        <v>2601</v>
      </c>
      <c r="F974" t="s">
        <v>2044</v>
      </c>
      <c r="G974" t="s">
        <v>748</v>
      </c>
      <c r="H974" t="s">
        <v>652</v>
      </c>
      <c r="I974" t="s">
        <v>37</v>
      </c>
      <c r="J974">
        <v>170.75</v>
      </c>
      <c r="K974" s="1">
        <v>45626</v>
      </c>
      <c r="L974" t="s">
        <v>14</v>
      </c>
      <c r="M974">
        <v>30</v>
      </c>
      <c r="N974">
        <v>11</v>
      </c>
      <c r="O974">
        <v>4</v>
      </c>
      <c r="P974">
        <v>2024</v>
      </c>
    </row>
    <row r="975" spans="1:16">
      <c r="A975">
        <v>191.82</v>
      </c>
      <c r="B975">
        <v>1</v>
      </c>
      <c r="C975" t="s">
        <v>1954</v>
      </c>
      <c r="D975" t="s">
        <v>1955</v>
      </c>
      <c r="E975" t="s">
        <v>1679</v>
      </c>
      <c r="F975" t="s">
        <v>1257</v>
      </c>
      <c r="G975" t="s">
        <v>839</v>
      </c>
      <c r="H975" t="s">
        <v>584</v>
      </c>
      <c r="I975" t="s">
        <v>19</v>
      </c>
      <c r="J975">
        <v>191.82</v>
      </c>
      <c r="K975" s="1">
        <v>45755</v>
      </c>
      <c r="L975" t="s">
        <v>48</v>
      </c>
      <c r="M975">
        <v>8</v>
      </c>
      <c r="N975">
        <v>4</v>
      </c>
      <c r="O975">
        <v>2</v>
      </c>
      <c r="P975">
        <v>2025</v>
      </c>
    </row>
    <row r="976" spans="1:16">
      <c r="A976">
        <v>939.12</v>
      </c>
      <c r="B976">
        <v>4</v>
      </c>
      <c r="C976" t="s">
        <v>2094</v>
      </c>
      <c r="D976" t="s">
        <v>2095</v>
      </c>
      <c r="E976" t="s">
        <v>1038</v>
      </c>
      <c r="F976" t="s">
        <v>1107</v>
      </c>
      <c r="G976" t="s">
        <v>892</v>
      </c>
      <c r="H976" t="s">
        <v>45</v>
      </c>
      <c r="I976" t="s">
        <v>46</v>
      </c>
      <c r="J976">
        <v>234.78</v>
      </c>
      <c r="K976" s="1">
        <v>46254</v>
      </c>
      <c r="L976" t="s">
        <v>105</v>
      </c>
      <c r="M976">
        <v>20</v>
      </c>
      <c r="N976">
        <v>8</v>
      </c>
      <c r="O976">
        <v>3</v>
      </c>
      <c r="P976">
        <v>2026</v>
      </c>
    </row>
    <row r="977" spans="1:16">
      <c r="A977">
        <v>529.59</v>
      </c>
      <c r="B977">
        <v>3</v>
      </c>
      <c r="C977" t="s">
        <v>2965</v>
      </c>
      <c r="D977" t="s">
        <v>2966</v>
      </c>
      <c r="E977" t="s">
        <v>1559</v>
      </c>
      <c r="F977" t="s">
        <v>1137</v>
      </c>
      <c r="G977" t="s">
        <v>748</v>
      </c>
      <c r="H977" t="s">
        <v>631</v>
      </c>
      <c r="I977" t="s">
        <v>39</v>
      </c>
      <c r="J977">
        <v>176.53</v>
      </c>
      <c r="K977" s="1">
        <v>46127</v>
      </c>
      <c r="L977" t="s">
        <v>34</v>
      </c>
      <c r="M977">
        <v>15</v>
      </c>
      <c r="N977">
        <v>4</v>
      </c>
      <c r="O977">
        <v>2</v>
      </c>
      <c r="P977">
        <v>2026</v>
      </c>
    </row>
    <row r="978" spans="1:16">
      <c r="A978">
        <v>839.52</v>
      </c>
      <c r="B978">
        <v>4</v>
      </c>
      <c r="C978" t="s">
        <v>2300</v>
      </c>
      <c r="D978" t="s">
        <v>2301</v>
      </c>
      <c r="E978" t="s">
        <v>1962</v>
      </c>
      <c r="F978" t="s">
        <v>1600</v>
      </c>
      <c r="G978" t="s">
        <v>768</v>
      </c>
      <c r="H978" t="s">
        <v>724</v>
      </c>
      <c r="I978" t="s">
        <v>55</v>
      </c>
      <c r="J978">
        <v>209.88</v>
      </c>
      <c r="K978" s="1">
        <v>45794</v>
      </c>
      <c r="L978" t="s">
        <v>14</v>
      </c>
      <c r="M978">
        <v>17</v>
      </c>
      <c r="N978">
        <v>5</v>
      </c>
      <c r="O978">
        <v>2</v>
      </c>
      <c r="P978">
        <v>2025</v>
      </c>
    </row>
    <row r="979" spans="1:16">
      <c r="A979">
        <v>38.04</v>
      </c>
      <c r="B979">
        <v>4</v>
      </c>
      <c r="C979" t="s">
        <v>2613</v>
      </c>
      <c r="D979" t="s">
        <v>2614</v>
      </c>
      <c r="E979" t="s">
        <v>2615</v>
      </c>
      <c r="F979" t="s">
        <v>1574</v>
      </c>
      <c r="G979" t="s">
        <v>1003</v>
      </c>
      <c r="H979" t="s">
        <v>727</v>
      </c>
      <c r="I979" t="s">
        <v>97</v>
      </c>
      <c r="J979">
        <v>9.51</v>
      </c>
      <c r="K979" s="1">
        <v>46259</v>
      </c>
      <c r="L979" t="s">
        <v>48</v>
      </c>
      <c r="M979">
        <v>25</v>
      </c>
      <c r="N979">
        <v>8</v>
      </c>
      <c r="O979">
        <v>3</v>
      </c>
      <c r="P979">
        <v>2026</v>
      </c>
    </row>
    <row r="980" spans="1:16">
      <c r="A980">
        <v>33.17</v>
      </c>
      <c r="B980">
        <v>1</v>
      </c>
      <c r="C980" t="s">
        <v>2921</v>
      </c>
      <c r="D980" t="s">
        <v>2922</v>
      </c>
      <c r="E980" t="s">
        <v>1149</v>
      </c>
      <c r="F980" t="s">
        <v>380</v>
      </c>
      <c r="G980" t="s">
        <v>776</v>
      </c>
      <c r="H980" t="s">
        <v>481</v>
      </c>
      <c r="I980" t="s">
        <v>69</v>
      </c>
      <c r="J980">
        <v>33.17</v>
      </c>
      <c r="K980" s="1">
        <v>46221</v>
      </c>
      <c r="L980" t="s">
        <v>14</v>
      </c>
      <c r="M980">
        <v>18</v>
      </c>
      <c r="N980">
        <v>7</v>
      </c>
      <c r="O980">
        <v>3</v>
      </c>
      <c r="P980">
        <v>2026</v>
      </c>
    </row>
    <row r="981" spans="1:16">
      <c r="A981">
        <v>833.44</v>
      </c>
      <c r="B981">
        <v>4</v>
      </c>
      <c r="C981" t="s">
        <v>1150</v>
      </c>
      <c r="D981" t="s">
        <v>1151</v>
      </c>
      <c r="E981" t="s">
        <v>1152</v>
      </c>
      <c r="F981" t="s">
        <v>843</v>
      </c>
      <c r="G981" t="s">
        <v>753</v>
      </c>
      <c r="H981" t="s">
        <v>545</v>
      </c>
      <c r="I981" t="s">
        <v>60</v>
      </c>
      <c r="J981">
        <v>208.36</v>
      </c>
      <c r="K981" s="1">
        <v>45877</v>
      </c>
      <c r="L981" t="s">
        <v>79</v>
      </c>
      <c r="M981">
        <v>8</v>
      </c>
      <c r="N981">
        <v>8</v>
      </c>
      <c r="O981">
        <v>3</v>
      </c>
      <c r="P981">
        <v>2025</v>
      </c>
    </row>
    <row r="982" spans="1:16">
      <c r="A982">
        <v>47.62</v>
      </c>
      <c r="B982">
        <v>1</v>
      </c>
      <c r="C982" t="s">
        <v>1686</v>
      </c>
      <c r="D982" t="s">
        <v>1687</v>
      </c>
      <c r="E982" t="s">
        <v>1688</v>
      </c>
      <c r="F982" t="s">
        <v>757</v>
      </c>
      <c r="G982" t="s">
        <v>758</v>
      </c>
      <c r="H982" t="s">
        <v>508</v>
      </c>
      <c r="I982" t="s">
        <v>43</v>
      </c>
      <c r="J982">
        <v>47.62</v>
      </c>
      <c r="K982" s="1">
        <v>46123</v>
      </c>
      <c r="L982" t="s">
        <v>14</v>
      </c>
      <c r="M982">
        <v>11</v>
      </c>
      <c r="N982">
        <v>4</v>
      </c>
      <c r="O982">
        <v>2</v>
      </c>
      <c r="P982">
        <v>2026</v>
      </c>
    </row>
    <row r="983" spans="1:16">
      <c r="A983">
        <v>286.88</v>
      </c>
      <c r="B983">
        <v>4</v>
      </c>
      <c r="C983" t="s">
        <v>1046</v>
      </c>
      <c r="D983" t="s">
        <v>1047</v>
      </c>
      <c r="E983" t="s">
        <v>746</v>
      </c>
      <c r="F983" t="s">
        <v>29</v>
      </c>
      <c r="G983" t="s">
        <v>821</v>
      </c>
      <c r="H983" t="s">
        <v>141</v>
      </c>
      <c r="I983" t="s">
        <v>46</v>
      </c>
      <c r="J983">
        <v>71.72</v>
      </c>
      <c r="K983" s="1">
        <v>45753</v>
      </c>
      <c r="L983" t="s">
        <v>28</v>
      </c>
      <c r="M983">
        <v>6</v>
      </c>
      <c r="N983">
        <v>4</v>
      </c>
      <c r="O983">
        <v>2</v>
      </c>
      <c r="P983">
        <v>2025</v>
      </c>
    </row>
    <row r="984" spans="1:16">
      <c r="A984">
        <v>93.88</v>
      </c>
      <c r="B984">
        <v>2</v>
      </c>
      <c r="C984" t="s">
        <v>2370</v>
      </c>
      <c r="D984" t="s">
        <v>2371</v>
      </c>
      <c r="E984" t="s">
        <v>1633</v>
      </c>
      <c r="F984" t="s">
        <v>757</v>
      </c>
      <c r="G984" t="s">
        <v>758</v>
      </c>
      <c r="H984" t="s">
        <v>365</v>
      </c>
      <c r="I984" t="s">
        <v>51</v>
      </c>
      <c r="J984">
        <v>46.94</v>
      </c>
      <c r="K984" s="1">
        <v>46234</v>
      </c>
      <c r="L984" t="s">
        <v>79</v>
      </c>
      <c r="M984">
        <v>31</v>
      </c>
      <c r="N984">
        <v>7</v>
      </c>
      <c r="O984">
        <v>3</v>
      </c>
      <c r="P984">
        <v>2026</v>
      </c>
    </row>
    <row r="985" spans="1:16">
      <c r="A985">
        <v>285.92</v>
      </c>
      <c r="B985">
        <v>4</v>
      </c>
      <c r="C985" t="s">
        <v>3286</v>
      </c>
      <c r="D985" t="s">
        <v>3287</v>
      </c>
      <c r="E985" t="s">
        <v>1629</v>
      </c>
      <c r="F985" t="s">
        <v>862</v>
      </c>
      <c r="G985" t="s">
        <v>807</v>
      </c>
      <c r="H985" t="s">
        <v>610</v>
      </c>
      <c r="I985" t="s">
        <v>69</v>
      </c>
      <c r="J985">
        <v>71.48</v>
      </c>
      <c r="K985" s="1">
        <v>45775</v>
      </c>
      <c r="L985" t="s">
        <v>93</v>
      </c>
      <c r="M985">
        <v>28</v>
      </c>
      <c r="N985">
        <v>4</v>
      </c>
      <c r="O985">
        <v>2</v>
      </c>
      <c r="P985">
        <v>2025</v>
      </c>
    </row>
    <row r="986" spans="1:16">
      <c r="A986">
        <v>296.08</v>
      </c>
      <c r="B986">
        <v>2</v>
      </c>
      <c r="C986" t="s">
        <v>1214</v>
      </c>
      <c r="D986" t="s">
        <v>1215</v>
      </c>
      <c r="E986" t="s">
        <v>1216</v>
      </c>
      <c r="F986" t="s">
        <v>199</v>
      </c>
      <c r="G986" t="s">
        <v>781</v>
      </c>
      <c r="H986" t="s">
        <v>260</v>
      </c>
      <c r="I986" t="s">
        <v>46</v>
      </c>
      <c r="J986">
        <v>148.04</v>
      </c>
      <c r="K986" s="1">
        <v>45905</v>
      </c>
      <c r="L986" t="s">
        <v>79</v>
      </c>
      <c r="M986">
        <v>5</v>
      </c>
      <c r="N986">
        <v>9</v>
      </c>
      <c r="O986">
        <v>3</v>
      </c>
      <c r="P986">
        <v>2025</v>
      </c>
    </row>
    <row r="987" spans="1:16">
      <c r="A987">
        <v>27.32</v>
      </c>
      <c r="B987">
        <v>1</v>
      </c>
      <c r="C987" t="s">
        <v>1604</v>
      </c>
      <c r="D987" t="s">
        <v>1605</v>
      </c>
      <c r="E987" t="s">
        <v>1606</v>
      </c>
      <c r="F987" t="s">
        <v>1607</v>
      </c>
      <c r="G987" t="s">
        <v>839</v>
      </c>
      <c r="H987" t="s">
        <v>423</v>
      </c>
      <c r="I987" t="s">
        <v>37</v>
      </c>
      <c r="J987">
        <v>27.32</v>
      </c>
      <c r="K987" s="1">
        <v>45921</v>
      </c>
      <c r="L987" t="s">
        <v>28</v>
      </c>
      <c r="M987">
        <v>21</v>
      </c>
      <c r="N987">
        <v>9</v>
      </c>
      <c r="O987">
        <v>3</v>
      </c>
      <c r="P987">
        <v>2025</v>
      </c>
    </row>
    <row r="988" spans="1:16">
      <c r="A988">
        <v>984.7</v>
      </c>
      <c r="B988">
        <v>5</v>
      </c>
      <c r="C988" t="s">
        <v>2442</v>
      </c>
      <c r="D988" t="s">
        <v>2443</v>
      </c>
      <c r="E988" t="s">
        <v>872</v>
      </c>
      <c r="F988" t="s">
        <v>1525</v>
      </c>
      <c r="G988" t="s">
        <v>763</v>
      </c>
      <c r="H988" t="s">
        <v>695</v>
      </c>
      <c r="I988" t="s">
        <v>19</v>
      </c>
      <c r="J988">
        <v>196.94</v>
      </c>
      <c r="K988" s="1">
        <v>45948</v>
      </c>
      <c r="L988" t="s">
        <v>14</v>
      </c>
      <c r="M988">
        <v>18</v>
      </c>
      <c r="N988">
        <v>10</v>
      </c>
      <c r="O988">
        <v>4</v>
      </c>
      <c r="P988">
        <v>2025</v>
      </c>
    </row>
    <row r="989" spans="1:16">
      <c r="A989">
        <v>42.32</v>
      </c>
      <c r="B989">
        <v>1</v>
      </c>
      <c r="C989" t="s">
        <v>2781</v>
      </c>
      <c r="D989" t="s">
        <v>2782</v>
      </c>
      <c r="E989" t="s">
        <v>2419</v>
      </c>
      <c r="F989" t="s">
        <v>136</v>
      </c>
      <c r="G989" t="s">
        <v>776</v>
      </c>
      <c r="H989" t="s">
        <v>415</v>
      </c>
      <c r="I989" t="s">
        <v>43</v>
      </c>
      <c r="J989">
        <v>42.32</v>
      </c>
      <c r="K989" s="1">
        <v>46062</v>
      </c>
      <c r="L989" t="s">
        <v>93</v>
      </c>
      <c r="M989">
        <v>9</v>
      </c>
      <c r="N989">
        <v>2</v>
      </c>
      <c r="O989">
        <v>1</v>
      </c>
      <c r="P989">
        <v>2026</v>
      </c>
    </row>
    <row r="990" spans="1:16">
      <c r="A990">
        <v>274.60000000000002</v>
      </c>
      <c r="B990">
        <v>4</v>
      </c>
      <c r="C990" t="s">
        <v>2228</v>
      </c>
      <c r="D990" t="s">
        <v>2229</v>
      </c>
      <c r="E990" t="s">
        <v>1192</v>
      </c>
      <c r="F990" t="s">
        <v>64</v>
      </c>
      <c r="G990" t="s">
        <v>892</v>
      </c>
      <c r="H990" t="s">
        <v>393</v>
      </c>
      <c r="I990" t="s">
        <v>23</v>
      </c>
      <c r="J990">
        <v>68.650000000000006</v>
      </c>
      <c r="K990" s="1">
        <v>46231</v>
      </c>
      <c r="L990" t="s">
        <v>48</v>
      </c>
      <c r="M990">
        <v>28</v>
      </c>
      <c r="N990">
        <v>7</v>
      </c>
      <c r="O990">
        <v>3</v>
      </c>
      <c r="P990">
        <v>2026</v>
      </c>
    </row>
    <row r="991" spans="1:16">
      <c r="A991">
        <v>1018.7</v>
      </c>
      <c r="B991">
        <v>5</v>
      </c>
      <c r="C991" t="s">
        <v>2045</v>
      </c>
      <c r="D991" t="s">
        <v>2046</v>
      </c>
      <c r="E991" t="s">
        <v>833</v>
      </c>
      <c r="F991" t="s">
        <v>1061</v>
      </c>
      <c r="G991" t="s">
        <v>812</v>
      </c>
      <c r="H991" t="s">
        <v>552</v>
      </c>
      <c r="I991" t="s">
        <v>31</v>
      </c>
      <c r="J991">
        <v>203.74</v>
      </c>
      <c r="K991" s="1">
        <v>45927</v>
      </c>
      <c r="L991" t="s">
        <v>14</v>
      </c>
      <c r="M991">
        <v>27</v>
      </c>
      <c r="N991">
        <v>9</v>
      </c>
      <c r="O991">
        <v>3</v>
      </c>
      <c r="P991">
        <v>2025</v>
      </c>
    </row>
    <row r="992" spans="1:16">
      <c r="A992">
        <v>205.45</v>
      </c>
      <c r="B992">
        <v>1</v>
      </c>
      <c r="C992" t="s">
        <v>2888</v>
      </c>
      <c r="D992" t="s">
        <v>2889</v>
      </c>
      <c r="E992" t="s">
        <v>2114</v>
      </c>
      <c r="F992" t="s">
        <v>929</v>
      </c>
      <c r="G992" t="s">
        <v>830</v>
      </c>
      <c r="H992" t="s">
        <v>107</v>
      </c>
      <c r="I992" t="s">
        <v>17</v>
      </c>
      <c r="J992">
        <v>205.45</v>
      </c>
      <c r="K992" s="1">
        <v>45606</v>
      </c>
      <c r="L992" t="s">
        <v>28</v>
      </c>
      <c r="M992">
        <v>10</v>
      </c>
      <c r="N992">
        <v>11</v>
      </c>
      <c r="O992">
        <v>4</v>
      </c>
      <c r="P992">
        <v>2024</v>
      </c>
    </row>
    <row r="993" spans="1:16">
      <c r="A993">
        <v>93.88</v>
      </c>
      <c r="B993">
        <v>4</v>
      </c>
      <c r="C993" t="s">
        <v>3201</v>
      </c>
      <c r="D993" t="s">
        <v>3202</v>
      </c>
      <c r="E993" t="s">
        <v>2848</v>
      </c>
      <c r="F993" t="s">
        <v>1061</v>
      </c>
      <c r="G993" t="s">
        <v>834</v>
      </c>
      <c r="H993" t="s">
        <v>492</v>
      </c>
      <c r="I993" t="s">
        <v>21</v>
      </c>
      <c r="J993">
        <v>23.47</v>
      </c>
      <c r="K993" s="1">
        <v>45749</v>
      </c>
      <c r="L993" t="s">
        <v>34</v>
      </c>
      <c r="M993">
        <v>2</v>
      </c>
      <c r="N993">
        <v>4</v>
      </c>
      <c r="O993">
        <v>2</v>
      </c>
      <c r="P993">
        <v>2025</v>
      </c>
    </row>
    <row r="994" spans="1:16">
      <c r="A994">
        <v>130.36000000000001</v>
      </c>
      <c r="B994">
        <v>1</v>
      </c>
      <c r="C994" t="s">
        <v>2698</v>
      </c>
      <c r="D994" t="s">
        <v>2699</v>
      </c>
      <c r="E994" t="s">
        <v>1124</v>
      </c>
      <c r="F994" t="s">
        <v>1666</v>
      </c>
      <c r="G994" t="s">
        <v>830</v>
      </c>
      <c r="H994" t="s">
        <v>118</v>
      </c>
      <c r="I994" t="s">
        <v>31</v>
      </c>
      <c r="J994">
        <v>130.36000000000001</v>
      </c>
      <c r="K994" s="1">
        <v>45674</v>
      </c>
      <c r="L994" t="s">
        <v>79</v>
      </c>
      <c r="M994">
        <v>17</v>
      </c>
      <c r="N994">
        <v>1</v>
      </c>
      <c r="O994">
        <v>1</v>
      </c>
      <c r="P994">
        <v>2025</v>
      </c>
    </row>
    <row r="995" spans="1:16">
      <c r="A995">
        <v>538.12</v>
      </c>
      <c r="B995">
        <v>4</v>
      </c>
      <c r="C995" t="s">
        <v>3269</v>
      </c>
      <c r="D995" t="s">
        <v>3270</v>
      </c>
      <c r="E995" t="s">
        <v>3271</v>
      </c>
      <c r="F995" t="s">
        <v>961</v>
      </c>
      <c r="G995" t="s">
        <v>753</v>
      </c>
      <c r="H995" t="s">
        <v>361</v>
      </c>
      <c r="I995" t="s">
        <v>37</v>
      </c>
      <c r="J995">
        <v>134.53</v>
      </c>
      <c r="K995" s="1">
        <v>45627</v>
      </c>
      <c r="L995" t="s">
        <v>28</v>
      </c>
      <c r="M995">
        <v>1</v>
      </c>
      <c r="N995">
        <v>12</v>
      </c>
      <c r="O995">
        <v>4</v>
      </c>
      <c r="P995">
        <v>2024</v>
      </c>
    </row>
    <row r="996" spans="1:16">
      <c r="A996">
        <v>33.869999999999997</v>
      </c>
      <c r="B996">
        <v>3</v>
      </c>
      <c r="C996" t="s">
        <v>1661</v>
      </c>
      <c r="D996" t="s">
        <v>1662</v>
      </c>
      <c r="E996" t="s">
        <v>1515</v>
      </c>
      <c r="F996" t="s">
        <v>883</v>
      </c>
      <c r="G996" t="s">
        <v>807</v>
      </c>
      <c r="H996" t="s">
        <v>596</v>
      </c>
      <c r="I996" t="s">
        <v>39</v>
      </c>
      <c r="J996">
        <v>11.29</v>
      </c>
      <c r="K996" s="1">
        <v>45640</v>
      </c>
      <c r="L996" t="s">
        <v>14</v>
      </c>
      <c r="M996">
        <v>14</v>
      </c>
      <c r="N996">
        <v>12</v>
      </c>
      <c r="O996">
        <v>4</v>
      </c>
      <c r="P996">
        <v>2024</v>
      </c>
    </row>
    <row r="997" spans="1:16">
      <c r="A997">
        <v>194.04</v>
      </c>
      <c r="B997">
        <v>4</v>
      </c>
      <c r="C997" t="s">
        <v>1643</v>
      </c>
      <c r="D997" t="s">
        <v>1644</v>
      </c>
      <c r="E997" t="s">
        <v>1645</v>
      </c>
      <c r="F997" t="s">
        <v>328</v>
      </c>
      <c r="G997" t="s">
        <v>1247</v>
      </c>
      <c r="H997" t="s">
        <v>243</v>
      </c>
      <c r="I997" t="s">
        <v>57</v>
      </c>
      <c r="J997">
        <v>48.51</v>
      </c>
      <c r="K997" s="1">
        <v>45821</v>
      </c>
      <c r="L997" t="s">
        <v>79</v>
      </c>
      <c r="M997">
        <v>13</v>
      </c>
      <c r="N997">
        <v>6</v>
      </c>
      <c r="O997">
        <v>2</v>
      </c>
      <c r="P997">
        <v>2025</v>
      </c>
    </row>
    <row r="998" spans="1:16">
      <c r="A998">
        <v>308.2</v>
      </c>
      <c r="B998">
        <v>4</v>
      </c>
      <c r="C998" t="s">
        <v>2798</v>
      </c>
      <c r="D998" t="s">
        <v>2799</v>
      </c>
      <c r="E998" t="s">
        <v>2800</v>
      </c>
      <c r="F998" t="s">
        <v>929</v>
      </c>
      <c r="G998" t="s">
        <v>830</v>
      </c>
      <c r="H998" t="s">
        <v>509</v>
      </c>
      <c r="I998" t="s">
        <v>19</v>
      </c>
      <c r="J998">
        <v>77.05</v>
      </c>
      <c r="K998" s="1">
        <v>45734</v>
      </c>
      <c r="L998" t="s">
        <v>48</v>
      </c>
      <c r="M998">
        <v>18</v>
      </c>
      <c r="N998">
        <v>3</v>
      </c>
      <c r="O998">
        <v>1</v>
      </c>
      <c r="P998">
        <v>2025</v>
      </c>
    </row>
    <row r="999" spans="1:16">
      <c r="A999">
        <v>169.88</v>
      </c>
      <c r="B999">
        <v>2</v>
      </c>
      <c r="C999" t="s">
        <v>2905</v>
      </c>
      <c r="D999" t="s">
        <v>2906</v>
      </c>
      <c r="E999" t="s">
        <v>1338</v>
      </c>
      <c r="F999" t="s">
        <v>1550</v>
      </c>
      <c r="G999" t="s">
        <v>776</v>
      </c>
      <c r="H999" t="s">
        <v>554</v>
      </c>
      <c r="I999" t="s">
        <v>17</v>
      </c>
      <c r="J999">
        <v>84.94</v>
      </c>
      <c r="K999" s="1">
        <v>45563</v>
      </c>
      <c r="L999" t="s">
        <v>14</v>
      </c>
      <c r="M999">
        <v>28</v>
      </c>
      <c r="N999">
        <v>9</v>
      </c>
      <c r="O999">
        <v>3</v>
      </c>
      <c r="P999">
        <v>2024</v>
      </c>
    </row>
    <row r="1000" spans="1:16">
      <c r="A1000">
        <v>454.35</v>
      </c>
      <c r="B1000">
        <v>5</v>
      </c>
      <c r="C1000" t="s">
        <v>2182</v>
      </c>
      <c r="D1000" t="s">
        <v>2183</v>
      </c>
      <c r="E1000" t="s">
        <v>2184</v>
      </c>
      <c r="F1000" t="s">
        <v>838</v>
      </c>
      <c r="G1000" t="s">
        <v>839</v>
      </c>
      <c r="H1000" t="s">
        <v>470</v>
      </c>
      <c r="I1000" t="s">
        <v>39</v>
      </c>
      <c r="J1000">
        <v>90.87</v>
      </c>
      <c r="K1000" s="1">
        <v>46129</v>
      </c>
      <c r="L1000" t="s">
        <v>79</v>
      </c>
      <c r="M1000">
        <v>17</v>
      </c>
      <c r="N1000">
        <v>4</v>
      </c>
      <c r="O1000">
        <v>2</v>
      </c>
      <c r="P1000">
        <v>2026</v>
      </c>
    </row>
    <row r="1001" spans="1:16">
      <c r="A1001">
        <v>125.4</v>
      </c>
      <c r="B1001">
        <v>4</v>
      </c>
      <c r="C1001" t="s">
        <v>1530</v>
      </c>
      <c r="D1001" t="s">
        <v>1531</v>
      </c>
      <c r="E1001" t="s">
        <v>1532</v>
      </c>
      <c r="F1001" t="s">
        <v>1533</v>
      </c>
      <c r="G1001" t="s">
        <v>781</v>
      </c>
      <c r="H1001" t="s">
        <v>557</v>
      </c>
      <c r="I1001" t="s">
        <v>46</v>
      </c>
      <c r="J1001">
        <v>31.35</v>
      </c>
      <c r="K1001" s="1">
        <v>46217</v>
      </c>
      <c r="L1001" t="s">
        <v>48</v>
      </c>
      <c r="M1001">
        <v>14</v>
      </c>
      <c r="N1001">
        <v>7</v>
      </c>
      <c r="O1001">
        <v>3</v>
      </c>
      <c r="P1001">
        <v>2026</v>
      </c>
    </row>
    <row r="1002" spans="1:16">
      <c r="A1002">
        <v>244.98</v>
      </c>
      <c r="B1002">
        <v>2</v>
      </c>
      <c r="C1002" t="s">
        <v>1378</v>
      </c>
      <c r="D1002" t="s">
        <v>1379</v>
      </c>
      <c r="E1002" t="s">
        <v>1380</v>
      </c>
      <c r="F1002" t="s">
        <v>757</v>
      </c>
      <c r="G1002" t="s">
        <v>758</v>
      </c>
      <c r="H1002" t="s">
        <v>449</v>
      </c>
      <c r="I1002" t="s">
        <v>82</v>
      </c>
      <c r="J1002">
        <v>122.49</v>
      </c>
      <c r="K1002" s="1">
        <v>46129</v>
      </c>
      <c r="L1002" t="s">
        <v>79</v>
      </c>
      <c r="M1002">
        <v>17</v>
      </c>
      <c r="N1002">
        <v>4</v>
      </c>
      <c r="O1002">
        <v>2</v>
      </c>
      <c r="P1002">
        <v>2026</v>
      </c>
    </row>
    <row r="1003" spans="1:16">
      <c r="A1003">
        <v>10.58</v>
      </c>
      <c r="B1003">
        <v>2</v>
      </c>
      <c r="C1003" t="s">
        <v>1764</v>
      </c>
      <c r="D1003" t="s">
        <v>1765</v>
      </c>
      <c r="E1003" t="s">
        <v>1311</v>
      </c>
      <c r="F1003" t="s">
        <v>903</v>
      </c>
      <c r="G1003" t="s">
        <v>786</v>
      </c>
      <c r="H1003" t="s">
        <v>394</v>
      </c>
      <c r="I1003" t="s">
        <v>122</v>
      </c>
      <c r="J1003">
        <v>5.29</v>
      </c>
      <c r="K1003" s="1">
        <v>46204</v>
      </c>
      <c r="L1003" t="s">
        <v>34</v>
      </c>
      <c r="M1003">
        <v>1</v>
      </c>
      <c r="N1003">
        <v>7</v>
      </c>
      <c r="O1003">
        <v>3</v>
      </c>
      <c r="P1003">
        <v>2026</v>
      </c>
    </row>
    <row r="1004" spans="1:16">
      <c r="A1004">
        <v>19.11</v>
      </c>
      <c r="B1004">
        <v>1</v>
      </c>
      <c r="C1004" t="s">
        <v>3212</v>
      </c>
      <c r="D1004" t="s">
        <v>3213</v>
      </c>
      <c r="E1004" t="s">
        <v>2013</v>
      </c>
      <c r="F1004" t="s">
        <v>1111</v>
      </c>
      <c r="G1004" t="s">
        <v>981</v>
      </c>
      <c r="H1004" t="s">
        <v>410</v>
      </c>
      <c r="I1004" t="s">
        <v>97</v>
      </c>
      <c r="J1004">
        <v>19.11</v>
      </c>
      <c r="K1004" s="1">
        <v>46179</v>
      </c>
      <c r="L1004" t="s">
        <v>14</v>
      </c>
      <c r="M1004">
        <v>6</v>
      </c>
      <c r="N1004">
        <v>6</v>
      </c>
      <c r="O1004">
        <v>2</v>
      </c>
      <c r="P1004">
        <v>2026</v>
      </c>
    </row>
    <row r="1005" spans="1:16">
      <c r="A1005">
        <v>168.64999999999998</v>
      </c>
      <c r="B1005">
        <v>5</v>
      </c>
      <c r="C1005" t="s">
        <v>2213</v>
      </c>
      <c r="D1005" t="s">
        <v>2214</v>
      </c>
      <c r="E1005" t="s">
        <v>1556</v>
      </c>
      <c r="F1005" t="s">
        <v>691</v>
      </c>
      <c r="G1005" t="s">
        <v>776</v>
      </c>
      <c r="H1005" t="s">
        <v>527</v>
      </c>
      <c r="I1005" t="s">
        <v>27</v>
      </c>
      <c r="J1005">
        <v>33.729999999999997</v>
      </c>
      <c r="K1005" s="1">
        <v>45601</v>
      </c>
      <c r="L1005" t="s">
        <v>48</v>
      </c>
      <c r="M1005">
        <v>5</v>
      </c>
      <c r="N1005">
        <v>11</v>
      </c>
      <c r="O1005">
        <v>4</v>
      </c>
      <c r="P1005">
        <v>2024</v>
      </c>
    </row>
    <row r="1006" spans="1:16">
      <c r="A1006">
        <v>158.71</v>
      </c>
      <c r="B1006">
        <v>1</v>
      </c>
      <c r="C1006" t="s">
        <v>1175</v>
      </c>
      <c r="D1006" t="s">
        <v>1176</v>
      </c>
      <c r="E1006" t="s">
        <v>1057</v>
      </c>
      <c r="F1006" t="s">
        <v>151</v>
      </c>
      <c r="G1006" t="s">
        <v>1003</v>
      </c>
      <c r="H1006" t="s">
        <v>204</v>
      </c>
      <c r="I1006" t="s">
        <v>97</v>
      </c>
      <c r="J1006">
        <v>158.71</v>
      </c>
      <c r="K1006" s="1">
        <v>45901</v>
      </c>
      <c r="L1006" t="s">
        <v>93</v>
      </c>
      <c r="M1006">
        <v>1</v>
      </c>
      <c r="N1006">
        <v>9</v>
      </c>
      <c r="O1006">
        <v>3</v>
      </c>
      <c r="P1006">
        <v>2025</v>
      </c>
    </row>
    <row r="1007" spans="1:16">
      <c r="A1007">
        <v>130.97999999999999</v>
      </c>
      <c r="B1007">
        <v>3</v>
      </c>
      <c r="C1007" t="s">
        <v>1289</v>
      </c>
      <c r="D1007" t="s">
        <v>1290</v>
      </c>
      <c r="E1007" t="s">
        <v>1291</v>
      </c>
      <c r="F1007" t="s">
        <v>1292</v>
      </c>
      <c r="G1007" t="s">
        <v>1247</v>
      </c>
      <c r="H1007" t="s">
        <v>675</v>
      </c>
      <c r="I1007" t="s">
        <v>97</v>
      </c>
      <c r="J1007">
        <v>43.66</v>
      </c>
      <c r="K1007" s="1">
        <v>45819</v>
      </c>
      <c r="L1007" t="s">
        <v>34</v>
      </c>
      <c r="M1007">
        <v>11</v>
      </c>
      <c r="N1007">
        <v>6</v>
      </c>
      <c r="O1007">
        <v>2</v>
      </c>
      <c r="P1007">
        <v>2025</v>
      </c>
    </row>
    <row r="1008" spans="1:16">
      <c r="A1008">
        <v>105.33</v>
      </c>
      <c r="B1008">
        <v>3</v>
      </c>
      <c r="C1008" t="s">
        <v>2329</v>
      </c>
      <c r="D1008" t="s">
        <v>2330</v>
      </c>
      <c r="E1008" t="s">
        <v>2331</v>
      </c>
      <c r="F1008" t="s">
        <v>2332</v>
      </c>
      <c r="G1008" t="s">
        <v>1003</v>
      </c>
      <c r="H1008" t="s">
        <v>400</v>
      </c>
      <c r="I1008" t="s">
        <v>57</v>
      </c>
      <c r="J1008">
        <v>35.11</v>
      </c>
      <c r="K1008" s="1">
        <v>45550</v>
      </c>
      <c r="L1008" t="s">
        <v>28</v>
      </c>
      <c r="M1008">
        <v>15</v>
      </c>
      <c r="N1008">
        <v>9</v>
      </c>
      <c r="O1008">
        <v>3</v>
      </c>
      <c r="P1008">
        <v>2024</v>
      </c>
    </row>
    <row r="1009" spans="1:16">
      <c r="A1009">
        <v>143.44</v>
      </c>
      <c r="B1009">
        <v>2</v>
      </c>
      <c r="C1009" t="s">
        <v>1147</v>
      </c>
      <c r="D1009" t="s">
        <v>1148</v>
      </c>
      <c r="E1009" t="s">
        <v>1149</v>
      </c>
      <c r="F1009" t="s">
        <v>1071</v>
      </c>
      <c r="G1009" t="s">
        <v>817</v>
      </c>
      <c r="H1009" t="s">
        <v>141</v>
      </c>
      <c r="I1009" t="s">
        <v>46</v>
      </c>
      <c r="J1009">
        <v>71.72</v>
      </c>
      <c r="K1009" s="1">
        <v>45821</v>
      </c>
      <c r="L1009" t="s">
        <v>79</v>
      </c>
      <c r="M1009">
        <v>13</v>
      </c>
      <c r="N1009">
        <v>6</v>
      </c>
      <c r="O1009">
        <v>2</v>
      </c>
      <c r="P1009">
        <v>2025</v>
      </c>
    </row>
    <row r="1010" spans="1:16">
      <c r="A1010">
        <v>492.52</v>
      </c>
      <c r="B1010">
        <v>4</v>
      </c>
      <c r="C1010" t="s">
        <v>1926</v>
      </c>
      <c r="D1010" t="s">
        <v>1927</v>
      </c>
      <c r="E1010" t="s">
        <v>998</v>
      </c>
      <c r="F1010" t="s">
        <v>666</v>
      </c>
      <c r="G1010" t="s">
        <v>954</v>
      </c>
      <c r="H1010" t="s">
        <v>66</v>
      </c>
      <c r="I1010" t="s">
        <v>46</v>
      </c>
      <c r="J1010">
        <v>123.13</v>
      </c>
      <c r="K1010" s="1">
        <v>45577</v>
      </c>
      <c r="L1010" t="s">
        <v>14</v>
      </c>
      <c r="M1010">
        <v>12</v>
      </c>
      <c r="N1010">
        <v>10</v>
      </c>
      <c r="O1010">
        <v>4</v>
      </c>
      <c r="P1010">
        <v>2024</v>
      </c>
    </row>
    <row r="1011" spans="1:16">
      <c r="A1011">
        <v>220.04999999999998</v>
      </c>
      <c r="B1011">
        <v>5</v>
      </c>
      <c r="C1011" t="s">
        <v>1714</v>
      </c>
      <c r="D1011" t="s">
        <v>1715</v>
      </c>
      <c r="E1011" t="s">
        <v>1716</v>
      </c>
      <c r="F1011" t="s">
        <v>1032</v>
      </c>
      <c r="G1011" t="s">
        <v>839</v>
      </c>
      <c r="H1011" t="s">
        <v>689</v>
      </c>
      <c r="I1011" t="s">
        <v>55</v>
      </c>
      <c r="J1011">
        <v>44.01</v>
      </c>
      <c r="K1011" s="1">
        <v>46047</v>
      </c>
      <c r="L1011" t="s">
        <v>28</v>
      </c>
      <c r="M1011">
        <v>25</v>
      </c>
      <c r="N1011">
        <v>1</v>
      </c>
      <c r="O1011">
        <v>1</v>
      </c>
      <c r="P1011">
        <v>2026</v>
      </c>
    </row>
    <row r="1012" spans="1:16">
      <c r="A1012">
        <v>939.92</v>
      </c>
      <c r="B1012">
        <v>4</v>
      </c>
      <c r="C1012" t="s">
        <v>1036</v>
      </c>
      <c r="D1012" t="s">
        <v>1037</v>
      </c>
      <c r="E1012" t="s">
        <v>1038</v>
      </c>
      <c r="F1012" t="s">
        <v>1039</v>
      </c>
      <c r="G1012" t="s">
        <v>758</v>
      </c>
      <c r="H1012" t="s">
        <v>333</v>
      </c>
      <c r="I1012" t="s">
        <v>37</v>
      </c>
      <c r="J1012">
        <v>234.98</v>
      </c>
      <c r="K1012" s="1">
        <v>45725</v>
      </c>
      <c r="L1012" t="s">
        <v>28</v>
      </c>
      <c r="M1012">
        <v>9</v>
      </c>
      <c r="N1012">
        <v>3</v>
      </c>
      <c r="O1012">
        <v>1</v>
      </c>
      <c r="P1012">
        <v>2025</v>
      </c>
    </row>
    <row r="1013" spans="1:16">
      <c r="A1013">
        <v>174.45</v>
      </c>
      <c r="B1013">
        <v>5</v>
      </c>
      <c r="C1013" t="s">
        <v>3325</v>
      </c>
      <c r="D1013" t="s">
        <v>3326</v>
      </c>
      <c r="E1013" t="s">
        <v>1462</v>
      </c>
      <c r="F1013" t="s">
        <v>903</v>
      </c>
      <c r="G1013" t="s">
        <v>786</v>
      </c>
      <c r="H1013" t="s">
        <v>488</v>
      </c>
      <c r="I1013" t="s">
        <v>46</v>
      </c>
      <c r="J1013">
        <v>34.89</v>
      </c>
      <c r="K1013" s="1">
        <v>46212</v>
      </c>
      <c r="L1013" t="s">
        <v>105</v>
      </c>
      <c r="M1013">
        <v>9</v>
      </c>
      <c r="N1013">
        <v>7</v>
      </c>
      <c r="O1013">
        <v>3</v>
      </c>
      <c r="P1013">
        <v>2026</v>
      </c>
    </row>
    <row r="1014" spans="1:16">
      <c r="A1014">
        <v>44.82</v>
      </c>
      <c r="B1014">
        <v>2</v>
      </c>
      <c r="C1014" t="s">
        <v>2450</v>
      </c>
      <c r="D1014" t="s">
        <v>2451</v>
      </c>
      <c r="E1014" t="s">
        <v>1162</v>
      </c>
      <c r="F1014" t="s">
        <v>1032</v>
      </c>
      <c r="G1014" t="s">
        <v>839</v>
      </c>
      <c r="H1014" t="s">
        <v>484</v>
      </c>
      <c r="I1014" t="s">
        <v>25</v>
      </c>
      <c r="J1014">
        <v>22.41</v>
      </c>
      <c r="K1014" s="1">
        <v>45570</v>
      </c>
      <c r="L1014" t="s">
        <v>14</v>
      </c>
      <c r="M1014">
        <v>5</v>
      </c>
      <c r="N1014">
        <v>10</v>
      </c>
      <c r="O1014">
        <v>4</v>
      </c>
      <c r="P1014">
        <v>2024</v>
      </c>
    </row>
    <row r="1015" spans="1:16">
      <c r="A1015">
        <v>867.4</v>
      </c>
      <c r="B1015">
        <v>5</v>
      </c>
      <c r="C1015" t="s">
        <v>2760</v>
      </c>
      <c r="D1015" t="s">
        <v>2761</v>
      </c>
      <c r="E1015" t="s">
        <v>935</v>
      </c>
      <c r="F1015" t="s">
        <v>869</v>
      </c>
      <c r="G1015" t="s">
        <v>807</v>
      </c>
      <c r="H1015" t="s">
        <v>728</v>
      </c>
      <c r="I1015" t="s">
        <v>46</v>
      </c>
      <c r="J1015">
        <v>173.48</v>
      </c>
      <c r="K1015" s="1">
        <v>45556</v>
      </c>
      <c r="L1015" t="s">
        <v>14</v>
      </c>
      <c r="M1015">
        <v>21</v>
      </c>
      <c r="N1015">
        <v>9</v>
      </c>
      <c r="O1015">
        <v>3</v>
      </c>
      <c r="P1015">
        <v>2024</v>
      </c>
    </row>
    <row r="1016" spans="1:16">
      <c r="A1016">
        <v>629.04</v>
      </c>
      <c r="B1016">
        <v>4</v>
      </c>
      <c r="C1016" t="s">
        <v>2398</v>
      </c>
      <c r="D1016" t="s">
        <v>2399</v>
      </c>
      <c r="E1016" t="s">
        <v>1452</v>
      </c>
      <c r="F1016" t="s">
        <v>816</v>
      </c>
      <c r="G1016" t="s">
        <v>817</v>
      </c>
      <c r="H1016" t="s">
        <v>68</v>
      </c>
      <c r="I1016" t="s">
        <v>69</v>
      </c>
      <c r="J1016">
        <v>157.26</v>
      </c>
      <c r="K1016" s="1">
        <v>45993</v>
      </c>
      <c r="L1016" t="s">
        <v>48</v>
      </c>
      <c r="M1016">
        <v>2</v>
      </c>
      <c r="N1016">
        <v>12</v>
      </c>
      <c r="O1016">
        <v>4</v>
      </c>
      <c r="P1016">
        <v>2025</v>
      </c>
    </row>
    <row r="1017" spans="1:16">
      <c r="A1017">
        <v>21.51</v>
      </c>
      <c r="B1017">
        <v>1</v>
      </c>
      <c r="C1017" t="s">
        <v>2381</v>
      </c>
      <c r="D1017" t="s">
        <v>2382</v>
      </c>
      <c r="E1017" t="s">
        <v>2383</v>
      </c>
      <c r="F1017" t="s">
        <v>1359</v>
      </c>
      <c r="G1017" t="s">
        <v>768</v>
      </c>
      <c r="H1017" t="s">
        <v>1939</v>
      </c>
      <c r="I1017" t="s">
        <v>57</v>
      </c>
      <c r="J1017">
        <v>21.51</v>
      </c>
      <c r="K1017" s="1">
        <v>45926</v>
      </c>
      <c r="L1017" t="s">
        <v>79</v>
      </c>
      <c r="M1017">
        <v>26</v>
      </c>
      <c r="N1017">
        <v>9</v>
      </c>
      <c r="O1017">
        <v>3</v>
      </c>
      <c r="P1017">
        <v>2025</v>
      </c>
    </row>
    <row r="1018" spans="1:16">
      <c r="A1018">
        <v>222.02</v>
      </c>
      <c r="B1018">
        <v>1</v>
      </c>
      <c r="C1018" t="s">
        <v>1907</v>
      </c>
      <c r="D1018" t="s">
        <v>1908</v>
      </c>
      <c r="E1018" t="s">
        <v>1909</v>
      </c>
      <c r="F1018" t="s">
        <v>965</v>
      </c>
      <c r="G1018" t="s">
        <v>839</v>
      </c>
      <c r="H1018" t="s">
        <v>501</v>
      </c>
      <c r="I1018" t="s">
        <v>25</v>
      </c>
      <c r="J1018">
        <v>222.02</v>
      </c>
      <c r="K1018" s="1">
        <v>45883</v>
      </c>
      <c r="L1018" t="s">
        <v>105</v>
      </c>
      <c r="M1018">
        <v>14</v>
      </c>
      <c r="N1018">
        <v>8</v>
      </c>
      <c r="O1018">
        <v>3</v>
      </c>
      <c r="P1018">
        <v>2025</v>
      </c>
    </row>
    <row r="1019" spans="1:16">
      <c r="A1019">
        <v>34.47</v>
      </c>
      <c r="B1019">
        <v>3</v>
      </c>
      <c r="C1019" t="s">
        <v>2293</v>
      </c>
      <c r="D1019" t="s">
        <v>2294</v>
      </c>
      <c r="E1019" t="s">
        <v>2103</v>
      </c>
      <c r="F1019" t="s">
        <v>879</v>
      </c>
      <c r="G1019" t="s">
        <v>748</v>
      </c>
      <c r="H1019" t="s">
        <v>736</v>
      </c>
      <c r="I1019" t="s">
        <v>122</v>
      </c>
      <c r="J1019">
        <v>11.49</v>
      </c>
      <c r="K1019" s="1">
        <v>45603</v>
      </c>
      <c r="L1019" t="s">
        <v>105</v>
      </c>
      <c r="M1019">
        <v>7</v>
      </c>
      <c r="N1019">
        <v>11</v>
      </c>
      <c r="O1019">
        <v>4</v>
      </c>
      <c r="P1019">
        <v>2024</v>
      </c>
    </row>
    <row r="1020" spans="1:16">
      <c r="A1020">
        <v>605.70000000000005</v>
      </c>
      <c r="B1020">
        <v>5</v>
      </c>
      <c r="C1020" t="s">
        <v>2041</v>
      </c>
      <c r="D1020" t="s">
        <v>2042</v>
      </c>
      <c r="E1020" t="s">
        <v>2043</v>
      </c>
      <c r="F1020" t="s">
        <v>2044</v>
      </c>
      <c r="G1020" t="s">
        <v>748</v>
      </c>
      <c r="H1020" t="s">
        <v>640</v>
      </c>
      <c r="I1020" t="s">
        <v>82</v>
      </c>
      <c r="J1020">
        <v>121.14</v>
      </c>
      <c r="K1020" s="1">
        <v>46029</v>
      </c>
      <c r="L1020" t="s">
        <v>34</v>
      </c>
      <c r="M1020">
        <v>7</v>
      </c>
      <c r="N1020">
        <v>1</v>
      </c>
      <c r="O1020">
        <v>1</v>
      </c>
      <c r="P1020">
        <v>2026</v>
      </c>
    </row>
    <row r="1021" spans="1:16">
      <c r="A1021">
        <v>304.54999999999995</v>
      </c>
      <c r="B1021">
        <v>5</v>
      </c>
      <c r="C1021" t="s">
        <v>2037</v>
      </c>
      <c r="D1021" t="s">
        <v>2038</v>
      </c>
      <c r="E1021" t="s">
        <v>849</v>
      </c>
      <c r="F1021" t="s">
        <v>322</v>
      </c>
      <c r="G1021" t="s">
        <v>795</v>
      </c>
      <c r="H1021" t="s">
        <v>550</v>
      </c>
      <c r="I1021" t="s">
        <v>55</v>
      </c>
      <c r="J1021">
        <v>60.91</v>
      </c>
      <c r="K1021" s="1">
        <v>46031</v>
      </c>
      <c r="L1021" t="s">
        <v>79</v>
      </c>
      <c r="M1021">
        <v>9</v>
      </c>
      <c r="N1021">
        <v>1</v>
      </c>
      <c r="O1021">
        <v>1</v>
      </c>
      <c r="P1021">
        <v>2026</v>
      </c>
    </row>
    <row r="1022" spans="1:16">
      <c r="A1022">
        <v>105.9</v>
      </c>
      <c r="B1022">
        <v>5</v>
      </c>
      <c r="C1022" t="s">
        <v>1570</v>
      </c>
      <c r="D1022" t="s">
        <v>1571</v>
      </c>
      <c r="E1022" t="s">
        <v>1274</v>
      </c>
      <c r="F1022" t="s">
        <v>1502</v>
      </c>
      <c r="G1022" t="s">
        <v>817</v>
      </c>
      <c r="H1022" t="s">
        <v>712</v>
      </c>
      <c r="I1022" t="s">
        <v>60</v>
      </c>
      <c r="J1022">
        <v>21.18</v>
      </c>
      <c r="K1022" s="1">
        <v>45744</v>
      </c>
      <c r="L1022" t="s">
        <v>79</v>
      </c>
      <c r="M1022">
        <v>28</v>
      </c>
      <c r="N1022">
        <v>3</v>
      </c>
      <c r="O1022">
        <v>1</v>
      </c>
      <c r="P1022">
        <v>2025</v>
      </c>
    </row>
    <row r="1023" spans="1:16">
      <c r="A1023">
        <v>267.06</v>
      </c>
      <c r="B1023">
        <v>3</v>
      </c>
      <c r="C1023" t="s">
        <v>2941</v>
      </c>
      <c r="D1023" t="s">
        <v>2942</v>
      </c>
      <c r="E1023" t="s">
        <v>2566</v>
      </c>
      <c r="F1023" t="s">
        <v>1415</v>
      </c>
      <c r="G1023" t="s">
        <v>812</v>
      </c>
      <c r="H1023" t="s">
        <v>399</v>
      </c>
      <c r="I1023" t="s">
        <v>55</v>
      </c>
      <c r="J1023">
        <v>89.02</v>
      </c>
      <c r="K1023" s="1">
        <v>45966</v>
      </c>
      <c r="L1023" t="s">
        <v>34</v>
      </c>
      <c r="M1023">
        <v>5</v>
      </c>
      <c r="N1023">
        <v>11</v>
      </c>
      <c r="O1023">
        <v>4</v>
      </c>
      <c r="P1023">
        <v>2025</v>
      </c>
    </row>
    <row r="1024" spans="1:16">
      <c r="A1024">
        <v>657.93000000000006</v>
      </c>
      <c r="B1024">
        <v>3</v>
      </c>
      <c r="C1024" t="s">
        <v>2112</v>
      </c>
      <c r="D1024" t="s">
        <v>2113</v>
      </c>
      <c r="E1024" t="s">
        <v>2114</v>
      </c>
      <c r="F1024" t="s">
        <v>883</v>
      </c>
      <c r="G1024" t="s">
        <v>807</v>
      </c>
      <c r="H1024" t="s">
        <v>594</v>
      </c>
      <c r="I1024" t="s">
        <v>43</v>
      </c>
      <c r="J1024">
        <v>219.31</v>
      </c>
      <c r="K1024" s="1">
        <v>46056</v>
      </c>
      <c r="L1024" t="s">
        <v>48</v>
      </c>
      <c r="M1024">
        <v>3</v>
      </c>
      <c r="N1024">
        <v>2</v>
      </c>
      <c r="O1024">
        <v>1</v>
      </c>
      <c r="P1024">
        <v>2026</v>
      </c>
    </row>
    <row r="1025" spans="1:16">
      <c r="A1025">
        <v>565.04999999999995</v>
      </c>
      <c r="B1025">
        <v>3</v>
      </c>
      <c r="C1025" t="s">
        <v>1879</v>
      </c>
      <c r="D1025" t="s">
        <v>1880</v>
      </c>
      <c r="E1025" t="s">
        <v>1881</v>
      </c>
      <c r="F1025" t="s">
        <v>1882</v>
      </c>
      <c r="G1025" t="s">
        <v>795</v>
      </c>
      <c r="H1025" t="s">
        <v>699</v>
      </c>
      <c r="I1025" t="s">
        <v>100</v>
      </c>
      <c r="J1025">
        <v>188.35</v>
      </c>
      <c r="K1025" s="1">
        <v>46015</v>
      </c>
      <c r="L1025" t="s">
        <v>34</v>
      </c>
      <c r="M1025">
        <v>24</v>
      </c>
      <c r="N1025">
        <v>12</v>
      </c>
      <c r="O1025">
        <v>4</v>
      </c>
      <c r="P1025">
        <v>2025</v>
      </c>
    </row>
    <row r="1026" spans="1:16">
      <c r="A1026">
        <v>400.54</v>
      </c>
      <c r="B1026">
        <v>2</v>
      </c>
      <c r="C1026" t="s">
        <v>1661</v>
      </c>
      <c r="D1026" t="s">
        <v>1662</v>
      </c>
      <c r="E1026" t="s">
        <v>1515</v>
      </c>
      <c r="F1026" t="s">
        <v>883</v>
      </c>
      <c r="G1026" t="s">
        <v>807</v>
      </c>
      <c r="H1026" t="s">
        <v>434</v>
      </c>
      <c r="I1026" t="s">
        <v>57</v>
      </c>
      <c r="J1026">
        <v>200.27</v>
      </c>
      <c r="K1026" s="1">
        <v>45919</v>
      </c>
      <c r="L1026" t="s">
        <v>79</v>
      </c>
      <c r="M1026">
        <v>19</v>
      </c>
      <c r="N1026">
        <v>9</v>
      </c>
      <c r="O1026">
        <v>3</v>
      </c>
      <c r="P1026">
        <v>2025</v>
      </c>
    </row>
    <row r="1027" spans="1:16">
      <c r="A1027">
        <v>349.26</v>
      </c>
      <c r="B1027">
        <v>3</v>
      </c>
      <c r="C1027" t="s">
        <v>3144</v>
      </c>
      <c r="D1027" t="s">
        <v>2046</v>
      </c>
      <c r="E1027" t="s">
        <v>2078</v>
      </c>
      <c r="F1027" t="s">
        <v>929</v>
      </c>
      <c r="G1027" t="s">
        <v>786</v>
      </c>
      <c r="H1027" t="s">
        <v>91</v>
      </c>
      <c r="I1027" t="s">
        <v>55</v>
      </c>
      <c r="J1027">
        <v>116.42</v>
      </c>
      <c r="K1027" s="1">
        <v>45860</v>
      </c>
      <c r="L1027" t="s">
        <v>48</v>
      </c>
      <c r="M1027">
        <v>22</v>
      </c>
      <c r="N1027">
        <v>7</v>
      </c>
      <c r="O1027">
        <v>3</v>
      </c>
      <c r="P1027">
        <v>2025</v>
      </c>
    </row>
    <row r="1028" spans="1:16">
      <c r="A1028">
        <v>11.49</v>
      </c>
      <c r="B1028">
        <v>1</v>
      </c>
      <c r="C1028" t="s">
        <v>1046</v>
      </c>
      <c r="D1028" t="s">
        <v>1047</v>
      </c>
      <c r="E1028" t="s">
        <v>746</v>
      </c>
      <c r="F1028" t="s">
        <v>29</v>
      </c>
      <c r="G1028" t="s">
        <v>821</v>
      </c>
      <c r="H1028" t="s">
        <v>736</v>
      </c>
      <c r="I1028" t="s">
        <v>122</v>
      </c>
      <c r="J1028">
        <v>11.49</v>
      </c>
      <c r="K1028" s="1">
        <v>45799</v>
      </c>
      <c r="L1028" t="s">
        <v>105</v>
      </c>
      <c r="M1028">
        <v>22</v>
      </c>
      <c r="N1028">
        <v>5</v>
      </c>
      <c r="O1028">
        <v>2</v>
      </c>
      <c r="P1028">
        <v>2025</v>
      </c>
    </row>
    <row r="1029" spans="1:16">
      <c r="A1029">
        <v>406.86</v>
      </c>
      <c r="B1029">
        <v>2</v>
      </c>
      <c r="C1029" t="s">
        <v>3137</v>
      </c>
      <c r="D1029" t="s">
        <v>3138</v>
      </c>
      <c r="E1029" t="s">
        <v>2383</v>
      </c>
      <c r="F1029" t="s">
        <v>3139</v>
      </c>
      <c r="G1029" t="s">
        <v>908</v>
      </c>
      <c r="H1029" t="s">
        <v>128</v>
      </c>
      <c r="I1029" t="s">
        <v>55</v>
      </c>
      <c r="J1029">
        <v>203.43</v>
      </c>
      <c r="K1029" s="1">
        <v>45923</v>
      </c>
      <c r="L1029" t="s">
        <v>48</v>
      </c>
      <c r="M1029">
        <v>23</v>
      </c>
      <c r="N1029">
        <v>9</v>
      </c>
      <c r="O1029">
        <v>3</v>
      </c>
      <c r="P1029">
        <v>2025</v>
      </c>
    </row>
    <row r="1030" spans="1:16">
      <c r="A1030">
        <v>341.14</v>
      </c>
      <c r="B1030">
        <v>2</v>
      </c>
      <c r="C1030" t="s">
        <v>1150</v>
      </c>
      <c r="D1030" t="s">
        <v>1151</v>
      </c>
      <c r="E1030" t="s">
        <v>1152</v>
      </c>
      <c r="F1030" t="s">
        <v>843</v>
      </c>
      <c r="G1030" t="s">
        <v>753</v>
      </c>
      <c r="H1030" t="s">
        <v>482</v>
      </c>
      <c r="I1030" t="s">
        <v>82</v>
      </c>
      <c r="J1030">
        <v>170.57</v>
      </c>
      <c r="K1030" s="1">
        <v>45655</v>
      </c>
      <c r="L1030" t="s">
        <v>28</v>
      </c>
      <c r="M1030">
        <v>29</v>
      </c>
      <c r="N1030">
        <v>12</v>
      </c>
      <c r="O1030">
        <v>4</v>
      </c>
      <c r="P1030">
        <v>2024</v>
      </c>
    </row>
    <row r="1031" spans="1:16">
      <c r="A1031">
        <v>571.36</v>
      </c>
      <c r="B1031">
        <v>4</v>
      </c>
      <c r="C1031" t="s">
        <v>2625</v>
      </c>
      <c r="D1031" t="s">
        <v>2626</v>
      </c>
      <c r="E1031" t="s">
        <v>1383</v>
      </c>
      <c r="F1031" t="s">
        <v>106</v>
      </c>
      <c r="G1031" t="s">
        <v>748</v>
      </c>
      <c r="H1031" t="s">
        <v>465</v>
      </c>
      <c r="I1031" t="s">
        <v>31</v>
      </c>
      <c r="J1031">
        <v>142.84</v>
      </c>
      <c r="K1031" s="1">
        <v>46115</v>
      </c>
      <c r="L1031" t="s">
        <v>79</v>
      </c>
      <c r="M1031">
        <v>3</v>
      </c>
      <c r="N1031">
        <v>4</v>
      </c>
      <c r="O1031">
        <v>2</v>
      </c>
      <c r="P1031">
        <v>2026</v>
      </c>
    </row>
    <row r="1032" spans="1:16">
      <c r="A1032">
        <v>159.36000000000001</v>
      </c>
      <c r="B1032">
        <v>2</v>
      </c>
      <c r="C1032" t="s">
        <v>1115</v>
      </c>
      <c r="D1032" t="s">
        <v>1116</v>
      </c>
      <c r="E1032" t="s">
        <v>1117</v>
      </c>
      <c r="F1032" t="s">
        <v>1118</v>
      </c>
      <c r="G1032" t="s">
        <v>821</v>
      </c>
      <c r="H1032" t="s">
        <v>565</v>
      </c>
      <c r="I1032" t="s">
        <v>17</v>
      </c>
      <c r="J1032">
        <v>79.680000000000007</v>
      </c>
      <c r="K1032" s="1">
        <v>46158</v>
      </c>
      <c r="L1032" t="s">
        <v>14</v>
      </c>
      <c r="M1032">
        <v>16</v>
      </c>
      <c r="N1032">
        <v>5</v>
      </c>
      <c r="O1032">
        <v>2</v>
      </c>
      <c r="P1032">
        <v>2026</v>
      </c>
    </row>
    <row r="1033" spans="1:16">
      <c r="A1033">
        <v>245.78</v>
      </c>
      <c r="B1033">
        <v>2</v>
      </c>
      <c r="C1033" t="s">
        <v>3387</v>
      </c>
      <c r="D1033" t="s">
        <v>3388</v>
      </c>
      <c r="E1033" t="s">
        <v>1597</v>
      </c>
      <c r="F1033" t="s">
        <v>151</v>
      </c>
      <c r="G1033" t="s">
        <v>1003</v>
      </c>
      <c r="H1033" t="s">
        <v>665</v>
      </c>
      <c r="I1033" t="s">
        <v>17</v>
      </c>
      <c r="J1033">
        <v>122.89</v>
      </c>
      <c r="K1033" s="1">
        <v>46113</v>
      </c>
      <c r="L1033" t="s">
        <v>34</v>
      </c>
      <c r="M1033">
        <v>1</v>
      </c>
      <c r="N1033">
        <v>4</v>
      </c>
      <c r="O1033">
        <v>2</v>
      </c>
      <c r="P1033">
        <v>2026</v>
      </c>
    </row>
    <row r="1034" spans="1:16">
      <c r="A1034">
        <v>230.54</v>
      </c>
      <c r="B1034">
        <v>2</v>
      </c>
      <c r="C1034" t="s">
        <v>3108</v>
      </c>
      <c r="D1034" t="s">
        <v>3109</v>
      </c>
      <c r="E1034" t="s">
        <v>2030</v>
      </c>
      <c r="F1034" t="s">
        <v>1017</v>
      </c>
      <c r="G1034" t="s">
        <v>966</v>
      </c>
      <c r="H1034" t="s">
        <v>198</v>
      </c>
      <c r="I1034" t="s">
        <v>43</v>
      </c>
      <c r="J1034">
        <v>115.27</v>
      </c>
      <c r="K1034" s="1">
        <v>45985</v>
      </c>
      <c r="L1034" t="s">
        <v>93</v>
      </c>
      <c r="M1034">
        <v>24</v>
      </c>
      <c r="N1034">
        <v>11</v>
      </c>
      <c r="O1034">
        <v>4</v>
      </c>
      <c r="P1034">
        <v>2025</v>
      </c>
    </row>
    <row r="1035" spans="1:16">
      <c r="A1035">
        <v>647.67999999999995</v>
      </c>
      <c r="B1035">
        <v>4</v>
      </c>
      <c r="C1035" t="s">
        <v>840</v>
      </c>
      <c r="D1035" t="s">
        <v>841</v>
      </c>
      <c r="E1035" t="s">
        <v>842</v>
      </c>
      <c r="F1035" t="s">
        <v>843</v>
      </c>
      <c r="G1035" t="s">
        <v>753</v>
      </c>
      <c r="H1035" t="s">
        <v>546</v>
      </c>
      <c r="I1035" t="s">
        <v>25</v>
      </c>
      <c r="J1035">
        <v>161.91999999999999</v>
      </c>
      <c r="K1035" s="1">
        <v>45869</v>
      </c>
      <c r="L1035" t="s">
        <v>105</v>
      </c>
      <c r="M1035">
        <v>31</v>
      </c>
      <c r="N1035">
        <v>7</v>
      </c>
      <c r="O1035">
        <v>3</v>
      </c>
      <c r="P1035">
        <v>2025</v>
      </c>
    </row>
    <row r="1036" spans="1:16">
      <c r="A1036">
        <v>1035.3499999999999</v>
      </c>
      <c r="B1036">
        <v>5</v>
      </c>
      <c r="C1036" t="s">
        <v>1322</v>
      </c>
      <c r="D1036" t="s">
        <v>1323</v>
      </c>
      <c r="E1036" t="s">
        <v>1324</v>
      </c>
      <c r="F1036" t="s">
        <v>29</v>
      </c>
      <c r="G1036" t="s">
        <v>821</v>
      </c>
      <c r="H1036" t="s">
        <v>201</v>
      </c>
      <c r="I1036" t="s">
        <v>37</v>
      </c>
      <c r="J1036">
        <v>207.07</v>
      </c>
      <c r="K1036" s="1">
        <v>45626</v>
      </c>
      <c r="L1036" t="s">
        <v>14</v>
      </c>
      <c r="M1036">
        <v>30</v>
      </c>
      <c r="N1036">
        <v>11</v>
      </c>
      <c r="O1036">
        <v>4</v>
      </c>
      <c r="P1036">
        <v>2024</v>
      </c>
    </row>
    <row r="1037" spans="1:16">
      <c r="A1037">
        <v>130.52000000000001</v>
      </c>
      <c r="B1037">
        <v>2</v>
      </c>
      <c r="C1037" t="s">
        <v>2567</v>
      </c>
      <c r="D1037" t="s">
        <v>2568</v>
      </c>
      <c r="E1037" t="s">
        <v>1512</v>
      </c>
      <c r="F1037" t="s">
        <v>106</v>
      </c>
      <c r="G1037" t="s">
        <v>748</v>
      </c>
      <c r="H1037" t="s">
        <v>78</v>
      </c>
      <c r="I1037" t="s">
        <v>51</v>
      </c>
      <c r="J1037">
        <v>65.260000000000005</v>
      </c>
      <c r="K1037" s="1">
        <v>45673</v>
      </c>
      <c r="L1037" t="s">
        <v>105</v>
      </c>
      <c r="M1037">
        <v>16</v>
      </c>
      <c r="N1037">
        <v>1</v>
      </c>
      <c r="O1037">
        <v>1</v>
      </c>
      <c r="P1037">
        <v>2025</v>
      </c>
    </row>
    <row r="1038" spans="1:16">
      <c r="A1038">
        <v>469.96</v>
      </c>
      <c r="B1038">
        <v>2</v>
      </c>
      <c r="C1038" t="s">
        <v>3375</v>
      </c>
      <c r="D1038" t="s">
        <v>3376</v>
      </c>
      <c r="E1038" t="s">
        <v>1625</v>
      </c>
      <c r="F1038" t="s">
        <v>1434</v>
      </c>
      <c r="G1038" t="s">
        <v>786</v>
      </c>
      <c r="H1038" t="s">
        <v>333</v>
      </c>
      <c r="I1038" t="s">
        <v>37</v>
      </c>
      <c r="J1038">
        <v>234.98</v>
      </c>
      <c r="K1038" s="1">
        <v>45814</v>
      </c>
      <c r="L1038" t="s">
        <v>79</v>
      </c>
      <c r="M1038">
        <v>6</v>
      </c>
      <c r="N1038">
        <v>6</v>
      </c>
      <c r="O1038">
        <v>2</v>
      </c>
      <c r="P1038">
        <v>2025</v>
      </c>
    </row>
    <row r="1039" spans="1:16">
      <c r="A1039">
        <v>236.61</v>
      </c>
      <c r="B1039">
        <v>1</v>
      </c>
      <c r="C1039" t="s">
        <v>889</v>
      </c>
      <c r="D1039" t="s">
        <v>890</v>
      </c>
      <c r="E1039" t="s">
        <v>891</v>
      </c>
      <c r="F1039" t="s">
        <v>64</v>
      </c>
      <c r="G1039" t="s">
        <v>892</v>
      </c>
      <c r="H1039" t="s">
        <v>235</v>
      </c>
      <c r="I1039" t="s">
        <v>19</v>
      </c>
      <c r="J1039">
        <v>236.61</v>
      </c>
      <c r="K1039" s="1">
        <v>46188</v>
      </c>
      <c r="L1039" t="s">
        <v>93</v>
      </c>
      <c r="M1039">
        <v>15</v>
      </c>
      <c r="N1039">
        <v>6</v>
      </c>
      <c r="O1039">
        <v>2</v>
      </c>
      <c r="P1039">
        <v>2026</v>
      </c>
    </row>
    <row r="1040" spans="1:16">
      <c r="A1040">
        <v>842.8</v>
      </c>
      <c r="B1040">
        <v>5</v>
      </c>
      <c r="C1040" t="s">
        <v>818</v>
      </c>
      <c r="D1040" t="s">
        <v>819</v>
      </c>
      <c r="E1040" t="s">
        <v>820</v>
      </c>
      <c r="F1040" t="s">
        <v>29</v>
      </c>
      <c r="G1040" t="s">
        <v>821</v>
      </c>
      <c r="H1040" t="s">
        <v>688</v>
      </c>
      <c r="I1040" t="s">
        <v>17</v>
      </c>
      <c r="J1040">
        <v>168.56</v>
      </c>
      <c r="K1040" s="1">
        <v>46273</v>
      </c>
      <c r="L1040" t="s">
        <v>48</v>
      </c>
      <c r="M1040">
        <v>8</v>
      </c>
      <c r="N1040">
        <v>9</v>
      </c>
      <c r="O1040">
        <v>3</v>
      </c>
      <c r="P1040">
        <v>2026</v>
      </c>
    </row>
    <row r="1041" spans="1:16">
      <c r="A1041">
        <v>34.03</v>
      </c>
      <c r="B1041">
        <v>1</v>
      </c>
      <c r="C1041" t="s">
        <v>2805</v>
      </c>
      <c r="D1041" t="s">
        <v>2806</v>
      </c>
      <c r="E1041" t="s">
        <v>2141</v>
      </c>
      <c r="F1041" t="s">
        <v>995</v>
      </c>
      <c r="G1041" t="s">
        <v>781</v>
      </c>
      <c r="H1041" t="s">
        <v>678</v>
      </c>
      <c r="I1041" t="s">
        <v>100</v>
      </c>
      <c r="J1041">
        <v>34.03</v>
      </c>
      <c r="K1041" s="1">
        <v>45897</v>
      </c>
      <c r="L1041" t="s">
        <v>105</v>
      </c>
      <c r="M1041">
        <v>28</v>
      </c>
      <c r="N1041">
        <v>8</v>
      </c>
      <c r="O1041">
        <v>3</v>
      </c>
      <c r="P1041">
        <v>2025</v>
      </c>
    </row>
    <row r="1042" spans="1:16">
      <c r="A1042">
        <v>365.28</v>
      </c>
      <c r="B1042">
        <v>2</v>
      </c>
      <c r="C1042" t="s">
        <v>2997</v>
      </c>
      <c r="D1042" t="s">
        <v>2998</v>
      </c>
      <c r="E1042" t="s">
        <v>2383</v>
      </c>
      <c r="F1042" t="s">
        <v>869</v>
      </c>
      <c r="G1042" t="s">
        <v>812</v>
      </c>
      <c r="H1042" t="s">
        <v>505</v>
      </c>
      <c r="I1042" t="s">
        <v>100</v>
      </c>
      <c r="J1042">
        <v>182.64</v>
      </c>
      <c r="K1042" s="1">
        <v>45624</v>
      </c>
      <c r="L1042" t="s">
        <v>105</v>
      </c>
      <c r="M1042">
        <v>28</v>
      </c>
      <c r="N1042">
        <v>11</v>
      </c>
      <c r="O1042">
        <v>4</v>
      </c>
      <c r="P1042">
        <v>2024</v>
      </c>
    </row>
    <row r="1043" spans="1:16">
      <c r="A1043">
        <v>469.23</v>
      </c>
      <c r="B1043">
        <v>3</v>
      </c>
      <c r="C1043" t="s">
        <v>2591</v>
      </c>
      <c r="D1043" t="s">
        <v>2592</v>
      </c>
      <c r="E1043" t="s">
        <v>875</v>
      </c>
      <c r="F1043" t="s">
        <v>985</v>
      </c>
      <c r="G1043" t="s">
        <v>817</v>
      </c>
      <c r="H1043" t="s">
        <v>238</v>
      </c>
      <c r="I1043" t="s">
        <v>97</v>
      </c>
      <c r="J1043">
        <v>156.41</v>
      </c>
      <c r="K1043" s="1">
        <v>45704</v>
      </c>
      <c r="L1043" t="s">
        <v>28</v>
      </c>
      <c r="M1043">
        <v>16</v>
      </c>
      <c r="N1043">
        <v>2</v>
      </c>
      <c r="O1043">
        <v>1</v>
      </c>
      <c r="P1043">
        <v>2025</v>
      </c>
    </row>
    <row r="1044" spans="1:16">
      <c r="A1044">
        <v>131.12</v>
      </c>
      <c r="B1044">
        <v>2</v>
      </c>
      <c r="C1044" t="s">
        <v>1850</v>
      </c>
      <c r="D1044" t="s">
        <v>1851</v>
      </c>
      <c r="E1044" t="s">
        <v>833</v>
      </c>
      <c r="F1044" t="s">
        <v>49</v>
      </c>
      <c r="G1044" t="s">
        <v>807</v>
      </c>
      <c r="H1044" t="s">
        <v>291</v>
      </c>
      <c r="I1044" t="s">
        <v>51</v>
      </c>
      <c r="J1044">
        <v>65.56</v>
      </c>
      <c r="K1044" s="1">
        <v>45665</v>
      </c>
      <c r="L1044" t="s">
        <v>34</v>
      </c>
      <c r="M1044">
        <v>8</v>
      </c>
      <c r="N1044">
        <v>1</v>
      </c>
      <c r="O1044">
        <v>1</v>
      </c>
      <c r="P1044">
        <v>2025</v>
      </c>
    </row>
    <row r="1045" spans="1:16">
      <c r="A1045">
        <v>138.93</v>
      </c>
      <c r="B1045">
        <v>3</v>
      </c>
      <c r="C1045" t="s">
        <v>1640</v>
      </c>
      <c r="D1045" t="s">
        <v>1641</v>
      </c>
      <c r="E1045" t="s">
        <v>1642</v>
      </c>
      <c r="F1045" t="s">
        <v>160</v>
      </c>
      <c r="G1045" t="s">
        <v>790</v>
      </c>
      <c r="H1045" t="s">
        <v>583</v>
      </c>
      <c r="I1045" t="s">
        <v>19</v>
      </c>
      <c r="J1045">
        <v>46.31</v>
      </c>
      <c r="K1045" s="1">
        <v>45835</v>
      </c>
      <c r="L1045" t="s">
        <v>79</v>
      </c>
      <c r="M1045">
        <v>27</v>
      </c>
      <c r="N1045">
        <v>6</v>
      </c>
      <c r="O1045">
        <v>2</v>
      </c>
      <c r="P1045">
        <v>2025</v>
      </c>
    </row>
    <row r="1046" spans="1:16">
      <c r="A1046">
        <v>742.56000000000006</v>
      </c>
      <c r="B1046">
        <v>3</v>
      </c>
      <c r="C1046" t="s">
        <v>1900</v>
      </c>
      <c r="D1046" t="s">
        <v>1901</v>
      </c>
      <c r="E1046" t="s">
        <v>1477</v>
      </c>
      <c r="F1046" t="s">
        <v>961</v>
      </c>
      <c r="G1046" t="s">
        <v>753</v>
      </c>
      <c r="H1046" t="s">
        <v>372</v>
      </c>
      <c r="I1046" t="s">
        <v>23</v>
      </c>
      <c r="J1046">
        <v>247.52</v>
      </c>
      <c r="K1046" s="1">
        <v>45610</v>
      </c>
      <c r="L1046" t="s">
        <v>105</v>
      </c>
      <c r="M1046">
        <v>14</v>
      </c>
      <c r="N1046">
        <v>11</v>
      </c>
      <c r="O1046">
        <v>4</v>
      </c>
      <c r="P1046">
        <v>2024</v>
      </c>
    </row>
    <row r="1047" spans="1:16">
      <c r="A1047">
        <v>143.24</v>
      </c>
      <c r="B1047">
        <v>2</v>
      </c>
      <c r="C1047" t="s">
        <v>1284</v>
      </c>
      <c r="D1047" t="s">
        <v>1285</v>
      </c>
      <c r="E1047" t="s">
        <v>1286</v>
      </c>
      <c r="F1047" t="s">
        <v>199</v>
      </c>
      <c r="G1047" t="s">
        <v>781</v>
      </c>
      <c r="H1047" t="s">
        <v>680</v>
      </c>
      <c r="I1047" t="s">
        <v>69</v>
      </c>
      <c r="J1047">
        <v>71.62</v>
      </c>
      <c r="K1047" s="1">
        <v>45652</v>
      </c>
      <c r="L1047" t="s">
        <v>105</v>
      </c>
      <c r="M1047">
        <v>26</v>
      </c>
      <c r="N1047">
        <v>12</v>
      </c>
      <c r="O1047">
        <v>4</v>
      </c>
      <c r="P1047">
        <v>2024</v>
      </c>
    </row>
    <row r="1048" spans="1:16">
      <c r="A1048">
        <v>166.85</v>
      </c>
      <c r="B1048">
        <v>5</v>
      </c>
      <c r="C1048" t="s">
        <v>2953</v>
      </c>
      <c r="D1048" t="s">
        <v>2954</v>
      </c>
      <c r="E1048" t="s">
        <v>1698</v>
      </c>
      <c r="F1048" t="s">
        <v>1395</v>
      </c>
      <c r="G1048" t="s">
        <v>776</v>
      </c>
      <c r="H1048" t="s">
        <v>388</v>
      </c>
      <c r="I1048" t="s">
        <v>46</v>
      </c>
      <c r="J1048">
        <v>33.369999999999997</v>
      </c>
      <c r="K1048" s="1">
        <v>45818</v>
      </c>
      <c r="L1048" t="s">
        <v>48</v>
      </c>
      <c r="M1048">
        <v>10</v>
      </c>
      <c r="N1048">
        <v>6</v>
      </c>
      <c r="O1048">
        <v>2</v>
      </c>
      <c r="P1048">
        <v>2025</v>
      </c>
    </row>
    <row r="1049" spans="1:16">
      <c r="A1049">
        <v>601.43999999999994</v>
      </c>
      <c r="B1049">
        <v>3</v>
      </c>
      <c r="C1049" t="s">
        <v>889</v>
      </c>
      <c r="D1049" t="s">
        <v>890</v>
      </c>
      <c r="E1049" t="s">
        <v>891</v>
      </c>
      <c r="F1049" t="s">
        <v>64</v>
      </c>
      <c r="G1049" t="s">
        <v>892</v>
      </c>
      <c r="H1049" t="s">
        <v>2254</v>
      </c>
      <c r="I1049" t="s">
        <v>43</v>
      </c>
      <c r="J1049">
        <v>200.48</v>
      </c>
      <c r="K1049" s="1">
        <v>45887</v>
      </c>
      <c r="L1049" t="s">
        <v>93</v>
      </c>
      <c r="M1049">
        <v>18</v>
      </c>
      <c r="N1049">
        <v>8</v>
      </c>
      <c r="O1049">
        <v>3</v>
      </c>
      <c r="P1049">
        <v>2025</v>
      </c>
    </row>
    <row r="1050" spans="1:16">
      <c r="A1050">
        <v>705.56999999999994</v>
      </c>
      <c r="B1050">
        <v>3</v>
      </c>
      <c r="C1050" t="s">
        <v>1099</v>
      </c>
      <c r="D1050" t="s">
        <v>1100</v>
      </c>
      <c r="E1050" t="s">
        <v>1035</v>
      </c>
      <c r="F1050" t="s">
        <v>211</v>
      </c>
      <c r="G1050" t="s">
        <v>812</v>
      </c>
      <c r="H1050" t="s">
        <v>396</v>
      </c>
      <c r="I1050" t="s">
        <v>122</v>
      </c>
      <c r="J1050">
        <v>235.19</v>
      </c>
      <c r="K1050" s="1">
        <v>45624</v>
      </c>
      <c r="L1050" t="s">
        <v>105</v>
      </c>
      <c r="M1050">
        <v>28</v>
      </c>
      <c r="N1050">
        <v>11</v>
      </c>
      <c r="O1050">
        <v>4</v>
      </c>
      <c r="P1050">
        <v>2024</v>
      </c>
    </row>
    <row r="1051" spans="1:16">
      <c r="A1051">
        <v>1145.45</v>
      </c>
      <c r="B1051">
        <v>5</v>
      </c>
      <c r="C1051" t="s">
        <v>1101</v>
      </c>
      <c r="D1051" t="s">
        <v>1102</v>
      </c>
      <c r="E1051" t="s">
        <v>1103</v>
      </c>
      <c r="F1051" t="s">
        <v>825</v>
      </c>
      <c r="G1051" t="s">
        <v>781</v>
      </c>
      <c r="H1051" t="s">
        <v>622</v>
      </c>
      <c r="I1051" t="s">
        <v>37</v>
      </c>
      <c r="J1051">
        <v>229.09</v>
      </c>
      <c r="K1051" s="1">
        <v>45580</v>
      </c>
      <c r="L1051" t="s">
        <v>48</v>
      </c>
      <c r="M1051">
        <v>15</v>
      </c>
      <c r="N1051">
        <v>10</v>
      </c>
      <c r="O1051">
        <v>4</v>
      </c>
      <c r="P1051">
        <v>2024</v>
      </c>
    </row>
    <row r="1052" spans="1:16">
      <c r="A1052">
        <v>190.61</v>
      </c>
      <c r="B1052">
        <v>1</v>
      </c>
      <c r="C1052" t="s">
        <v>2454</v>
      </c>
      <c r="D1052" t="s">
        <v>2455</v>
      </c>
      <c r="E1052" t="s">
        <v>1447</v>
      </c>
      <c r="F1052" t="s">
        <v>635</v>
      </c>
      <c r="G1052" t="s">
        <v>768</v>
      </c>
      <c r="H1052" t="s">
        <v>156</v>
      </c>
      <c r="I1052" t="s">
        <v>57</v>
      </c>
      <c r="J1052">
        <v>190.61</v>
      </c>
      <c r="K1052" s="1">
        <v>46109</v>
      </c>
      <c r="L1052" t="s">
        <v>14</v>
      </c>
      <c r="M1052">
        <v>28</v>
      </c>
      <c r="N1052">
        <v>3</v>
      </c>
      <c r="O1052">
        <v>1</v>
      </c>
      <c r="P1052">
        <v>2026</v>
      </c>
    </row>
    <row r="1053" spans="1:16">
      <c r="A1053">
        <v>266.76</v>
      </c>
      <c r="B1053">
        <v>3</v>
      </c>
      <c r="C1053" t="s">
        <v>2608</v>
      </c>
      <c r="D1053" t="s">
        <v>2609</v>
      </c>
      <c r="E1053" t="s">
        <v>2610</v>
      </c>
      <c r="F1053" t="s">
        <v>464</v>
      </c>
      <c r="G1053" t="s">
        <v>896</v>
      </c>
      <c r="H1053" t="s">
        <v>664</v>
      </c>
      <c r="I1053" t="s">
        <v>23</v>
      </c>
      <c r="J1053">
        <v>88.92</v>
      </c>
      <c r="K1053" s="1">
        <v>45667</v>
      </c>
      <c r="L1053" t="s">
        <v>79</v>
      </c>
      <c r="M1053">
        <v>10</v>
      </c>
      <c r="N1053">
        <v>1</v>
      </c>
      <c r="O1053">
        <v>1</v>
      </c>
      <c r="P1053">
        <v>2025</v>
      </c>
    </row>
    <row r="1054" spans="1:16">
      <c r="A1054">
        <v>134.9</v>
      </c>
      <c r="B1054">
        <v>5</v>
      </c>
      <c r="C1054" t="s">
        <v>2632</v>
      </c>
      <c r="D1054" t="s">
        <v>2633</v>
      </c>
      <c r="E1054" t="s">
        <v>1965</v>
      </c>
      <c r="F1054" t="s">
        <v>869</v>
      </c>
      <c r="G1054" t="s">
        <v>1247</v>
      </c>
      <c r="H1054" t="s">
        <v>458</v>
      </c>
      <c r="I1054" t="s">
        <v>37</v>
      </c>
      <c r="J1054">
        <v>26.98</v>
      </c>
      <c r="K1054" s="1">
        <v>45593</v>
      </c>
      <c r="L1054" t="s">
        <v>93</v>
      </c>
      <c r="M1054">
        <v>28</v>
      </c>
      <c r="N1054">
        <v>10</v>
      </c>
      <c r="O1054">
        <v>4</v>
      </c>
      <c r="P1054">
        <v>2024</v>
      </c>
    </row>
    <row r="1055" spans="1:16">
      <c r="A1055">
        <v>627.79999999999995</v>
      </c>
      <c r="B1055">
        <v>5</v>
      </c>
      <c r="C1055" t="s">
        <v>947</v>
      </c>
      <c r="D1055" t="s">
        <v>948</v>
      </c>
      <c r="E1055" t="s">
        <v>949</v>
      </c>
      <c r="F1055" t="s">
        <v>392</v>
      </c>
      <c r="G1055" t="s">
        <v>834</v>
      </c>
      <c r="H1055" t="s">
        <v>87</v>
      </c>
      <c r="I1055" t="s">
        <v>39</v>
      </c>
      <c r="J1055">
        <v>125.56</v>
      </c>
      <c r="K1055" s="1">
        <v>45872</v>
      </c>
      <c r="L1055" t="s">
        <v>28</v>
      </c>
      <c r="M1055">
        <v>3</v>
      </c>
      <c r="N1055">
        <v>8</v>
      </c>
      <c r="O1055">
        <v>3</v>
      </c>
      <c r="P1055">
        <v>2025</v>
      </c>
    </row>
    <row r="1056" spans="1:16">
      <c r="A1056">
        <v>478.1</v>
      </c>
      <c r="B1056">
        <v>5</v>
      </c>
      <c r="C1056" t="s">
        <v>2625</v>
      </c>
      <c r="D1056" t="s">
        <v>2626</v>
      </c>
      <c r="E1056" t="s">
        <v>1383</v>
      </c>
      <c r="F1056" t="s">
        <v>106</v>
      </c>
      <c r="G1056" t="s">
        <v>748</v>
      </c>
      <c r="H1056" t="s">
        <v>153</v>
      </c>
      <c r="I1056" t="s">
        <v>37</v>
      </c>
      <c r="J1056">
        <v>95.62</v>
      </c>
      <c r="K1056" s="1">
        <v>45852</v>
      </c>
      <c r="L1056" t="s">
        <v>93</v>
      </c>
      <c r="M1056">
        <v>14</v>
      </c>
      <c r="N1056">
        <v>7</v>
      </c>
      <c r="O1056">
        <v>3</v>
      </c>
      <c r="P1056">
        <v>2025</v>
      </c>
    </row>
    <row r="1057" spans="1:16">
      <c r="A1057">
        <v>79.83</v>
      </c>
      <c r="B1057">
        <v>1</v>
      </c>
      <c r="C1057" t="s">
        <v>840</v>
      </c>
      <c r="D1057" t="s">
        <v>841</v>
      </c>
      <c r="E1057" t="s">
        <v>842</v>
      </c>
      <c r="F1057" t="s">
        <v>843</v>
      </c>
      <c r="G1057" t="s">
        <v>753</v>
      </c>
      <c r="H1057" t="s">
        <v>234</v>
      </c>
      <c r="I1057" t="s">
        <v>82</v>
      </c>
      <c r="J1057">
        <v>79.83</v>
      </c>
      <c r="K1057" s="1">
        <v>46260</v>
      </c>
      <c r="L1057" t="s">
        <v>34</v>
      </c>
      <c r="M1057">
        <v>26</v>
      </c>
      <c r="N1057">
        <v>8</v>
      </c>
      <c r="O1057">
        <v>3</v>
      </c>
      <c r="P1057">
        <v>2026</v>
      </c>
    </row>
    <row r="1058" spans="1:16">
      <c r="A1058">
        <v>488.32</v>
      </c>
      <c r="B1058">
        <v>4</v>
      </c>
      <c r="C1058" t="s">
        <v>3415</v>
      </c>
      <c r="D1058" t="s">
        <v>3416</v>
      </c>
      <c r="E1058" t="s">
        <v>1324</v>
      </c>
      <c r="F1058" t="s">
        <v>392</v>
      </c>
      <c r="G1058" t="s">
        <v>943</v>
      </c>
      <c r="H1058" t="s">
        <v>646</v>
      </c>
      <c r="I1058" t="s">
        <v>21</v>
      </c>
      <c r="J1058">
        <v>122.08</v>
      </c>
      <c r="K1058" s="1">
        <v>46266</v>
      </c>
      <c r="L1058" t="s">
        <v>48</v>
      </c>
      <c r="M1058">
        <v>1</v>
      </c>
      <c r="N1058">
        <v>9</v>
      </c>
      <c r="O1058">
        <v>3</v>
      </c>
      <c r="P1058">
        <v>2026</v>
      </c>
    </row>
    <row r="1059" spans="1:16">
      <c r="A1059">
        <v>1000.6</v>
      </c>
      <c r="B1059">
        <v>5</v>
      </c>
      <c r="C1059" t="s">
        <v>2788</v>
      </c>
      <c r="D1059" t="s">
        <v>2789</v>
      </c>
      <c r="E1059" t="s">
        <v>1565</v>
      </c>
      <c r="F1059" t="s">
        <v>136</v>
      </c>
      <c r="G1059" t="s">
        <v>776</v>
      </c>
      <c r="H1059" t="s">
        <v>239</v>
      </c>
      <c r="I1059" t="s">
        <v>23</v>
      </c>
      <c r="J1059">
        <v>200.12</v>
      </c>
      <c r="K1059" s="1">
        <v>46228</v>
      </c>
      <c r="L1059" t="s">
        <v>14</v>
      </c>
      <c r="M1059">
        <v>25</v>
      </c>
      <c r="N1059">
        <v>7</v>
      </c>
      <c r="O1059">
        <v>3</v>
      </c>
      <c r="P1059">
        <v>2026</v>
      </c>
    </row>
    <row r="1060" spans="1:16">
      <c r="A1060">
        <v>946.44</v>
      </c>
      <c r="B1060">
        <v>4</v>
      </c>
      <c r="C1060" t="s">
        <v>2999</v>
      </c>
      <c r="D1060" t="s">
        <v>3000</v>
      </c>
      <c r="E1060" t="s">
        <v>891</v>
      </c>
      <c r="F1060" t="s">
        <v>1566</v>
      </c>
      <c r="G1060" t="s">
        <v>763</v>
      </c>
      <c r="H1060" t="s">
        <v>235</v>
      </c>
      <c r="I1060" t="s">
        <v>19</v>
      </c>
      <c r="J1060">
        <v>236.61</v>
      </c>
      <c r="K1060" s="1">
        <v>46180</v>
      </c>
      <c r="L1060" t="s">
        <v>28</v>
      </c>
      <c r="M1060">
        <v>7</v>
      </c>
      <c r="N1060">
        <v>6</v>
      </c>
      <c r="O1060">
        <v>2</v>
      </c>
      <c r="P1060">
        <v>2026</v>
      </c>
    </row>
    <row r="1061" spans="1:16">
      <c r="A1061">
        <v>652.55999999999995</v>
      </c>
      <c r="B1061">
        <v>4</v>
      </c>
      <c r="C1061" t="s">
        <v>2976</v>
      </c>
      <c r="D1061" t="s">
        <v>2977</v>
      </c>
      <c r="E1061" t="s">
        <v>2692</v>
      </c>
      <c r="F1061" t="s">
        <v>619</v>
      </c>
      <c r="G1061" t="s">
        <v>758</v>
      </c>
      <c r="H1061" t="s">
        <v>183</v>
      </c>
      <c r="I1061" t="s">
        <v>19</v>
      </c>
      <c r="J1061">
        <v>163.13999999999999</v>
      </c>
      <c r="K1061" s="1">
        <v>46208</v>
      </c>
      <c r="L1061" t="s">
        <v>28</v>
      </c>
      <c r="M1061">
        <v>5</v>
      </c>
      <c r="N1061">
        <v>7</v>
      </c>
      <c r="O1061">
        <v>3</v>
      </c>
      <c r="P1061">
        <v>2026</v>
      </c>
    </row>
    <row r="1062" spans="1:16">
      <c r="A1062">
        <v>722.4</v>
      </c>
      <c r="B1062">
        <v>5</v>
      </c>
      <c r="C1062" t="s">
        <v>2943</v>
      </c>
      <c r="D1062" t="s">
        <v>2137</v>
      </c>
      <c r="E1062" t="s">
        <v>1606</v>
      </c>
      <c r="F1062" t="s">
        <v>619</v>
      </c>
      <c r="G1062" t="s">
        <v>758</v>
      </c>
      <c r="H1062" t="s">
        <v>1441</v>
      </c>
      <c r="I1062" t="s">
        <v>19</v>
      </c>
      <c r="J1062">
        <v>144.47999999999999</v>
      </c>
      <c r="K1062" s="1">
        <v>45889</v>
      </c>
      <c r="L1062" t="s">
        <v>34</v>
      </c>
      <c r="M1062">
        <v>20</v>
      </c>
      <c r="N1062">
        <v>8</v>
      </c>
      <c r="O1062">
        <v>3</v>
      </c>
      <c r="P1062">
        <v>2025</v>
      </c>
    </row>
    <row r="1063" spans="1:16">
      <c r="A1063">
        <v>883.4</v>
      </c>
      <c r="B1063">
        <v>4</v>
      </c>
      <c r="C1063" t="s">
        <v>2983</v>
      </c>
      <c r="D1063" t="s">
        <v>2570</v>
      </c>
      <c r="E1063" t="s">
        <v>1965</v>
      </c>
      <c r="F1063" t="s">
        <v>869</v>
      </c>
      <c r="G1063" t="s">
        <v>812</v>
      </c>
      <c r="H1063" t="s">
        <v>309</v>
      </c>
      <c r="I1063" t="s">
        <v>100</v>
      </c>
      <c r="J1063">
        <v>220.85</v>
      </c>
      <c r="K1063" s="1">
        <v>46136</v>
      </c>
      <c r="L1063" t="s">
        <v>79</v>
      </c>
      <c r="M1063">
        <v>24</v>
      </c>
      <c r="N1063">
        <v>4</v>
      </c>
      <c r="O1063">
        <v>2</v>
      </c>
      <c r="P1063">
        <v>2026</v>
      </c>
    </row>
    <row r="1064" spans="1:16">
      <c r="A1064">
        <v>50.28</v>
      </c>
      <c r="B1064">
        <v>1</v>
      </c>
      <c r="C1064" t="s">
        <v>2466</v>
      </c>
      <c r="D1064" t="s">
        <v>2467</v>
      </c>
      <c r="E1064" t="s">
        <v>1657</v>
      </c>
      <c r="F1064" t="s">
        <v>2468</v>
      </c>
      <c r="G1064" t="s">
        <v>763</v>
      </c>
      <c r="H1064" t="s">
        <v>519</v>
      </c>
      <c r="I1064" t="s">
        <v>51</v>
      </c>
      <c r="J1064">
        <v>50.28</v>
      </c>
      <c r="K1064" s="1">
        <v>45990</v>
      </c>
      <c r="L1064" t="s">
        <v>14</v>
      </c>
      <c r="M1064">
        <v>29</v>
      </c>
      <c r="N1064">
        <v>11</v>
      </c>
      <c r="O1064">
        <v>4</v>
      </c>
      <c r="P1064">
        <v>2025</v>
      </c>
    </row>
    <row r="1065" spans="1:16">
      <c r="A1065">
        <v>575.12</v>
      </c>
      <c r="B1065">
        <v>4</v>
      </c>
      <c r="C1065" t="s">
        <v>3333</v>
      </c>
      <c r="D1065" t="s">
        <v>3334</v>
      </c>
      <c r="E1065" t="s">
        <v>1220</v>
      </c>
      <c r="F1065" t="s">
        <v>1465</v>
      </c>
      <c r="G1065" t="s">
        <v>817</v>
      </c>
      <c r="H1065" t="s">
        <v>346</v>
      </c>
      <c r="I1065" t="s">
        <v>23</v>
      </c>
      <c r="J1065">
        <v>143.78</v>
      </c>
      <c r="K1065" s="1">
        <v>45987</v>
      </c>
      <c r="L1065" t="s">
        <v>34</v>
      </c>
      <c r="M1065">
        <v>26</v>
      </c>
      <c r="N1065">
        <v>11</v>
      </c>
      <c r="O1065">
        <v>4</v>
      </c>
      <c r="P1065">
        <v>2025</v>
      </c>
    </row>
    <row r="1066" spans="1:16">
      <c r="A1066">
        <v>345.34</v>
      </c>
      <c r="B1066">
        <v>2</v>
      </c>
      <c r="C1066" t="s">
        <v>1667</v>
      </c>
      <c r="D1066" t="s">
        <v>1668</v>
      </c>
      <c r="E1066" t="s">
        <v>1669</v>
      </c>
      <c r="F1066" t="s">
        <v>1670</v>
      </c>
      <c r="G1066" t="s">
        <v>1247</v>
      </c>
      <c r="H1066" t="s">
        <v>551</v>
      </c>
      <c r="I1066" t="s">
        <v>122</v>
      </c>
      <c r="J1066">
        <v>172.67</v>
      </c>
      <c r="K1066" s="1">
        <v>45666</v>
      </c>
      <c r="L1066" t="s">
        <v>105</v>
      </c>
      <c r="M1066">
        <v>9</v>
      </c>
      <c r="N1066">
        <v>1</v>
      </c>
      <c r="O1066">
        <v>1</v>
      </c>
      <c r="P1066">
        <v>2025</v>
      </c>
    </row>
    <row r="1067" spans="1:16">
      <c r="A1067">
        <v>464.28</v>
      </c>
      <c r="B1067">
        <v>2</v>
      </c>
      <c r="C1067" t="s">
        <v>2756</v>
      </c>
      <c r="D1067" t="s">
        <v>2757</v>
      </c>
      <c r="E1067" t="s">
        <v>868</v>
      </c>
      <c r="F1067" t="s">
        <v>829</v>
      </c>
      <c r="G1067" t="s">
        <v>830</v>
      </c>
      <c r="H1067" t="s">
        <v>439</v>
      </c>
      <c r="I1067" t="s">
        <v>21</v>
      </c>
      <c r="J1067">
        <v>232.14</v>
      </c>
      <c r="K1067" s="1">
        <v>45728</v>
      </c>
      <c r="L1067" t="s">
        <v>34</v>
      </c>
      <c r="M1067">
        <v>12</v>
      </c>
      <c r="N1067">
        <v>3</v>
      </c>
      <c r="O1067">
        <v>1</v>
      </c>
      <c r="P1067">
        <v>2025</v>
      </c>
    </row>
    <row r="1068" spans="1:16">
      <c r="A1068">
        <v>569.6</v>
      </c>
      <c r="B1068">
        <v>5</v>
      </c>
      <c r="C1068" t="s">
        <v>1737</v>
      </c>
      <c r="D1068" t="s">
        <v>1738</v>
      </c>
      <c r="E1068" t="s">
        <v>1739</v>
      </c>
      <c r="F1068" t="s">
        <v>1740</v>
      </c>
      <c r="G1068" t="s">
        <v>954</v>
      </c>
      <c r="H1068" t="s">
        <v>110</v>
      </c>
      <c r="I1068" t="s">
        <v>51</v>
      </c>
      <c r="J1068">
        <v>113.92</v>
      </c>
      <c r="K1068" s="1">
        <v>46130</v>
      </c>
      <c r="L1068" t="s">
        <v>14</v>
      </c>
      <c r="M1068">
        <v>18</v>
      </c>
      <c r="N1068">
        <v>4</v>
      </c>
      <c r="O1068">
        <v>2</v>
      </c>
      <c r="P1068">
        <v>2026</v>
      </c>
    </row>
    <row r="1069" spans="1:16">
      <c r="A1069">
        <v>626.73</v>
      </c>
      <c r="B1069">
        <v>3</v>
      </c>
      <c r="C1069" t="s">
        <v>3207</v>
      </c>
      <c r="D1069" t="s">
        <v>3208</v>
      </c>
      <c r="E1069" t="s">
        <v>1577</v>
      </c>
      <c r="F1069" t="s">
        <v>1502</v>
      </c>
      <c r="G1069" t="s">
        <v>817</v>
      </c>
      <c r="H1069" t="s">
        <v>723</v>
      </c>
      <c r="I1069" t="s">
        <v>46</v>
      </c>
      <c r="J1069">
        <v>208.91</v>
      </c>
      <c r="K1069" s="1">
        <v>45626</v>
      </c>
      <c r="L1069" t="s">
        <v>14</v>
      </c>
      <c r="M1069">
        <v>30</v>
      </c>
      <c r="N1069">
        <v>11</v>
      </c>
      <c r="O1069">
        <v>4</v>
      </c>
      <c r="P1069">
        <v>2024</v>
      </c>
    </row>
    <row r="1070" spans="1:16">
      <c r="A1070">
        <v>932.84</v>
      </c>
      <c r="B1070">
        <v>4</v>
      </c>
      <c r="C1070" t="s">
        <v>2884</v>
      </c>
      <c r="D1070" t="s">
        <v>2885</v>
      </c>
      <c r="E1070" t="s">
        <v>1152</v>
      </c>
      <c r="F1070" t="s">
        <v>965</v>
      </c>
      <c r="G1070" t="s">
        <v>966</v>
      </c>
      <c r="H1070" t="s">
        <v>648</v>
      </c>
      <c r="I1070" t="s">
        <v>57</v>
      </c>
      <c r="J1070">
        <v>233.21</v>
      </c>
      <c r="K1070" s="1">
        <v>46014</v>
      </c>
      <c r="L1070" t="s">
        <v>48</v>
      </c>
      <c r="M1070">
        <v>23</v>
      </c>
      <c r="N1070">
        <v>12</v>
      </c>
      <c r="O1070">
        <v>4</v>
      </c>
      <c r="P1070">
        <v>2025</v>
      </c>
    </row>
    <row r="1071" spans="1:16">
      <c r="A1071">
        <v>402.06</v>
      </c>
      <c r="B1071">
        <v>2</v>
      </c>
      <c r="C1071" t="s">
        <v>1966</v>
      </c>
      <c r="D1071" t="s">
        <v>1967</v>
      </c>
      <c r="E1071" t="s">
        <v>1968</v>
      </c>
      <c r="F1071" t="s">
        <v>1421</v>
      </c>
      <c r="G1071" t="s">
        <v>776</v>
      </c>
      <c r="H1071" t="s">
        <v>314</v>
      </c>
      <c r="I1071" t="s">
        <v>100</v>
      </c>
      <c r="J1071">
        <v>201.03</v>
      </c>
      <c r="K1071" s="1">
        <v>45958</v>
      </c>
      <c r="L1071" t="s">
        <v>48</v>
      </c>
      <c r="M1071">
        <v>28</v>
      </c>
      <c r="N1071">
        <v>10</v>
      </c>
      <c r="O1071">
        <v>4</v>
      </c>
      <c r="P1071">
        <v>2025</v>
      </c>
    </row>
    <row r="1072" spans="1:16">
      <c r="A1072">
        <v>345.81</v>
      </c>
      <c r="B1072">
        <v>3</v>
      </c>
      <c r="C1072" t="s">
        <v>2865</v>
      </c>
      <c r="D1072" t="s">
        <v>2866</v>
      </c>
      <c r="E1072" t="s">
        <v>1085</v>
      </c>
      <c r="F1072" t="s">
        <v>608</v>
      </c>
      <c r="G1072" t="s">
        <v>966</v>
      </c>
      <c r="H1072" t="s">
        <v>198</v>
      </c>
      <c r="I1072" t="s">
        <v>43</v>
      </c>
      <c r="J1072">
        <v>115.27</v>
      </c>
      <c r="K1072" s="1">
        <v>45673</v>
      </c>
      <c r="L1072" t="s">
        <v>105</v>
      </c>
      <c r="M1072">
        <v>16</v>
      </c>
      <c r="N1072">
        <v>1</v>
      </c>
      <c r="O1072">
        <v>1</v>
      </c>
      <c r="P1072">
        <v>2025</v>
      </c>
    </row>
    <row r="1073" spans="1:16">
      <c r="A1073">
        <v>499.15</v>
      </c>
      <c r="B1073">
        <v>5</v>
      </c>
      <c r="C1073" t="s">
        <v>2724</v>
      </c>
      <c r="D1073" t="s">
        <v>2860</v>
      </c>
      <c r="E1073" t="s">
        <v>1698</v>
      </c>
      <c r="F1073" t="s">
        <v>1984</v>
      </c>
      <c r="G1073" t="s">
        <v>768</v>
      </c>
      <c r="H1073" t="s">
        <v>467</v>
      </c>
      <c r="I1073" t="s">
        <v>19</v>
      </c>
      <c r="J1073">
        <v>99.83</v>
      </c>
      <c r="K1073" s="1">
        <v>45703</v>
      </c>
      <c r="L1073" t="s">
        <v>14</v>
      </c>
      <c r="M1073">
        <v>15</v>
      </c>
      <c r="N1073">
        <v>2</v>
      </c>
      <c r="O1073">
        <v>1</v>
      </c>
      <c r="P1073">
        <v>2025</v>
      </c>
    </row>
    <row r="1074" spans="1:16">
      <c r="A1074">
        <v>124.99</v>
      </c>
      <c r="B1074">
        <v>1</v>
      </c>
      <c r="C1074" t="s">
        <v>2812</v>
      </c>
      <c r="D1074" t="s">
        <v>2813</v>
      </c>
      <c r="E1074" t="s">
        <v>2098</v>
      </c>
      <c r="F1074" t="s">
        <v>953</v>
      </c>
      <c r="G1074" t="s">
        <v>954</v>
      </c>
      <c r="H1074" t="s">
        <v>512</v>
      </c>
      <c r="I1074" t="s">
        <v>27</v>
      </c>
      <c r="J1074">
        <v>124.99</v>
      </c>
      <c r="K1074" s="1">
        <v>46043</v>
      </c>
      <c r="L1074" t="s">
        <v>34</v>
      </c>
      <c r="M1074">
        <v>21</v>
      </c>
      <c r="N1074">
        <v>1</v>
      </c>
      <c r="O1074">
        <v>1</v>
      </c>
      <c r="P1074">
        <v>2026</v>
      </c>
    </row>
    <row r="1075" spans="1:16">
      <c r="A1075">
        <v>90.13</v>
      </c>
      <c r="B1075">
        <v>1</v>
      </c>
      <c r="C1075" t="s">
        <v>1575</v>
      </c>
      <c r="D1075" t="s">
        <v>1576</v>
      </c>
      <c r="E1075" t="s">
        <v>1577</v>
      </c>
      <c r="F1075" t="s">
        <v>392</v>
      </c>
      <c r="G1075" t="s">
        <v>834</v>
      </c>
      <c r="H1075" t="s">
        <v>304</v>
      </c>
      <c r="I1075" t="s">
        <v>100</v>
      </c>
      <c r="J1075">
        <v>90.13</v>
      </c>
      <c r="K1075" s="1">
        <v>46018</v>
      </c>
      <c r="L1075" t="s">
        <v>14</v>
      </c>
      <c r="M1075">
        <v>27</v>
      </c>
      <c r="N1075">
        <v>12</v>
      </c>
      <c r="O1075">
        <v>4</v>
      </c>
      <c r="P1075">
        <v>2025</v>
      </c>
    </row>
    <row r="1076" spans="1:16">
      <c r="A1076">
        <v>457.32</v>
      </c>
      <c r="B1076">
        <v>2</v>
      </c>
      <c r="C1076" t="s">
        <v>2089</v>
      </c>
      <c r="D1076" t="s">
        <v>2090</v>
      </c>
      <c r="E1076" t="s">
        <v>2091</v>
      </c>
      <c r="F1076" t="s">
        <v>1017</v>
      </c>
      <c r="G1076" t="s">
        <v>966</v>
      </c>
      <c r="H1076" t="s">
        <v>480</v>
      </c>
      <c r="I1076" t="s">
        <v>57</v>
      </c>
      <c r="J1076">
        <v>228.66</v>
      </c>
      <c r="K1076" s="1">
        <v>46095</v>
      </c>
      <c r="L1076" t="s">
        <v>14</v>
      </c>
      <c r="M1076">
        <v>14</v>
      </c>
      <c r="N1076">
        <v>3</v>
      </c>
      <c r="O1076">
        <v>1</v>
      </c>
      <c r="P1076">
        <v>2026</v>
      </c>
    </row>
    <row r="1077" spans="1:16">
      <c r="A1077">
        <v>71.449999999999989</v>
      </c>
      <c r="B1077">
        <v>5</v>
      </c>
      <c r="C1077" t="s">
        <v>3127</v>
      </c>
      <c r="D1077" t="s">
        <v>3128</v>
      </c>
      <c r="E1077" t="s">
        <v>1159</v>
      </c>
      <c r="F1077" t="s">
        <v>1092</v>
      </c>
      <c r="G1077" t="s">
        <v>763</v>
      </c>
      <c r="H1077" t="s">
        <v>170</v>
      </c>
      <c r="I1077" t="s">
        <v>82</v>
      </c>
      <c r="J1077">
        <v>14.29</v>
      </c>
      <c r="K1077" s="1">
        <v>46014</v>
      </c>
      <c r="L1077" t="s">
        <v>48</v>
      </c>
      <c r="M1077">
        <v>23</v>
      </c>
      <c r="N1077">
        <v>12</v>
      </c>
      <c r="O1077">
        <v>4</v>
      </c>
      <c r="P1077">
        <v>2025</v>
      </c>
    </row>
    <row r="1078" spans="1:16">
      <c r="A1078">
        <v>701.73</v>
      </c>
      <c r="B1078">
        <v>3</v>
      </c>
      <c r="C1078" t="s">
        <v>1190</v>
      </c>
      <c r="D1078" t="s">
        <v>1191</v>
      </c>
      <c r="E1078" t="s">
        <v>1192</v>
      </c>
      <c r="F1078" t="s">
        <v>1067</v>
      </c>
      <c r="G1078" t="s">
        <v>854</v>
      </c>
      <c r="H1078" t="s">
        <v>272</v>
      </c>
      <c r="I1078" t="s">
        <v>55</v>
      </c>
      <c r="J1078">
        <v>233.91</v>
      </c>
      <c r="K1078" s="1">
        <v>46214</v>
      </c>
      <c r="L1078" t="s">
        <v>14</v>
      </c>
      <c r="M1078">
        <v>11</v>
      </c>
      <c r="N1078">
        <v>7</v>
      </c>
      <c r="O1078">
        <v>3</v>
      </c>
      <c r="P1078">
        <v>2026</v>
      </c>
    </row>
    <row r="1079" spans="1:16">
      <c r="A1079">
        <v>360.52</v>
      </c>
      <c r="B1079">
        <v>4</v>
      </c>
      <c r="C1079" t="s">
        <v>1360</v>
      </c>
      <c r="D1079" t="s">
        <v>1361</v>
      </c>
      <c r="E1079" t="s">
        <v>932</v>
      </c>
      <c r="F1079" t="s">
        <v>1362</v>
      </c>
      <c r="G1079" t="s">
        <v>896</v>
      </c>
      <c r="H1079" t="s">
        <v>304</v>
      </c>
      <c r="I1079" t="s">
        <v>100</v>
      </c>
      <c r="J1079">
        <v>90.13</v>
      </c>
      <c r="K1079" s="1">
        <v>46107</v>
      </c>
      <c r="L1079" t="s">
        <v>105</v>
      </c>
      <c r="M1079">
        <v>26</v>
      </c>
      <c r="N1079">
        <v>3</v>
      </c>
      <c r="O1079">
        <v>1</v>
      </c>
      <c r="P1079">
        <v>2026</v>
      </c>
    </row>
    <row r="1080" spans="1:16">
      <c r="A1080">
        <v>104.9</v>
      </c>
      <c r="B1080">
        <v>5</v>
      </c>
      <c r="C1080" t="s">
        <v>813</v>
      </c>
      <c r="D1080" t="s">
        <v>814</v>
      </c>
      <c r="E1080" t="s">
        <v>815</v>
      </c>
      <c r="F1080" t="s">
        <v>816</v>
      </c>
      <c r="G1080" t="s">
        <v>817</v>
      </c>
      <c r="H1080" t="s">
        <v>456</v>
      </c>
      <c r="I1080" t="s">
        <v>19</v>
      </c>
      <c r="J1080">
        <v>20.98</v>
      </c>
      <c r="K1080" s="1">
        <v>45926</v>
      </c>
      <c r="L1080" t="s">
        <v>79</v>
      </c>
      <c r="M1080">
        <v>26</v>
      </c>
      <c r="N1080">
        <v>9</v>
      </c>
      <c r="O1080">
        <v>3</v>
      </c>
      <c r="P1080">
        <v>2025</v>
      </c>
    </row>
    <row r="1081" spans="1:16">
      <c r="A1081">
        <v>363.42</v>
      </c>
      <c r="B1081">
        <v>3</v>
      </c>
      <c r="C1081" t="s">
        <v>3272</v>
      </c>
      <c r="D1081" t="s">
        <v>3273</v>
      </c>
      <c r="E1081" t="s">
        <v>2416</v>
      </c>
      <c r="F1081" t="s">
        <v>1740</v>
      </c>
      <c r="G1081" t="s">
        <v>954</v>
      </c>
      <c r="H1081" t="s">
        <v>640</v>
      </c>
      <c r="I1081" t="s">
        <v>82</v>
      </c>
      <c r="J1081">
        <v>121.14</v>
      </c>
      <c r="K1081" s="1">
        <v>45857</v>
      </c>
      <c r="L1081" t="s">
        <v>14</v>
      </c>
      <c r="M1081">
        <v>19</v>
      </c>
      <c r="N1081">
        <v>7</v>
      </c>
      <c r="O1081">
        <v>3</v>
      </c>
      <c r="P1081">
        <v>2025</v>
      </c>
    </row>
    <row r="1082" spans="1:16">
      <c r="A1082">
        <v>145.80000000000001</v>
      </c>
      <c r="B1082">
        <v>5</v>
      </c>
      <c r="C1082" t="s">
        <v>2655</v>
      </c>
      <c r="D1082" t="s">
        <v>2656</v>
      </c>
      <c r="E1082" t="s">
        <v>2657</v>
      </c>
      <c r="F1082" t="s">
        <v>1395</v>
      </c>
      <c r="G1082" t="s">
        <v>776</v>
      </c>
      <c r="H1082" t="s">
        <v>511</v>
      </c>
      <c r="I1082" t="s">
        <v>27</v>
      </c>
      <c r="J1082">
        <v>29.16</v>
      </c>
      <c r="K1082" s="1">
        <v>45934</v>
      </c>
      <c r="L1082" t="s">
        <v>14</v>
      </c>
      <c r="M1082">
        <v>4</v>
      </c>
      <c r="N1082">
        <v>10</v>
      </c>
      <c r="O1082">
        <v>4</v>
      </c>
      <c r="P1082">
        <v>2025</v>
      </c>
    </row>
    <row r="1083" spans="1:16">
      <c r="A1083">
        <v>23.08</v>
      </c>
      <c r="B1083">
        <v>4</v>
      </c>
      <c r="C1083" t="s">
        <v>1036</v>
      </c>
      <c r="D1083" t="s">
        <v>1037</v>
      </c>
      <c r="E1083" t="s">
        <v>1038</v>
      </c>
      <c r="F1083" t="s">
        <v>1039</v>
      </c>
      <c r="G1083" t="s">
        <v>758</v>
      </c>
      <c r="H1083" t="s">
        <v>140</v>
      </c>
      <c r="I1083" t="s">
        <v>17</v>
      </c>
      <c r="J1083">
        <v>5.77</v>
      </c>
      <c r="K1083" s="1">
        <v>46169</v>
      </c>
      <c r="L1083" t="s">
        <v>34</v>
      </c>
      <c r="M1083">
        <v>27</v>
      </c>
      <c r="N1083">
        <v>5</v>
      </c>
      <c r="O1083">
        <v>2</v>
      </c>
      <c r="P1083">
        <v>2026</v>
      </c>
    </row>
    <row r="1084" spans="1:16">
      <c r="A1084">
        <v>27.32</v>
      </c>
      <c r="B1084">
        <v>1</v>
      </c>
      <c r="C1084" t="s">
        <v>2171</v>
      </c>
      <c r="D1084" t="s">
        <v>2172</v>
      </c>
      <c r="E1084" t="s">
        <v>2173</v>
      </c>
      <c r="F1084" t="s">
        <v>762</v>
      </c>
      <c r="G1084" t="s">
        <v>763</v>
      </c>
      <c r="H1084" t="s">
        <v>423</v>
      </c>
      <c r="I1084" t="s">
        <v>37</v>
      </c>
      <c r="J1084">
        <v>27.32</v>
      </c>
      <c r="K1084" s="1">
        <v>45831</v>
      </c>
      <c r="L1084" t="s">
        <v>93</v>
      </c>
      <c r="M1084">
        <v>23</v>
      </c>
      <c r="N1084">
        <v>6</v>
      </c>
      <c r="O1084">
        <v>2</v>
      </c>
      <c r="P1084">
        <v>2025</v>
      </c>
    </row>
    <row r="1085" spans="1:16">
      <c r="A1085">
        <v>160.43</v>
      </c>
      <c r="B1085">
        <v>1</v>
      </c>
      <c r="C1085" t="s">
        <v>759</v>
      </c>
      <c r="D1085" t="s">
        <v>760</v>
      </c>
      <c r="E1085" t="s">
        <v>761</v>
      </c>
      <c r="F1085" t="s">
        <v>762</v>
      </c>
      <c r="G1085" t="s">
        <v>763</v>
      </c>
      <c r="H1085" t="s">
        <v>424</v>
      </c>
      <c r="I1085" t="s">
        <v>69</v>
      </c>
      <c r="J1085">
        <v>160.43</v>
      </c>
      <c r="K1085" s="1">
        <v>46270</v>
      </c>
      <c r="L1085" t="s">
        <v>14</v>
      </c>
      <c r="M1085">
        <v>5</v>
      </c>
      <c r="N1085">
        <v>9</v>
      </c>
      <c r="O1085">
        <v>3</v>
      </c>
      <c r="P1085">
        <v>2026</v>
      </c>
    </row>
    <row r="1086" spans="1:16">
      <c r="A1086">
        <v>481.77</v>
      </c>
      <c r="B1086">
        <v>3</v>
      </c>
      <c r="C1086" t="s">
        <v>840</v>
      </c>
      <c r="D1086" t="s">
        <v>841</v>
      </c>
      <c r="E1086" t="s">
        <v>842</v>
      </c>
      <c r="F1086" t="s">
        <v>843</v>
      </c>
      <c r="G1086" t="s">
        <v>753</v>
      </c>
      <c r="H1086" t="s">
        <v>267</v>
      </c>
      <c r="I1086" t="s">
        <v>25</v>
      </c>
      <c r="J1086">
        <v>160.59</v>
      </c>
      <c r="K1086" s="1">
        <v>45925</v>
      </c>
      <c r="L1086" t="s">
        <v>105</v>
      </c>
      <c r="M1086">
        <v>25</v>
      </c>
      <c r="N1086">
        <v>9</v>
      </c>
      <c r="O1086">
        <v>3</v>
      </c>
      <c r="P1086">
        <v>2025</v>
      </c>
    </row>
    <row r="1087" spans="1:16">
      <c r="A1087">
        <v>727.34999999999991</v>
      </c>
      <c r="B1087">
        <v>3</v>
      </c>
      <c r="C1087" t="s">
        <v>2244</v>
      </c>
      <c r="D1087" t="s">
        <v>2245</v>
      </c>
      <c r="E1087" t="s">
        <v>2246</v>
      </c>
      <c r="F1087" t="s">
        <v>2247</v>
      </c>
      <c r="G1087" t="s">
        <v>781</v>
      </c>
      <c r="H1087" t="s">
        <v>214</v>
      </c>
      <c r="I1087" t="s">
        <v>69</v>
      </c>
      <c r="J1087">
        <v>242.45</v>
      </c>
      <c r="K1087" s="1">
        <v>45742</v>
      </c>
      <c r="L1087" t="s">
        <v>34</v>
      </c>
      <c r="M1087">
        <v>26</v>
      </c>
      <c r="N1087">
        <v>3</v>
      </c>
      <c r="O1087">
        <v>1</v>
      </c>
      <c r="P1087">
        <v>2025</v>
      </c>
    </row>
    <row r="1088" spans="1:16">
      <c r="A1088">
        <v>215.25</v>
      </c>
      <c r="B1088">
        <v>3</v>
      </c>
      <c r="C1088" t="s">
        <v>1586</v>
      </c>
      <c r="D1088" t="s">
        <v>1587</v>
      </c>
      <c r="E1088" t="s">
        <v>1577</v>
      </c>
      <c r="F1088" t="s">
        <v>961</v>
      </c>
      <c r="G1088" t="s">
        <v>753</v>
      </c>
      <c r="H1088" t="s">
        <v>645</v>
      </c>
      <c r="I1088" t="s">
        <v>51</v>
      </c>
      <c r="J1088">
        <v>71.75</v>
      </c>
      <c r="K1088" s="1">
        <v>45607</v>
      </c>
      <c r="L1088" t="s">
        <v>93</v>
      </c>
      <c r="M1088">
        <v>11</v>
      </c>
      <c r="N1088">
        <v>11</v>
      </c>
      <c r="O1088">
        <v>4</v>
      </c>
      <c r="P1088">
        <v>2024</v>
      </c>
    </row>
    <row r="1089" spans="1:16">
      <c r="A1089">
        <v>140.91999999999999</v>
      </c>
      <c r="B1089">
        <v>4</v>
      </c>
      <c r="C1089" t="s">
        <v>2005</v>
      </c>
      <c r="D1089" t="s">
        <v>2006</v>
      </c>
      <c r="E1089" t="s">
        <v>2007</v>
      </c>
      <c r="F1089" t="s">
        <v>1156</v>
      </c>
      <c r="G1089" t="s">
        <v>821</v>
      </c>
      <c r="H1089" t="s">
        <v>261</v>
      </c>
      <c r="I1089" t="s">
        <v>31</v>
      </c>
      <c r="J1089">
        <v>35.229999999999997</v>
      </c>
      <c r="K1089" s="1">
        <v>45650</v>
      </c>
      <c r="L1089" t="s">
        <v>48</v>
      </c>
      <c r="M1089">
        <v>24</v>
      </c>
      <c r="N1089">
        <v>12</v>
      </c>
      <c r="O1089">
        <v>4</v>
      </c>
      <c r="P1089">
        <v>2024</v>
      </c>
    </row>
    <row r="1090" spans="1:16">
      <c r="A1090">
        <v>347.12</v>
      </c>
      <c r="B1090">
        <v>2</v>
      </c>
      <c r="C1090" t="s">
        <v>1153</v>
      </c>
      <c r="D1090" t="s">
        <v>1154</v>
      </c>
      <c r="E1090" t="s">
        <v>1155</v>
      </c>
      <c r="F1090" t="s">
        <v>1156</v>
      </c>
      <c r="G1090" t="s">
        <v>821</v>
      </c>
      <c r="H1090" t="s">
        <v>706</v>
      </c>
      <c r="I1090" t="s">
        <v>39</v>
      </c>
      <c r="J1090">
        <v>173.56</v>
      </c>
      <c r="K1090" s="1">
        <v>45650</v>
      </c>
      <c r="L1090" t="s">
        <v>48</v>
      </c>
      <c r="M1090">
        <v>24</v>
      </c>
      <c r="N1090">
        <v>12</v>
      </c>
      <c r="O1090">
        <v>4</v>
      </c>
      <c r="P1090">
        <v>2024</v>
      </c>
    </row>
    <row r="1091" spans="1:16">
      <c r="A1091">
        <v>64.81</v>
      </c>
      <c r="B1091">
        <v>1</v>
      </c>
      <c r="C1091" t="s">
        <v>1328</v>
      </c>
      <c r="D1091" t="s">
        <v>1329</v>
      </c>
      <c r="E1091" t="s">
        <v>1330</v>
      </c>
      <c r="F1091" t="s">
        <v>883</v>
      </c>
      <c r="G1091" t="s">
        <v>807</v>
      </c>
      <c r="H1091" t="s">
        <v>471</v>
      </c>
      <c r="I1091" t="s">
        <v>19</v>
      </c>
      <c r="J1091">
        <v>64.81</v>
      </c>
      <c r="K1091" s="1">
        <v>45807</v>
      </c>
      <c r="L1091" t="s">
        <v>79</v>
      </c>
      <c r="M1091">
        <v>30</v>
      </c>
      <c r="N1091">
        <v>5</v>
      </c>
      <c r="O1091">
        <v>2</v>
      </c>
      <c r="P1091">
        <v>2025</v>
      </c>
    </row>
    <row r="1092" spans="1:16">
      <c r="A1092">
        <v>288.93</v>
      </c>
      <c r="B1092">
        <v>3</v>
      </c>
      <c r="C1092" t="s">
        <v>3053</v>
      </c>
      <c r="D1092" t="s">
        <v>3054</v>
      </c>
      <c r="E1092" t="s">
        <v>1455</v>
      </c>
      <c r="F1092" t="s">
        <v>767</v>
      </c>
      <c r="G1092" t="s">
        <v>768</v>
      </c>
      <c r="H1092" t="s">
        <v>237</v>
      </c>
      <c r="I1092" t="s">
        <v>27</v>
      </c>
      <c r="J1092">
        <v>96.31</v>
      </c>
      <c r="K1092" s="1">
        <v>45628</v>
      </c>
      <c r="L1092" t="s">
        <v>93</v>
      </c>
      <c r="M1092">
        <v>2</v>
      </c>
      <c r="N1092">
        <v>12</v>
      </c>
      <c r="O1092">
        <v>4</v>
      </c>
      <c r="P1092">
        <v>2024</v>
      </c>
    </row>
    <row r="1093" spans="1:16">
      <c r="A1093">
        <v>742.56000000000006</v>
      </c>
      <c r="B1093">
        <v>3</v>
      </c>
      <c r="C1093" t="s">
        <v>1381</v>
      </c>
      <c r="D1093" t="s">
        <v>1382</v>
      </c>
      <c r="E1093" t="s">
        <v>1383</v>
      </c>
      <c r="F1093" t="s">
        <v>1384</v>
      </c>
      <c r="G1093" t="s">
        <v>908</v>
      </c>
      <c r="H1093" t="s">
        <v>372</v>
      </c>
      <c r="I1093" t="s">
        <v>23</v>
      </c>
      <c r="J1093">
        <v>247.52</v>
      </c>
      <c r="K1093" s="1">
        <v>45944</v>
      </c>
      <c r="L1093" t="s">
        <v>48</v>
      </c>
      <c r="M1093">
        <v>14</v>
      </c>
      <c r="N1093">
        <v>10</v>
      </c>
      <c r="O1093">
        <v>4</v>
      </c>
      <c r="P1093">
        <v>2025</v>
      </c>
    </row>
    <row r="1094" spans="1:16">
      <c r="A1094">
        <v>484.56</v>
      </c>
      <c r="B1094">
        <v>4</v>
      </c>
      <c r="C1094" t="s">
        <v>1099</v>
      </c>
      <c r="D1094" t="s">
        <v>1100</v>
      </c>
      <c r="E1094" t="s">
        <v>1035</v>
      </c>
      <c r="F1094" t="s">
        <v>211</v>
      </c>
      <c r="G1094" t="s">
        <v>812</v>
      </c>
      <c r="H1094" t="s">
        <v>640</v>
      </c>
      <c r="I1094" t="s">
        <v>82</v>
      </c>
      <c r="J1094">
        <v>121.14</v>
      </c>
      <c r="K1094" s="1">
        <v>46099</v>
      </c>
      <c r="L1094" t="s">
        <v>34</v>
      </c>
      <c r="M1094">
        <v>18</v>
      </c>
      <c r="N1094">
        <v>3</v>
      </c>
      <c r="O1094">
        <v>1</v>
      </c>
      <c r="P1094">
        <v>2026</v>
      </c>
    </row>
    <row r="1095" spans="1:16">
      <c r="A1095">
        <v>935.64</v>
      </c>
      <c r="B1095">
        <v>4</v>
      </c>
      <c r="C1095" t="s">
        <v>2547</v>
      </c>
      <c r="D1095" t="s">
        <v>2548</v>
      </c>
      <c r="E1095" t="s">
        <v>1938</v>
      </c>
      <c r="F1095" t="s">
        <v>1670</v>
      </c>
      <c r="G1095" t="s">
        <v>1247</v>
      </c>
      <c r="H1095" t="s">
        <v>272</v>
      </c>
      <c r="I1095" t="s">
        <v>55</v>
      </c>
      <c r="J1095">
        <v>233.91</v>
      </c>
      <c r="K1095" s="1">
        <v>45650</v>
      </c>
      <c r="L1095" t="s">
        <v>48</v>
      </c>
      <c r="M1095">
        <v>24</v>
      </c>
      <c r="N1095">
        <v>12</v>
      </c>
      <c r="O1095">
        <v>4</v>
      </c>
      <c r="P1095">
        <v>2024</v>
      </c>
    </row>
    <row r="1096" spans="1:16">
      <c r="A1096">
        <v>56.92</v>
      </c>
      <c r="B1096">
        <v>2</v>
      </c>
      <c r="C1096" t="s">
        <v>2525</v>
      </c>
      <c r="D1096" t="s">
        <v>2526</v>
      </c>
      <c r="E1096" t="s">
        <v>2527</v>
      </c>
      <c r="F1096" t="s">
        <v>513</v>
      </c>
      <c r="G1096" t="s">
        <v>786</v>
      </c>
      <c r="H1096" t="s">
        <v>250</v>
      </c>
      <c r="I1096" t="s">
        <v>19</v>
      </c>
      <c r="J1096">
        <v>28.46</v>
      </c>
      <c r="K1096" s="1">
        <v>45938</v>
      </c>
      <c r="L1096" t="s">
        <v>34</v>
      </c>
      <c r="M1096">
        <v>8</v>
      </c>
      <c r="N1096">
        <v>10</v>
      </c>
      <c r="O1096">
        <v>4</v>
      </c>
      <c r="P1096">
        <v>2025</v>
      </c>
    </row>
    <row r="1097" spans="1:16">
      <c r="A1097">
        <v>108.05</v>
      </c>
      <c r="B1097">
        <v>1</v>
      </c>
      <c r="C1097" t="s">
        <v>3265</v>
      </c>
      <c r="D1097" t="s">
        <v>3266</v>
      </c>
      <c r="E1097" t="s">
        <v>1324</v>
      </c>
      <c r="F1097" t="s">
        <v>980</v>
      </c>
      <c r="G1097" t="s">
        <v>981</v>
      </c>
      <c r="H1097" t="s">
        <v>682</v>
      </c>
      <c r="I1097" t="s">
        <v>23</v>
      </c>
      <c r="J1097">
        <v>108.05</v>
      </c>
      <c r="K1097" s="1">
        <v>45915</v>
      </c>
      <c r="L1097" t="s">
        <v>93</v>
      </c>
      <c r="M1097">
        <v>15</v>
      </c>
      <c r="N1097">
        <v>9</v>
      </c>
      <c r="O1097">
        <v>3</v>
      </c>
      <c r="P1097">
        <v>2025</v>
      </c>
    </row>
    <row r="1098" spans="1:16">
      <c r="A1098">
        <v>215.25</v>
      </c>
      <c r="B1098">
        <v>3</v>
      </c>
      <c r="C1098" t="s">
        <v>1842</v>
      </c>
      <c r="D1098" t="s">
        <v>1843</v>
      </c>
      <c r="E1098" t="s">
        <v>1844</v>
      </c>
      <c r="F1098" t="s">
        <v>106</v>
      </c>
      <c r="G1098" t="s">
        <v>790</v>
      </c>
      <c r="H1098" t="s">
        <v>645</v>
      </c>
      <c r="I1098" t="s">
        <v>51</v>
      </c>
      <c r="J1098">
        <v>71.75</v>
      </c>
      <c r="K1098" s="1">
        <v>45609</v>
      </c>
      <c r="L1098" t="s">
        <v>34</v>
      </c>
      <c r="M1098">
        <v>13</v>
      </c>
      <c r="N1098">
        <v>11</v>
      </c>
      <c r="O1098">
        <v>4</v>
      </c>
      <c r="P1098">
        <v>2024</v>
      </c>
    </row>
    <row r="1099" spans="1:16">
      <c r="A1099">
        <v>233.36</v>
      </c>
      <c r="B1099">
        <v>4</v>
      </c>
      <c r="C1099" t="s">
        <v>2221</v>
      </c>
      <c r="D1099" t="s">
        <v>2222</v>
      </c>
      <c r="E1099" t="s">
        <v>798</v>
      </c>
      <c r="F1099" t="s">
        <v>816</v>
      </c>
      <c r="G1099" t="s">
        <v>817</v>
      </c>
      <c r="H1099" t="s">
        <v>305</v>
      </c>
      <c r="I1099" t="s">
        <v>55</v>
      </c>
      <c r="J1099">
        <v>58.34</v>
      </c>
      <c r="K1099" s="1">
        <v>46103</v>
      </c>
      <c r="L1099" t="s">
        <v>28</v>
      </c>
      <c r="M1099">
        <v>22</v>
      </c>
      <c r="N1099">
        <v>3</v>
      </c>
      <c r="O1099">
        <v>1</v>
      </c>
      <c r="P1099">
        <v>2026</v>
      </c>
    </row>
    <row r="1100" spans="1:16">
      <c r="A1100">
        <v>400.96</v>
      </c>
      <c r="B1100">
        <v>2</v>
      </c>
      <c r="C1100" t="s">
        <v>3415</v>
      </c>
      <c r="D1100" t="s">
        <v>3416</v>
      </c>
      <c r="E1100" t="s">
        <v>1324</v>
      </c>
      <c r="F1100" t="s">
        <v>392</v>
      </c>
      <c r="G1100" t="s">
        <v>943</v>
      </c>
      <c r="H1100" t="s">
        <v>2254</v>
      </c>
      <c r="I1100" t="s">
        <v>43</v>
      </c>
      <c r="J1100">
        <v>200.48</v>
      </c>
      <c r="K1100" s="1">
        <v>46139</v>
      </c>
      <c r="L1100" t="s">
        <v>93</v>
      </c>
      <c r="M1100">
        <v>27</v>
      </c>
      <c r="N1100">
        <v>4</v>
      </c>
      <c r="O1100">
        <v>2</v>
      </c>
      <c r="P1100">
        <v>2026</v>
      </c>
    </row>
    <row r="1101" spans="1:16">
      <c r="A1101">
        <v>148.29</v>
      </c>
      <c r="B1101">
        <v>3</v>
      </c>
      <c r="C1101" t="s">
        <v>2228</v>
      </c>
      <c r="D1101" t="s">
        <v>2229</v>
      </c>
      <c r="E1101" t="s">
        <v>1192</v>
      </c>
      <c r="F1101" t="s">
        <v>64</v>
      </c>
      <c r="G1101" t="s">
        <v>892</v>
      </c>
      <c r="H1101" t="s">
        <v>347</v>
      </c>
      <c r="I1101" t="s">
        <v>69</v>
      </c>
      <c r="J1101">
        <v>49.43</v>
      </c>
      <c r="K1101" s="1">
        <v>46060</v>
      </c>
      <c r="L1101" t="s">
        <v>14</v>
      </c>
      <c r="M1101">
        <v>7</v>
      </c>
      <c r="N1101">
        <v>2</v>
      </c>
      <c r="O1101">
        <v>1</v>
      </c>
      <c r="P1101">
        <v>2026</v>
      </c>
    </row>
    <row r="1102" spans="1:16">
      <c r="A1102">
        <v>520.43999999999994</v>
      </c>
      <c r="B1102">
        <v>3</v>
      </c>
      <c r="C1102" t="s">
        <v>2325</v>
      </c>
      <c r="D1102" t="s">
        <v>2326</v>
      </c>
      <c r="E1102" t="s">
        <v>2117</v>
      </c>
      <c r="F1102" t="s">
        <v>548</v>
      </c>
      <c r="G1102" t="s">
        <v>790</v>
      </c>
      <c r="H1102" t="s">
        <v>728</v>
      </c>
      <c r="I1102" t="s">
        <v>46</v>
      </c>
      <c r="J1102">
        <v>173.48</v>
      </c>
      <c r="K1102" s="1">
        <v>45828</v>
      </c>
      <c r="L1102" t="s">
        <v>79</v>
      </c>
      <c r="M1102">
        <v>20</v>
      </c>
      <c r="N1102">
        <v>6</v>
      </c>
      <c r="O1102">
        <v>2</v>
      </c>
      <c r="P1102">
        <v>2025</v>
      </c>
    </row>
    <row r="1103" spans="1:16">
      <c r="A1103">
        <v>555.65</v>
      </c>
      <c r="B1103">
        <v>5</v>
      </c>
      <c r="C1103" t="s">
        <v>1830</v>
      </c>
      <c r="D1103" t="s">
        <v>1831</v>
      </c>
      <c r="E1103" t="s">
        <v>1216</v>
      </c>
      <c r="F1103" t="s">
        <v>785</v>
      </c>
      <c r="G1103" t="s">
        <v>786</v>
      </c>
      <c r="H1103" t="s">
        <v>269</v>
      </c>
      <c r="I1103" t="s">
        <v>60</v>
      </c>
      <c r="J1103">
        <v>111.13</v>
      </c>
      <c r="K1103" s="1">
        <v>46077</v>
      </c>
      <c r="L1103" t="s">
        <v>48</v>
      </c>
      <c r="M1103">
        <v>24</v>
      </c>
      <c r="N1103">
        <v>2</v>
      </c>
      <c r="O1103">
        <v>1</v>
      </c>
      <c r="P1103">
        <v>2026</v>
      </c>
    </row>
    <row r="1104" spans="1:16">
      <c r="A1104">
        <v>242.28</v>
      </c>
      <c r="B1104">
        <v>2</v>
      </c>
      <c r="C1104" t="s">
        <v>1689</v>
      </c>
      <c r="D1104" t="s">
        <v>1690</v>
      </c>
      <c r="E1104" t="s">
        <v>1559</v>
      </c>
      <c r="F1104" t="s">
        <v>1691</v>
      </c>
      <c r="G1104" t="s">
        <v>821</v>
      </c>
      <c r="H1104" t="s">
        <v>640</v>
      </c>
      <c r="I1104" t="s">
        <v>82</v>
      </c>
      <c r="J1104">
        <v>121.14</v>
      </c>
      <c r="K1104" s="1">
        <v>46265</v>
      </c>
      <c r="L1104" t="s">
        <v>93</v>
      </c>
      <c r="M1104">
        <v>31</v>
      </c>
      <c r="N1104">
        <v>8</v>
      </c>
      <c r="O1104">
        <v>3</v>
      </c>
      <c r="P1104">
        <v>2026</v>
      </c>
    </row>
    <row r="1105" spans="1:16">
      <c r="A1105">
        <v>1034.2</v>
      </c>
      <c r="B1105">
        <v>5</v>
      </c>
      <c r="C1105" t="s">
        <v>1588</v>
      </c>
      <c r="D1105" t="s">
        <v>1589</v>
      </c>
      <c r="E1105" t="s">
        <v>1590</v>
      </c>
      <c r="F1105" t="s">
        <v>1591</v>
      </c>
      <c r="G1105" t="s">
        <v>966</v>
      </c>
      <c r="H1105" t="s">
        <v>192</v>
      </c>
      <c r="I1105" t="s">
        <v>46</v>
      </c>
      <c r="J1105">
        <v>206.84</v>
      </c>
      <c r="K1105" s="1">
        <v>45683</v>
      </c>
      <c r="L1105" t="s">
        <v>28</v>
      </c>
      <c r="M1105">
        <v>26</v>
      </c>
      <c r="N1105">
        <v>1</v>
      </c>
      <c r="O1105">
        <v>1</v>
      </c>
      <c r="P1105">
        <v>2025</v>
      </c>
    </row>
    <row r="1106" spans="1:16">
      <c r="A1106">
        <v>817</v>
      </c>
      <c r="B1106">
        <v>4</v>
      </c>
      <c r="C1106" t="s">
        <v>2531</v>
      </c>
      <c r="D1106" t="s">
        <v>2532</v>
      </c>
      <c r="E1106" t="s">
        <v>756</v>
      </c>
      <c r="F1106" t="s">
        <v>29</v>
      </c>
      <c r="G1106" t="s">
        <v>821</v>
      </c>
      <c r="H1106" t="s">
        <v>341</v>
      </c>
      <c r="I1106" t="s">
        <v>21</v>
      </c>
      <c r="J1106">
        <v>204.25</v>
      </c>
      <c r="K1106" s="1">
        <v>45952</v>
      </c>
      <c r="L1106" t="s">
        <v>34</v>
      </c>
      <c r="M1106">
        <v>22</v>
      </c>
      <c r="N1106">
        <v>10</v>
      </c>
      <c r="O1106">
        <v>4</v>
      </c>
      <c r="P1106">
        <v>2025</v>
      </c>
    </row>
    <row r="1107" spans="1:16">
      <c r="A1107">
        <v>197</v>
      </c>
      <c r="B1107">
        <v>4</v>
      </c>
      <c r="C1107" t="s">
        <v>754</v>
      </c>
      <c r="D1107" t="s">
        <v>755</v>
      </c>
      <c r="E1107" t="s">
        <v>756</v>
      </c>
      <c r="F1107" t="s">
        <v>757</v>
      </c>
      <c r="G1107" t="s">
        <v>758</v>
      </c>
      <c r="H1107" t="s">
        <v>518</v>
      </c>
      <c r="I1107" t="s">
        <v>17</v>
      </c>
      <c r="J1107">
        <v>49.25</v>
      </c>
      <c r="K1107" s="1">
        <v>45997</v>
      </c>
      <c r="L1107" t="s">
        <v>14</v>
      </c>
      <c r="M1107">
        <v>6</v>
      </c>
      <c r="N1107">
        <v>12</v>
      </c>
      <c r="O1107">
        <v>4</v>
      </c>
      <c r="P1107">
        <v>2025</v>
      </c>
    </row>
    <row r="1108" spans="1:16">
      <c r="A1108">
        <v>77.47</v>
      </c>
      <c r="B1108">
        <v>1</v>
      </c>
      <c r="C1108" t="s">
        <v>2869</v>
      </c>
      <c r="D1108" t="s">
        <v>2870</v>
      </c>
      <c r="E1108" t="s">
        <v>1616</v>
      </c>
      <c r="F1108" t="s">
        <v>64</v>
      </c>
      <c r="G1108" t="s">
        <v>892</v>
      </c>
      <c r="H1108" t="s">
        <v>638</v>
      </c>
      <c r="I1108" t="s">
        <v>100</v>
      </c>
      <c r="J1108">
        <v>77.47</v>
      </c>
      <c r="K1108" s="1">
        <v>45725</v>
      </c>
      <c r="L1108" t="s">
        <v>28</v>
      </c>
      <c r="M1108">
        <v>9</v>
      </c>
      <c r="N1108">
        <v>3</v>
      </c>
      <c r="O1108">
        <v>1</v>
      </c>
      <c r="P1108">
        <v>2025</v>
      </c>
    </row>
    <row r="1109" spans="1:16">
      <c r="A1109">
        <v>24.88</v>
      </c>
      <c r="B1109">
        <v>2</v>
      </c>
      <c r="C1109" t="s">
        <v>2342</v>
      </c>
      <c r="D1109" t="s">
        <v>2343</v>
      </c>
      <c r="E1109" t="s">
        <v>211</v>
      </c>
      <c r="F1109" t="s">
        <v>1206</v>
      </c>
      <c r="G1109" t="s">
        <v>943</v>
      </c>
      <c r="H1109" t="s">
        <v>310</v>
      </c>
      <c r="I1109" t="s">
        <v>60</v>
      </c>
      <c r="J1109">
        <v>12.44</v>
      </c>
      <c r="K1109" s="1">
        <v>45994</v>
      </c>
      <c r="L1109" t="s">
        <v>34</v>
      </c>
      <c r="M1109">
        <v>3</v>
      </c>
      <c r="N1109">
        <v>12</v>
      </c>
      <c r="O1109">
        <v>4</v>
      </c>
      <c r="P1109">
        <v>2025</v>
      </c>
    </row>
    <row r="1110" spans="1:16">
      <c r="A1110">
        <v>5.08</v>
      </c>
      <c r="B1110">
        <v>2</v>
      </c>
      <c r="C1110" t="s">
        <v>2391</v>
      </c>
      <c r="D1110" t="s">
        <v>2392</v>
      </c>
      <c r="E1110" t="s">
        <v>1374</v>
      </c>
      <c r="F1110" t="s">
        <v>1755</v>
      </c>
      <c r="G1110" t="s">
        <v>786</v>
      </c>
      <c r="H1110" t="s">
        <v>409</v>
      </c>
      <c r="I1110" t="s">
        <v>39</v>
      </c>
      <c r="J1110">
        <v>2.54</v>
      </c>
      <c r="K1110" s="1">
        <v>46183</v>
      </c>
      <c r="L1110" t="s">
        <v>34</v>
      </c>
      <c r="M1110">
        <v>10</v>
      </c>
      <c r="N1110">
        <v>6</v>
      </c>
      <c r="O1110">
        <v>2</v>
      </c>
      <c r="P1110">
        <v>2026</v>
      </c>
    </row>
    <row r="1111" spans="1:16">
      <c r="A1111">
        <v>297.8</v>
      </c>
      <c r="B1111">
        <v>5</v>
      </c>
      <c r="C1111" t="s">
        <v>1898</v>
      </c>
      <c r="D1111" t="s">
        <v>1899</v>
      </c>
      <c r="E1111" t="s">
        <v>824</v>
      </c>
      <c r="F1111" t="s">
        <v>762</v>
      </c>
      <c r="G1111" t="s">
        <v>763</v>
      </c>
      <c r="H1111" t="s">
        <v>573</v>
      </c>
      <c r="I1111" t="s">
        <v>55</v>
      </c>
      <c r="J1111">
        <v>59.56</v>
      </c>
      <c r="K1111" s="1">
        <v>46117</v>
      </c>
      <c r="L1111" t="s">
        <v>28</v>
      </c>
      <c r="M1111">
        <v>5</v>
      </c>
      <c r="N1111">
        <v>4</v>
      </c>
      <c r="O1111">
        <v>2</v>
      </c>
      <c r="P1111">
        <v>2026</v>
      </c>
    </row>
    <row r="1112" spans="1:16">
      <c r="A1112">
        <v>201.12</v>
      </c>
      <c r="B1112">
        <v>4</v>
      </c>
      <c r="C1112" t="s">
        <v>1340</v>
      </c>
      <c r="D1112" t="s">
        <v>1341</v>
      </c>
      <c r="E1112" t="s">
        <v>1152</v>
      </c>
      <c r="F1112" t="s">
        <v>1342</v>
      </c>
      <c r="G1112" t="s">
        <v>776</v>
      </c>
      <c r="H1112" t="s">
        <v>519</v>
      </c>
      <c r="I1112" t="s">
        <v>51</v>
      </c>
      <c r="J1112">
        <v>50.28</v>
      </c>
      <c r="K1112" s="1">
        <v>46002</v>
      </c>
      <c r="L1112" t="s">
        <v>105</v>
      </c>
      <c r="M1112">
        <v>11</v>
      </c>
      <c r="N1112">
        <v>12</v>
      </c>
      <c r="O1112">
        <v>4</v>
      </c>
      <c r="P1112">
        <v>2025</v>
      </c>
    </row>
    <row r="1113" spans="1:16">
      <c r="A1113">
        <v>168.14999999999998</v>
      </c>
      <c r="B1113">
        <v>3</v>
      </c>
      <c r="C1113" t="s">
        <v>1018</v>
      </c>
      <c r="D1113" t="s">
        <v>1019</v>
      </c>
      <c r="E1113" t="s">
        <v>1020</v>
      </c>
      <c r="F1113" t="s">
        <v>995</v>
      </c>
      <c r="G1113" t="s">
        <v>781</v>
      </c>
      <c r="H1113" t="s">
        <v>32</v>
      </c>
      <c r="I1113" t="s">
        <v>19</v>
      </c>
      <c r="J1113">
        <v>56.05</v>
      </c>
      <c r="K1113" s="1">
        <v>45986</v>
      </c>
      <c r="L1113" t="s">
        <v>48</v>
      </c>
      <c r="M1113">
        <v>25</v>
      </c>
      <c r="N1113">
        <v>11</v>
      </c>
      <c r="O1113">
        <v>4</v>
      </c>
      <c r="P1113">
        <v>2025</v>
      </c>
    </row>
    <row r="1114" spans="1:16">
      <c r="A1114">
        <v>441.7</v>
      </c>
      <c r="B1114">
        <v>2</v>
      </c>
      <c r="C1114" t="s">
        <v>2002</v>
      </c>
      <c r="D1114" t="s">
        <v>2003</v>
      </c>
      <c r="E1114" t="s">
        <v>2004</v>
      </c>
      <c r="F1114" t="s">
        <v>794</v>
      </c>
      <c r="G1114" t="s">
        <v>821</v>
      </c>
      <c r="H1114" t="s">
        <v>309</v>
      </c>
      <c r="I1114" t="s">
        <v>100</v>
      </c>
      <c r="J1114">
        <v>220.85</v>
      </c>
      <c r="K1114" s="1">
        <v>45812</v>
      </c>
      <c r="L1114" t="s">
        <v>34</v>
      </c>
      <c r="M1114">
        <v>4</v>
      </c>
      <c r="N1114">
        <v>6</v>
      </c>
      <c r="O1114">
        <v>2</v>
      </c>
      <c r="P1114">
        <v>2025</v>
      </c>
    </row>
    <row r="1115" spans="1:16">
      <c r="A1115">
        <v>6.1</v>
      </c>
      <c r="B1115">
        <v>5</v>
      </c>
      <c r="C1115" t="s">
        <v>1717</v>
      </c>
      <c r="D1115" t="s">
        <v>1718</v>
      </c>
      <c r="E1115" t="s">
        <v>1582</v>
      </c>
      <c r="F1115" t="s">
        <v>965</v>
      </c>
      <c r="G1115" t="s">
        <v>966</v>
      </c>
      <c r="H1115" t="s">
        <v>242</v>
      </c>
      <c r="I1115" t="s">
        <v>19</v>
      </c>
      <c r="J1115">
        <v>1.22</v>
      </c>
      <c r="K1115" s="1">
        <v>45621</v>
      </c>
      <c r="L1115" t="s">
        <v>93</v>
      </c>
      <c r="M1115">
        <v>25</v>
      </c>
      <c r="N1115">
        <v>11</v>
      </c>
      <c r="O1115">
        <v>4</v>
      </c>
      <c r="P1115">
        <v>2024</v>
      </c>
    </row>
    <row r="1116" spans="1:16">
      <c r="A1116">
        <v>559.29999999999995</v>
      </c>
      <c r="B1116">
        <v>5</v>
      </c>
      <c r="C1116" t="s">
        <v>1710</v>
      </c>
      <c r="D1116" t="s">
        <v>1711</v>
      </c>
      <c r="E1116" t="s">
        <v>1539</v>
      </c>
      <c r="F1116" t="s">
        <v>1156</v>
      </c>
      <c r="G1116" t="s">
        <v>839</v>
      </c>
      <c r="H1116" t="s">
        <v>432</v>
      </c>
      <c r="I1116" t="s">
        <v>46</v>
      </c>
      <c r="J1116">
        <v>111.86</v>
      </c>
      <c r="K1116" s="1">
        <v>46169</v>
      </c>
      <c r="L1116" t="s">
        <v>34</v>
      </c>
      <c r="M1116">
        <v>27</v>
      </c>
      <c r="N1116">
        <v>5</v>
      </c>
      <c r="O1116">
        <v>2</v>
      </c>
      <c r="P1116">
        <v>2026</v>
      </c>
    </row>
    <row r="1117" spans="1:16">
      <c r="A1117">
        <v>357.94</v>
      </c>
      <c r="B1117">
        <v>2</v>
      </c>
      <c r="C1117" t="s">
        <v>1134</v>
      </c>
      <c r="D1117" t="s">
        <v>1135</v>
      </c>
      <c r="E1117" t="s">
        <v>1136</v>
      </c>
      <c r="F1117" t="s">
        <v>1137</v>
      </c>
      <c r="G1117" t="s">
        <v>748</v>
      </c>
      <c r="H1117" t="s">
        <v>612</v>
      </c>
      <c r="I1117" t="s">
        <v>97</v>
      </c>
      <c r="J1117">
        <v>178.97</v>
      </c>
      <c r="K1117" s="1">
        <v>46054</v>
      </c>
      <c r="L1117" t="s">
        <v>28</v>
      </c>
      <c r="M1117">
        <v>1</v>
      </c>
      <c r="N1117">
        <v>2</v>
      </c>
      <c r="O1117">
        <v>1</v>
      </c>
      <c r="P1117">
        <v>2026</v>
      </c>
    </row>
    <row r="1118" spans="1:16">
      <c r="A1118">
        <v>259.45999999999998</v>
      </c>
      <c r="B1118">
        <v>2</v>
      </c>
      <c r="C1118" t="s">
        <v>3220</v>
      </c>
      <c r="D1118" t="s">
        <v>3221</v>
      </c>
      <c r="E1118" t="s">
        <v>2845</v>
      </c>
      <c r="F1118" t="s">
        <v>785</v>
      </c>
      <c r="G1118" t="s">
        <v>786</v>
      </c>
      <c r="H1118" t="s">
        <v>20</v>
      </c>
      <c r="I1118" t="s">
        <v>21</v>
      </c>
      <c r="J1118">
        <v>129.72999999999999</v>
      </c>
      <c r="K1118" s="1">
        <v>45869</v>
      </c>
      <c r="L1118" t="s">
        <v>105</v>
      </c>
      <c r="M1118">
        <v>31</v>
      </c>
      <c r="N1118">
        <v>7</v>
      </c>
      <c r="O1118">
        <v>3</v>
      </c>
      <c r="P1118">
        <v>2025</v>
      </c>
    </row>
    <row r="1119" spans="1:16">
      <c r="A1119">
        <v>646.34999999999991</v>
      </c>
      <c r="B1119">
        <v>3</v>
      </c>
      <c r="C1119" t="s">
        <v>2426</v>
      </c>
      <c r="D1119" t="s">
        <v>2427</v>
      </c>
      <c r="E1119" t="s">
        <v>1685</v>
      </c>
      <c r="F1119" t="s">
        <v>2154</v>
      </c>
      <c r="G1119" t="s">
        <v>1003</v>
      </c>
      <c r="H1119" t="s">
        <v>395</v>
      </c>
      <c r="I1119" t="s">
        <v>19</v>
      </c>
      <c r="J1119">
        <v>215.45</v>
      </c>
      <c r="K1119" s="1">
        <v>46035</v>
      </c>
      <c r="L1119" t="s">
        <v>48</v>
      </c>
      <c r="M1119">
        <v>13</v>
      </c>
      <c r="N1119">
        <v>1</v>
      </c>
      <c r="O1119">
        <v>1</v>
      </c>
      <c r="P1119">
        <v>2026</v>
      </c>
    </row>
    <row r="1120" spans="1:16">
      <c r="A1120">
        <v>233.52</v>
      </c>
      <c r="B1120">
        <v>1</v>
      </c>
      <c r="C1120" t="s">
        <v>2169</v>
      </c>
      <c r="D1120" t="s">
        <v>2170</v>
      </c>
      <c r="E1120" t="s">
        <v>1279</v>
      </c>
      <c r="F1120" t="s">
        <v>64</v>
      </c>
      <c r="G1120" t="s">
        <v>892</v>
      </c>
      <c r="H1120" t="s">
        <v>676</v>
      </c>
      <c r="I1120" t="s">
        <v>69</v>
      </c>
      <c r="J1120">
        <v>233.52</v>
      </c>
      <c r="K1120" s="1">
        <v>46059</v>
      </c>
      <c r="L1120" t="s">
        <v>79</v>
      </c>
      <c r="M1120">
        <v>6</v>
      </c>
      <c r="N1120">
        <v>2</v>
      </c>
      <c r="O1120">
        <v>1</v>
      </c>
      <c r="P1120">
        <v>2026</v>
      </c>
    </row>
    <row r="1121" spans="1:16">
      <c r="A1121">
        <v>565.44000000000005</v>
      </c>
      <c r="B1121">
        <v>4</v>
      </c>
      <c r="C1121" t="s">
        <v>1871</v>
      </c>
      <c r="D1121" t="s">
        <v>1872</v>
      </c>
      <c r="E1121" t="s">
        <v>1873</v>
      </c>
      <c r="F1121" t="s">
        <v>747</v>
      </c>
      <c r="G1121" t="s">
        <v>748</v>
      </c>
      <c r="H1121" t="s">
        <v>181</v>
      </c>
      <c r="I1121" t="s">
        <v>82</v>
      </c>
      <c r="J1121">
        <v>141.36000000000001</v>
      </c>
      <c r="K1121" s="1">
        <v>45692</v>
      </c>
      <c r="L1121" t="s">
        <v>48</v>
      </c>
      <c r="M1121">
        <v>4</v>
      </c>
      <c r="N1121">
        <v>2</v>
      </c>
      <c r="O1121">
        <v>1</v>
      </c>
      <c r="P1121">
        <v>2025</v>
      </c>
    </row>
    <row r="1122" spans="1:16">
      <c r="A1122">
        <v>100.56</v>
      </c>
      <c r="B1122">
        <v>2</v>
      </c>
      <c r="C1122" t="s">
        <v>2717</v>
      </c>
      <c r="D1122" t="s">
        <v>2718</v>
      </c>
      <c r="E1122" t="s">
        <v>941</v>
      </c>
      <c r="F1122" t="s">
        <v>1434</v>
      </c>
      <c r="G1122" t="s">
        <v>786</v>
      </c>
      <c r="H1122" t="s">
        <v>519</v>
      </c>
      <c r="I1122" t="s">
        <v>51</v>
      </c>
      <c r="J1122">
        <v>50.28</v>
      </c>
      <c r="K1122" s="1">
        <v>45753</v>
      </c>
      <c r="L1122" t="s">
        <v>28</v>
      </c>
      <c r="M1122">
        <v>6</v>
      </c>
      <c r="N1122">
        <v>4</v>
      </c>
      <c r="O1122">
        <v>2</v>
      </c>
      <c r="P1122">
        <v>2025</v>
      </c>
    </row>
    <row r="1123" spans="1:16">
      <c r="A1123">
        <v>986.3</v>
      </c>
      <c r="B1123">
        <v>5</v>
      </c>
      <c r="C1123" t="s">
        <v>3327</v>
      </c>
      <c r="D1123" t="s">
        <v>3328</v>
      </c>
      <c r="E1123" t="s">
        <v>1553</v>
      </c>
      <c r="F1123" t="s">
        <v>1061</v>
      </c>
      <c r="G1123" t="s">
        <v>821</v>
      </c>
      <c r="H1123" t="s">
        <v>293</v>
      </c>
      <c r="I1123" t="s">
        <v>100</v>
      </c>
      <c r="J1123">
        <v>197.26</v>
      </c>
      <c r="K1123" s="1">
        <v>45715</v>
      </c>
      <c r="L1123" t="s">
        <v>105</v>
      </c>
      <c r="M1123">
        <v>27</v>
      </c>
      <c r="N1123">
        <v>2</v>
      </c>
      <c r="O1123">
        <v>1</v>
      </c>
      <c r="P1123">
        <v>2025</v>
      </c>
    </row>
    <row r="1124" spans="1:16">
      <c r="A1124">
        <v>18.43</v>
      </c>
      <c r="B1124">
        <v>1</v>
      </c>
      <c r="C1124" t="s">
        <v>2810</v>
      </c>
      <c r="D1124" t="s">
        <v>2811</v>
      </c>
      <c r="E1124" t="s">
        <v>2775</v>
      </c>
      <c r="F1124" t="s">
        <v>199</v>
      </c>
      <c r="G1124" t="s">
        <v>781</v>
      </c>
      <c r="H1124" t="s">
        <v>1816</v>
      </c>
      <c r="I1124" t="s">
        <v>37</v>
      </c>
      <c r="J1124">
        <v>18.43</v>
      </c>
      <c r="K1124" s="1">
        <v>45719</v>
      </c>
      <c r="L1124" t="s">
        <v>93</v>
      </c>
      <c r="M1124">
        <v>3</v>
      </c>
      <c r="N1124">
        <v>3</v>
      </c>
      <c r="O1124">
        <v>1</v>
      </c>
      <c r="P1124">
        <v>2025</v>
      </c>
    </row>
    <row r="1125" spans="1:16">
      <c r="A1125">
        <v>36.76</v>
      </c>
      <c r="B1125">
        <v>4</v>
      </c>
      <c r="C1125" t="s">
        <v>1551</v>
      </c>
      <c r="D1125" t="s">
        <v>1552</v>
      </c>
      <c r="E1125" t="s">
        <v>1553</v>
      </c>
      <c r="F1125" t="s">
        <v>196</v>
      </c>
      <c r="G1125" t="s">
        <v>830</v>
      </c>
      <c r="H1125" t="s">
        <v>413</v>
      </c>
      <c r="I1125" t="s">
        <v>57</v>
      </c>
      <c r="J1125">
        <v>9.19</v>
      </c>
      <c r="K1125" s="1">
        <v>46093</v>
      </c>
      <c r="L1125" t="s">
        <v>105</v>
      </c>
      <c r="M1125">
        <v>12</v>
      </c>
      <c r="N1125">
        <v>3</v>
      </c>
      <c r="O1125">
        <v>1</v>
      </c>
      <c r="P1125">
        <v>2026</v>
      </c>
    </row>
    <row r="1126" spans="1:16">
      <c r="A1126">
        <v>143.87</v>
      </c>
      <c r="B1126">
        <v>1</v>
      </c>
      <c r="C1126" t="s">
        <v>2194</v>
      </c>
      <c r="D1126" t="s">
        <v>2195</v>
      </c>
      <c r="E1126" t="s">
        <v>914</v>
      </c>
      <c r="F1126" t="s">
        <v>414</v>
      </c>
      <c r="G1126" t="s">
        <v>795</v>
      </c>
      <c r="H1126" t="s">
        <v>587</v>
      </c>
      <c r="I1126" t="s">
        <v>27</v>
      </c>
      <c r="J1126">
        <v>143.87</v>
      </c>
      <c r="K1126" s="1">
        <v>45590</v>
      </c>
      <c r="L1126" t="s">
        <v>79</v>
      </c>
      <c r="M1126">
        <v>25</v>
      </c>
      <c r="N1126">
        <v>10</v>
      </c>
      <c r="O1126">
        <v>4</v>
      </c>
      <c r="P1126">
        <v>2024</v>
      </c>
    </row>
    <row r="1127" spans="1:16">
      <c r="A1127">
        <v>31.400000000000002</v>
      </c>
      <c r="B1127">
        <v>5</v>
      </c>
      <c r="C1127" t="s">
        <v>3131</v>
      </c>
      <c r="D1127" t="s">
        <v>3132</v>
      </c>
      <c r="E1127" t="s">
        <v>1987</v>
      </c>
      <c r="F1127" t="s">
        <v>1092</v>
      </c>
      <c r="G1127" t="s">
        <v>763</v>
      </c>
      <c r="H1127" t="s">
        <v>601</v>
      </c>
      <c r="I1127" t="s">
        <v>19</v>
      </c>
      <c r="J1127">
        <v>6.28</v>
      </c>
      <c r="K1127" s="1">
        <v>45877</v>
      </c>
      <c r="L1127" t="s">
        <v>79</v>
      </c>
      <c r="M1127">
        <v>8</v>
      </c>
      <c r="N1127">
        <v>8</v>
      </c>
      <c r="O1127">
        <v>3</v>
      </c>
      <c r="P1127">
        <v>2025</v>
      </c>
    </row>
    <row r="1128" spans="1:16">
      <c r="A1128">
        <v>444.04</v>
      </c>
      <c r="B1128">
        <v>2</v>
      </c>
      <c r="C1128" t="s">
        <v>2552</v>
      </c>
      <c r="D1128" t="s">
        <v>2553</v>
      </c>
      <c r="E1128" t="s">
        <v>1524</v>
      </c>
      <c r="F1128" t="s">
        <v>196</v>
      </c>
      <c r="G1128" t="s">
        <v>1247</v>
      </c>
      <c r="H1128" t="s">
        <v>501</v>
      </c>
      <c r="I1128" t="s">
        <v>25</v>
      </c>
      <c r="J1128">
        <v>222.02</v>
      </c>
      <c r="K1128" s="1">
        <v>45621</v>
      </c>
      <c r="L1128" t="s">
        <v>93</v>
      </c>
      <c r="M1128">
        <v>25</v>
      </c>
      <c r="N1128">
        <v>11</v>
      </c>
      <c r="O1128">
        <v>4</v>
      </c>
      <c r="P1128">
        <v>2024</v>
      </c>
    </row>
    <row r="1129" spans="1:16">
      <c r="A1129">
        <v>532.9</v>
      </c>
      <c r="B1129">
        <v>5</v>
      </c>
      <c r="C1129" t="s">
        <v>3135</v>
      </c>
      <c r="D1129" t="s">
        <v>3136</v>
      </c>
      <c r="E1129" t="s">
        <v>906</v>
      </c>
      <c r="F1129" t="s">
        <v>29</v>
      </c>
      <c r="G1129" t="s">
        <v>821</v>
      </c>
      <c r="H1129" t="s">
        <v>670</v>
      </c>
      <c r="I1129" t="s">
        <v>57</v>
      </c>
      <c r="J1129">
        <v>106.58</v>
      </c>
      <c r="K1129" s="1">
        <v>45634</v>
      </c>
      <c r="L1129" t="s">
        <v>28</v>
      </c>
      <c r="M1129">
        <v>8</v>
      </c>
      <c r="N1129">
        <v>12</v>
      </c>
      <c r="O1129">
        <v>4</v>
      </c>
      <c r="P1129">
        <v>2024</v>
      </c>
    </row>
    <row r="1130" spans="1:16">
      <c r="A1130">
        <v>23.66</v>
      </c>
      <c r="B1130">
        <v>2</v>
      </c>
      <c r="C1130" t="s">
        <v>1261</v>
      </c>
      <c r="D1130" t="s">
        <v>1262</v>
      </c>
      <c r="E1130" t="s">
        <v>1263</v>
      </c>
      <c r="F1130" t="s">
        <v>1007</v>
      </c>
      <c r="G1130" t="s">
        <v>966</v>
      </c>
      <c r="H1130" t="s">
        <v>220</v>
      </c>
      <c r="I1130" t="s">
        <v>97</v>
      </c>
      <c r="J1130">
        <v>11.83</v>
      </c>
      <c r="K1130" s="1">
        <v>46187</v>
      </c>
      <c r="L1130" t="s">
        <v>28</v>
      </c>
      <c r="M1130">
        <v>14</v>
      </c>
      <c r="N1130">
        <v>6</v>
      </c>
      <c r="O1130">
        <v>2</v>
      </c>
      <c r="P1130">
        <v>2026</v>
      </c>
    </row>
    <row r="1131" spans="1:16">
      <c r="A1131">
        <v>57.16</v>
      </c>
      <c r="B1131">
        <v>4</v>
      </c>
      <c r="C1131" t="s">
        <v>1354</v>
      </c>
      <c r="D1131" t="s">
        <v>1355</v>
      </c>
      <c r="E1131" t="s">
        <v>1324</v>
      </c>
      <c r="F1131" t="s">
        <v>196</v>
      </c>
      <c r="G1131" t="s">
        <v>1247</v>
      </c>
      <c r="H1131" t="s">
        <v>685</v>
      </c>
      <c r="I1131" t="s">
        <v>69</v>
      </c>
      <c r="J1131">
        <v>14.29</v>
      </c>
      <c r="K1131" s="1">
        <v>46029</v>
      </c>
      <c r="L1131" t="s">
        <v>34</v>
      </c>
      <c r="M1131">
        <v>7</v>
      </c>
      <c r="N1131">
        <v>1</v>
      </c>
      <c r="O1131">
        <v>1</v>
      </c>
      <c r="P1131">
        <v>2026</v>
      </c>
    </row>
    <row r="1132" spans="1:16">
      <c r="A1132">
        <v>42.16</v>
      </c>
      <c r="B1132">
        <v>2</v>
      </c>
      <c r="C1132" t="s">
        <v>1360</v>
      </c>
      <c r="D1132" t="s">
        <v>1361</v>
      </c>
      <c r="E1132" t="s">
        <v>932</v>
      </c>
      <c r="F1132" t="s">
        <v>1362</v>
      </c>
      <c r="G1132" t="s">
        <v>896</v>
      </c>
      <c r="H1132" t="s">
        <v>223</v>
      </c>
      <c r="I1132" t="s">
        <v>19</v>
      </c>
      <c r="J1132">
        <v>21.08</v>
      </c>
      <c r="K1132" s="1">
        <v>46018</v>
      </c>
      <c r="L1132" t="s">
        <v>14</v>
      </c>
      <c r="M1132">
        <v>27</v>
      </c>
      <c r="N1132">
        <v>12</v>
      </c>
      <c r="O1132">
        <v>4</v>
      </c>
      <c r="P1132">
        <v>2025</v>
      </c>
    </row>
    <row r="1133" spans="1:16">
      <c r="A1133">
        <v>507.8</v>
      </c>
      <c r="B1133">
        <v>5</v>
      </c>
      <c r="C1133" t="s">
        <v>3175</v>
      </c>
      <c r="D1133" t="s">
        <v>3176</v>
      </c>
      <c r="E1133" t="s">
        <v>882</v>
      </c>
      <c r="F1133" t="s">
        <v>392</v>
      </c>
      <c r="G1133" t="s">
        <v>834</v>
      </c>
      <c r="H1133" t="s">
        <v>426</v>
      </c>
      <c r="I1133" t="s">
        <v>37</v>
      </c>
      <c r="J1133">
        <v>101.56</v>
      </c>
      <c r="K1133" s="1">
        <v>45562</v>
      </c>
      <c r="L1133" t="s">
        <v>79</v>
      </c>
      <c r="M1133">
        <v>27</v>
      </c>
      <c r="N1133">
        <v>9</v>
      </c>
      <c r="O1133">
        <v>3</v>
      </c>
      <c r="P1133">
        <v>2024</v>
      </c>
    </row>
    <row r="1134" spans="1:16">
      <c r="A1134">
        <v>47.16</v>
      </c>
      <c r="B1134">
        <v>2</v>
      </c>
      <c r="C1134" t="s">
        <v>1825</v>
      </c>
      <c r="D1134" t="s">
        <v>1826</v>
      </c>
      <c r="E1134" t="s">
        <v>1098</v>
      </c>
      <c r="F1134" t="s">
        <v>862</v>
      </c>
      <c r="G1134" t="s">
        <v>908</v>
      </c>
      <c r="H1134" t="s">
        <v>466</v>
      </c>
      <c r="I1134" t="s">
        <v>46</v>
      </c>
      <c r="J1134">
        <v>23.58</v>
      </c>
      <c r="K1134" s="1">
        <v>45601</v>
      </c>
      <c r="L1134" t="s">
        <v>48</v>
      </c>
      <c r="M1134">
        <v>5</v>
      </c>
      <c r="N1134">
        <v>11</v>
      </c>
      <c r="O1134">
        <v>4</v>
      </c>
      <c r="P1134">
        <v>2024</v>
      </c>
    </row>
    <row r="1135" spans="1:16">
      <c r="A1135">
        <v>105.9</v>
      </c>
      <c r="B1135">
        <v>5</v>
      </c>
      <c r="C1135" t="s">
        <v>2283</v>
      </c>
      <c r="D1135" t="s">
        <v>2284</v>
      </c>
      <c r="E1135" t="s">
        <v>2285</v>
      </c>
      <c r="F1135" t="s">
        <v>862</v>
      </c>
      <c r="G1135" t="s">
        <v>908</v>
      </c>
      <c r="H1135" t="s">
        <v>530</v>
      </c>
      <c r="I1135" t="s">
        <v>37</v>
      </c>
      <c r="J1135">
        <v>21.18</v>
      </c>
      <c r="K1135" s="1">
        <v>45915</v>
      </c>
      <c r="L1135" t="s">
        <v>93</v>
      </c>
      <c r="M1135">
        <v>15</v>
      </c>
      <c r="N1135">
        <v>9</v>
      </c>
      <c r="O1135">
        <v>3</v>
      </c>
      <c r="P1135">
        <v>2025</v>
      </c>
    </row>
    <row r="1136" spans="1:16">
      <c r="A1136">
        <v>324.92</v>
      </c>
      <c r="B1136">
        <v>2</v>
      </c>
      <c r="C1136" t="s">
        <v>2027</v>
      </c>
      <c r="D1136" t="s">
        <v>1355</v>
      </c>
      <c r="E1136" t="s">
        <v>1508</v>
      </c>
      <c r="F1136" t="s">
        <v>1002</v>
      </c>
      <c r="G1136" t="s">
        <v>1003</v>
      </c>
      <c r="H1136" t="s">
        <v>218</v>
      </c>
      <c r="I1136" t="s">
        <v>97</v>
      </c>
      <c r="J1136">
        <v>162.46</v>
      </c>
      <c r="K1136" s="1">
        <v>46188</v>
      </c>
      <c r="L1136" t="s">
        <v>93</v>
      </c>
      <c r="M1136">
        <v>15</v>
      </c>
      <c r="N1136">
        <v>6</v>
      </c>
      <c r="O1136">
        <v>2</v>
      </c>
      <c r="P1136">
        <v>2026</v>
      </c>
    </row>
    <row r="1137" spans="1:16">
      <c r="A1137">
        <v>175.24</v>
      </c>
      <c r="B1137">
        <v>4</v>
      </c>
      <c r="C1137" t="s">
        <v>2456</v>
      </c>
      <c r="D1137" t="s">
        <v>2457</v>
      </c>
      <c r="E1137" t="s">
        <v>882</v>
      </c>
      <c r="F1137" t="s">
        <v>1280</v>
      </c>
      <c r="G1137" t="s">
        <v>908</v>
      </c>
      <c r="H1137" t="s">
        <v>354</v>
      </c>
      <c r="I1137" t="s">
        <v>31</v>
      </c>
      <c r="J1137">
        <v>43.81</v>
      </c>
      <c r="K1137" s="1">
        <v>46238</v>
      </c>
      <c r="L1137" t="s">
        <v>48</v>
      </c>
      <c r="M1137">
        <v>4</v>
      </c>
      <c r="N1137">
        <v>8</v>
      </c>
      <c r="O1137">
        <v>3</v>
      </c>
      <c r="P1137">
        <v>2026</v>
      </c>
    </row>
    <row r="1138" spans="1:16">
      <c r="A1138">
        <v>249.16</v>
      </c>
      <c r="B1138">
        <v>1</v>
      </c>
      <c r="C1138" t="s">
        <v>791</v>
      </c>
      <c r="D1138" t="s">
        <v>792</v>
      </c>
      <c r="E1138" t="s">
        <v>793</v>
      </c>
      <c r="F1138" t="s">
        <v>794</v>
      </c>
      <c r="G1138" t="s">
        <v>795</v>
      </c>
      <c r="H1138" t="s">
        <v>265</v>
      </c>
      <c r="I1138" t="s">
        <v>46</v>
      </c>
      <c r="J1138">
        <v>249.16</v>
      </c>
      <c r="K1138" s="1">
        <v>46167</v>
      </c>
      <c r="L1138" t="s">
        <v>93</v>
      </c>
      <c r="M1138">
        <v>25</v>
      </c>
      <c r="N1138">
        <v>5</v>
      </c>
      <c r="O1138">
        <v>2</v>
      </c>
      <c r="P1138">
        <v>2026</v>
      </c>
    </row>
    <row r="1139" spans="1:16">
      <c r="A1139">
        <v>575.16</v>
      </c>
      <c r="B1139">
        <v>3</v>
      </c>
      <c r="C1139" t="s">
        <v>799</v>
      </c>
      <c r="D1139" t="s">
        <v>800</v>
      </c>
      <c r="E1139" t="s">
        <v>801</v>
      </c>
      <c r="F1139" t="s">
        <v>802</v>
      </c>
      <c r="G1139" t="s">
        <v>748</v>
      </c>
      <c r="H1139" t="s">
        <v>667</v>
      </c>
      <c r="I1139" t="s">
        <v>51</v>
      </c>
      <c r="J1139">
        <v>191.72</v>
      </c>
      <c r="K1139" s="1">
        <v>45722</v>
      </c>
      <c r="L1139" t="s">
        <v>105</v>
      </c>
      <c r="M1139">
        <v>6</v>
      </c>
      <c r="N1139">
        <v>3</v>
      </c>
      <c r="O1139">
        <v>1</v>
      </c>
      <c r="P1139">
        <v>2025</v>
      </c>
    </row>
    <row r="1140" spans="1:16">
      <c r="A1140">
        <v>986.3</v>
      </c>
      <c r="B1140">
        <v>5</v>
      </c>
      <c r="C1140" t="s">
        <v>1131</v>
      </c>
      <c r="D1140" t="s">
        <v>1132</v>
      </c>
      <c r="E1140" t="s">
        <v>1133</v>
      </c>
      <c r="F1140" t="s">
        <v>1107</v>
      </c>
      <c r="G1140" t="s">
        <v>763</v>
      </c>
      <c r="H1140" t="s">
        <v>293</v>
      </c>
      <c r="I1140" t="s">
        <v>100</v>
      </c>
      <c r="J1140">
        <v>197.26</v>
      </c>
      <c r="K1140" s="1">
        <v>45920</v>
      </c>
      <c r="L1140" t="s">
        <v>14</v>
      </c>
      <c r="M1140">
        <v>20</v>
      </c>
      <c r="N1140">
        <v>9</v>
      </c>
      <c r="O1140">
        <v>3</v>
      </c>
      <c r="P1140">
        <v>2025</v>
      </c>
    </row>
    <row r="1141" spans="1:16">
      <c r="A1141">
        <v>131.87</v>
      </c>
      <c r="B1141">
        <v>1</v>
      </c>
      <c r="C1141" t="s">
        <v>1248</v>
      </c>
      <c r="D1141" t="s">
        <v>1249</v>
      </c>
      <c r="E1141" t="s">
        <v>861</v>
      </c>
      <c r="F1141" t="s">
        <v>1032</v>
      </c>
      <c r="G1141" t="s">
        <v>839</v>
      </c>
      <c r="H1141" t="s">
        <v>165</v>
      </c>
      <c r="I1141" t="s">
        <v>69</v>
      </c>
      <c r="J1141">
        <v>131.87</v>
      </c>
      <c r="K1141" s="1">
        <v>46156</v>
      </c>
      <c r="L1141" t="s">
        <v>105</v>
      </c>
      <c r="M1141">
        <v>14</v>
      </c>
      <c r="N1141">
        <v>5</v>
      </c>
      <c r="O1141">
        <v>2</v>
      </c>
      <c r="P1141">
        <v>2026</v>
      </c>
    </row>
    <row r="1142" spans="1:16">
      <c r="A1142">
        <v>5.08</v>
      </c>
      <c r="B1142">
        <v>2</v>
      </c>
      <c r="C1142" t="s">
        <v>2171</v>
      </c>
      <c r="D1142" t="s">
        <v>2172</v>
      </c>
      <c r="E1142" t="s">
        <v>2173</v>
      </c>
      <c r="F1142" t="s">
        <v>762</v>
      </c>
      <c r="G1142" t="s">
        <v>763</v>
      </c>
      <c r="H1142" t="s">
        <v>409</v>
      </c>
      <c r="I1142" t="s">
        <v>39</v>
      </c>
      <c r="J1142">
        <v>2.54</v>
      </c>
      <c r="K1142" s="1">
        <v>45914</v>
      </c>
      <c r="L1142" t="s">
        <v>28</v>
      </c>
      <c r="M1142">
        <v>14</v>
      </c>
      <c r="N1142">
        <v>9</v>
      </c>
      <c r="O1142">
        <v>3</v>
      </c>
      <c r="P1142">
        <v>2025</v>
      </c>
    </row>
    <row r="1143" spans="1:16">
      <c r="A1143">
        <v>544.04999999999995</v>
      </c>
      <c r="B1143">
        <v>5</v>
      </c>
      <c r="C1143" t="s">
        <v>1717</v>
      </c>
      <c r="D1143" t="s">
        <v>1718</v>
      </c>
      <c r="E1143" t="s">
        <v>1582</v>
      </c>
      <c r="F1143" t="s">
        <v>965</v>
      </c>
      <c r="G1143" t="s">
        <v>966</v>
      </c>
      <c r="H1143" t="s">
        <v>453</v>
      </c>
      <c r="I1143" t="s">
        <v>55</v>
      </c>
      <c r="J1143">
        <v>108.81</v>
      </c>
      <c r="K1143" s="1">
        <v>46021</v>
      </c>
      <c r="L1143" t="s">
        <v>48</v>
      </c>
      <c r="M1143">
        <v>30</v>
      </c>
      <c r="N1143">
        <v>12</v>
      </c>
      <c r="O1143">
        <v>4</v>
      </c>
      <c r="P1143">
        <v>2025</v>
      </c>
    </row>
    <row r="1144" spans="1:16">
      <c r="A1144">
        <v>908.88</v>
      </c>
      <c r="B1144">
        <v>4</v>
      </c>
      <c r="C1144" t="s">
        <v>1677</v>
      </c>
      <c r="D1144" t="s">
        <v>1678</v>
      </c>
      <c r="E1144" t="s">
        <v>1679</v>
      </c>
      <c r="F1144" t="s">
        <v>767</v>
      </c>
      <c r="G1144" t="s">
        <v>768</v>
      </c>
      <c r="H1144" t="s">
        <v>1314</v>
      </c>
      <c r="I1144" t="s">
        <v>55</v>
      </c>
      <c r="J1144">
        <v>227.22</v>
      </c>
      <c r="K1144" s="1">
        <v>45566</v>
      </c>
      <c r="L1144" t="s">
        <v>48</v>
      </c>
      <c r="M1144">
        <v>1</v>
      </c>
      <c r="N1144">
        <v>10</v>
      </c>
      <c r="O1144">
        <v>4</v>
      </c>
      <c r="P1144">
        <v>2024</v>
      </c>
    </row>
    <row r="1145" spans="1:16">
      <c r="A1145">
        <v>591.78</v>
      </c>
      <c r="B1145">
        <v>3</v>
      </c>
      <c r="C1145" t="s">
        <v>1992</v>
      </c>
      <c r="D1145" t="s">
        <v>1993</v>
      </c>
      <c r="E1145" t="s">
        <v>1968</v>
      </c>
      <c r="F1145" t="s">
        <v>1257</v>
      </c>
      <c r="G1145" t="s">
        <v>839</v>
      </c>
      <c r="H1145" t="s">
        <v>402</v>
      </c>
      <c r="I1145" t="s">
        <v>19</v>
      </c>
      <c r="J1145">
        <v>197.26</v>
      </c>
      <c r="K1145" s="1">
        <v>45556</v>
      </c>
      <c r="L1145" t="s">
        <v>14</v>
      </c>
      <c r="M1145">
        <v>21</v>
      </c>
      <c r="N1145">
        <v>9</v>
      </c>
      <c r="O1145">
        <v>3</v>
      </c>
      <c r="P1145">
        <v>2024</v>
      </c>
    </row>
    <row r="1146" spans="1:16">
      <c r="A1146">
        <v>233.21</v>
      </c>
      <c r="B1146">
        <v>1</v>
      </c>
      <c r="C1146" t="s">
        <v>1435</v>
      </c>
      <c r="D1146" t="s">
        <v>1436</v>
      </c>
      <c r="E1146" t="s">
        <v>1437</v>
      </c>
      <c r="F1146" t="s">
        <v>387</v>
      </c>
      <c r="G1146" t="s">
        <v>821</v>
      </c>
      <c r="H1146" t="s">
        <v>648</v>
      </c>
      <c r="I1146" t="s">
        <v>57</v>
      </c>
      <c r="J1146">
        <v>233.21</v>
      </c>
      <c r="K1146" s="1">
        <v>45782</v>
      </c>
      <c r="L1146" t="s">
        <v>93</v>
      </c>
      <c r="M1146">
        <v>5</v>
      </c>
      <c r="N1146">
        <v>5</v>
      </c>
      <c r="O1146">
        <v>2</v>
      </c>
      <c r="P1146">
        <v>2025</v>
      </c>
    </row>
    <row r="1147" spans="1:16">
      <c r="A1147">
        <v>176.53</v>
      </c>
      <c r="B1147">
        <v>1</v>
      </c>
      <c r="C1147" t="s">
        <v>2901</v>
      </c>
      <c r="D1147" t="s">
        <v>2738</v>
      </c>
      <c r="E1147" t="s">
        <v>946</v>
      </c>
      <c r="F1147" t="s">
        <v>644</v>
      </c>
      <c r="G1147" t="s">
        <v>748</v>
      </c>
      <c r="H1147" t="s">
        <v>631</v>
      </c>
      <c r="I1147" t="s">
        <v>39</v>
      </c>
      <c r="J1147">
        <v>176.53</v>
      </c>
      <c r="K1147" s="1">
        <v>46021</v>
      </c>
      <c r="L1147" t="s">
        <v>48</v>
      </c>
      <c r="M1147">
        <v>30</v>
      </c>
      <c r="N1147">
        <v>12</v>
      </c>
      <c r="O1147">
        <v>4</v>
      </c>
      <c r="P1147">
        <v>2025</v>
      </c>
    </row>
    <row r="1148" spans="1:16">
      <c r="A1148">
        <v>1050.95</v>
      </c>
      <c r="B1148">
        <v>5</v>
      </c>
      <c r="C1148" t="s">
        <v>2049</v>
      </c>
      <c r="D1148" t="s">
        <v>2050</v>
      </c>
      <c r="E1148" t="s">
        <v>2013</v>
      </c>
      <c r="F1148" t="s">
        <v>1600</v>
      </c>
      <c r="G1148" t="s">
        <v>768</v>
      </c>
      <c r="H1148" t="s">
        <v>157</v>
      </c>
      <c r="I1148" t="s">
        <v>19</v>
      </c>
      <c r="J1148">
        <v>210.19</v>
      </c>
      <c r="K1148" s="1">
        <v>45555</v>
      </c>
      <c r="L1148" t="s">
        <v>79</v>
      </c>
      <c r="M1148">
        <v>20</v>
      </c>
      <c r="N1148">
        <v>9</v>
      </c>
      <c r="O1148">
        <v>3</v>
      </c>
      <c r="P1148">
        <v>2024</v>
      </c>
    </row>
    <row r="1149" spans="1:16">
      <c r="A1149">
        <v>147.75</v>
      </c>
      <c r="B1149">
        <v>3</v>
      </c>
      <c r="C1149" t="s">
        <v>2355</v>
      </c>
      <c r="D1149" t="s">
        <v>2356</v>
      </c>
      <c r="E1149" t="s">
        <v>2306</v>
      </c>
      <c r="F1149" t="s">
        <v>757</v>
      </c>
      <c r="G1149" t="s">
        <v>758</v>
      </c>
      <c r="H1149" t="s">
        <v>518</v>
      </c>
      <c r="I1149" t="s">
        <v>17</v>
      </c>
      <c r="J1149">
        <v>49.25</v>
      </c>
      <c r="K1149" s="1">
        <v>45670</v>
      </c>
      <c r="L1149" t="s">
        <v>93</v>
      </c>
      <c r="M1149">
        <v>13</v>
      </c>
      <c r="N1149">
        <v>1</v>
      </c>
      <c r="O1149">
        <v>1</v>
      </c>
      <c r="P1149">
        <v>2025</v>
      </c>
    </row>
    <row r="1150" spans="1:16">
      <c r="A1150">
        <v>56.53</v>
      </c>
      <c r="B1150">
        <v>1</v>
      </c>
      <c r="C1150" t="s">
        <v>2541</v>
      </c>
      <c r="D1150" t="s">
        <v>2542</v>
      </c>
      <c r="E1150" t="s">
        <v>1545</v>
      </c>
      <c r="F1150" t="s">
        <v>1199</v>
      </c>
      <c r="G1150" t="s">
        <v>839</v>
      </c>
      <c r="H1150" t="s">
        <v>123</v>
      </c>
      <c r="I1150" t="s">
        <v>43</v>
      </c>
      <c r="J1150">
        <v>56.53</v>
      </c>
      <c r="K1150" s="1">
        <v>45797</v>
      </c>
      <c r="L1150" t="s">
        <v>48</v>
      </c>
      <c r="M1150">
        <v>20</v>
      </c>
      <c r="N1150">
        <v>5</v>
      </c>
      <c r="O1150">
        <v>2</v>
      </c>
      <c r="P1150">
        <v>2025</v>
      </c>
    </row>
    <row r="1151" spans="1:16">
      <c r="A1151">
        <v>65.789999999999992</v>
      </c>
      <c r="B1151">
        <v>3</v>
      </c>
      <c r="C1151" t="s">
        <v>2061</v>
      </c>
      <c r="D1151" t="s">
        <v>2062</v>
      </c>
      <c r="E1151" t="s">
        <v>1754</v>
      </c>
      <c r="F1151" t="s">
        <v>392</v>
      </c>
      <c r="G1151" t="s">
        <v>834</v>
      </c>
      <c r="H1151" t="s">
        <v>445</v>
      </c>
      <c r="I1151" t="s">
        <v>60</v>
      </c>
      <c r="J1151">
        <v>21.93</v>
      </c>
      <c r="K1151" s="1">
        <v>45630</v>
      </c>
      <c r="L1151" t="s">
        <v>34</v>
      </c>
      <c r="M1151">
        <v>4</v>
      </c>
      <c r="N1151">
        <v>12</v>
      </c>
      <c r="O1151">
        <v>4</v>
      </c>
      <c r="P1151">
        <v>2024</v>
      </c>
    </row>
    <row r="1152" spans="1:16">
      <c r="A1152">
        <v>816.15</v>
      </c>
      <c r="B1152">
        <v>5</v>
      </c>
      <c r="C1152" t="s">
        <v>1381</v>
      </c>
      <c r="D1152" t="s">
        <v>1382</v>
      </c>
      <c r="E1152" t="s">
        <v>1383</v>
      </c>
      <c r="F1152" t="s">
        <v>1384</v>
      </c>
      <c r="G1152" t="s">
        <v>908</v>
      </c>
      <c r="H1152" t="s">
        <v>593</v>
      </c>
      <c r="I1152" t="s">
        <v>97</v>
      </c>
      <c r="J1152">
        <v>163.22999999999999</v>
      </c>
      <c r="K1152" s="1">
        <v>45963</v>
      </c>
      <c r="L1152" t="s">
        <v>28</v>
      </c>
      <c r="M1152">
        <v>2</v>
      </c>
      <c r="N1152">
        <v>11</v>
      </c>
      <c r="O1152">
        <v>4</v>
      </c>
      <c r="P1152">
        <v>2025</v>
      </c>
    </row>
    <row r="1153" spans="1:16">
      <c r="A1153">
        <v>365.68</v>
      </c>
      <c r="B1153">
        <v>4</v>
      </c>
      <c r="C1153" t="s">
        <v>1710</v>
      </c>
      <c r="D1153" t="s">
        <v>1711</v>
      </c>
      <c r="E1153" t="s">
        <v>1539</v>
      </c>
      <c r="F1153" t="s">
        <v>1156</v>
      </c>
      <c r="G1153" t="s">
        <v>839</v>
      </c>
      <c r="H1153" t="s">
        <v>479</v>
      </c>
      <c r="I1153" t="s">
        <v>17</v>
      </c>
      <c r="J1153">
        <v>91.42</v>
      </c>
      <c r="K1153" s="1">
        <v>46168</v>
      </c>
      <c r="L1153" t="s">
        <v>48</v>
      </c>
      <c r="M1153">
        <v>26</v>
      </c>
      <c r="N1153">
        <v>5</v>
      </c>
      <c r="O1153">
        <v>2</v>
      </c>
      <c r="P1153">
        <v>2026</v>
      </c>
    </row>
    <row r="1154" spans="1:16">
      <c r="A1154">
        <v>378.06</v>
      </c>
      <c r="B1154">
        <v>2</v>
      </c>
      <c r="C1154" t="s">
        <v>967</v>
      </c>
      <c r="D1154" t="s">
        <v>968</v>
      </c>
      <c r="E1154" t="s">
        <v>969</v>
      </c>
      <c r="F1154" t="s">
        <v>970</v>
      </c>
      <c r="G1154" t="s">
        <v>790</v>
      </c>
      <c r="H1154" t="s">
        <v>654</v>
      </c>
      <c r="I1154" t="s">
        <v>60</v>
      </c>
      <c r="J1154">
        <v>189.03</v>
      </c>
      <c r="K1154" s="1">
        <v>46206</v>
      </c>
      <c r="L1154" t="s">
        <v>79</v>
      </c>
      <c r="M1154">
        <v>3</v>
      </c>
      <c r="N1154">
        <v>7</v>
      </c>
      <c r="O1154">
        <v>3</v>
      </c>
      <c r="P1154">
        <v>2026</v>
      </c>
    </row>
    <row r="1155" spans="1:16">
      <c r="A1155">
        <v>317</v>
      </c>
      <c r="B1155">
        <v>4</v>
      </c>
      <c r="C1155" t="s">
        <v>1586</v>
      </c>
      <c r="D1155" t="s">
        <v>1587</v>
      </c>
      <c r="E1155" t="s">
        <v>1577</v>
      </c>
      <c r="F1155" t="s">
        <v>961</v>
      </c>
      <c r="G1155" t="s">
        <v>753</v>
      </c>
      <c r="H1155" t="s">
        <v>253</v>
      </c>
      <c r="I1155" t="s">
        <v>23</v>
      </c>
      <c r="J1155">
        <v>79.25</v>
      </c>
      <c r="K1155" s="1">
        <v>45651</v>
      </c>
      <c r="L1155" t="s">
        <v>34</v>
      </c>
      <c r="M1155">
        <v>25</v>
      </c>
      <c r="N1155">
        <v>12</v>
      </c>
      <c r="O1155">
        <v>4</v>
      </c>
      <c r="P1155">
        <v>2024</v>
      </c>
    </row>
    <row r="1156" spans="1:16">
      <c r="A1156">
        <v>812.92</v>
      </c>
      <c r="B1156">
        <v>4</v>
      </c>
      <c r="C1156" t="s">
        <v>2815</v>
      </c>
      <c r="D1156" t="s">
        <v>2816</v>
      </c>
      <c r="E1156" t="s">
        <v>1909</v>
      </c>
      <c r="F1156" t="s">
        <v>802</v>
      </c>
      <c r="G1156" t="s">
        <v>748</v>
      </c>
      <c r="H1156" t="s">
        <v>417</v>
      </c>
      <c r="I1156" t="s">
        <v>51</v>
      </c>
      <c r="J1156">
        <v>203.23</v>
      </c>
      <c r="K1156" s="1">
        <v>46063</v>
      </c>
      <c r="L1156" t="s">
        <v>48</v>
      </c>
      <c r="M1156">
        <v>10</v>
      </c>
      <c r="N1156">
        <v>2</v>
      </c>
      <c r="O1156">
        <v>1</v>
      </c>
      <c r="P1156">
        <v>2026</v>
      </c>
    </row>
    <row r="1157" spans="1:16">
      <c r="A1157">
        <v>56.53</v>
      </c>
      <c r="B1157">
        <v>1</v>
      </c>
      <c r="C1157" t="s">
        <v>855</v>
      </c>
      <c r="D1157" t="s">
        <v>856</v>
      </c>
      <c r="E1157" t="s">
        <v>857</v>
      </c>
      <c r="F1157" t="s">
        <v>858</v>
      </c>
      <c r="G1157" t="s">
        <v>753</v>
      </c>
      <c r="H1157" t="s">
        <v>123</v>
      </c>
      <c r="I1157" t="s">
        <v>43</v>
      </c>
      <c r="J1157">
        <v>56.53</v>
      </c>
      <c r="K1157" s="1">
        <v>46204</v>
      </c>
      <c r="L1157" t="s">
        <v>34</v>
      </c>
      <c r="M1157">
        <v>1</v>
      </c>
      <c r="N1157">
        <v>7</v>
      </c>
      <c r="O1157">
        <v>3</v>
      </c>
      <c r="P1157">
        <v>2026</v>
      </c>
    </row>
    <row r="1158" spans="1:16">
      <c r="A1158">
        <v>102.09</v>
      </c>
      <c r="B1158">
        <v>3</v>
      </c>
      <c r="C1158" t="s">
        <v>1714</v>
      </c>
      <c r="D1158" t="s">
        <v>1715</v>
      </c>
      <c r="E1158" t="s">
        <v>1716</v>
      </c>
      <c r="F1158" t="s">
        <v>1032</v>
      </c>
      <c r="G1158" t="s">
        <v>839</v>
      </c>
      <c r="H1158" t="s">
        <v>678</v>
      </c>
      <c r="I1158" t="s">
        <v>100</v>
      </c>
      <c r="J1158">
        <v>34.03</v>
      </c>
      <c r="K1158" s="1">
        <v>46201</v>
      </c>
      <c r="L1158" t="s">
        <v>28</v>
      </c>
      <c r="M1158">
        <v>28</v>
      </c>
      <c r="N1158">
        <v>6</v>
      </c>
      <c r="O1158">
        <v>2</v>
      </c>
      <c r="P1158">
        <v>2026</v>
      </c>
    </row>
    <row r="1159" spans="1:16">
      <c r="A1159">
        <v>386.06</v>
      </c>
      <c r="B1159">
        <v>2</v>
      </c>
      <c r="C1159" t="s">
        <v>1758</v>
      </c>
      <c r="D1159" t="s">
        <v>1759</v>
      </c>
      <c r="E1159" t="s">
        <v>1013</v>
      </c>
      <c r="F1159" t="s">
        <v>151</v>
      </c>
      <c r="G1159" t="s">
        <v>1003</v>
      </c>
      <c r="H1159" t="s">
        <v>420</v>
      </c>
      <c r="I1159" t="s">
        <v>25</v>
      </c>
      <c r="J1159">
        <v>193.03</v>
      </c>
      <c r="K1159" s="1">
        <v>45667</v>
      </c>
      <c r="L1159" t="s">
        <v>79</v>
      </c>
      <c r="M1159">
        <v>10</v>
      </c>
      <c r="N1159">
        <v>1</v>
      </c>
      <c r="O1159">
        <v>1</v>
      </c>
      <c r="P1159">
        <v>2025</v>
      </c>
    </row>
    <row r="1160" spans="1:16">
      <c r="A1160">
        <v>866.35</v>
      </c>
      <c r="B1160">
        <v>5</v>
      </c>
      <c r="C1160" t="s">
        <v>1315</v>
      </c>
      <c r="D1160" t="s">
        <v>1316</v>
      </c>
      <c r="E1160" t="s">
        <v>1317</v>
      </c>
      <c r="F1160" t="s">
        <v>1318</v>
      </c>
      <c r="G1160" t="s">
        <v>807</v>
      </c>
      <c r="H1160" t="s">
        <v>185</v>
      </c>
      <c r="I1160" t="s">
        <v>57</v>
      </c>
      <c r="J1160">
        <v>173.27</v>
      </c>
      <c r="K1160" s="1">
        <v>45905</v>
      </c>
      <c r="L1160" t="s">
        <v>79</v>
      </c>
      <c r="M1160">
        <v>5</v>
      </c>
      <c r="N1160">
        <v>9</v>
      </c>
      <c r="O1160">
        <v>3</v>
      </c>
      <c r="P1160">
        <v>2025</v>
      </c>
    </row>
    <row r="1161" spans="1:16">
      <c r="A1161">
        <v>219.31</v>
      </c>
      <c r="B1161">
        <v>1</v>
      </c>
      <c r="C1161" t="s">
        <v>1488</v>
      </c>
      <c r="D1161" t="s">
        <v>1489</v>
      </c>
      <c r="E1161" t="s">
        <v>1490</v>
      </c>
      <c r="F1161" t="s">
        <v>280</v>
      </c>
      <c r="G1161" t="s">
        <v>812</v>
      </c>
      <c r="H1161" t="s">
        <v>594</v>
      </c>
      <c r="I1161" t="s">
        <v>43</v>
      </c>
      <c r="J1161">
        <v>219.31</v>
      </c>
      <c r="K1161" s="1">
        <v>45564</v>
      </c>
      <c r="L1161" t="s">
        <v>28</v>
      </c>
      <c r="M1161">
        <v>29</v>
      </c>
      <c r="N1161">
        <v>9</v>
      </c>
      <c r="O1161">
        <v>3</v>
      </c>
      <c r="P1161">
        <v>2024</v>
      </c>
    </row>
    <row r="1162" spans="1:16">
      <c r="A1162">
        <v>200.12</v>
      </c>
      <c r="B1162">
        <v>1</v>
      </c>
      <c r="C1162" t="s">
        <v>2087</v>
      </c>
      <c r="D1162" t="s">
        <v>2088</v>
      </c>
      <c r="E1162" t="s">
        <v>820</v>
      </c>
      <c r="F1162" t="s">
        <v>995</v>
      </c>
      <c r="G1162" t="s">
        <v>781</v>
      </c>
      <c r="H1162" t="s">
        <v>239</v>
      </c>
      <c r="I1162" t="s">
        <v>23</v>
      </c>
      <c r="J1162">
        <v>200.12</v>
      </c>
      <c r="K1162" s="1">
        <v>45914</v>
      </c>
      <c r="L1162" t="s">
        <v>28</v>
      </c>
      <c r="M1162">
        <v>14</v>
      </c>
      <c r="N1162">
        <v>9</v>
      </c>
      <c r="O1162">
        <v>3</v>
      </c>
      <c r="P1162">
        <v>2025</v>
      </c>
    </row>
    <row r="1163" spans="1:16">
      <c r="A1163">
        <v>44.27</v>
      </c>
      <c r="B1163">
        <v>1</v>
      </c>
      <c r="C1163" t="s">
        <v>1850</v>
      </c>
      <c r="D1163" t="s">
        <v>1851</v>
      </c>
      <c r="E1163" t="s">
        <v>833</v>
      </c>
      <c r="F1163" t="s">
        <v>49</v>
      </c>
      <c r="G1163" t="s">
        <v>807</v>
      </c>
      <c r="H1163" t="s">
        <v>296</v>
      </c>
      <c r="I1163" t="s">
        <v>122</v>
      </c>
      <c r="J1163">
        <v>44.27</v>
      </c>
      <c r="K1163" s="1">
        <v>46210</v>
      </c>
      <c r="L1163" t="s">
        <v>48</v>
      </c>
      <c r="M1163">
        <v>7</v>
      </c>
      <c r="N1163">
        <v>7</v>
      </c>
      <c r="O1163">
        <v>3</v>
      </c>
      <c r="P1163">
        <v>2026</v>
      </c>
    </row>
    <row r="1164" spans="1:16">
      <c r="A1164">
        <v>148.29</v>
      </c>
      <c r="B1164">
        <v>3</v>
      </c>
      <c r="C1164" t="s">
        <v>1284</v>
      </c>
      <c r="D1164" t="s">
        <v>1285</v>
      </c>
      <c r="E1164" t="s">
        <v>1286</v>
      </c>
      <c r="F1164" t="s">
        <v>199</v>
      </c>
      <c r="G1164" t="s">
        <v>781</v>
      </c>
      <c r="H1164" t="s">
        <v>347</v>
      </c>
      <c r="I1164" t="s">
        <v>69</v>
      </c>
      <c r="J1164">
        <v>49.43</v>
      </c>
      <c r="K1164" s="1">
        <v>46097</v>
      </c>
      <c r="L1164" t="s">
        <v>93</v>
      </c>
      <c r="M1164">
        <v>16</v>
      </c>
      <c r="N1164">
        <v>3</v>
      </c>
      <c r="O1164">
        <v>1</v>
      </c>
      <c r="P1164">
        <v>2026</v>
      </c>
    </row>
    <row r="1165" spans="1:16">
      <c r="A1165">
        <v>87.5</v>
      </c>
      <c r="B1165">
        <v>2</v>
      </c>
      <c r="C1165" t="s">
        <v>1528</v>
      </c>
      <c r="D1165" t="s">
        <v>1529</v>
      </c>
      <c r="E1165" t="s">
        <v>998</v>
      </c>
      <c r="F1165" t="s">
        <v>1465</v>
      </c>
      <c r="G1165" t="s">
        <v>817</v>
      </c>
      <c r="H1165" t="s">
        <v>386</v>
      </c>
      <c r="I1165" t="s">
        <v>21</v>
      </c>
      <c r="J1165">
        <v>43.75</v>
      </c>
      <c r="K1165" s="1">
        <v>45744</v>
      </c>
      <c r="L1165" t="s">
        <v>79</v>
      </c>
      <c r="M1165">
        <v>28</v>
      </c>
      <c r="N1165">
        <v>3</v>
      </c>
      <c r="O1165">
        <v>1</v>
      </c>
      <c r="P1165">
        <v>2025</v>
      </c>
    </row>
    <row r="1166" spans="1:16">
      <c r="A1166">
        <v>626.73</v>
      </c>
      <c r="B1166">
        <v>3</v>
      </c>
      <c r="C1166" t="s">
        <v>2233</v>
      </c>
      <c r="D1166" t="s">
        <v>2234</v>
      </c>
      <c r="E1166" t="s">
        <v>2235</v>
      </c>
      <c r="F1166" t="s">
        <v>1755</v>
      </c>
      <c r="G1166" t="s">
        <v>786</v>
      </c>
      <c r="H1166" t="s">
        <v>723</v>
      </c>
      <c r="I1166" t="s">
        <v>46</v>
      </c>
      <c r="J1166">
        <v>208.91</v>
      </c>
      <c r="K1166" s="1">
        <v>45634</v>
      </c>
      <c r="L1166" t="s">
        <v>28</v>
      </c>
      <c r="M1166">
        <v>8</v>
      </c>
      <c r="N1166">
        <v>12</v>
      </c>
      <c r="O1166">
        <v>4</v>
      </c>
      <c r="P1166">
        <v>2024</v>
      </c>
    </row>
    <row r="1167" spans="1:16">
      <c r="A1167">
        <v>254.54999999999998</v>
      </c>
      <c r="B1167">
        <v>5</v>
      </c>
      <c r="C1167" t="s">
        <v>2055</v>
      </c>
      <c r="D1167" t="s">
        <v>2056</v>
      </c>
      <c r="E1167" t="s">
        <v>2057</v>
      </c>
      <c r="F1167" t="s">
        <v>1591</v>
      </c>
      <c r="G1167" t="s">
        <v>966</v>
      </c>
      <c r="H1167" t="s">
        <v>197</v>
      </c>
      <c r="I1167" t="s">
        <v>19</v>
      </c>
      <c r="J1167">
        <v>50.91</v>
      </c>
      <c r="K1167" s="1">
        <v>46158</v>
      </c>
      <c r="L1167" t="s">
        <v>14</v>
      </c>
      <c r="M1167">
        <v>16</v>
      </c>
      <c r="N1167">
        <v>5</v>
      </c>
      <c r="O1167">
        <v>2</v>
      </c>
      <c r="P1167">
        <v>2026</v>
      </c>
    </row>
    <row r="1168" spans="1:16">
      <c r="A1168">
        <v>232.41</v>
      </c>
      <c r="B1168">
        <v>3</v>
      </c>
      <c r="C1168" t="s">
        <v>2329</v>
      </c>
      <c r="D1168" t="s">
        <v>2330</v>
      </c>
      <c r="E1168" t="s">
        <v>2331</v>
      </c>
      <c r="F1168" t="s">
        <v>2332</v>
      </c>
      <c r="G1168" t="s">
        <v>1003</v>
      </c>
      <c r="H1168" t="s">
        <v>638</v>
      </c>
      <c r="I1168" t="s">
        <v>100</v>
      </c>
      <c r="J1168">
        <v>77.47</v>
      </c>
      <c r="K1168" s="1">
        <v>46005</v>
      </c>
      <c r="L1168" t="s">
        <v>28</v>
      </c>
      <c r="M1168">
        <v>14</v>
      </c>
      <c r="N1168">
        <v>12</v>
      </c>
      <c r="O1168">
        <v>4</v>
      </c>
      <c r="P1168">
        <v>2025</v>
      </c>
    </row>
    <row r="1169" spans="1:16">
      <c r="A1169">
        <v>141.55000000000001</v>
      </c>
      <c r="B1169">
        <v>1</v>
      </c>
      <c r="C1169" t="s">
        <v>2092</v>
      </c>
      <c r="D1169" t="s">
        <v>2093</v>
      </c>
      <c r="E1169" t="s">
        <v>1016</v>
      </c>
      <c r="F1169" t="s">
        <v>151</v>
      </c>
      <c r="G1169" t="s">
        <v>1003</v>
      </c>
      <c r="H1169" t="s">
        <v>273</v>
      </c>
      <c r="I1169" t="s">
        <v>100</v>
      </c>
      <c r="J1169">
        <v>141.55000000000001</v>
      </c>
      <c r="K1169" s="1">
        <v>46072</v>
      </c>
      <c r="L1169" t="s">
        <v>105</v>
      </c>
      <c r="M1169">
        <v>19</v>
      </c>
      <c r="N1169">
        <v>2</v>
      </c>
      <c r="O1169">
        <v>1</v>
      </c>
      <c r="P1169">
        <v>2026</v>
      </c>
    </row>
    <row r="1170" spans="1:16">
      <c r="A1170">
        <v>464.64</v>
      </c>
      <c r="B1170">
        <v>3</v>
      </c>
      <c r="C1170" t="s">
        <v>2606</v>
      </c>
      <c r="D1170" t="s">
        <v>2607</v>
      </c>
      <c r="E1170" t="s">
        <v>2078</v>
      </c>
      <c r="F1170" t="s">
        <v>1032</v>
      </c>
      <c r="G1170" t="s">
        <v>839</v>
      </c>
      <c r="H1170" t="s">
        <v>704</v>
      </c>
      <c r="I1170" t="s">
        <v>51</v>
      </c>
      <c r="J1170">
        <v>154.88</v>
      </c>
      <c r="K1170" s="1">
        <v>45773</v>
      </c>
      <c r="L1170" t="s">
        <v>14</v>
      </c>
      <c r="M1170">
        <v>26</v>
      </c>
      <c r="N1170">
        <v>4</v>
      </c>
      <c r="O1170">
        <v>2</v>
      </c>
      <c r="P1170">
        <v>2025</v>
      </c>
    </row>
    <row r="1171" spans="1:16">
      <c r="A1171">
        <v>1069.0999999999999</v>
      </c>
      <c r="B1171">
        <v>5</v>
      </c>
      <c r="C1171" t="s">
        <v>3007</v>
      </c>
      <c r="D1171" t="s">
        <v>3008</v>
      </c>
      <c r="E1171" t="s">
        <v>1053</v>
      </c>
      <c r="F1171" t="s">
        <v>113</v>
      </c>
      <c r="G1171" t="s">
        <v>854</v>
      </c>
      <c r="H1171" t="s">
        <v>266</v>
      </c>
      <c r="I1171" t="s">
        <v>19</v>
      </c>
      <c r="J1171">
        <v>213.82</v>
      </c>
      <c r="K1171" s="1">
        <v>45676</v>
      </c>
      <c r="L1171" t="s">
        <v>28</v>
      </c>
      <c r="M1171">
        <v>19</v>
      </c>
      <c r="N1171">
        <v>1</v>
      </c>
      <c r="O1171">
        <v>1</v>
      </c>
      <c r="P1171">
        <v>2025</v>
      </c>
    </row>
    <row r="1172" spans="1:16">
      <c r="A1172">
        <v>91.42</v>
      </c>
      <c r="B1172">
        <v>1</v>
      </c>
      <c r="C1172" t="s">
        <v>809</v>
      </c>
      <c r="D1172" t="s">
        <v>810</v>
      </c>
      <c r="E1172" t="s">
        <v>811</v>
      </c>
      <c r="F1172" t="s">
        <v>280</v>
      </c>
      <c r="G1172" t="s">
        <v>812</v>
      </c>
      <c r="H1172" t="s">
        <v>479</v>
      </c>
      <c r="I1172" t="s">
        <v>17</v>
      </c>
      <c r="J1172">
        <v>91.42</v>
      </c>
      <c r="K1172" s="1">
        <v>46108</v>
      </c>
      <c r="L1172" t="s">
        <v>79</v>
      </c>
      <c r="M1172">
        <v>27</v>
      </c>
      <c r="N1172">
        <v>3</v>
      </c>
      <c r="O1172">
        <v>1</v>
      </c>
      <c r="P1172">
        <v>2026</v>
      </c>
    </row>
    <row r="1173" spans="1:16">
      <c r="A1173">
        <v>770.55000000000007</v>
      </c>
      <c r="B1173">
        <v>5</v>
      </c>
      <c r="C1173" t="s">
        <v>1966</v>
      </c>
      <c r="D1173" t="s">
        <v>1967</v>
      </c>
      <c r="E1173" t="s">
        <v>1968</v>
      </c>
      <c r="F1173" t="s">
        <v>1421</v>
      </c>
      <c r="G1173" t="s">
        <v>776</v>
      </c>
      <c r="H1173" t="s">
        <v>161</v>
      </c>
      <c r="I1173" t="s">
        <v>37</v>
      </c>
      <c r="J1173">
        <v>154.11000000000001</v>
      </c>
      <c r="K1173" s="1">
        <v>46011</v>
      </c>
      <c r="L1173" t="s">
        <v>14</v>
      </c>
      <c r="M1173">
        <v>20</v>
      </c>
      <c r="N1173">
        <v>12</v>
      </c>
      <c r="O1173">
        <v>4</v>
      </c>
      <c r="P1173">
        <v>2025</v>
      </c>
    </row>
    <row r="1174" spans="1:16">
      <c r="A1174">
        <v>352.76</v>
      </c>
      <c r="B1174">
        <v>2</v>
      </c>
      <c r="C1174" t="s">
        <v>1366</v>
      </c>
      <c r="D1174" t="s">
        <v>1367</v>
      </c>
      <c r="E1174" t="s">
        <v>1020</v>
      </c>
      <c r="F1174" t="s">
        <v>136</v>
      </c>
      <c r="G1174" t="s">
        <v>954</v>
      </c>
      <c r="H1174" t="s">
        <v>384</v>
      </c>
      <c r="I1174" t="s">
        <v>37</v>
      </c>
      <c r="J1174">
        <v>176.38</v>
      </c>
      <c r="K1174" s="1">
        <v>46124</v>
      </c>
      <c r="L1174" t="s">
        <v>28</v>
      </c>
      <c r="M1174">
        <v>12</v>
      </c>
      <c r="N1174">
        <v>4</v>
      </c>
      <c r="O1174">
        <v>2</v>
      </c>
      <c r="P1174">
        <v>2026</v>
      </c>
    </row>
    <row r="1175" spans="1:16">
      <c r="A1175">
        <v>748.9</v>
      </c>
      <c r="B1175">
        <v>5</v>
      </c>
      <c r="C1175" t="s">
        <v>2104</v>
      </c>
      <c r="D1175" t="s">
        <v>2105</v>
      </c>
      <c r="E1175" t="s">
        <v>991</v>
      </c>
      <c r="F1175" t="s">
        <v>29</v>
      </c>
      <c r="G1175" t="s">
        <v>821</v>
      </c>
      <c r="H1175" t="s">
        <v>427</v>
      </c>
      <c r="I1175" t="s">
        <v>21</v>
      </c>
      <c r="J1175">
        <v>149.78</v>
      </c>
      <c r="K1175" s="1">
        <v>46079</v>
      </c>
      <c r="L1175" t="s">
        <v>105</v>
      </c>
      <c r="M1175">
        <v>26</v>
      </c>
      <c r="N1175">
        <v>2</v>
      </c>
      <c r="O1175">
        <v>1</v>
      </c>
      <c r="P1175">
        <v>2026</v>
      </c>
    </row>
    <row r="1176" spans="1:16">
      <c r="A1176">
        <v>575.12</v>
      </c>
      <c r="B1176">
        <v>4</v>
      </c>
      <c r="C1176" t="s">
        <v>1519</v>
      </c>
      <c r="D1176" t="s">
        <v>1520</v>
      </c>
      <c r="E1176" t="s">
        <v>1521</v>
      </c>
      <c r="F1176" t="s">
        <v>1172</v>
      </c>
      <c r="G1176" t="s">
        <v>830</v>
      </c>
      <c r="H1176" t="s">
        <v>346</v>
      </c>
      <c r="I1176" t="s">
        <v>23</v>
      </c>
      <c r="J1176">
        <v>143.78</v>
      </c>
      <c r="K1176" s="1">
        <v>45763</v>
      </c>
      <c r="L1176" t="s">
        <v>34</v>
      </c>
      <c r="M1176">
        <v>16</v>
      </c>
      <c r="N1176">
        <v>4</v>
      </c>
      <c r="O1176">
        <v>2</v>
      </c>
      <c r="P1176">
        <v>2025</v>
      </c>
    </row>
    <row r="1177" spans="1:16">
      <c r="A1177">
        <v>401.84</v>
      </c>
      <c r="B1177">
        <v>4</v>
      </c>
      <c r="C1177" t="s">
        <v>2957</v>
      </c>
      <c r="D1177" t="s">
        <v>2958</v>
      </c>
      <c r="E1177" t="s">
        <v>842</v>
      </c>
      <c r="F1177" t="s">
        <v>74</v>
      </c>
      <c r="G1177" t="s">
        <v>943</v>
      </c>
      <c r="H1177" t="s">
        <v>703</v>
      </c>
      <c r="I1177" t="s">
        <v>60</v>
      </c>
      <c r="J1177">
        <v>100.46</v>
      </c>
      <c r="K1177" s="1">
        <v>45849</v>
      </c>
      <c r="L1177" t="s">
        <v>79</v>
      </c>
      <c r="M1177">
        <v>11</v>
      </c>
      <c r="N1177">
        <v>7</v>
      </c>
      <c r="O1177">
        <v>3</v>
      </c>
      <c r="P1177">
        <v>2025</v>
      </c>
    </row>
    <row r="1178" spans="1:16">
      <c r="A1178">
        <v>536.91</v>
      </c>
      <c r="B1178">
        <v>3</v>
      </c>
      <c r="C1178" t="s">
        <v>1923</v>
      </c>
      <c r="D1178" t="s">
        <v>2593</v>
      </c>
      <c r="E1178" t="s">
        <v>2594</v>
      </c>
      <c r="F1178" t="s">
        <v>708</v>
      </c>
      <c r="G1178" t="s">
        <v>834</v>
      </c>
      <c r="H1178" t="s">
        <v>612</v>
      </c>
      <c r="I1178" t="s">
        <v>97</v>
      </c>
      <c r="J1178">
        <v>178.97</v>
      </c>
      <c r="K1178" s="1">
        <v>45835</v>
      </c>
      <c r="L1178" t="s">
        <v>79</v>
      </c>
      <c r="M1178">
        <v>27</v>
      </c>
      <c r="N1178">
        <v>6</v>
      </c>
      <c r="O1178">
        <v>2</v>
      </c>
      <c r="P1178">
        <v>2025</v>
      </c>
    </row>
    <row r="1179" spans="1:16">
      <c r="A1179">
        <v>135.36000000000001</v>
      </c>
      <c r="B1179">
        <v>4</v>
      </c>
      <c r="C1179" t="s">
        <v>2016</v>
      </c>
      <c r="D1179" t="s">
        <v>2017</v>
      </c>
      <c r="E1179" t="s">
        <v>1585</v>
      </c>
      <c r="F1179" t="s">
        <v>29</v>
      </c>
      <c r="G1179" t="s">
        <v>763</v>
      </c>
      <c r="H1179" t="s">
        <v>692</v>
      </c>
      <c r="I1179" t="s">
        <v>69</v>
      </c>
      <c r="J1179">
        <v>33.840000000000003</v>
      </c>
      <c r="K1179" s="1">
        <v>45892</v>
      </c>
      <c r="L1179" t="s">
        <v>14</v>
      </c>
      <c r="M1179">
        <v>23</v>
      </c>
      <c r="N1179">
        <v>8</v>
      </c>
      <c r="O1179">
        <v>3</v>
      </c>
      <c r="P1179">
        <v>2025</v>
      </c>
    </row>
    <row r="1180" spans="1:16">
      <c r="A1180">
        <v>932.84</v>
      </c>
      <c r="B1180">
        <v>4</v>
      </c>
      <c r="C1180" t="s">
        <v>2798</v>
      </c>
      <c r="D1180" t="s">
        <v>2799</v>
      </c>
      <c r="E1180" t="s">
        <v>2800</v>
      </c>
      <c r="F1180" t="s">
        <v>929</v>
      </c>
      <c r="G1180" t="s">
        <v>830</v>
      </c>
      <c r="H1180" t="s">
        <v>648</v>
      </c>
      <c r="I1180" t="s">
        <v>57</v>
      </c>
      <c r="J1180">
        <v>233.21</v>
      </c>
      <c r="K1180" s="1">
        <v>45988</v>
      </c>
      <c r="L1180" t="s">
        <v>105</v>
      </c>
      <c r="M1180">
        <v>27</v>
      </c>
      <c r="N1180">
        <v>11</v>
      </c>
      <c r="O1180">
        <v>4</v>
      </c>
      <c r="P1180">
        <v>2025</v>
      </c>
    </row>
    <row r="1181" spans="1:16">
      <c r="A1181">
        <v>323.24</v>
      </c>
      <c r="B1181">
        <v>2</v>
      </c>
      <c r="C1181" t="s">
        <v>2595</v>
      </c>
      <c r="D1181" t="s">
        <v>2596</v>
      </c>
      <c r="E1181" t="s">
        <v>1556</v>
      </c>
      <c r="F1181" t="s">
        <v>1199</v>
      </c>
      <c r="G1181" t="s">
        <v>839</v>
      </c>
      <c r="H1181" t="s">
        <v>224</v>
      </c>
      <c r="I1181" t="s">
        <v>39</v>
      </c>
      <c r="J1181">
        <v>161.62</v>
      </c>
      <c r="K1181" s="1">
        <v>45724</v>
      </c>
      <c r="L1181" t="s">
        <v>14</v>
      </c>
      <c r="M1181">
        <v>8</v>
      </c>
      <c r="N1181">
        <v>3</v>
      </c>
      <c r="O1181">
        <v>1</v>
      </c>
      <c r="P1181">
        <v>2025</v>
      </c>
    </row>
    <row r="1182" spans="1:16">
      <c r="A1182">
        <v>693.08</v>
      </c>
      <c r="B1182">
        <v>4</v>
      </c>
      <c r="C1182" t="s">
        <v>1223</v>
      </c>
      <c r="D1182" t="s">
        <v>1224</v>
      </c>
      <c r="E1182" t="s">
        <v>1225</v>
      </c>
      <c r="F1182" t="s">
        <v>644</v>
      </c>
      <c r="G1182" t="s">
        <v>748</v>
      </c>
      <c r="H1182" t="s">
        <v>185</v>
      </c>
      <c r="I1182" t="s">
        <v>57</v>
      </c>
      <c r="J1182">
        <v>173.27</v>
      </c>
      <c r="K1182" s="1">
        <v>46099</v>
      </c>
      <c r="L1182" t="s">
        <v>34</v>
      </c>
      <c r="M1182">
        <v>18</v>
      </c>
      <c r="N1182">
        <v>3</v>
      </c>
      <c r="O1182">
        <v>1</v>
      </c>
      <c r="P1182">
        <v>2026</v>
      </c>
    </row>
    <row r="1183" spans="1:16">
      <c r="A1183">
        <v>859.8</v>
      </c>
      <c r="B1183">
        <v>4</v>
      </c>
      <c r="C1183" t="s">
        <v>1075</v>
      </c>
      <c r="D1183" t="s">
        <v>1076</v>
      </c>
      <c r="E1183" t="s">
        <v>1077</v>
      </c>
      <c r="F1183" t="s">
        <v>1078</v>
      </c>
      <c r="G1183" t="s">
        <v>781</v>
      </c>
      <c r="H1183" t="s">
        <v>195</v>
      </c>
      <c r="I1183" t="s">
        <v>31</v>
      </c>
      <c r="J1183">
        <v>214.95</v>
      </c>
      <c r="K1183" s="1">
        <v>45642</v>
      </c>
      <c r="L1183" t="s">
        <v>93</v>
      </c>
      <c r="M1183">
        <v>16</v>
      </c>
      <c r="N1183">
        <v>12</v>
      </c>
      <c r="O1183">
        <v>4</v>
      </c>
      <c r="P1183">
        <v>2024</v>
      </c>
    </row>
    <row r="1184" spans="1:16">
      <c r="A1184">
        <v>598.91999999999996</v>
      </c>
      <c r="B1184">
        <v>4</v>
      </c>
      <c r="C1184" t="s">
        <v>2972</v>
      </c>
      <c r="D1184" t="s">
        <v>2973</v>
      </c>
      <c r="E1184" t="s">
        <v>1771</v>
      </c>
      <c r="F1184" t="s">
        <v>1533</v>
      </c>
      <c r="G1184" t="s">
        <v>781</v>
      </c>
      <c r="H1184" t="s">
        <v>425</v>
      </c>
      <c r="I1184" t="s">
        <v>51</v>
      </c>
      <c r="J1184">
        <v>149.72999999999999</v>
      </c>
      <c r="K1184" s="1">
        <v>45788</v>
      </c>
      <c r="L1184" t="s">
        <v>28</v>
      </c>
      <c r="M1184">
        <v>11</v>
      </c>
      <c r="N1184">
        <v>5</v>
      </c>
      <c r="O1184">
        <v>2</v>
      </c>
      <c r="P1184">
        <v>2025</v>
      </c>
    </row>
    <row r="1185" spans="1:16">
      <c r="A1185">
        <v>226.05</v>
      </c>
      <c r="B1185">
        <v>5</v>
      </c>
      <c r="C1185" t="s">
        <v>2374</v>
      </c>
      <c r="D1185" t="s">
        <v>2375</v>
      </c>
      <c r="E1185" t="s">
        <v>2120</v>
      </c>
      <c r="F1185" t="s">
        <v>1740</v>
      </c>
      <c r="G1185" t="s">
        <v>954</v>
      </c>
      <c r="H1185" t="s">
        <v>542</v>
      </c>
      <c r="I1185" t="s">
        <v>46</v>
      </c>
      <c r="J1185">
        <v>45.21</v>
      </c>
      <c r="K1185" s="1">
        <v>45679</v>
      </c>
      <c r="L1185" t="s">
        <v>34</v>
      </c>
      <c r="M1185">
        <v>22</v>
      </c>
      <c r="N1185">
        <v>1</v>
      </c>
      <c r="O1185">
        <v>1</v>
      </c>
      <c r="P1185">
        <v>2025</v>
      </c>
    </row>
    <row r="1186" spans="1:16">
      <c r="A1186">
        <v>43.74</v>
      </c>
      <c r="B1186">
        <v>2</v>
      </c>
      <c r="C1186" t="s">
        <v>3199</v>
      </c>
      <c r="D1186" t="s">
        <v>3200</v>
      </c>
      <c r="E1186" t="s">
        <v>1212</v>
      </c>
      <c r="F1186" t="s">
        <v>619</v>
      </c>
      <c r="G1186" t="s">
        <v>758</v>
      </c>
      <c r="H1186" t="s">
        <v>462</v>
      </c>
      <c r="I1186" t="s">
        <v>100</v>
      </c>
      <c r="J1186">
        <v>21.87</v>
      </c>
      <c r="K1186" s="1">
        <v>45753</v>
      </c>
      <c r="L1186" t="s">
        <v>28</v>
      </c>
      <c r="M1186">
        <v>6</v>
      </c>
      <c r="N1186">
        <v>4</v>
      </c>
      <c r="O1186">
        <v>2</v>
      </c>
      <c r="P1186">
        <v>2025</v>
      </c>
    </row>
    <row r="1187" spans="1:16">
      <c r="A1187">
        <v>24.86</v>
      </c>
      <c r="B1187">
        <v>1</v>
      </c>
      <c r="C1187" t="s">
        <v>3112</v>
      </c>
      <c r="D1187" t="s">
        <v>3113</v>
      </c>
      <c r="E1187" t="s">
        <v>3114</v>
      </c>
      <c r="F1187" t="s">
        <v>1107</v>
      </c>
      <c r="G1187" t="s">
        <v>763</v>
      </c>
      <c r="H1187" t="s">
        <v>531</v>
      </c>
      <c r="I1187" t="s">
        <v>69</v>
      </c>
      <c r="J1187">
        <v>24.86</v>
      </c>
      <c r="K1187" s="1">
        <v>46217</v>
      </c>
      <c r="L1187" t="s">
        <v>48</v>
      </c>
      <c r="M1187">
        <v>14</v>
      </c>
      <c r="N1187">
        <v>7</v>
      </c>
      <c r="O1187">
        <v>3</v>
      </c>
      <c r="P1187">
        <v>2026</v>
      </c>
    </row>
    <row r="1188" spans="1:16">
      <c r="A1188">
        <v>168.27</v>
      </c>
      <c r="B1188">
        <v>1</v>
      </c>
      <c r="C1188" t="s">
        <v>2713</v>
      </c>
      <c r="D1188" t="s">
        <v>2714</v>
      </c>
      <c r="E1188" t="s">
        <v>2365</v>
      </c>
      <c r="F1188" t="s">
        <v>1682</v>
      </c>
      <c r="G1188" t="s">
        <v>892</v>
      </c>
      <c r="H1188" t="s">
        <v>591</v>
      </c>
      <c r="I1188" t="s">
        <v>82</v>
      </c>
      <c r="J1188">
        <v>168.27</v>
      </c>
      <c r="K1188" s="1">
        <v>45850</v>
      </c>
      <c r="L1188" t="s">
        <v>14</v>
      </c>
      <c r="M1188">
        <v>12</v>
      </c>
      <c r="N1188">
        <v>7</v>
      </c>
      <c r="O1188">
        <v>3</v>
      </c>
      <c r="P1188">
        <v>2025</v>
      </c>
    </row>
    <row r="1189" spans="1:16">
      <c r="A1189">
        <v>12.7</v>
      </c>
      <c r="B1189">
        <v>5</v>
      </c>
      <c r="C1189" t="s">
        <v>1360</v>
      </c>
      <c r="D1189" t="s">
        <v>1361</v>
      </c>
      <c r="E1189" t="s">
        <v>932</v>
      </c>
      <c r="F1189" t="s">
        <v>1362</v>
      </c>
      <c r="G1189" t="s">
        <v>896</v>
      </c>
      <c r="H1189" t="s">
        <v>409</v>
      </c>
      <c r="I1189" t="s">
        <v>39</v>
      </c>
      <c r="J1189">
        <v>2.54</v>
      </c>
      <c r="K1189" s="1">
        <v>45961</v>
      </c>
      <c r="L1189" t="s">
        <v>79</v>
      </c>
      <c r="M1189">
        <v>31</v>
      </c>
      <c r="N1189">
        <v>10</v>
      </c>
      <c r="O1189">
        <v>4</v>
      </c>
      <c r="P1189">
        <v>2025</v>
      </c>
    </row>
    <row r="1190" spans="1:16">
      <c r="A1190">
        <v>727.52</v>
      </c>
      <c r="B1190">
        <v>4</v>
      </c>
      <c r="C1190" t="s">
        <v>3185</v>
      </c>
      <c r="D1190" t="s">
        <v>3186</v>
      </c>
      <c r="E1190" t="s">
        <v>1324</v>
      </c>
      <c r="F1190" t="s">
        <v>211</v>
      </c>
      <c r="G1190" t="s">
        <v>966</v>
      </c>
      <c r="H1190" t="s">
        <v>549</v>
      </c>
      <c r="I1190" t="s">
        <v>82</v>
      </c>
      <c r="J1190">
        <v>181.88</v>
      </c>
      <c r="K1190" s="1">
        <v>46236</v>
      </c>
      <c r="L1190" t="s">
        <v>28</v>
      </c>
      <c r="M1190">
        <v>2</v>
      </c>
      <c r="N1190">
        <v>8</v>
      </c>
      <c r="O1190">
        <v>3</v>
      </c>
      <c r="P1190">
        <v>2026</v>
      </c>
    </row>
    <row r="1191" spans="1:16">
      <c r="A1191">
        <v>1110.95</v>
      </c>
      <c r="B1191">
        <v>5</v>
      </c>
      <c r="C1191" t="s">
        <v>2483</v>
      </c>
      <c r="D1191" t="s">
        <v>2484</v>
      </c>
      <c r="E1191" t="s">
        <v>1155</v>
      </c>
      <c r="F1191" t="s">
        <v>106</v>
      </c>
      <c r="G1191" t="s">
        <v>790</v>
      </c>
      <c r="H1191" t="s">
        <v>1082</v>
      </c>
      <c r="I1191" t="s">
        <v>69</v>
      </c>
      <c r="J1191">
        <v>222.19</v>
      </c>
      <c r="K1191" s="1">
        <v>46109</v>
      </c>
      <c r="L1191" t="s">
        <v>14</v>
      </c>
      <c r="M1191">
        <v>28</v>
      </c>
      <c r="N1191">
        <v>3</v>
      </c>
      <c r="O1191">
        <v>1</v>
      </c>
      <c r="P1191">
        <v>2026</v>
      </c>
    </row>
    <row r="1192" spans="1:16">
      <c r="A1192">
        <v>207.88</v>
      </c>
      <c r="B1192">
        <v>2</v>
      </c>
      <c r="C1192" t="s">
        <v>2159</v>
      </c>
      <c r="D1192" t="s">
        <v>2160</v>
      </c>
      <c r="E1192" t="s">
        <v>1559</v>
      </c>
      <c r="F1192" t="s">
        <v>919</v>
      </c>
      <c r="G1192" t="s">
        <v>786</v>
      </c>
      <c r="H1192" t="s">
        <v>210</v>
      </c>
      <c r="I1192" t="s">
        <v>55</v>
      </c>
      <c r="J1192">
        <v>103.94</v>
      </c>
      <c r="K1192" s="1">
        <v>45733</v>
      </c>
      <c r="L1192" t="s">
        <v>93</v>
      </c>
      <c r="M1192">
        <v>17</v>
      </c>
      <c r="N1192">
        <v>3</v>
      </c>
      <c r="O1192">
        <v>1</v>
      </c>
      <c r="P1192">
        <v>2025</v>
      </c>
    </row>
    <row r="1193" spans="1:16">
      <c r="A1193">
        <v>92.62</v>
      </c>
      <c r="B1193">
        <v>2</v>
      </c>
      <c r="C1193" t="s">
        <v>1086</v>
      </c>
      <c r="D1193" t="s">
        <v>1087</v>
      </c>
      <c r="E1193" t="s">
        <v>1088</v>
      </c>
      <c r="F1193" t="s">
        <v>1089</v>
      </c>
      <c r="G1193" t="s">
        <v>812</v>
      </c>
      <c r="H1193" t="s">
        <v>583</v>
      </c>
      <c r="I1193" t="s">
        <v>19</v>
      </c>
      <c r="J1193">
        <v>46.31</v>
      </c>
      <c r="K1193" s="1">
        <v>45864</v>
      </c>
      <c r="L1193" t="s">
        <v>14</v>
      </c>
      <c r="M1193">
        <v>26</v>
      </c>
      <c r="N1193">
        <v>7</v>
      </c>
      <c r="O1193">
        <v>3</v>
      </c>
      <c r="P1193">
        <v>2025</v>
      </c>
    </row>
    <row r="1194" spans="1:16">
      <c r="A1194">
        <v>12.62</v>
      </c>
      <c r="B1194">
        <v>1</v>
      </c>
      <c r="C1194" t="s">
        <v>1346</v>
      </c>
      <c r="D1194" t="s">
        <v>1347</v>
      </c>
      <c r="E1194" t="s">
        <v>1348</v>
      </c>
      <c r="F1194" t="s">
        <v>548</v>
      </c>
      <c r="G1194" t="s">
        <v>790</v>
      </c>
      <c r="H1194" t="s">
        <v>256</v>
      </c>
      <c r="I1194" t="s">
        <v>31</v>
      </c>
      <c r="J1194">
        <v>12.62</v>
      </c>
      <c r="K1194" s="1">
        <v>46023</v>
      </c>
      <c r="L1194" t="s">
        <v>105</v>
      </c>
      <c r="M1194">
        <v>1</v>
      </c>
      <c r="N1194">
        <v>1</v>
      </c>
      <c r="O1194">
        <v>1</v>
      </c>
      <c r="P1194">
        <v>2026</v>
      </c>
    </row>
    <row r="1195" spans="1:16">
      <c r="A1195">
        <v>432.21</v>
      </c>
      <c r="B1195">
        <v>3</v>
      </c>
      <c r="C1195" t="s">
        <v>2653</v>
      </c>
      <c r="D1195" t="s">
        <v>2654</v>
      </c>
      <c r="E1195" t="s">
        <v>2315</v>
      </c>
      <c r="F1195" t="s">
        <v>780</v>
      </c>
      <c r="G1195" t="s">
        <v>781</v>
      </c>
      <c r="H1195" t="s">
        <v>230</v>
      </c>
      <c r="I1195" t="s">
        <v>46</v>
      </c>
      <c r="J1195">
        <v>144.07</v>
      </c>
      <c r="K1195" s="1">
        <v>45625</v>
      </c>
      <c r="L1195" t="s">
        <v>79</v>
      </c>
      <c r="M1195">
        <v>29</v>
      </c>
      <c r="N1195">
        <v>11</v>
      </c>
      <c r="O1195">
        <v>4</v>
      </c>
      <c r="P1195">
        <v>2024</v>
      </c>
    </row>
    <row r="1196" spans="1:16">
      <c r="A1196">
        <v>51.65</v>
      </c>
      <c r="B1196">
        <v>1</v>
      </c>
      <c r="C1196" t="s">
        <v>1463</v>
      </c>
      <c r="D1196" t="s">
        <v>1464</v>
      </c>
      <c r="E1196" t="s">
        <v>882</v>
      </c>
      <c r="F1196" t="s">
        <v>1465</v>
      </c>
      <c r="G1196" t="s">
        <v>817</v>
      </c>
      <c r="H1196" t="s">
        <v>212</v>
      </c>
      <c r="I1196" t="s">
        <v>57</v>
      </c>
      <c r="J1196">
        <v>51.65</v>
      </c>
      <c r="K1196" s="1">
        <v>46028</v>
      </c>
      <c r="L1196" t="s">
        <v>48</v>
      </c>
      <c r="M1196">
        <v>6</v>
      </c>
      <c r="N1196">
        <v>1</v>
      </c>
      <c r="O1196">
        <v>1</v>
      </c>
      <c r="P1196">
        <v>2026</v>
      </c>
    </row>
    <row r="1197" spans="1:16">
      <c r="A1197">
        <v>928.34999999999991</v>
      </c>
      <c r="B1197">
        <v>5</v>
      </c>
      <c r="C1197" t="s">
        <v>1150</v>
      </c>
      <c r="D1197" t="s">
        <v>1151</v>
      </c>
      <c r="E1197" t="s">
        <v>1152</v>
      </c>
      <c r="F1197" t="s">
        <v>843</v>
      </c>
      <c r="G1197" t="s">
        <v>753</v>
      </c>
      <c r="H1197" t="s">
        <v>720</v>
      </c>
      <c r="I1197" t="s">
        <v>100</v>
      </c>
      <c r="J1197">
        <v>185.67</v>
      </c>
      <c r="K1197" s="1">
        <v>45877</v>
      </c>
      <c r="L1197" t="s">
        <v>79</v>
      </c>
      <c r="M1197">
        <v>8</v>
      </c>
      <c r="N1197">
        <v>8</v>
      </c>
      <c r="O1197">
        <v>3</v>
      </c>
      <c r="P1197">
        <v>2025</v>
      </c>
    </row>
    <row r="1198" spans="1:16">
      <c r="A1198">
        <v>710.76</v>
      </c>
      <c r="B1198">
        <v>4</v>
      </c>
      <c r="C1198" t="s">
        <v>2000</v>
      </c>
      <c r="D1198" t="s">
        <v>2001</v>
      </c>
      <c r="E1198" t="s">
        <v>1793</v>
      </c>
      <c r="F1198" t="s">
        <v>64</v>
      </c>
      <c r="G1198" t="s">
        <v>892</v>
      </c>
      <c r="H1198" t="s">
        <v>52</v>
      </c>
      <c r="I1198" t="s">
        <v>21</v>
      </c>
      <c r="J1198">
        <v>177.69</v>
      </c>
      <c r="K1198" s="1">
        <v>46171</v>
      </c>
      <c r="L1198" t="s">
        <v>79</v>
      </c>
      <c r="M1198">
        <v>29</v>
      </c>
      <c r="N1198">
        <v>5</v>
      </c>
      <c r="O1198">
        <v>2</v>
      </c>
      <c r="P1198">
        <v>2026</v>
      </c>
    </row>
    <row r="1199" spans="1:16">
      <c r="A1199">
        <v>904.59999999999991</v>
      </c>
      <c r="B1199">
        <v>5</v>
      </c>
      <c r="C1199" t="s">
        <v>1046</v>
      </c>
      <c r="D1199" t="s">
        <v>1047</v>
      </c>
      <c r="E1199" t="s">
        <v>746</v>
      </c>
      <c r="F1199" t="s">
        <v>29</v>
      </c>
      <c r="G1199" t="s">
        <v>821</v>
      </c>
      <c r="H1199" t="s">
        <v>324</v>
      </c>
      <c r="I1199" t="s">
        <v>17</v>
      </c>
      <c r="J1199">
        <v>180.92</v>
      </c>
      <c r="K1199" s="1">
        <v>45653</v>
      </c>
      <c r="L1199" t="s">
        <v>79</v>
      </c>
      <c r="M1199">
        <v>27</v>
      </c>
      <c r="N1199">
        <v>12</v>
      </c>
      <c r="O1199">
        <v>4</v>
      </c>
      <c r="P1199">
        <v>2024</v>
      </c>
    </row>
    <row r="1200" spans="1:16">
      <c r="A1200">
        <v>13.22</v>
      </c>
      <c r="B1200">
        <v>2</v>
      </c>
      <c r="C1200" t="s">
        <v>1863</v>
      </c>
      <c r="D1200" t="s">
        <v>1864</v>
      </c>
      <c r="E1200" t="s">
        <v>1865</v>
      </c>
      <c r="F1200" t="s">
        <v>1168</v>
      </c>
      <c r="G1200" t="s">
        <v>758</v>
      </c>
      <c r="H1200" t="s">
        <v>447</v>
      </c>
      <c r="I1200" t="s">
        <v>21</v>
      </c>
      <c r="J1200">
        <v>6.61</v>
      </c>
      <c r="K1200" s="1">
        <v>46259</v>
      </c>
      <c r="L1200" t="s">
        <v>48</v>
      </c>
      <c r="M1200">
        <v>25</v>
      </c>
      <c r="N1200">
        <v>8</v>
      </c>
      <c r="O1200">
        <v>3</v>
      </c>
      <c r="P1200">
        <v>2026</v>
      </c>
    </row>
    <row r="1201" spans="1:16">
      <c r="A1201">
        <v>159.46</v>
      </c>
      <c r="B1201">
        <v>2</v>
      </c>
      <c r="C1201" t="s">
        <v>3061</v>
      </c>
      <c r="D1201" t="s">
        <v>3062</v>
      </c>
      <c r="E1201" t="s">
        <v>2629</v>
      </c>
      <c r="F1201" t="s">
        <v>1168</v>
      </c>
      <c r="G1201" t="s">
        <v>758</v>
      </c>
      <c r="H1201" t="s">
        <v>621</v>
      </c>
      <c r="I1201" t="s">
        <v>19</v>
      </c>
      <c r="J1201">
        <v>79.73</v>
      </c>
      <c r="K1201" s="1">
        <v>45946</v>
      </c>
      <c r="L1201" t="s">
        <v>105</v>
      </c>
      <c r="M1201">
        <v>16</v>
      </c>
      <c r="N1201">
        <v>10</v>
      </c>
      <c r="O1201">
        <v>4</v>
      </c>
      <c r="P1201">
        <v>2025</v>
      </c>
    </row>
    <row r="1202" spans="1:16">
      <c r="A1202">
        <v>119.58</v>
      </c>
      <c r="B1202">
        <v>1</v>
      </c>
      <c r="C1202" t="s">
        <v>1764</v>
      </c>
      <c r="D1202" t="s">
        <v>1765</v>
      </c>
      <c r="E1202" t="s">
        <v>1311</v>
      </c>
      <c r="F1202" t="s">
        <v>903</v>
      </c>
      <c r="G1202" t="s">
        <v>786</v>
      </c>
      <c r="H1202" t="s">
        <v>143</v>
      </c>
      <c r="I1202" t="s">
        <v>69</v>
      </c>
      <c r="J1202">
        <v>119.58</v>
      </c>
      <c r="K1202" s="1">
        <v>45903</v>
      </c>
      <c r="L1202" t="s">
        <v>34</v>
      </c>
      <c r="M1202">
        <v>3</v>
      </c>
      <c r="N1202">
        <v>9</v>
      </c>
      <c r="O1202">
        <v>3</v>
      </c>
      <c r="P1202">
        <v>2025</v>
      </c>
    </row>
    <row r="1203" spans="1:16">
      <c r="A1203">
        <v>591.85</v>
      </c>
      <c r="B1203">
        <v>5</v>
      </c>
      <c r="C1203" t="s">
        <v>3236</v>
      </c>
      <c r="D1203" t="s">
        <v>3237</v>
      </c>
      <c r="E1203" t="s">
        <v>973</v>
      </c>
      <c r="F1203" t="s">
        <v>2332</v>
      </c>
      <c r="G1203" t="s">
        <v>1003</v>
      </c>
      <c r="H1203" t="s">
        <v>710</v>
      </c>
      <c r="I1203" t="s">
        <v>69</v>
      </c>
      <c r="J1203">
        <v>118.37</v>
      </c>
      <c r="K1203" s="1">
        <v>46108</v>
      </c>
      <c r="L1203" t="s">
        <v>79</v>
      </c>
      <c r="M1203">
        <v>27</v>
      </c>
      <c r="N1203">
        <v>3</v>
      </c>
      <c r="O1203">
        <v>1</v>
      </c>
      <c r="P1203">
        <v>2026</v>
      </c>
    </row>
    <row r="1204" spans="1:16">
      <c r="A1204">
        <v>199.66</v>
      </c>
      <c r="B1204">
        <v>2</v>
      </c>
      <c r="C1204" t="s">
        <v>2295</v>
      </c>
      <c r="D1204" t="s">
        <v>2296</v>
      </c>
      <c r="E1204" t="s">
        <v>2297</v>
      </c>
      <c r="F1204" t="s">
        <v>15</v>
      </c>
      <c r="G1204" t="s">
        <v>834</v>
      </c>
      <c r="H1204" t="s">
        <v>467</v>
      </c>
      <c r="I1204" t="s">
        <v>19</v>
      </c>
      <c r="J1204">
        <v>99.83</v>
      </c>
      <c r="K1204" s="1">
        <v>46245</v>
      </c>
      <c r="L1204" t="s">
        <v>48</v>
      </c>
      <c r="M1204">
        <v>11</v>
      </c>
      <c r="N1204">
        <v>8</v>
      </c>
      <c r="O1204">
        <v>3</v>
      </c>
      <c r="P1204">
        <v>2026</v>
      </c>
    </row>
    <row r="1205" spans="1:16">
      <c r="A1205">
        <v>682.28</v>
      </c>
      <c r="B1205">
        <v>4</v>
      </c>
      <c r="C1205" t="s">
        <v>1610</v>
      </c>
      <c r="D1205" t="s">
        <v>1611</v>
      </c>
      <c r="E1205" t="s">
        <v>1565</v>
      </c>
      <c r="F1205" t="s">
        <v>380</v>
      </c>
      <c r="G1205" t="s">
        <v>896</v>
      </c>
      <c r="H1205" t="s">
        <v>482</v>
      </c>
      <c r="I1205" t="s">
        <v>82</v>
      </c>
      <c r="J1205">
        <v>170.57</v>
      </c>
      <c r="K1205" s="1">
        <v>46135</v>
      </c>
      <c r="L1205" t="s">
        <v>105</v>
      </c>
      <c r="M1205">
        <v>23</v>
      </c>
      <c r="N1205">
        <v>4</v>
      </c>
      <c r="O1205">
        <v>2</v>
      </c>
      <c r="P1205">
        <v>2026</v>
      </c>
    </row>
    <row r="1206" spans="1:16">
      <c r="A1206">
        <v>22.92</v>
      </c>
      <c r="B1206">
        <v>1</v>
      </c>
      <c r="C1206" t="s">
        <v>769</v>
      </c>
      <c r="D1206" t="s">
        <v>770</v>
      </c>
      <c r="E1206" t="s">
        <v>771</v>
      </c>
      <c r="F1206" t="s">
        <v>772</v>
      </c>
      <c r="G1206" t="s">
        <v>758</v>
      </c>
      <c r="H1206" t="s">
        <v>167</v>
      </c>
      <c r="I1206" t="s">
        <v>23</v>
      </c>
      <c r="J1206">
        <v>22.92</v>
      </c>
      <c r="K1206" s="1">
        <v>45971</v>
      </c>
      <c r="L1206" t="s">
        <v>93</v>
      </c>
      <c r="M1206">
        <v>10</v>
      </c>
      <c r="N1206">
        <v>11</v>
      </c>
      <c r="O1206">
        <v>4</v>
      </c>
      <c r="P1206">
        <v>2025</v>
      </c>
    </row>
    <row r="1207" spans="1:16">
      <c r="A1207">
        <v>107.03</v>
      </c>
      <c r="B1207">
        <v>1</v>
      </c>
      <c r="C1207" t="s">
        <v>2063</v>
      </c>
      <c r="D1207" t="s">
        <v>2064</v>
      </c>
      <c r="E1207" t="s">
        <v>2065</v>
      </c>
      <c r="F1207" t="s">
        <v>1156</v>
      </c>
      <c r="G1207" t="s">
        <v>821</v>
      </c>
      <c r="H1207" t="s">
        <v>529</v>
      </c>
      <c r="I1207" t="s">
        <v>37</v>
      </c>
      <c r="J1207">
        <v>107.03</v>
      </c>
      <c r="K1207" s="1">
        <v>46240</v>
      </c>
      <c r="L1207" t="s">
        <v>105</v>
      </c>
      <c r="M1207">
        <v>6</v>
      </c>
      <c r="N1207">
        <v>8</v>
      </c>
      <c r="O1207">
        <v>3</v>
      </c>
      <c r="P1207">
        <v>2026</v>
      </c>
    </row>
    <row r="1208" spans="1:16">
      <c r="A1208">
        <v>174.96</v>
      </c>
      <c r="B1208">
        <v>2</v>
      </c>
      <c r="C1208" t="s">
        <v>1631</v>
      </c>
      <c r="D1208" t="s">
        <v>1632</v>
      </c>
      <c r="E1208" t="s">
        <v>1633</v>
      </c>
      <c r="F1208" t="s">
        <v>136</v>
      </c>
      <c r="G1208" t="s">
        <v>776</v>
      </c>
      <c r="H1208" t="s">
        <v>604</v>
      </c>
      <c r="I1208" t="s">
        <v>69</v>
      </c>
      <c r="J1208">
        <v>87.48</v>
      </c>
      <c r="K1208" s="1">
        <v>45845</v>
      </c>
      <c r="L1208" t="s">
        <v>93</v>
      </c>
      <c r="M1208">
        <v>7</v>
      </c>
      <c r="N1208">
        <v>7</v>
      </c>
      <c r="O1208">
        <v>3</v>
      </c>
      <c r="P1208">
        <v>2025</v>
      </c>
    </row>
    <row r="1209" spans="1:16">
      <c r="A1209">
        <v>223.02</v>
      </c>
      <c r="B1209">
        <v>2</v>
      </c>
      <c r="C1209" t="s">
        <v>2061</v>
      </c>
      <c r="D1209" t="s">
        <v>2062</v>
      </c>
      <c r="E1209" t="s">
        <v>1754</v>
      </c>
      <c r="F1209" t="s">
        <v>392</v>
      </c>
      <c r="G1209" t="s">
        <v>834</v>
      </c>
      <c r="H1209" t="s">
        <v>416</v>
      </c>
      <c r="I1209" t="s">
        <v>57</v>
      </c>
      <c r="J1209">
        <v>111.51</v>
      </c>
      <c r="K1209" s="1">
        <v>46225</v>
      </c>
      <c r="L1209" t="s">
        <v>34</v>
      </c>
      <c r="M1209">
        <v>22</v>
      </c>
      <c r="N1209">
        <v>7</v>
      </c>
      <c r="O1209">
        <v>3</v>
      </c>
      <c r="P1209">
        <v>2026</v>
      </c>
    </row>
    <row r="1210" spans="1:16">
      <c r="A1210">
        <v>532.9</v>
      </c>
      <c r="B1210">
        <v>5</v>
      </c>
      <c r="C1210" t="s">
        <v>1671</v>
      </c>
      <c r="D1210" t="s">
        <v>1672</v>
      </c>
      <c r="E1210" t="s">
        <v>1013</v>
      </c>
      <c r="F1210" t="s">
        <v>1673</v>
      </c>
      <c r="G1210" t="s">
        <v>821</v>
      </c>
      <c r="H1210" t="s">
        <v>670</v>
      </c>
      <c r="I1210" t="s">
        <v>57</v>
      </c>
      <c r="J1210">
        <v>106.58</v>
      </c>
      <c r="K1210" s="1">
        <v>45813</v>
      </c>
      <c r="L1210" t="s">
        <v>105</v>
      </c>
      <c r="M1210">
        <v>5</v>
      </c>
      <c r="N1210">
        <v>6</v>
      </c>
      <c r="O1210">
        <v>2</v>
      </c>
      <c r="P1210">
        <v>2025</v>
      </c>
    </row>
    <row r="1211" spans="1:16">
      <c r="A1211">
        <v>208.36</v>
      </c>
      <c r="B1211">
        <v>1</v>
      </c>
      <c r="C1211" t="s">
        <v>2161</v>
      </c>
      <c r="D1211" t="s">
        <v>2162</v>
      </c>
      <c r="E1211" t="s">
        <v>824</v>
      </c>
      <c r="F1211" t="s">
        <v>1882</v>
      </c>
      <c r="G1211" t="s">
        <v>795</v>
      </c>
      <c r="H1211" t="s">
        <v>545</v>
      </c>
      <c r="I1211" t="s">
        <v>60</v>
      </c>
      <c r="J1211">
        <v>208.36</v>
      </c>
      <c r="K1211" s="1">
        <v>46276</v>
      </c>
      <c r="L1211" t="s">
        <v>79</v>
      </c>
      <c r="M1211">
        <v>11</v>
      </c>
      <c r="N1211">
        <v>9</v>
      </c>
      <c r="O1211">
        <v>3</v>
      </c>
      <c r="P1211">
        <v>2026</v>
      </c>
    </row>
    <row r="1212" spans="1:16">
      <c r="A1212">
        <v>90.13</v>
      </c>
      <c r="B1212">
        <v>1</v>
      </c>
      <c r="C1212" t="s">
        <v>2336</v>
      </c>
      <c r="D1212" t="s">
        <v>2337</v>
      </c>
      <c r="E1212" t="s">
        <v>2338</v>
      </c>
      <c r="F1212" t="s">
        <v>1811</v>
      </c>
      <c r="G1212" t="s">
        <v>892</v>
      </c>
      <c r="H1212" t="s">
        <v>304</v>
      </c>
      <c r="I1212" t="s">
        <v>100</v>
      </c>
      <c r="J1212">
        <v>90.13</v>
      </c>
      <c r="K1212" s="1">
        <v>45895</v>
      </c>
      <c r="L1212" t="s">
        <v>48</v>
      </c>
      <c r="M1212">
        <v>26</v>
      </c>
      <c r="N1212">
        <v>8</v>
      </c>
      <c r="O1212">
        <v>3</v>
      </c>
      <c r="P1212">
        <v>2025</v>
      </c>
    </row>
    <row r="1213" spans="1:16">
      <c r="A1213">
        <v>92.49</v>
      </c>
      <c r="B1213">
        <v>1</v>
      </c>
      <c r="C1213" t="s">
        <v>2430</v>
      </c>
      <c r="D1213" t="s">
        <v>2431</v>
      </c>
      <c r="E1213" t="s">
        <v>1893</v>
      </c>
      <c r="F1213" t="s">
        <v>762</v>
      </c>
      <c r="G1213" t="s">
        <v>763</v>
      </c>
      <c r="H1213" t="s">
        <v>36</v>
      </c>
      <c r="I1213" t="s">
        <v>37</v>
      </c>
      <c r="J1213">
        <v>92.49</v>
      </c>
      <c r="K1213" s="1">
        <v>45787</v>
      </c>
      <c r="L1213" t="s">
        <v>14</v>
      </c>
      <c r="M1213">
        <v>10</v>
      </c>
      <c r="N1213">
        <v>5</v>
      </c>
      <c r="O1213">
        <v>2</v>
      </c>
      <c r="P1213">
        <v>2025</v>
      </c>
    </row>
    <row r="1214" spans="1:16">
      <c r="A1214">
        <v>28.58</v>
      </c>
      <c r="B1214">
        <v>2</v>
      </c>
      <c r="C1214" t="s">
        <v>1448</v>
      </c>
      <c r="D1214" t="s">
        <v>1449</v>
      </c>
      <c r="E1214" t="s">
        <v>1050</v>
      </c>
      <c r="F1214" t="s">
        <v>806</v>
      </c>
      <c r="G1214" t="s">
        <v>807</v>
      </c>
      <c r="H1214" t="s">
        <v>685</v>
      </c>
      <c r="I1214" t="s">
        <v>69</v>
      </c>
      <c r="J1214">
        <v>14.29</v>
      </c>
      <c r="K1214" s="1">
        <v>45844</v>
      </c>
      <c r="L1214" t="s">
        <v>28</v>
      </c>
      <c r="M1214">
        <v>6</v>
      </c>
      <c r="N1214">
        <v>7</v>
      </c>
      <c r="O1214">
        <v>3</v>
      </c>
      <c r="P1214">
        <v>2025</v>
      </c>
    </row>
    <row r="1215" spans="1:16">
      <c r="A1215">
        <v>821.08</v>
      </c>
      <c r="B1215">
        <v>4</v>
      </c>
      <c r="C1215" t="s">
        <v>1869</v>
      </c>
      <c r="D1215" t="s">
        <v>1870</v>
      </c>
      <c r="E1215" t="s">
        <v>1501</v>
      </c>
      <c r="F1215" t="s">
        <v>869</v>
      </c>
      <c r="G1215" t="s">
        <v>1247</v>
      </c>
      <c r="H1215" t="s">
        <v>404</v>
      </c>
      <c r="I1215" t="s">
        <v>37</v>
      </c>
      <c r="J1215">
        <v>205.27</v>
      </c>
      <c r="K1215" s="1">
        <v>45744</v>
      </c>
      <c r="L1215" t="s">
        <v>79</v>
      </c>
      <c r="M1215">
        <v>28</v>
      </c>
      <c r="N1215">
        <v>3</v>
      </c>
      <c r="O1215">
        <v>1</v>
      </c>
      <c r="P1215">
        <v>2025</v>
      </c>
    </row>
    <row r="1216" spans="1:16">
      <c r="A1216">
        <v>524.31000000000006</v>
      </c>
      <c r="B1216">
        <v>3</v>
      </c>
      <c r="C1216" t="s">
        <v>1184</v>
      </c>
      <c r="D1216" t="s">
        <v>1185</v>
      </c>
      <c r="E1216" t="s">
        <v>994</v>
      </c>
      <c r="F1216" t="s">
        <v>915</v>
      </c>
      <c r="G1216" t="s">
        <v>908</v>
      </c>
      <c r="H1216" t="s">
        <v>483</v>
      </c>
      <c r="I1216" t="s">
        <v>100</v>
      </c>
      <c r="J1216">
        <v>174.77</v>
      </c>
      <c r="K1216" s="1">
        <v>45916</v>
      </c>
      <c r="L1216" t="s">
        <v>48</v>
      </c>
      <c r="M1216">
        <v>16</v>
      </c>
      <c r="N1216">
        <v>9</v>
      </c>
      <c r="O1216">
        <v>3</v>
      </c>
      <c r="P1216">
        <v>2025</v>
      </c>
    </row>
    <row r="1217" spans="1:16">
      <c r="A1217">
        <v>115.83</v>
      </c>
      <c r="B1217">
        <v>3</v>
      </c>
      <c r="C1217" t="s">
        <v>3308</v>
      </c>
      <c r="D1217" t="s">
        <v>3309</v>
      </c>
      <c r="E1217" t="s">
        <v>2848</v>
      </c>
      <c r="F1217" t="s">
        <v>708</v>
      </c>
      <c r="G1217" t="s">
        <v>834</v>
      </c>
      <c r="H1217" t="s">
        <v>58</v>
      </c>
      <c r="I1217" t="s">
        <v>25</v>
      </c>
      <c r="J1217">
        <v>38.61</v>
      </c>
      <c r="K1217" s="1">
        <v>45699</v>
      </c>
      <c r="L1217" t="s">
        <v>48</v>
      </c>
      <c r="M1217">
        <v>11</v>
      </c>
      <c r="N1217">
        <v>2</v>
      </c>
      <c r="O1217">
        <v>1</v>
      </c>
      <c r="P1217">
        <v>2025</v>
      </c>
    </row>
    <row r="1218" spans="1:16">
      <c r="A1218">
        <v>491.58</v>
      </c>
      <c r="B1218">
        <v>2</v>
      </c>
      <c r="C1218" t="s">
        <v>1904</v>
      </c>
      <c r="D1218" t="s">
        <v>1905</v>
      </c>
      <c r="E1218" t="s">
        <v>1906</v>
      </c>
      <c r="F1218" t="s">
        <v>644</v>
      </c>
      <c r="G1218" t="s">
        <v>748</v>
      </c>
      <c r="H1218" t="s">
        <v>344</v>
      </c>
      <c r="I1218" t="s">
        <v>19</v>
      </c>
      <c r="J1218">
        <v>245.79</v>
      </c>
      <c r="K1218" s="1">
        <v>46236</v>
      </c>
      <c r="L1218" t="s">
        <v>28</v>
      </c>
      <c r="M1218">
        <v>2</v>
      </c>
      <c r="N1218">
        <v>8</v>
      </c>
      <c r="O1218">
        <v>3</v>
      </c>
      <c r="P1218">
        <v>2026</v>
      </c>
    </row>
    <row r="1219" spans="1:16">
      <c r="A1219">
        <v>248.11</v>
      </c>
      <c r="B1219">
        <v>1</v>
      </c>
      <c r="C1219" t="s">
        <v>1435</v>
      </c>
      <c r="D1219" t="s">
        <v>1436</v>
      </c>
      <c r="E1219" t="s">
        <v>1437</v>
      </c>
      <c r="F1219" t="s">
        <v>387</v>
      </c>
      <c r="G1219" t="s">
        <v>821</v>
      </c>
      <c r="H1219" t="s">
        <v>808</v>
      </c>
      <c r="I1219" t="s">
        <v>17</v>
      </c>
      <c r="J1219">
        <v>248.11</v>
      </c>
      <c r="K1219" s="1">
        <v>45887</v>
      </c>
      <c r="L1219" t="s">
        <v>93</v>
      </c>
      <c r="M1219">
        <v>18</v>
      </c>
      <c r="N1219">
        <v>8</v>
      </c>
      <c r="O1219">
        <v>3</v>
      </c>
      <c r="P1219">
        <v>2025</v>
      </c>
    </row>
    <row r="1220" spans="1:16">
      <c r="A1220">
        <v>679.08</v>
      </c>
      <c r="B1220">
        <v>4</v>
      </c>
      <c r="C1220" t="s">
        <v>782</v>
      </c>
      <c r="D1220" t="s">
        <v>783</v>
      </c>
      <c r="E1220" t="s">
        <v>784</v>
      </c>
      <c r="F1220" t="s">
        <v>785</v>
      </c>
      <c r="G1220" t="s">
        <v>786</v>
      </c>
      <c r="H1220" t="s">
        <v>300</v>
      </c>
      <c r="I1220" t="s">
        <v>55</v>
      </c>
      <c r="J1220">
        <v>169.77</v>
      </c>
      <c r="K1220" s="1">
        <v>45723</v>
      </c>
      <c r="L1220" t="s">
        <v>79</v>
      </c>
      <c r="M1220">
        <v>7</v>
      </c>
      <c r="N1220">
        <v>3</v>
      </c>
      <c r="O1220">
        <v>1</v>
      </c>
      <c r="P1220">
        <v>2025</v>
      </c>
    </row>
    <row r="1221" spans="1:16">
      <c r="A1221">
        <v>35.159999999999997</v>
      </c>
      <c r="B1221">
        <v>2</v>
      </c>
      <c r="C1221" t="s">
        <v>2226</v>
      </c>
      <c r="D1221" t="s">
        <v>2227</v>
      </c>
      <c r="E1221" t="s">
        <v>1188</v>
      </c>
      <c r="F1221" t="s">
        <v>1089</v>
      </c>
      <c r="G1221" t="s">
        <v>812</v>
      </c>
      <c r="H1221" t="s">
        <v>469</v>
      </c>
      <c r="I1221" t="s">
        <v>46</v>
      </c>
      <c r="J1221">
        <v>17.579999999999998</v>
      </c>
      <c r="K1221" s="1">
        <v>45897</v>
      </c>
      <c r="L1221" t="s">
        <v>105</v>
      </c>
      <c r="M1221">
        <v>28</v>
      </c>
      <c r="N1221">
        <v>8</v>
      </c>
      <c r="O1221">
        <v>3</v>
      </c>
      <c r="P1221">
        <v>2025</v>
      </c>
    </row>
    <row r="1222" spans="1:16">
      <c r="A1222">
        <v>461.08</v>
      </c>
      <c r="B1222">
        <v>4</v>
      </c>
      <c r="C1222" t="s">
        <v>1760</v>
      </c>
      <c r="D1222" t="s">
        <v>1761</v>
      </c>
      <c r="E1222" t="s">
        <v>1603</v>
      </c>
      <c r="F1222" t="s">
        <v>380</v>
      </c>
      <c r="G1222" t="s">
        <v>896</v>
      </c>
      <c r="H1222" t="s">
        <v>198</v>
      </c>
      <c r="I1222" t="s">
        <v>43</v>
      </c>
      <c r="J1222">
        <v>115.27</v>
      </c>
      <c r="K1222" s="1">
        <v>46026</v>
      </c>
      <c r="L1222" t="s">
        <v>28</v>
      </c>
      <c r="M1222">
        <v>4</v>
      </c>
      <c r="N1222">
        <v>1</v>
      </c>
      <c r="O1222">
        <v>1</v>
      </c>
      <c r="P1222">
        <v>2026</v>
      </c>
    </row>
    <row r="1223" spans="1:16">
      <c r="A1223">
        <v>223.36</v>
      </c>
      <c r="B1223">
        <v>2</v>
      </c>
      <c r="C1223" t="s">
        <v>1866</v>
      </c>
      <c r="D1223" t="s">
        <v>1867</v>
      </c>
      <c r="E1223" t="s">
        <v>1868</v>
      </c>
      <c r="F1223" t="s">
        <v>1111</v>
      </c>
      <c r="G1223" t="s">
        <v>981</v>
      </c>
      <c r="H1223" t="s">
        <v>540</v>
      </c>
      <c r="I1223" t="s">
        <v>19</v>
      </c>
      <c r="J1223">
        <v>111.68</v>
      </c>
      <c r="K1223" s="1">
        <v>46212</v>
      </c>
      <c r="L1223" t="s">
        <v>105</v>
      </c>
      <c r="M1223">
        <v>9</v>
      </c>
      <c r="N1223">
        <v>7</v>
      </c>
      <c r="O1223">
        <v>3</v>
      </c>
      <c r="P1223">
        <v>2026</v>
      </c>
    </row>
    <row r="1224" spans="1:16">
      <c r="A1224">
        <v>113.85</v>
      </c>
      <c r="B1224">
        <v>5</v>
      </c>
      <c r="C1224" t="s">
        <v>2867</v>
      </c>
      <c r="D1224" t="s">
        <v>2868</v>
      </c>
      <c r="E1224" t="s">
        <v>906</v>
      </c>
      <c r="F1224" t="s">
        <v>1525</v>
      </c>
      <c r="G1224" t="s">
        <v>763</v>
      </c>
      <c r="H1224" t="s">
        <v>1250</v>
      </c>
      <c r="I1224" t="s">
        <v>23</v>
      </c>
      <c r="J1224">
        <v>22.77</v>
      </c>
      <c r="K1224" s="1">
        <v>45758</v>
      </c>
      <c r="L1224" t="s">
        <v>79</v>
      </c>
      <c r="M1224">
        <v>11</v>
      </c>
      <c r="N1224">
        <v>4</v>
      </c>
      <c r="O1224">
        <v>2</v>
      </c>
      <c r="P1224">
        <v>2025</v>
      </c>
    </row>
    <row r="1225" spans="1:16">
      <c r="A1225">
        <v>216.01</v>
      </c>
      <c r="B1225">
        <v>1</v>
      </c>
      <c r="C1225" t="s">
        <v>3129</v>
      </c>
      <c r="D1225" t="s">
        <v>3130</v>
      </c>
      <c r="E1225" t="s">
        <v>1326</v>
      </c>
      <c r="F1225" t="s">
        <v>2247</v>
      </c>
      <c r="G1225" t="s">
        <v>781</v>
      </c>
      <c r="H1225" t="s">
        <v>336</v>
      </c>
      <c r="I1225" t="s">
        <v>82</v>
      </c>
      <c r="J1225">
        <v>216.01</v>
      </c>
      <c r="K1225" s="1">
        <v>46173</v>
      </c>
      <c r="L1225" t="s">
        <v>28</v>
      </c>
      <c r="M1225">
        <v>31</v>
      </c>
      <c r="N1225">
        <v>5</v>
      </c>
      <c r="O1225">
        <v>2</v>
      </c>
      <c r="P1225">
        <v>2026</v>
      </c>
    </row>
    <row r="1226" spans="1:16">
      <c r="A1226">
        <v>557.76</v>
      </c>
      <c r="B1226">
        <v>3</v>
      </c>
      <c r="C1226" t="s">
        <v>1762</v>
      </c>
      <c r="D1226" t="s">
        <v>1763</v>
      </c>
      <c r="E1226" t="s">
        <v>1706</v>
      </c>
      <c r="F1226" t="s">
        <v>953</v>
      </c>
      <c r="G1226" t="s">
        <v>954</v>
      </c>
      <c r="H1226" t="s">
        <v>683</v>
      </c>
      <c r="I1226" t="s">
        <v>55</v>
      </c>
      <c r="J1226">
        <v>185.92</v>
      </c>
      <c r="K1226" s="1">
        <v>46088</v>
      </c>
      <c r="L1226" t="s">
        <v>14</v>
      </c>
      <c r="M1226">
        <v>7</v>
      </c>
      <c r="N1226">
        <v>3</v>
      </c>
      <c r="O1226">
        <v>1</v>
      </c>
      <c r="P1226">
        <v>2026</v>
      </c>
    </row>
    <row r="1227" spans="1:16">
      <c r="A1227">
        <v>450.28</v>
      </c>
      <c r="B1227">
        <v>2</v>
      </c>
      <c r="C1227" t="s">
        <v>2547</v>
      </c>
      <c r="D1227" t="s">
        <v>2548</v>
      </c>
      <c r="E1227" t="s">
        <v>1938</v>
      </c>
      <c r="F1227" t="s">
        <v>1670</v>
      </c>
      <c r="G1227" t="s">
        <v>1247</v>
      </c>
      <c r="H1227" t="s">
        <v>281</v>
      </c>
      <c r="I1227" t="s">
        <v>51</v>
      </c>
      <c r="J1227">
        <v>225.14</v>
      </c>
      <c r="K1227" s="1">
        <v>45901</v>
      </c>
      <c r="L1227" t="s">
        <v>93</v>
      </c>
      <c r="M1227">
        <v>1</v>
      </c>
      <c r="N1227">
        <v>9</v>
      </c>
      <c r="O1227">
        <v>3</v>
      </c>
      <c r="P1227">
        <v>2025</v>
      </c>
    </row>
    <row r="1228" spans="1:16">
      <c r="A1228">
        <v>569.79999999999995</v>
      </c>
      <c r="B1228">
        <v>5</v>
      </c>
      <c r="C1228" t="s">
        <v>2355</v>
      </c>
      <c r="D1228" t="s">
        <v>2356</v>
      </c>
      <c r="E1228" t="s">
        <v>2306</v>
      </c>
      <c r="F1228" t="s">
        <v>757</v>
      </c>
      <c r="G1228" t="s">
        <v>758</v>
      </c>
      <c r="H1228" t="s">
        <v>18</v>
      </c>
      <c r="I1228" t="s">
        <v>19</v>
      </c>
      <c r="J1228">
        <v>113.96</v>
      </c>
      <c r="K1228" s="1">
        <v>46220</v>
      </c>
      <c r="L1228" t="s">
        <v>79</v>
      </c>
      <c r="M1228">
        <v>17</v>
      </c>
      <c r="N1228">
        <v>7</v>
      </c>
      <c r="O1228">
        <v>3</v>
      </c>
      <c r="P1228">
        <v>2026</v>
      </c>
    </row>
    <row r="1229" spans="1:16">
      <c r="A1229">
        <v>83.92</v>
      </c>
      <c r="B1229">
        <v>4</v>
      </c>
      <c r="C1229" t="s">
        <v>1422</v>
      </c>
      <c r="D1229" t="s">
        <v>1423</v>
      </c>
      <c r="E1229" t="s">
        <v>1424</v>
      </c>
      <c r="F1229" t="s">
        <v>1039</v>
      </c>
      <c r="G1229" t="s">
        <v>758</v>
      </c>
      <c r="H1229" t="s">
        <v>456</v>
      </c>
      <c r="I1229" t="s">
        <v>19</v>
      </c>
      <c r="J1229">
        <v>20.98</v>
      </c>
      <c r="K1229" s="1">
        <v>45800</v>
      </c>
      <c r="L1229" t="s">
        <v>79</v>
      </c>
      <c r="M1229">
        <v>23</v>
      </c>
      <c r="N1229">
        <v>5</v>
      </c>
      <c r="O1229">
        <v>2</v>
      </c>
      <c r="P1229">
        <v>2025</v>
      </c>
    </row>
    <row r="1230" spans="1:16">
      <c r="A1230">
        <v>637.11</v>
      </c>
      <c r="B1230">
        <v>3</v>
      </c>
      <c r="C1230" t="s">
        <v>2731</v>
      </c>
      <c r="D1230" t="s">
        <v>2732</v>
      </c>
      <c r="E1230" t="s">
        <v>1688</v>
      </c>
      <c r="F1230" t="s">
        <v>1032</v>
      </c>
      <c r="G1230" t="s">
        <v>839</v>
      </c>
      <c r="H1230" t="s">
        <v>331</v>
      </c>
      <c r="I1230" t="s">
        <v>51</v>
      </c>
      <c r="J1230">
        <v>212.37</v>
      </c>
      <c r="K1230" s="1">
        <v>45686</v>
      </c>
      <c r="L1230" t="s">
        <v>34</v>
      </c>
      <c r="M1230">
        <v>29</v>
      </c>
      <c r="N1230">
        <v>1</v>
      </c>
      <c r="O1230">
        <v>1</v>
      </c>
      <c r="P1230">
        <v>2025</v>
      </c>
    </row>
    <row r="1231" spans="1:16">
      <c r="A1231">
        <v>203.64</v>
      </c>
      <c r="B1231">
        <v>4</v>
      </c>
      <c r="C1231" t="s">
        <v>989</v>
      </c>
      <c r="D1231" t="s">
        <v>990</v>
      </c>
      <c r="E1231" t="s">
        <v>991</v>
      </c>
      <c r="F1231" t="s">
        <v>915</v>
      </c>
      <c r="G1231" t="s">
        <v>768</v>
      </c>
      <c r="H1231" t="s">
        <v>197</v>
      </c>
      <c r="I1231" t="s">
        <v>19</v>
      </c>
      <c r="J1231">
        <v>50.91</v>
      </c>
      <c r="K1231" s="1">
        <v>45602</v>
      </c>
      <c r="L1231" t="s">
        <v>34</v>
      </c>
      <c r="M1231">
        <v>6</v>
      </c>
      <c r="N1231">
        <v>11</v>
      </c>
      <c r="O1231">
        <v>4</v>
      </c>
      <c r="P1231">
        <v>2024</v>
      </c>
    </row>
    <row r="1232" spans="1:16">
      <c r="A1232">
        <v>11.42</v>
      </c>
      <c r="B1232">
        <v>2</v>
      </c>
      <c r="C1232" t="s">
        <v>2648</v>
      </c>
      <c r="D1232" t="s">
        <v>2649</v>
      </c>
      <c r="E1232" t="s">
        <v>1212</v>
      </c>
      <c r="F1232" t="s">
        <v>1002</v>
      </c>
      <c r="G1232" t="s">
        <v>1003</v>
      </c>
      <c r="H1232" t="s">
        <v>669</v>
      </c>
      <c r="I1232" t="s">
        <v>97</v>
      </c>
      <c r="J1232">
        <v>5.71</v>
      </c>
      <c r="K1232" s="1">
        <v>45973</v>
      </c>
      <c r="L1232" t="s">
        <v>34</v>
      </c>
      <c r="M1232">
        <v>12</v>
      </c>
      <c r="N1232">
        <v>11</v>
      </c>
      <c r="O1232">
        <v>4</v>
      </c>
      <c r="P1232">
        <v>2025</v>
      </c>
    </row>
    <row r="1233" spans="1:16">
      <c r="A1233">
        <v>478.1</v>
      </c>
      <c r="B1233">
        <v>5</v>
      </c>
      <c r="C1233" t="s">
        <v>3076</v>
      </c>
      <c r="D1233" t="s">
        <v>3077</v>
      </c>
      <c r="E1233" t="s">
        <v>2666</v>
      </c>
      <c r="F1233" t="s">
        <v>1156</v>
      </c>
      <c r="G1233" t="s">
        <v>839</v>
      </c>
      <c r="H1233" t="s">
        <v>153</v>
      </c>
      <c r="I1233" t="s">
        <v>37</v>
      </c>
      <c r="J1233">
        <v>95.62</v>
      </c>
      <c r="K1233" s="1">
        <v>45763</v>
      </c>
      <c r="L1233" t="s">
        <v>34</v>
      </c>
      <c r="M1233">
        <v>16</v>
      </c>
      <c r="N1233">
        <v>4</v>
      </c>
      <c r="O1233">
        <v>2</v>
      </c>
      <c r="P1233">
        <v>2025</v>
      </c>
    </row>
    <row r="1234" spans="1:16">
      <c r="A1234">
        <v>138.93</v>
      </c>
      <c r="B1234">
        <v>3</v>
      </c>
      <c r="C1234" t="s">
        <v>1147</v>
      </c>
      <c r="D1234" t="s">
        <v>1148</v>
      </c>
      <c r="E1234" t="s">
        <v>1149</v>
      </c>
      <c r="F1234" t="s">
        <v>1071</v>
      </c>
      <c r="G1234" t="s">
        <v>817</v>
      </c>
      <c r="H1234" t="s">
        <v>583</v>
      </c>
      <c r="I1234" t="s">
        <v>19</v>
      </c>
      <c r="J1234">
        <v>46.31</v>
      </c>
      <c r="K1234" s="1">
        <v>45816</v>
      </c>
      <c r="L1234" t="s">
        <v>28</v>
      </c>
      <c r="M1234">
        <v>8</v>
      </c>
      <c r="N1234">
        <v>6</v>
      </c>
      <c r="O1234">
        <v>2</v>
      </c>
      <c r="P1234">
        <v>2025</v>
      </c>
    </row>
    <row r="1235" spans="1:16">
      <c r="A1235">
        <v>231.55</v>
      </c>
      <c r="B1235">
        <v>5</v>
      </c>
      <c r="C1235" t="s">
        <v>2079</v>
      </c>
      <c r="D1235" t="s">
        <v>2080</v>
      </c>
      <c r="E1235" t="s">
        <v>1698</v>
      </c>
      <c r="F1235" t="s">
        <v>1673</v>
      </c>
      <c r="G1235" t="s">
        <v>821</v>
      </c>
      <c r="H1235" t="s">
        <v>583</v>
      </c>
      <c r="I1235" t="s">
        <v>19</v>
      </c>
      <c r="J1235">
        <v>46.31</v>
      </c>
      <c r="K1235" s="1">
        <v>45796</v>
      </c>
      <c r="L1235" t="s">
        <v>93</v>
      </c>
      <c r="M1235">
        <v>19</v>
      </c>
      <c r="N1235">
        <v>5</v>
      </c>
      <c r="O1235">
        <v>2</v>
      </c>
      <c r="P1235">
        <v>2025</v>
      </c>
    </row>
    <row r="1236" spans="1:16">
      <c r="A1236">
        <v>983.16</v>
      </c>
      <c r="B1236">
        <v>4</v>
      </c>
      <c r="C1236" t="s">
        <v>1391</v>
      </c>
      <c r="D1236" t="s">
        <v>1392</v>
      </c>
      <c r="E1236" t="s">
        <v>1231</v>
      </c>
      <c r="F1236" t="s">
        <v>757</v>
      </c>
      <c r="G1236" t="s">
        <v>758</v>
      </c>
      <c r="H1236" t="s">
        <v>344</v>
      </c>
      <c r="I1236" t="s">
        <v>19</v>
      </c>
      <c r="J1236">
        <v>245.79</v>
      </c>
      <c r="K1236" s="1">
        <v>45860</v>
      </c>
      <c r="L1236" t="s">
        <v>48</v>
      </c>
      <c r="M1236">
        <v>22</v>
      </c>
      <c r="N1236">
        <v>7</v>
      </c>
      <c r="O1236">
        <v>3</v>
      </c>
      <c r="P1236">
        <v>2025</v>
      </c>
    </row>
    <row r="1237" spans="1:16">
      <c r="A1237">
        <v>853.75</v>
      </c>
      <c r="B1237">
        <v>5</v>
      </c>
      <c r="C1237" t="s">
        <v>813</v>
      </c>
      <c r="D1237" t="s">
        <v>814</v>
      </c>
      <c r="E1237" t="s">
        <v>815</v>
      </c>
      <c r="F1237" t="s">
        <v>816</v>
      </c>
      <c r="G1237" t="s">
        <v>817</v>
      </c>
      <c r="H1237" t="s">
        <v>652</v>
      </c>
      <c r="I1237" t="s">
        <v>37</v>
      </c>
      <c r="J1237">
        <v>170.75</v>
      </c>
      <c r="K1237" s="1">
        <v>46206</v>
      </c>
      <c r="L1237" t="s">
        <v>79</v>
      </c>
      <c r="M1237">
        <v>3</v>
      </c>
      <c r="N1237">
        <v>7</v>
      </c>
      <c r="O1237">
        <v>3</v>
      </c>
      <c r="P1237">
        <v>2026</v>
      </c>
    </row>
    <row r="1238" spans="1:16">
      <c r="A1238">
        <v>237.39</v>
      </c>
      <c r="B1238">
        <v>3</v>
      </c>
      <c r="C1238" t="s">
        <v>1658</v>
      </c>
      <c r="D1238" t="s">
        <v>1659</v>
      </c>
      <c r="E1238" t="s">
        <v>1660</v>
      </c>
      <c r="F1238" t="s">
        <v>785</v>
      </c>
      <c r="G1238" t="s">
        <v>786</v>
      </c>
      <c r="H1238" t="s">
        <v>83</v>
      </c>
      <c r="I1238" t="s">
        <v>51</v>
      </c>
      <c r="J1238">
        <v>79.13</v>
      </c>
      <c r="K1238" s="1">
        <v>46003</v>
      </c>
      <c r="L1238" t="s">
        <v>79</v>
      </c>
      <c r="M1238">
        <v>12</v>
      </c>
      <c r="N1238">
        <v>12</v>
      </c>
      <c r="O1238">
        <v>4</v>
      </c>
      <c r="P1238">
        <v>2025</v>
      </c>
    </row>
    <row r="1239" spans="1:16">
      <c r="A1239">
        <v>87.5</v>
      </c>
      <c r="B1239">
        <v>2</v>
      </c>
      <c r="C1239" t="s">
        <v>1470</v>
      </c>
      <c r="D1239" t="s">
        <v>1471</v>
      </c>
      <c r="E1239" t="s">
        <v>1472</v>
      </c>
      <c r="F1239" t="s">
        <v>1128</v>
      </c>
      <c r="G1239" t="s">
        <v>954</v>
      </c>
      <c r="H1239" t="s">
        <v>386</v>
      </c>
      <c r="I1239" t="s">
        <v>21</v>
      </c>
      <c r="J1239">
        <v>43.75</v>
      </c>
      <c r="K1239" s="1">
        <v>46137</v>
      </c>
      <c r="L1239" t="s">
        <v>14</v>
      </c>
      <c r="M1239">
        <v>25</v>
      </c>
      <c r="N1239">
        <v>4</v>
      </c>
      <c r="O1239">
        <v>2</v>
      </c>
      <c r="P1239">
        <v>2026</v>
      </c>
    </row>
    <row r="1240" spans="1:16">
      <c r="A1240">
        <v>92.15</v>
      </c>
      <c r="B1240">
        <v>5</v>
      </c>
      <c r="C1240" t="s">
        <v>2339</v>
      </c>
      <c r="D1240" t="s">
        <v>2340</v>
      </c>
      <c r="E1240" t="s">
        <v>2341</v>
      </c>
      <c r="F1240" t="s">
        <v>1469</v>
      </c>
      <c r="G1240" t="s">
        <v>908</v>
      </c>
      <c r="H1240" t="s">
        <v>1816</v>
      </c>
      <c r="I1240" t="s">
        <v>37</v>
      </c>
      <c r="J1240">
        <v>18.43</v>
      </c>
      <c r="K1240" s="1">
        <v>45957</v>
      </c>
      <c r="L1240" t="s">
        <v>93</v>
      </c>
      <c r="M1240">
        <v>27</v>
      </c>
      <c r="N1240">
        <v>10</v>
      </c>
      <c r="O1240">
        <v>4</v>
      </c>
      <c r="P1240">
        <v>2025</v>
      </c>
    </row>
    <row r="1241" spans="1:16">
      <c r="A1241">
        <v>483.06000000000006</v>
      </c>
      <c r="B1241">
        <v>3</v>
      </c>
      <c r="C1241" t="s">
        <v>1954</v>
      </c>
      <c r="D1241" t="s">
        <v>1955</v>
      </c>
      <c r="E1241" t="s">
        <v>1679</v>
      </c>
      <c r="F1241" t="s">
        <v>1257</v>
      </c>
      <c r="G1241" t="s">
        <v>839</v>
      </c>
      <c r="H1241" t="s">
        <v>544</v>
      </c>
      <c r="I1241" t="s">
        <v>46</v>
      </c>
      <c r="J1241">
        <v>161.02000000000001</v>
      </c>
      <c r="K1241" s="1">
        <v>46157</v>
      </c>
      <c r="L1241" t="s">
        <v>79</v>
      </c>
      <c r="M1241">
        <v>15</v>
      </c>
      <c r="N1241">
        <v>5</v>
      </c>
      <c r="O1241">
        <v>2</v>
      </c>
      <c r="P1241">
        <v>2026</v>
      </c>
    </row>
    <row r="1242" spans="1:16">
      <c r="A1242">
        <v>317</v>
      </c>
      <c r="B1242">
        <v>4</v>
      </c>
      <c r="C1242" t="s">
        <v>944</v>
      </c>
      <c r="D1242" t="s">
        <v>945</v>
      </c>
      <c r="E1242" t="s">
        <v>946</v>
      </c>
      <c r="F1242" t="s">
        <v>199</v>
      </c>
      <c r="G1242" t="s">
        <v>781</v>
      </c>
      <c r="H1242" t="s">
        <v>253</v>
      </c>
      <c r="I1242" t="s">
        <v>23</v>
      </c>
      <c r="J1242">
        <v>79.25</v>
      </c>
      <c r="K1242" s="1">
        <v>45594</v>
      </c>
      <c r="L1242" t="s">
        <v>48</v>
      </c>
      <c r="M1242">
        <v>29</v>
      </c>
      <c r="N1242">
        <v>10</v>
      </c>
      <c r="O1242">
        <v>4</v>
      </c>
      <c r="P1242">
        <v>2024</v>
      </c>
    </row>
    <row r="1243" spans="1:16">
      <c r="A1243">
        <v>834.7</v>
      </c>
      <c r="B1243">
        <v>5</v>
      </c>
      <c r="C1243" t="s">
        <v>1125</v>
      </c>
      <c r="D1243" t="s">
        <v>1126</v>
      </c>
      <c r="E1243" t="s">
        <v>1127</v>
      </c>
      <c r="F1243" t="s">
        <v>1128</v>
      </c>
      <c r="G1243" t="s">
        <v>954</v>
      </c>
      <c r="H1243" t="s">
        <v>3404</v>
      </c>
      <c r="I1243" t="s">
        <v>100</v>
      </c>
      <c r="J1243">
        <v>166.94</v>
      </c>
      <c r="K1243" s="1">
        <v>45916</v>
      </c>
      <c r="L1243" t="s">
        <v>48</v>
      </c>
      <c r="M1243">
        <v>16</v>
      </c>
      <c r="N1243">
        <v>9</v>
      </c>
      <c r="O1243">
        <v>3</v>
      </c>
      <c r="P1243">
        <v>2025</v>
      </c>
    </row>
    <row r="1244" spans="1:16">
      <c r="A1244">
        <v>371.84</v>
      </c>
      <c r="B1244">
        <v>2</v>
      </c>
      <c r="C1244" t="s">
        <v>3253</v>
      </c>
      <c r="D1244" t="s">
        <v>3254</v>
      </c>
      <c r="E1244" t="s">
        <v>2108</v>
      </c>
      <c r="F1244" t="s">
        <v>932</v>
      </c>
      <c r="G1244" t="s">
        <v>776</v>
      </c>
      <c r="H1244" t="s">
        <v>683</v>
      </c>
      <c r="I1244" t="s">
        <v>55</v>
      </c>
      <c r="J1244">
        <v>185.92</v>
      </c>
      <c r="K1244" s="1">
        <v>46171</v>
      </c>
      <c r="L1244" t="s">
        <v>79</v>
      </c>
      <c r="M1244">
        <v>29</v>
      </c>
      <c r="N1244">
        <v>5</v>
      </c>
      <c r="O1244">
        <v>2</v>
      </c>
      <c r="P1244">
        <v>2026</v>
      </c>
    </row>
    <row r="1245" spans="1:16">
      <c r="A1245">
        <v>6.19</v>
      </c>
      <c r="B1245">
        <v>1</v>
      </c>
      <c r="C1245" t="s">
        <v>2304</v>
      </c>
      <c r="D1245" t="s">
        <v>2305</v>
      </c>
      <c r="E1245" t="s">
        <v>2306</v>
      </c>
      <c r="F1245" t="s">
        <v>608</v>
      </c>
      <c r="G1245" t="s">
        <v>966</v>
      </c>
      <c r="H1245" t="s">
        <v>662</v>
      </c>
      <c r="I1245" t="s">
        <v>21</v>
      </c>
      <c r="J1245">
        <v>6.19</v>
      </c>
      <c r="K1245" s="1">
        <v>45635</v>
      </c>
      <c r="L1245" t="s">
        <v>93</v>
      </c>
      <c r="M1245">
        <v>9</v>
      </c>
      <c r="N1245">
        <v>12</v>
      </c>
      <c r="O1245">
        <v>4</v>
      </c>
      <c r="P1245">
        <v>2024</v>
      </c>
    </row>
    <row r="1246" spans="1:16">
      <c r="A1246">
        <v>76.760000000000005</v>
      </c>
      <c r="B1246">
        <v>4</v>
      </c>
      <c r="C1246" t="s">
        <v>2965</v>
      </c>
      <c r="D1246" t="s">
        <v>2966</v>
      </c>
      <c r="E1246" t="s">
        <v>1559</v>
      </c>
      <c r="F1246" t="s">
        <v>1137</v>
      </c>
      <c r="G1246" t="s">
        <v>748</v>
      </c>
      <c r="H1246" t="s">
        <v>71</v>
      </c>
      <c r="I1246" t="s">
        <v>23</v>
      </c>
      <c r="J1246">
        <v>19.190000000000001</v>
      </c>
      <c r="K1246" s="1">
        <v>45651</v>
      </c>
      <c r="L1246" t="s">
        <v>34</v>
      </c>
      <c r="M1246">
        <v>25</v>
      </c>
      <c r="N1246">
        <v>12</v>
      </c>
      <c r="O1246">
        <v>4</v>
      </c>
      <c r="P1246">
        <v>2024</v>
      </c>
    </row>
    <row r="1247" spans="1:16">
      <c r="A1247">
        <v>116.66</v>
      </c>
      <c r="B1247">
        <v>2</v>
      </c>
      <c r="C1247" t="s">
        <v>1750</v>
      </c>
      <c r="D1247" t="s">
        <v>1751</v>
      </c>
      <c r="E1247" t="s">
        <v>771</v>
      </c>
      <c r="F1247" t="s">
        <v>780</v>
      </c>
      <c r="G1247" t="s">
        <v>781</v>
      </c>
      <c r="H1247" t="s">
        <v>408</v>
      </c>
      <c r="I1247" t="s">
        <v>17</v>
      </c>
      <c r="J1247">
        <v>58.33</v>
      </c>
      <c r="K1247" s="1">
        <v>46256</v>
      </c>
      <c r="L1247" t="s">
        <v>14</v>
      </c>
      <c r="M1247">
        <v>22</v>
      </c>
      <c r="N1247">
        <v>8</v>
      </c>
      <c r="O1247">
        <v>3</v>
      </c>
      <c r="P1247">
        <v>2026</v>
      </c>
    </row>
    <row r="1248" spans="1:16">
      <c r="A1248">
        <v>90.24</v>
      </c>
      <c r="B1248">
        <v>4</v>
      </c>
      <c r="C1248" t="s">
        <v>1144</v>
      </c>
      <c r="D1248" t="s">
        <v>1145</v>
      </c>
      <c r="E1248" t="s">
        <v>1146</v>
      </c>
      <c r="F1248" t="s">
        <v>1128</v>
      </c>
      <c r="G1248" t="s">
        <v>954</v>
      </c>
      <c r="H1248" t="s">
        <v>371</v>
      </c>
      <c r="I1248" t="s">
        <v>21</v>
      </c>
      <c r="J1248">
        <v>22.56</v>
      </c>
      <c r="K1248" s="1">
        <v>45757</v>
      </c>
      <c r="L1248" t="s">
        <v>105</v>
      </c>
      <c r="M1248">
        <v>10</v>
      </c>
      <c r="N1248">
        <v>4</v>
      </c>
      <c r="O1248">
        <v>2</v>
      </c>
      <c r="P1248">
        <v>2025</v>
      </c>
    </row>
    <row r="1249" spans="1:16">
      <c r="A1249">
        <v>806.12</v>
      </c>
      <c r="B1249">
        <v>4</v>
      </c>
      <c r="C1249" t="s">
        <v>2189</v>
      </c>
      <c r="D1249" t="s">
        <v>2190</v>
      </c>
      <c r="E1249" t="s">
        <v>2191</v>
      </c>
      <c r="F1249" t="s">
        <v>1410</v>
      </c>
      <c r="G1249" t="s">
        <v>812</v>
      </c>
      <c r="H1249" t="s">
        <v>476</v>
      </c>
      <c r="I1249" t="s">
        <v>31</v>
      </c>
      <c r="J1249">
        <v>201.53</v>
      </c>
      <c r="K1249" s="1">
        <v>45886</v>
      </c>
      <c r="L1249" t="s">
        <v>28</v>
      </c>
      <c r="M1249">
        <v>17</v>
      </c>
      <c r="N1249">
        <v>8</v>
      </c>
      <c r="O1249">
        <v>3</v>
      </c>
      <c r="P1249">
        <v>2025</v>
      </c>
    </row>
    <row r="1250" spans="1:16">
      <c r="A1250">
        <v>274.36</v>
      </c>
      <c r="B1250">
        <v>2</v>
      </c>
      <c r="C1250" t="s">
        <v>950</v>
      </c>
      <c r="D1250" t="s">
        <v>951</v>
      </c>
      <c r="E1250" t="s">
        <v>952</v>
      </c>
      <c r="F1250" t="s">
        <v>953</v>
      </c>
      <c r="G1250" t="s">
        <v>954</v>
      </c>
      <c r="H1250" t="s">
        <v>219</v>
      </c>
      <c r="I1250" t="s">
        <v>39</v>
      </c>
      <c r="J1250">
        <v>137.18</v>
      </c>
      <c r="K1250" s="1">
        <v>46241</v>
      </c>
      <c r="L1250" t="s">
        <v>79</v>
      </c>
      <c r="M1250">
        <v>7</v>
      </c>
      <c r="N1250">
        <v>8</v>
      </c>
      <c r="O1250">
        <v>3</v>
      </c>
      <c r="P1250">
        <v>2026</v>
      </c>
    </row>
    <row r="1251" spans="1:16">
      <c r="A1251">
        <v>319.74</v>
      </c>
      <c r="B1251">
        <v>3</v>
      </c>
      <c r="C1251" t="s">
        <v>2650</v>
      </c>
      <c r="D1251" t="s">
        <v>2651</v>
      </c>
      <c r="E1251" t="s">
        <v>857</v>
      </c>
      <c r="F1251" t="s">
        <v>838</v>
      </c>
      <c r="G1251" t="s">
        <v>839</v>
      </c>
      <c r="H1251" t="s">
        <v>670</v>
      </c>
      <c r="I1251" t="s">
        <v>57</v>
      </c>
      <c r="J1251">
        <v>106.58</v>
      </c>
      <c r="K1251" s="1">
        <v>46256</v>
      </c>
      <c r="L1251" t="s">
        <v>14</v>
      </c>
      <c r="M1251">
        <v>22</v>
      </c>
      <c r="N1251">
        <v>8</v>
      </c>
      <c r="O1251">
        <v>3</v>
      </c>
      <c r="P1251">
        <v>2026</v>
      </c>
    </row>
    <row r="1252" spans="1:16">
      <c r="A1252">
        <v>1122.95</v>
      </c>
      <c r="B1252">
        <v>5</v>
      </c>
      <c r="C1252" t="s">
        <v>1674</v>
      </c>
      <c r="D1252" t="s">
        <v>1675</v>
      </c>
      <c r="E1252" t="s">
        <v>1676</v>
      </c>
      <c r="F1252" t="s">
        <v>995</v>
      </c>
      <c r="G1252" t="s">
        <v>781</v>
      </c>
      <c r="H1252" t="s">
        <v>121</v>
      </c>
      <c r="I1252" t="s">
        <v>122</v>
      </c>
      <c r="J1252">
        <v>224.59</v>
      </c>
      <c r="K1252" s="1">
        <v>45635</v>
      </c>
      <c r="L1252" t="s">
        <v>93</v>
      </c>
      <c r="M1252">
        <v>9</v>
      </c>
      <c r="N1252">
        <v>12</v>
      </c>
      <c r="O1252">
        <v>4</v>
      </c>
      <c r="P1252">
        <v>2024</v>
      </c>
    </row>
    <row r="1253" spans="1:16">
      <c r="A1253">
        <v>202.27</v>
      </c>
      <c r="B1253">
        <v>1</v>
      </c>
      <c r="C1253" t="s">
        <v>1710</v>
      </c>
      <c r="D1253" t="s">
        <v>1711</v>
      </c>
      <c r="E1253" t="s">
        <v>1539</v>
      </c>
      <c r="F1253" t="s">
        <v>1156</v>
      </c>
      <c r="G1253" t="s">
        <v>839</v>
      </c>
      <c r="H1253" t="s">
        <v>541</v>
      </c>
      <c r="I1253" t="s">
        <v>43</v>
      </c>
      <c r="J1253">
        <v>202.27</v>
      </c>
      <c r="K1253" s="1">
        <v>46064</v>
      </c>
      <c r="L1253" t="s">
        <v>34</v>
      </c>
      <c r="M1253">
        <v>11</v>
      </c>
      <c r="N1253">
        <v>2</v>
      </c>
      <c r="O1253">
        <v>1</v>
      </c>
      <c r="P1253">
        <v>2026</v>
      </c>
    </row>
    <row r="1254" spans="1:16">
      <c r="A1254">
        <v>67.459999999999994</v>
      </c>
      <c r="B1254">
        <v>2</v>
      </c>
      <c r="C1254" t="s">
        <v>2999</v>
      </c>
      <c r="D1254" t="s">
        <v>3000</v>
      </c>
      <c r="E1254" t="s">
        <v>891</v>
      </c>
      <c r="F1254" t="s">
        <v>1566</v>
      </c>
      <c r="G1254" t="s">
        <v>763</v>
      </c>
      <c r="H1254" t="s">
        <v>527</v>
      </c>
      <c r="I1254" t="s">
        <v>27</v>
      </c>
      <c r="J1254">
        <v>33.729999999999997</v>
      </c>
      <c r="K1254" s="1">
        <v>46151</v>
      </c>
      <c r="L1254" t="s">
        <v>14</v>
      </c>
      <c r="M1254">
        <v>9</v>
      </c>
      <c r="N1254">
        <v>5</v>
      </c>
      <c r="O1254">
        <v>2</v>
      </c>
      <c r="P1254">
        <v>2026</v>
      </c>
    </row>
    <row r="1255" spans="1:16">
      <c r="A1255">
        <v>214.06</v>
      </c>
      <c r="B1255">
        <v>2</v>
      </c>
      <c r="C1255" t="s">
        <v>1916</v>
      </c>
      <c r="D1255" t="s">
        <v>1917</v>
      </c>
      <c r="E1255" t="s">
        <v>1195</v>
      </c>
      <c r="F1255" t="s">
        <v>1384</v>
      </c>
      <c r="G1255" t="s">
        <v>908</v>
      </c>
      <c r="H1255" t="s">
        <v>529</v>
      </c>
      <c r="I1255" t="s">
        <v>37</v>
      </c>
      <c r="J1255">
        <v>107.03</v>
      </c>
      <c r="K1255" s="1">
        <v>46011</v>
      </c>
      <c r="L1255" t="s">
        <v>14</v>
      </c>
      <c r="M1255">
        <v>20</v>
      </c>
      <c r="N1255">
        <v>12</v>
      </c>
      <c r="O1255">
        <v>4</v>
      </c>
      <c r="P1255">
        <v>2025</v>
      </c>
    </row>
    <row r="1256" spans="1:16">
      <c r="A1256">
        <v>888.76</v>
      </c>
      <c r="B1256">
        <v>4</v>
      </c>
      <c r="C1256" t="s">
        <v>1079</v>
      </c>
      <c r="D1256" t="s">
        <v>1080</v>
      </c>
      <c r="E1256" t="s">
        <v>1081</v>
      </c>
      <c r="F1256" t="s">
        <v>772</v>
      </c>
      <c r="G1256" t="s">
        <v>758</v>
      </c>
      <c r="H1256" t="s">
        <v>1082</v>
      </c>
      <c r="I1256" t="s">
        <v>69</v>
      </c>
      <c r="J1256">
        <v>222.19</v>
      </c>
      <c r="K1256" s="1">
        <v>45945</v>
      </c>
      <c r="L1256" t="s">
        <v>34</v>
      </c>
      <c r="M1256">
        <v>15</v>
      </c>
      <c r="N1256">
        <v>10</v>
      </c>
      <c r="O1256">
        <v>4</v>
      </c>
      <c r="P1256">
        <v>2025</v>
      </c>
    </row>
    <row r="1257" spans="1:16">
      <c r="A1257">
        <v>233.44</v>
      </c>
      <c r="B1257">
        <v>2</v>
      </c>
      <c r="C1257" t="s">
        <v>1719</v>
      </c>
      <c r="D1257" t="s">
        <v>1720</v>
      </c>
      <c r="E1257" t="s">
        <v>1721</v>
      </c>
      <c r="F1257" t="s">
        <v>1722</v>
      </c>
      <c r="G1257" t="s">
        <v>954</v>
      </c>
      <c r="H1257" t="s">
        <v>500</v>
      </c>
      <c r="I1257" t="s">
        <v>27</v>
      </c>
      <c r="J1257">
        <v>116.72</v>
      </c>
      <c r="K1257" s="1">
        <v>45883</v>
      </c>
      <c r="L1257" t="s">
        <v>105</v>
      </c>
      <c r="M1257">
        <v>14</v>
      </c>
      <c r="N1257">
        <v>8</v>
      </c>
      <c r="O1257">
        <v>3</v>
      </c>
      <c r="P1257">
        <v>2025</v>
      </c>
    </row>
    <row r="1258" spans="1:16">
      <c r="A1258">
        <v>633.52</v>
      </c>
      <c r="B1258">
        <v>4</v>
      </c>
      <c r="C1258" t="s">
        <v>1877</v>
      </c>
      <c r="D1258" t="s">
        <v>1878</v>
      </c>
      <c r="E1258" t="s">
        <v>1380</v>
      </c>
      <c r="F1258" t="s">
        <v>932</v>
      </c>
      <c r="G1258" t="s">
        <v>776</v>
      </c>
      <c r="H1258" t="s">
        <v>172</v>
      </c>
      <c r="I1258" t="s">
        <v>46</v>
      </c>
      <c r="J1258">
        <v>158.38</v>
      </c>
      <c r="K1258" s="1">
        <v>46092</v>
      </c>
      <c r="L1258" t="s">
        <v>34</v>
      </c>
      <c r="M1258">
        <v>11</v>
      </c>
      <c r="N1258">
        <v>3</v>
      </c>
      <c r="O1258">
        <v>1</v>
      </c>
      <c r="P1258">
        <v>2026</v>
      </c>
    </row>
    <row r="1259" spans="1:16">
      <c r="A1259">
        <v>17.850000000000001</v>
      </c>
      <c r="B1259">
        <v>1</v>
      </c>
      <c r="C1259" t="s">
        <v>3091</v>
      </c>
      <c r="D1259" t="s">
        <v>3092</v>
      </c>
      <c r="E1259" t="s">
        <v>1064</v>
      </c>
      <c r="F1259" t="s">
        <v>757</v>
      </c>
      <c r="G1259" t="s">
        <v>758</v>
      </c>
      <c r="H1259" t="s">
        <v>605</v>
      </c>
      <c r="I1259" t="s">
        <v>39</v>
      </c>
      <c r="J1259">
        <v>17.850000000000001</v>
      </c>
      <c r="K1259" s="1">
        <v>45977</v>
      </c>
      <c r="L1259" t="s">
        <v>28</v>
      </c>
      <c r="M1259">
        <v>16</v>
      </c>
      <c r="N1259">
        <v>11</v>
      </c>
      <c r="O1259">
        <v>4</v>
      </c>
      <c r="P1259">
        <v>2025</v>
      </c>
    </row>
    <row r="1260" spans="1:16">
      <c r="A1260">
        <v>641.46</v>
      </c>
      <c r="B1260">
        <v>3</v>
      </c>
      <c r="C1260" t="s">
        <v>1900</v>
      </c>
      <c r="D1260" t="s">
        <v>1901</v>
      </c>
      <c r="E1260" t="s">
        <v>1477</v>
      </c>
      <c r="F1260" t="s">
        <v>961</v>
      </c>
      <c r="G1260" t="s">
        <v>753</v>
      </c>
      <c r="H1260" t="s">
        <v>266</v>
      </c>
      <c r="I1260" t="s">
        <v>19</v>
      </c>
      <c r="J1260">
        <v>213.82</v>
      </c>
      <c r="K1260" s="1">
        <v>45934</v>
      </c>
      <c r="L1260" t="s">
        <v>14</v>
      </c>
      <c r="M1260">
        <v>4</v>
      </c>
      <c r="N1260">
        <v>10</v>
      </c>
      <c r="O1260">
        <v>4</v>
      </c>
      <c r="P1260">
        <v>2025</v>
      </c>
    </row>
    <row r="1261" spans="1:16">
      <c r="A1261">
        <v>49.41</v>
      </c>
      <c r="B1261">
        <v>1</v>
      </c>
      <c r="C1261" t="s">
        <v>2196</v>
      </c>
      <c r="D1261" t="s">
        <v>2197</v>
      </c>
      <c r="E1261" t="s">
        <v>1777</v>
      </c>
      <c r="F1261" t="s">
        <v>953</v>
      </c>
      <c r="G1261" t="s">
        <v>954</v>
      </c>
      <c r="H1261" t="s">
        <v>144</v>
      </c>
      <c r="I1261" t="s">
        <v>97</v>
      </c>
      <c r="J1261">
        <v>49.41</v>
      </c>
      <c r="K1261" s="1">
        <v>45585</v>
      </c>
      <c r="L1261" t="s">
        <v>28</v>
      </c>
      <c r="M1261">
        <v>20</v>
      </c>
      <c r="N1261">
        <v>10</v>
      </c>
      <c r="O1261">
        <v>4</v>
      </c>
      <c r="P1261">
        <v>2024</v>
      </c>
    </row>
    <row r="1262" spans="1:16">
      <c r="A1262">
        <v>583.38</v>
      </c>
      <c r="B1262">
        <v>3</v>
      </c>
      <c r="C1262" t="s">
        <v>1969</v>
      </c>
      <c r="D1262" t="s">
        <v>1970</v>
      </c>
      <c r="E1262" t="s">
        <v>1143</v>
      </c>
      <c r="F1262" t="s">
        <v>1841</v>
      </c>
      <c r="G1262" t="s">
        <v>753</v>
      </c>
      <c r="H1262" t="s">
        <v>486</v>
      </c>
      <c r="I1262" t="s">
        <v>100</v>
      </c>
      <c r="J1262">
        <v>194.46</v>
      </c>
      <c r="K1262" s="1">
        <v>45696</v>
      </c>
      <c r="L1262" t="s">
        <v>14</v>
      </c>
      <c r="M1262">
        <v>8</v>
      </c>
      <c r="N1262">
        <v>2</v>
      </c>
      <c r="O1262">
        <v>1</v>
      </c>
      <c r="P1262">
        <v>2025</v>
      </c>
    </row>
    <row r="1263" spans="1:16">
      <c r="A1263">
        <v>23.66</v>
      </c>
      <c r="B1263">
        <v>2</v>
      </c>
      <c r="C1263" t="s">
        <v>2620</v>
      </c>
      <c r="D1263" t="s">
        <v>2621</v>
      </c>
      <c r="E1263" t="s">
        <v>1182</v>
      </c>
      <c r="F1263" t="s">
        <v>2574</v>
      </c>
      <c r="G1263" t="s">
        <v>839</v>
      </c>
      <c r="H1263" t="s">
        <v>220</v>
      </c>
      <c r="I1263" t="s">
        <v>97</v>
      </c>
      <c r="J1263">
        <v>11.83</v>
      </c>
      <c r="K1263" s="1">
        <v>46100</v>
      </c>
      <c r="L1263" t="s">
        <v>105</v>
      </c>
      <c r="M1263">
        <v>19</v>
      </c>
      <c r="N1263">
        <v>3</v>
      </c>
      <c r="O1263">
        <v>1</v>
      </c>
      <c r="P1263">
        <v>2026</v>
      </c>
    </row>
    <row r="1264" spans="1:16">
      <c r="A1264">
        <v>426.45000000000005</v>
      </c>
      <c r="B1264">
        <v>3</v>
      </c>
      <c r="C1264" t="s">
        <v>2938</v>
      </c>
      <c r="D1264" t="s">
        <v>2939</v>
      </c>
      <c r="E1264" t="s">
        <v>2940</v>
      </c>
      <c r="F1264" t="s">
        <v>915</v>
      </c>
      <c r="G1264" t="s">
        <v>768</v>
      </c>
      <c r="H1264" t="s">
        <v>216</v>
      </c>
      <c r="I1264" t="s">
        <v>100</v>
      </c>
      <c r="J1264">
        <v>142.15</v>
      </c>
      <c r="K1264" s="1">
        <v>45621</v>
      </c>
      <c r="L1264" t="s">
        <v>93</v>
      </c>
      <c r="M1264">
        <v>25</v>
      </c>
      <c r="N1264">
        <v>11</v>
      </c>
      <c r="O1264">
        <v>4</v>
      </c>
      <c r="P1264">
        <v>2024</v>
      </c>
    </row>
    <row r="1265" spans="1:16">
      <c r="A1265">
        <v>246.26</v>
      </c>
      <c r="B1265">
        <v>2</v>
      </c>
      <c r="C1265" t="s">
        <v>958</v>
      </c>
      <c r="D1265" t="s">
        <v>959</v>
      </c>
      <c r="E1265" t="s">
        <v>960</v>
      </c>
      <c r="F1265" t="s">
        <v>961</v>
      </c>
      <c r="G1265" t="s">
        <v>807</v>
      </c>
      <c r="H1265" t="s">
        <v>66</v>
      </c>
      <c r="I1265" t="s">
        <v>46</v>
      </c>
      <c r="J1265">
        <v>123.13</v>
      </c>
      <c r="K1265" s="1">
        <v>46101</v>
      </c>
      <c r="L1265" t="s">
        <v>79</v>
      </c>
      <c r="M1265">
        <v>20</v>
      </c>
      <c r="N1265">
        <v>3</v>
      </c>
      <c r="O1265">
        <v>1</v>
      </c>
      <c r="P1265">
        <v>2026</v>
      </c>
    </row>
    <row r="1266" spans="1:16">
      <c r="A1266">
        <v>29.68</v>
      </c>
      <c r="B1266">
        <v>4</v>
      </c>
      <c r="C1266" t="s">
        <v>3023</v>
      </c>
      <c r="D1266" t="s">
        <v>3024</v>
      </c>
      <c r="E1266" t="s">
        <v>2365</v>
      </c>
      <c r="F1266" t="s">
        <v>106</v>
      </c>
      <c r="G1266" t="s">
        <v>790</v>
      </c>
      <c r="H1266" t="s">
        <v>194</v>
      </c>
      <c r="I1266" t="s">
        <v>39</v>
      </c>
      <c r="J1266">
        <v>7.42</v>
      </c>
      <c r="K1266" s="1">
        <v>46175</v>
      </c>
      <c r="L1266" t="s">
        <v>48</v>
      </c>
      <c r="M1266">
        <v>2</v>
      </c>
      <c r="N1266">
        <v>6</v>
      </c>
      <c r="O1266">
        <v>2</v>
      </c>
      <c r="P1266">
        <v>2026</v>
      </c>
    </row>
    <row r="1267" spans="1:16">
      <c r="A1267">
        <v>98.42</v>
      </c>
      <c r="B1267">
        <v>2</v>
      </c>
      <c r="C1267" t="s">
        <v>2089</v>
      </c>
      <c r="D1267" t="s">
        <v>2090</v>
      </c>
      <c r="E1267" t="s">
        <v>2091</v>
      </c>
      <c r="F1267" t="s">
        <v>1017</v>
      </c>
      <c r="G1267" t="s">
        <v>966</v>
      </c>
      <c r="H1267" t="s">
        <v>717</v>
      </c>
      <c r="I1267" t="s">
        <v>17</v>
      </c>
      <c r="J1267">
        <v>49.21</v>
      </c>
      <c r="K1267" s="1">
        <v>46277</v>
      </c>
      <c r="L1267" t="s">
        <v>14</v>
      </c>
      <c r="M1267">
        <v>12</v>
      </c>
      <c r="N1267">
        <v>9</v>
      </c>
      <c r="O1267">
        <v>3</v>
      </c>
      <c r="P1267">
        <v>2026</v>
      </c>
    </row>
    <row r="1268" spans="1:16">
      <c r="A1268">
        <v>245.78</v>
      </c>
      <c r="B1268">
        <v>2</v>
      </c>
      <c r="C1268" t="s">
        <v>759</v>
      </c>
      <c r="D1268" t="s">
        <v>760</v>
      </c>
      <c r="E1268" t="s">
        <v>761</v>
      </c>
      <c r="F1268" t="s">
        <v>762</v>
      </c>
      <c r="G1268" t="s">
        <v>763</v>
      </c>
      <c r="H1268" t="s">
        <v>665</v>
      </c>
      <c r="I1268" t="s">
        <v>17</v>
      </c>
      <c r="J1268">
        <v>122.89</v>
      </c>
      <c r="K1268" s="1">
        <v>45840</v>
      </c>
      <c r="L1268" t="s">
        <v>34</v>
      </c>
      <c r="M1268">
        <v>2</v>
      </c>
      <c r="N1268">
        <v>7</v>
      </c>
      <c r="O1268">
        <v>3</v>
      </c>
      <c r="P1268">
        <v>2025</v>
      </c>
    </row>
    <row r="1269" spans="1:16">
      <c r="A1269">
        <v>20.62</v>
      </c>
      <c r="B1269">
        <v>1</v>
      </c>
      <c r="C1269" t="s">
        <v>2481</v>
      </c>
      <c r="D1269" t="s">
        <v>2482</v>
      </c>
      <c r="E1269" t="s">
        <v>1060</v>
      </c>
      <c r="F1269" t="s">
        <v>1002</v>
      </c>
      <c r="G1269" t="s">
        <v>892</v>
      </c>
      <c r="H1269" t="s">
        <v>96</v>
      </c>
      <c r="I1269" t="s">
        <v>97</v>
      </c>
      <c r="J1269">
        <v>20.62</v>
      </c>
      <c r="K1269" s="1">
        <v>46231</v>
      </c>
      <c r="L1269" t="s">
        <v>48</v>
      </c>
      <c r="M1269">
        <v>28</v>
      </c>
      <c r="N1269">
        <v>7</v>
      </c>
      <c r="O1269">
        <v>3</v>
      </c>
      <c r="P1269">
        <v>2026</v>
      </c>
    </row>
    <row r="1270" spans="1:16">
      <c r="A1270">
        <v>398.65000000000003</v>
      </c>
      <c r="B1270">
        <v>5</v>
      </c>
      <c r="C1270" t="s">
        <v>889</v>
      </c>
      <c r="D1270" t="s">
        <v>890</v>
      </c>
      <c r="E1270" t="s">
        <v>891</v>
      </c>
      <c r="F1270" t="s">
        <v>64</v>
      </c>
      <c r="G1270" t="s">
        <v>892</v>
      </c>
      <c r="H1270" t="s">
        <v>621</v>
      </c>
      <c r="I1270" t="s">
        <v>19</v>
      </c>
      <c r="J1270">
        <v>79.73</v>
      </c>
      <c r="K1270" s="1">
        <v>45619</v>
      </c>
      <c r="L1270" t="s">
        <v>14</v>
      </c>
      <c r="M1270">
        <v>23</v>
      </c>
      <c r="N1270">
        <v>11</v>
      </c>
      <c r="O1270">
        <v>4</v>
      </c>
      <c r="P1270">
        <v>2024</v>
      </c>
    </row>
    <row r="1271" spans="1:16">
      <c r="A1271">
        <v>15.03</v>
      </c>
      <c r="B1271">
        <v>1</v>
      </c>
      <c r="C1271" t="s">
        <v>1516</v>
      </c>
      <c r="D1271" t="s">
        <v>1517</v>
      </c>
      <c r="E1271" t="s">
        <v>1518</v>
      </c>
      <c r="F1271" t="s">
        <v>752</v>
      </c>
      <c r="G1271" t="s">
        <v>753</v>
      </c>
      <c r="H1271" t="s">
        <v>523</v>
      </c>
      <c r="I1271" t="s">
        <v>23</v>
      </c>
      <c r="J1271">
        <v>15.03</v>
      </c>
      <c r="K1271" s="1">
        <v>46089</v>
      </c>
      <c r="L1271" t="s">
        <v>28</v>
      </c>
      <c r="M1271">
        <v>8</v>
      </c>
      <c r="N1271">
        <v>3</v>
      </c>
      <c r="O1271">
        <v>1</v>
      </c>
      <c r="P1271">
        <v>2026</v>
      </c>
    </row>
    <row r="1272" spans="1:16">
      <c r="A1272">
        <v>46.94</v>
      </c>
      <c r="B1272">
        <v>1</v>
      </c>
      <c r="C1272" t="s">
        <v>2266</v>
      </c>
      <c r="D1272" t="s">
        <v>2267</v>
      </c>
      <c r="E1272" t="s">
        <v>1440</v>
      </c>
      <c r="F1272" t="s">
        <v>1469</v>
      </c>
      <c r="G1272" t="s">
        <v>908</v>
      </c>
      <c r="H1272" t="s">
        <v>365</v>
      </c>
      <c r="I1272" t="s">
        <v>51</v>
      </c>
      <c r="J1272">
        <v>46.94</v>
      </c>
      <c r="K1272" s="1">
        <v>45671</v>
      </c>
      <c r="L1272" t="s">
        <v>48</v>
      </c>
      <c r="M1272">
        <v>14</v>
      </c>
      <c r="N1272">
        <v>1</v>
      </c>
      <c r="O1272">
        <v>1</v>
      </c>
      <c r="P1272">
        <v>2025</v>
      </c>
    </row>
    <row r="1273" spans="1:16">
      <c r="A1273">
        <v>1119.0999999999999</v>
      </c>
      <c r="B1273">
        <v>5</v>
      </c>
      <c r="C1273" t="s">
        <v>2028</v>
      </c>
      <c r="D1273" t="s">
        <v>2029</v>
      </c>
      <c r="E1273" t="s">
        <v>2030</v>
      </c>
      <c r="F1273" t="s">
        <v>1002</v>
      </c>
      <c r="G1273" t="s">
        <v>892</v>
      </c>
      <c r="H1273" t="s">
        <v>588</v>
      </c>
      <c r="I1273" t="s">
        <v>82</v>
      </c>
      <c r="J1273">
        <v>223.82</v>
      </c>
      <c r="K1273" s="1">
        <v>45758</v>
      </c>
      <c r="L1273" t="s">
        <v>79</v>
      </c>
      <c r="M1273">
        <v>11</v>
      </c>
      <c r="N1273">
        <v>4</v>
      </c>
      <c r="O1273">
        <v>2</v>
      </c>
      <c r="P1273">
        <v>2025</v>
      </c>
    </row>
    <row r="1274" spans="1:16">
      <c r="A1274">
        <v>14.54</v>
      </c>
      <c r="B1274">
        <v>1</v>
      </c>
      <c r="C1274" t="s">
        <v>939</v>
      </c>
      <c r="D1274" t="s">
        <v>940</v>
      </c>
      <c r="E1274" t="s">
        <v>941</v>
      </c>
      <c r="F1274" t="s">
        <v>942</v>
      </c>
      <c r="G1274" t="s">
        <v>943</v>
      </c>
      <c r="H1274" t="s">
        <v>1349</v>
      </c>
      <c r="I1274" t="s">
        <v>97</v>
      </c>
      <c r="J1274">
        <v>14.54</v>
      </c>
      <c r="K1274" s="1">
        <v>46031</v>
      </c>
      <c r="L1274" t="s">
        <v>79</v>
      </c>
      <c r="M1274">
        <v>9</v>
      </c>
      <c r="N1274">
        <v>1</v>
      </c>
      <c r="O1274">
        <v>1</v>
      </c>
      <c r="P1274">
        <v>2026</v>
      </c>
    </row>
    <row r="1275" spans="1:16">
      <c r="A1275">
        <v>489.41999999999996</v>
      </c>
      <c r="B1275">
        <v>3</v>
      </c>
      <c r="C1275" t="s">
        <v>3379</v>
      </c>
      <c r="D1275" t="s">
        <v>3380</v>
      </c>
      <c r="E1275" t="s">
        <v>1143</v>
      </c>
      <c r="F1275" t="s">
        <v>953</v>
      </c>
      <c r="G1275" t="s">
        <v>954</v>
      </c>
      <c r="H1275" t="s">
        <v>183</v>
      </c>
      <c r="I1275" t="s">
        <v>19</v>
      </c>
      <c r="J1275">
        <v>163.13999999999999</v>
      </c>
      <c r="K1275" s="1">
        <v>46073</v>
      </c>
      <c r="L1275" t="s">
        <v>79</v>
      </c>
      <c r="M1275">
        <v>20</v>
      </c>
      <c r="N1275">
        <v>2</v>
      </c>
      <c r="O1275">
        <v>1</v>
      </c>
      <c r="P1275">
        <v>2026</v>
      </c>
    </row>
    <row r="1276" spans="1:16">
      <c r="A1276">
        <v>239.16</v>
      </c>
      <c r="B1276">
        <v>2</v>
      </c>
      <c r="C1276" t="s">
        <v>2027</v>
      </c>
      <c r="D1276" t="s">
        <v>1355</v>
      </c>
      <c r="E1276" t="s">
        <v>1508</v>
      </c>
      <c r="F1276" t="s">
        <v>1002</v>
      </c>
      <c r="G1276" t="s">
        <v>1003</v>
      </c>
      <c r="H1276" t="s">
        <v>143</v>
      </c>
      <c r="I1276" t="s">
        <v>69</v>
      </c>
      <c r="J1276">
        <v>119.58</v>
      </c>
      <c r="K1276" s="1">
        <v>45977</v>
      </c>
      <c r="L1276" t="s">
        <v>28</v>
      </c>
      <c r="M1276">
        <v>16</v>
      </c>
      <c r="N1276">
        <v>11</v>
      </c>
      <c r="O1276">
        <v>4</v>
      </c>
      <c r="P1276">
        <v>2025</v>
      </c>
    </row>
    <row r="1277" spans="1:16">
      <c r="A1277">
        <v>79.83</v>
      </c>
      <c r="B1277">
        <v>1</v>
      </c>
      <c r="C1277" t="s">
        <v>3185</v>
      </c>
      <c r="D1277" t="s">
        <v>3186</v>
      </c>
      <c r="E1277" t="s">
        <v>1324</v>
      </c>
      <c r="F1277" t="s">
        <v>211</v>
      </c>
      <c r="G1277" t="s">
        <v>966</v>
      </c>
      <c r="H1277" t="s">
        <v>234</v>
      </c>
      <c r="I1277" t="s">
        <v>82</v>
      </c>
      <c r="J1277">
        <v>79.83</v>
      </c>
      <c r="K1277" s="1">
        <v>46230</v>
      </c>
      <c r="L1277" t="s">
        <v>93</v>
      </c>
      <c r="M1277">
        <v>27</v>
      </c>
      <c r="N1277">
        <v>7</v>
      </c>
      <c r="O1277">
        <v>3</v>
      </c>
      <c r="P1277">
        <v>2026</v>
      </c>
    </row>
    <row r="1278" spans="1:16">
      <c r="A1278">
        <v>701.46</v>
      </c>
      <c r="B1278">
        <v>3</v>
      </c>
      <c r="C1278" t="s">
        <v>1977</v>
      </c>
      <c r="D1278" t="s">
        <v>1978</v>
      </c>
      <c r="E1278" t="s">
        <v>1225</v>
      </c>
      <c r="F1278" t="s">
        <v>929</v>
      </c>
      <c r="G1278" t="s">
        <v>1247</v>
      </c>
      <c r="H1278" t="s">
        <v>390</v>
      </c>
      <c r="I1278" t="s">
        <v>82</v>
      </c>
      <c r="J1278">
        <v>233.82</v>
      </c>
      <c r="K1278" s="1">
        <v>45862</v>
      </c>
      <c r="L1278" t="s">
        <v>105</v>
      </c>
      <c r="M1278">
        <v>24</v>
      </c>
      <c r="N1278">
        <v>7</v>
      </c>
      <c r="O1278">
        <v>3</v>
      </c>
      <c r="P1278">
        <v>2025</v>
      </c>
    </row>
    <row r="1279" spans="1:16">
      <c r="A1279">
        <v>1188.1500000000001</v>
      </c>
      <c r="B1279">
        <v>5</v>
      </c>
      <c r="C1279" t="s">
        <v>2068</v>
      </c>
      <c r="D1279" t="s">
        <v>2069</v>
      </c>
      <c r="E1279" t="s">
        <v>1468</v>
      </c>
      <c r="F1279" t="s">
        <v>762</v>
      </c>
      <c r="G1279" t="s">
        <v>763</v>
      </c>
      <c r="H1279" t="s">
        <v>202</v>
      </c>
      <c r="I1279" t="s">
        <v>17</v>
      </c>
      <c r="J1279">
        <v>237.63</v>
      </c>
      <c r="K1279" s="1">
        <v>45779</v>
      </c>
      <c r="L1279" t="s">
        <v>79</v>
      </c>
      <c r="M1279">
        <v>2</v>
      </c>
      <c r="N1279">
        <v>5</v>
      </c>
      <c r="O1279">
        <v>2</v>
      </c>
      <c r="P1279">
        <v>2025</v>
      </c>
    </row>
    <row r="1280" spans="1:16">
      <c r="A1280">
        <v>187.76</v>
      </c>
      <c r="B1280">
        <v>4</v>
      </c>
      <c r="C1280" t="s">
        <v>912</v>
      </c>
      <c r="D1280" t="s">
        <v>913</v>
      </c>
      <c r="E1280" t="s">
        <v>914</v>
      </c>
      <c r="F1280" t="s">
        <v>915</v>
      </c>
      <c r="G1280" t="s">
        <v>768</v>
      </c>
      <c r="H1280" t="s">
        <v>365</v>
      </c>
      <c r="I1280" t="s">
        <v>51</v>
      </c>
      <c r="J1280">
        <v>46.94</v>
      </c>
      <c r="K1280" s="1">
        <v>45573</v>
      </c>
      <c r="L1280" t="s">
        <v>48</v>
      </c>
      <c r="M1280">
        <v>8</v>
      </c>
      <c r="N1280">
        <v>10</v>
      </c>
      <c r="O1280">
        <v>4</v>
      </c>
      <c r="P1280">
        <v>2024</v>
      </c>
    </row>
    <row r="1281" spans="1:16">
      <c r="A1281">
        <v>237.72</v>
      </c>
      <c r="B1281">
        <v>1</v>
      </c>
      <c r="C1281" t="s">
        <v>1974</v>
      </c>
      <c r="D1281" t="s">
        <v>1975</v>
      </c>
      <c r="E1281" t="s">
        <v>1976</v>
      </c>
      <c r="F1281" t="s">
        <v>806</v>
      </c>
      <c r="G1281" t="s">
        <v>807</v>
      </c>
      <c r="H1281" t="s">
        <v>343</v>
      </c>
      <c r="I1281" t="s">
        <v>46</v>
      </c>
      <c r="J1281">
        <v>237.72</v>
      </c>
      <c r="K1281" s="1">
        <v>46080</v>
      </c>
      <c r="L1281" t="s">
        <v>79</v>
      </c>
      <c r="M1281">
        <v>27</v>
      </c>
      <c r="N1281">
        <v>2</v>
      </c>
      <c r="O1281">
        <v>1</v>
      </c>
      <c r="P1281">
        <v>2026</v>
      </c>
    </row>
    <row r="1282" spans="1:16">
      <c r="A1282">
        <v>89.85</v>
      </c>
      <c r="B1282">
        <v>1</v>
      </c>
      <c r="C1282" t="s">
        <v>1988</v>
      </c>
      <c r="D1282" t="s">
        <v>1989</v>
      </c>
      <c r="E1282" t="s">
        <v>1117</v>
      </c>
      <c r="F1282" t="s">
        <v>829</v>
      </c>
      <c r="G1282" t="s">
        <v>830</v>
      </c>
      <c r="H1282" t="s">
        <v>381</v>
      </c>
      <c r="I1282" t="s">
        <v>27</v>
      </c>
      <c r="J1282">
        <v>89.85</v>
      </c>
      <c r="K1282" s="1">
        <v>46163</v>
      </c>
      <c r="L1282" t="s">
        <v>105</v>
      </c>
      <c r="M1282">
        <v>21</v>
      </c>
      <c r="N1282">
        <v>5</v>
      </c>
      <c r="O1282">
        <v>2</v>
      </c>
      <c r="P1282">
        <v>2026</v>
      </c>
    </row>
    <row r="1283" spans="1:16">
      <c r="A1283">
        <v>965.15</v>
      </c>
      <c r="B1283">
        <v>5</v>
      </c>
      <c r="C1283" t="s">
        <v>749</v>
      </c>
      <c r="D1283" t="s">
        <v>750</v>
      </c>
      <c r="E1283" t="s">
        <v>751</v>
      </c>
      <c r="F1283" t="s">
        <v>752</v>
      </c>
      <c r="G1283" t="s">
        <v>753</v>
      </c>
      <c r="H1283" t="s">
        <v>420</v>
      </c>
      <c r="I1283" t="s">
        <v>25</v>
      </c>
      <c r="J1283">
        <v>193.03</v>
      </c>
      <c r="K1283" s="1">
        <v>46072</v>
      </c>
      <c r="L1283" t="s">
        <v>105</v>
      </c>
      <c r="M1283">
        <v>19</v>
      </c>
      <c r="N1283">
        <v>2</v>
      </c>
      <c r="O1283">
        <v>1</v>
      </c>
      <c r="P1283">
        <v>2026</v>
      </c>
    </row>
    <row r="1284" spans="1:16">
      <c r="A1284">
        <v>137.47</v>
      </c>
      <c r="B1284">
        <v>1</v>
      </c>
      <c r="C1284" t="s">
        <v>2575</v>
      </c>
      <c r="D1284" t="s">
        <v>2576</v>
      </c>
      <c r="E1284" t="s">
        <v>875</v>
      </c>
      <c r="F1284" t="s">
        <v>907</v>
      </c>
      <c r="G1284" t="s">
        <v>908</v>
      </c>
      <c r="H1284" t="s">
        <v>379</v>
      </c>
      <c r="I1284" t="s">
        <v>69</v>
      </c>
      <c r="J1284">
        <v>137.47</v>
      </c>
      <c r="K1284" s="1">
        <v>45871</v>
      </c>
      <c r="L1284" t="s">
        <v>14</v>
      </c>
      <c r="M1284">
        <v>2</v>
      </c>
      <c r="N1284">
        <v>8</v>
      </c>
      <c r="O1284">
        <v>3</v>
      </c>
      <c r="P1284">
        <v>2025</v>
      </c>
    </row>
    <row r="1285" spans="1:16">
      <c r="A1285">
        <v>189.85</v>
      </c>
      <c r="B1285">
        <v>1</v>
      </c>
      <c r="C1285" t="s">
        <v>3133</v>
      </c>
      <c r="D1285" t="s">
        <v>3134</v>
      </c>
      <c r="E1285" t="s">
        <v>1556</v>
      </c>
      <c r="F1285" t="s">
        <v>2982</v>
      </c>
      <c r="G1285" t="s">
        <v>839</v>
      </c>
      <c r="H1285" t="s">
        <v>569</v>
      </c>
      <c r="I1285" t="s">
        <v>43</v>
      </c>
      <c r="J1285">
        <v>189.85</v>
      </c>
      <c r="K1285" s="1">
        <v>46198</v>
      </c>
      <c r="L1285" t="s">
        <v>105</v>
      </c>
      <c r="M1285">
        <v>25</v>
      </c>
      <c r="N1285">
        <v>6</v>
      </c>
      <c r="O1285">
        <v>2</v>
      </c>
      <c r="P1285">
        <v>2026</v>
      </c>
    </row>
    <row r="1286" spans="1:16">
      <c r="A1286">
        <v>559.29999999999995</v>
      </c>
      <c r="B1286">
        <v>5</v>
      </c>
      <c r="C1286" t="s">
        <v>847</v>
      </c>
      <c r="D1286" t="s">
        <v>848</v>
      </c>
      <c r="E1286" t="s">
        <v>849</v>
      </c>
      <c r="F1286" t="s">
        <v>387</v>
      </c>
      <c r="G1286" t="s">
        <v>821</v>
      </c>
      <c r="H1286" t="s">
        <v>432</v>
      </c>
      <c r="I1286" t="s">
        <v>46</v>
      </c>
      <c r="J1286">
        <v>111.86</v>
      </c>
      <c r="K1286" s="1">
        <v>45743</v>
      </c>
      <c r="L1286" t="s">
        <v>105</v>
      </c>
      <c r="M1286">
        <v>27</v>
      </c>
      <c r="N1286">
        <v>3</v>
      </c>
      <c r="O1286">
        <v>1</v>
      </c>
      <c r="P1286">
        <v>2025</v>
      </c>
    </row>
    <row r="1287" spans="1:16">
      <c r="A1287">
        <v>786.05000000000007</v>
      </c>
      <c r="B1287">
        <v>5</v>
      </c>
      <c r="C1287" t="s">
        <v>1243</v>
      </c>
      <c r="D1287" t="s">
        <v>1244</v>
      </c>
      <c r="E1287" t="s">
        <v>1245</v>
      </c>
      <c r="F1287" t="s">
        <v>1246</v>
      </c>
      <c r="G1287" t="s">
        <v>1247</v>
      </c>
      <c r="H1287" t="s">
        <v>576</v>
      </c>
      <c r="I1287" t="s">
        <v>27</v>
      </c>
      <c r="J1287">
        <v>157.21</v>
      </c>
      <c r="K1287" s="1">
        <v>45686</v>
      </c>
      <c r="L1287" t="s">
        <v>34</v>
      </c>
      <c r="M1287">
        <v>29</v>
      </c>
      <c r="N1287">
        <v>1</v>
      </c>
      <c r="O1287">
        <v>1</v>
      </c>
      <c r="P1287">
        <v>2025</v>
      </c>
    </row>
    <row r="1288" spans="1:16">
      <c r="A1288">
        <v>926.56</v>
      </c>
      <c r="B1288">
        <v>4</v>
      </c>
      <c r="C1288" t="s">
        <v>749</v>
      </c>
      <c r="D1288" t="s">
        <v>750</v>
      </c>
      <c r="E1288" t="s">
        <v>751</v>
      </c>
      <c r="F1288" t="s">
        <v>752</v>
      </c>
      <c r="G1288" t="s">
        <v>753</v>
      </c>
      <c r="H1288" t="s">
        <v>658</v>
      </c>
      <c r="I1288" t="s">
        <v>69</v>
      </c>
      <c r="J1288">
        <v>231.64</v>
      </c>
      <c r="K1288" s="1">
        <v>45834</v>
      </c>
      <c r="L1288" t="s">
        <v>105</v>
      </c>
      <c r="M1288">
        <v>26</v>
      </c>
      <c r="N1288">
        <v>6</v>
      </c>
      <c r="O1288">
        <v>2</v>
      </c>
      <c r="P1288">
        <v>2025</v>
      </c>
    </row>
    <row r="1289" spans="1:16">
      <c r="A1289">
        <v>306.48</v>
      </c>
      <c r="B1289">
        <v>3</v>
      </c>
      <c r="C1289" t="s">
        <v>3191</v>
      </c>
      <c r="D1289" t="s">
        <v>3192</v>
      </c>
      <c r="E1289" t="s">
        <v>1862</v>
      </c>
      <c r="F1289" t="s">
        <v>1465</v>
      </c>
      <c r="G1289" t="s">
        <v>817</v>
      </c>
      <c r="H1289" t="s">
        <v>286</v>
      </c>
      <c r="I1289" t="s">
        <v>97</v>
      </c>
      <c r="J1289">
        <v>102.16</v>
      </c>
      <c r="K1289" s="1">
        <v>46081</v>
      </c>
      <c r="L1289" t="s">
        <v>14</v>
      </c>
      <c r="M1289">
        <v>28</v>
      </c>
      <c r="N1289">
        <v>2</v>
      </c>
      <c r="O1289">
        <v>1</v>
      </c>
      <c r="P1289">
        <v>2026</v>
      </c>
    </row>
    <row r="1290" spans="1:16">
      <c r="A1290">
        <v>464.28</v>
      </c>
      <c r="B1290">
        <v>2</v>
      </c>
      <c r="C1290" t="s">
        <v>3115</v>
      </c>
      <c r="D1290" t="s">
        <v>3116</v>
      </c>
      <c r="E1290" t="s">
        <v>746</v>
      </c>
      <c r="F1290" t="s">
        <v>1254</v>
      </c>
      <c r="G1290" t="s">
        <v>781</v>
      </c>
      <c r="H1290" t="s">
        <v>439</v>
      </c>
      <c r="I1290" t="s">
        <v>21</v>
      </c>
      <c r="J1290">
        <v>232.14</v>
      </c>
      <c r="K1290" s="1">
        <v>45900</v>
      </c>
      <c r="L1290" t="s">
        <v>28</v>
      </c>
      <c r="M1290">
        <v>31</v>
      </c>
      <c r="N1290">
        <v>8</v>
      </c>
      <c r="O1290">
        <v>3</v>
      </c>
      <c r="P1290">
        <v>2025</v>
      </c>
    </row>
    <row r="1291" spans="1:16">
      <c r="A1291">
        <v>449.18</v>
      </c>
      <c r="B1291">
        <v>2</v>
      </c>
      <c r="C1291" t="s">
        <v>1760</v>
      </c>
      <c r="D1291" t="s">
        <v>1761</v>
      </c>
      <c r="E1291" t="s">
        <v>1603</v>
      </c>
      <c r="F1291" t="s">
        <v>380</v>
      </c>
      <c r="G1291" t="s">
        <v>896</v>
      </c>
      <c r="H1291" t="s">
        <v>121</v>
      </c>
      <c r="I1291" t="s">
        <v>122</v>
      </c>
      <c r="J1291">
        <v>224.59</v>
      </c>
      <c r="K1291" s="1">
        <v>45964</v>
      </c>
      <c r="L1291" t="s">
        <v>93</v>
      </c>
      <c r="M1291">
        <v>3</v>
      </c>
      <c r="N1291">
        <v>11</v>
      </c>
      <c r="O1291">
        <v>4</v>
      </c>
      <c r="P1291">
        <v>2025</v>
      </c>
    </row>
    <row r="1292" spans="1:16">
      <c r="A1292">
        <v>22.98</v>
      </c>
      <c r="B1292">
        <v>2</v>
      </c>
      <c r="C1292" t="s">
        <v>2344</v>
      </c>
      <c r="D1292" t="s">
        <v>2345</v>
      </c>
      <c r="E1292" t="s">
        <v>2346</v>
      </c>
      <c r="F1292" t="s">
        <v>2154</v>
      </c>
      <c r="G1292" t="s">
        <v>1003</v>
      </c>
      <c r="H1292" t="s">
        <v>736</v>
      </c>
      <c r="I1292" t="s">
        <v>122</v>
      </c>
      <c r="J1292">
        <v>11.49</v>
      </c>
      <c r="K1292" s="1">
        <v>45605</v>
      </c>
      <c r="L1292" t="s">
        <v>14</v>
      </c>
      <c r="M1292">
        <v>9</v>
      </c>
      <c r="N1292">
        <v>11</v>
      </c>
      <c r="O1292">
        <v>4</v>
      </c>
      <c r="P1292">
        <v>2024</v>
      </c>
    </row>
    <row r="1293" spans="1:16">
      <c r="A1293">
        <v>35.130000000000003</v>
      </c>
      <c r="B1293">
        <v>1</v>
      </c>
      <c r="C1293" t="s">
        <v>2819</v>
      </c>
      <c r="D1293" t="s">
        <v>2820</v>
      </c>
      <c r="E1293" t="s">
        <v>1619</v>
      </c>
      <c r="F1293" t="s">
        <v>1032</v>
      </c>
      <c r="G1293" t="s">
        <v>839</v>
      </c>
      <c r="H1293" t="s">
        <v>559</v>
      </c>
      <c r="I1293" t="s">
        <v>97</v>
      </c>
      <c r="J1293">
        <v>35.130000000000003</v>
      </c>
      <c r="K1293" s="1">
        <v>45640</v>
      </c>
      <c r="L1293" t="s">
        <v>14</v>
      </c>
      <c r="M1293">
        <v>14</v>
      </c>
      <c r="N1293">
        <v>12</v>
      </c>
      <c r="O1293">
        <v>4</v>
      </c>
      <c r="P1293">
        <v>2024</v>
      </c>
    </row>
    <row r="1294" spans="1:16">
      <c r="A1294">
        <v>859.05</v>
      </c>
      <c r="B1294">
        <v>5</v>
      </c>
      <c r="C1294" t="s">
        <v>2832</v>
      </c>
      <c r="D1294" t="s">
        <v>2833</v>
      </c>
      <c r="E1294" t="s">
        <v>973</v>
      </c>
      <c r="F1294" t="s">
        <v>794</v>
      </c>
      <c r="G1294" t="s">
        <v>795</v>
      </c>
      <c r="H1294" t="s">
        <v>129</v>
      </c>
      <c r="I1294" t="s">
        <v>25</v>
      </c>
      <c r="J1294">
        <v>171.81</v>
      </c>
      <c r="K1294" s="1">
        <v>46246</v>
      </c>
      <c r="L1294" t="s">
        <v>34</v>
      </c>
      <c r="M1294">
        <v>12</v>
      </c>
      <c r="N1294">
        <v>8</v>
      </c>
      <c r="O1294">
        <v>3</v>
      </c>
      <c r="P1294">
        <v>2026</v>
      </c>
    </row>
    <row r="1295" spans="1:16">
      <c r="A1295">
        <v>864.44999999999993</v>
      </c>
      <c r="B1295">
        <v>5</v>
      </c>
      <c r="C1295" t="s">
        <v>2658</v>
      </c>
      <c r="D1295" t="s">
        <v>2659</v>
      </c>
      <c r="E1295" t="s">
        <v>1906</v>
      </c>
      <c r="F1295" t="s">
        <v>211</v>
      </c>
      <c r="G1295" t="s">
        <v>812</v>
      </c>
      <c r="H1295" t="s">
        <v>2166</v>
      </c>
      <c r="I1295" t="s">
        <v>21</v>
      </c>
      <c r="J1295">
        <v>172.89</v>
      </c>
      <c r="K1295" s="1">
        <v>45807</v>
      </c>
      <c r="L1295" t="s">
        <v>79</v>
      </c>
      <c r="M1295">
        <v>30</v>
      </c>
      <c r="N1295">
        <v>5</v>
      </c>
      <c r="O1295">
        <v>2</v>
      </c>
      <c r="P1295">
        <v>2025</v>
      </c>
    </row>
    <row r="1296" spans="1:16">
      <c r="A1296">
        <v>287.56</v>
      </c>
      <c r="B1296">
        <v>2</v>
      </c>
      <c r="C1296" t="s">
        <v>2089</v>
      </c>
      <c r="D1296" t="s">
        <v>2090</v>
      </c>
      <c r="E1296" t="s">
        <v>2091</v>
      </c>
      <c r="F1296" t="s">
        <v>1017</v>
      </c>
      <c r="G1296" t="s">
        <v>966</v>
      </c>
      <c r="H1296" t="s">
        <v>346</v>
      </c>
      <c r="I1296" t="s">
        <v>23</v>
      </c>
      <c r="J1296">
        <v>143.78</v>
      </c>
      <c r="K1296" s="1">
        <v>45588</v>
      </c>
      <c r="L1296" t="s">
        <v>34</v>
      </c>
      <c r="M1296">
        <v>23</v>
      </c>
      <c r="N1296">
        <v>10</v>
      </c>
      <c r="O1296">
        <v>4</v>
      </c>
      <c r="P1296">
        <v>2024</v>
      </c>
    </row>
    <row r="1297" spans="1:16">
      <c r="A1297">
        <v>424.08000000000004</v>
      </c>
      <c r="B1297">
        <v>3</v>
      </c>
      <c r="C1297" t="s">
        <v>2381</v>
      </c>
      <c r="D1297" t="s">
        <v>2382</v>
      </c>
      <c r="E1297" t="s">
        <v>2383</v>
      </c>
      <c r="F1297" t="s">
        <v>1359</v>
      </c>
      <c r="G1297" t="s">
        <v>768</v>
      </c>
      <c r="H1297" t="s">
        <v>181</v>
      </c>
      <c r="I1297" t="s">
        <v>82</v>
      </c>
      <c r="J1297">
        <v>141.36000000000001</v>
      </c>
      <c r="K1297" s="1">
        <v>45905</v>
      </c>
      <c r="L1297" t="s">
        <v>79</v>
      </c>
      <c r="M1297">
        <v>5</v>
      </c>
      <c r="N1297">
        <v>9</v>
      </c>
      <c r="O1297">
        <v>3</v>
      </c>
      <c r="P1297">
        <v>2025</v>
      </c>
    </row>
    <row r="1298" spans="1:16">
      <c r="A1298">
        <v>616.75</v>
      </c>
      <c r="B1298">
        <v>5</v>
      </c>
      <c r="C1298" t="s">
        <v>3265</v>
      </c>
      <c r="D1298" t="s">
        <v>3266</v>
      </c>
      <c r="E1298" t="s">
        <v>1324</v>
      </c>
      <c r="F1298" t="s">
        <v>980</v>
      </c>
      <c r="G1298" t="s">
        <v>981</v>
      </c>
      <c r="H1298" t="s">
        <v>630</v>
      </c>
      <c r="I1298" t="s">
        <v>69</v>
      </c>
      <c r="J1298">
        <v>123.35</v>
      </c>
      <c r="K1298" s="1">
        <v>45947</v>
      </c>
      <c r="L1298" t="s">
        <v>79</v>
      </c>
      <c r="M1298">
        <v>17</v>
      </c>
      <c r="N1298">
        <v>10</v>
      </c>
      <c r="O1298">
        <v>4</v>
      </c>
      <c r="P1298">
        <v>2025</v>
      </c>
    </row>
    <row r="1299" spans="1:16">
      <c r="A1299">
        <v>643.08000000000004</v>
      </c>
      <c r="B1299">
        <v>4</v>
      </c>
      <c r="C1299" t="s">
        <v>3067</v>
      </c>
      <c r="D1299" t="s">
        <v>3068</v>
      </c>
      <c r="E1299" t="s">
        <v>3069</v>
      </c>
      <c r="F1299" t="s">
        <v>1600</v>
      </c>
      <c r="G1299" t="s">
        <v>768</v>
      </c>
      <c r="H1299" t="s">
        <v>44</v>
      </c>
      <c r="I1299" t="s">
        <v>31</v>
      </c>
      <c r="J1299">
        <v>160.77000000000001</v>
      </c>
      <c r="K1299" s="1">
        <v>45668</v>
      </c>
      <c r="L1299" t="s">
        <v>14</v>
      </c>
      <c r="M1299">
        <v>11</v>
      </c>
      <c r="N1299">
        <v>1</v>
      </c>
      <c r="O1299">
        <v>1</v>
      </c>
      <c r="P1299">
        <v>2025</v>
      </c>
    </row>
    <row r="1300" spans="1:16">
      <c r="A1300">
        <v>23.08</v>
      </c>
      <c r="B1300">
        <v>4</v>
      </c>
      <c r="C1300" t="s">
        <v>2381</v>
      </c>
      <c r="D1300" t="s">
        <v>2382</v>
      </c>
      <c r="E1300" t="s">
        <v>2383</v>
      </c>
      <c r="F1300" t="s">
        <v>1359</v>
      </c>
      <c r="G1300" t="s">
        <v>768</v>
      </c>
      <c r="H1300" t="s">
        <v>140</v>
      </c>
      <c r="I1300" t="s">
        <v>17</v>
      </c>
      <c r="J1300">
        <v>5.77</v>
      </c>
      <c r="K1300" s="1">
        <v>46116</v>
      </c>
      <c r="L1300" t="s">
        <v>14</v>
      </c>
      <c r="M1300">
        <v>4</v>
      </c>
      <c r="N1300">
        <v>4</v>
      </c>
      <c r="O1300">
        <v>2</v>
      </c>
      <c r="P1300">
        <v>2026</v>
      </c>
    </row>
    <row r="1301" spans="1:16">
      <c r="A1301">
        <v>162.16</v>
      </c>
      <c r="B1301">
        <v>1</v>
      </c>
      <c r="C1301" t="s">
        <v>2477</v>
      </c>
      <c r="D1301" t="s">
        <v>2478</v>
      </c>
      <c r="E1301" t="s">
        <v>2479</v>
      </c>
      <c r="F1301" t="s">
        <v>196</v>
      </c>
      <c r="G1301" t="s">
        <v>1247</v>
      </c>
      <c r="H1301" t="s">
        <v>651</v>
      </c>
      <c r="I1301" t="s">
        <v>122</v>
      </c>
      <c r="J1301">
        <v>162.16</v>
      </c>
      <c r="K1301" s="1">
        <v>46265</v>
      </c>
      <c r="L1301" t="s">
        <v>93</v>
      </c>
      <c r="M1301">
        <v>31</v>
      </c>
      <c r="N1301">
        <v>8</v>
      </c>
      <c r="O1301">
        <v>3</v>
      </c>
      <c r="P1301">
        <v>2026</v>
      </c>
    </row>
    <row r="1302" spans="1:16">
      <c r="A1302">
        <v>316.25</v>
      </c>
      <c r="B1302">
        <v>5</v>
      </c>
      <c r="C1302" t="s">
        <v>2853</v>
      </c>
      <c r="D1302" t="s">
        <v>2854</v>
      </c>
      <c r="E1302" t="s">
        <v>2522</v>
      </c>
      <c r="F1302" t="s">
        <v>2332</v>
      </c>
      <c r="G1302" t="s">
        <v>1003</v>
      </c>
      <c r="H1302" t="s">
        <v>740</v>
      </c>
      <c r="I1302" t="s">
        <v>46</v>
      </c>
      <c r="J1302">
        <v>63.25</v>
      </c>
      <c r="K1302" s="1">
        <v>45864</v>
      </c>
      <c r="L1302" t="s">
        <v>14</v>
      </c>
      <c r="M1302">
        <v>26</v>
      </c>
      <c r="N1302">
        <v>7</v>
      </c>
      <c r="O1302">
        <v>3</v>
      </c>
      <c r="P1302">
        <v>2025</v>
      </c>
    </row>
    <row r="1303" spans="1:16">
      <c r="A1303">
        <v>967.92</v>
      </c>
      <c r="B1303">
        <v>4</v>
      </c>
      <c r="C1303" t="s">
        <v>1658</v>
      </c>
      <c r="D1303" t="s">
        <v>1659</v>
      </c>
      <c r="E1303" t="s">
        <v>1660</v>
      </c>
      <c r="F1303" t="s">
        <v>785</v>
      </c>
      <c r="G1303" t="s">
        <v>786</v>
      </c>
      <c r="H1303" t="s">
        <v>203</v>
      </c>
      <c r="I1303" t="s">
        <v>100</v>
      </c>
      <c r="J1303">
        <v>241.98</v>
      </c>
      <c r="K1303" s="1">
        <v>46252</v>
      </c>
      <c r="L1303" t="s">
        <v>48</v>
      </c>
      <c r="M1303">
        <v>18</v>
      </c>
      <c r="N1303">
        <v>8</v>
      </c>
      <c r="O1303">
        <v>3</v>
      </c>
      <c r="P1303">
        <v>2026</v>
      </c>
    </row>
    <row r="1304" spans="1:16">
      <c r="A1304">
        <v>269.54999999999995</v>
      </c>
      <c r="B1304">
        <v>3</v>
      </c>
      <c r="C1304" t="s">
        <v>1712</v>
      </c>
      <c r="D1304" t="s">
        <v>1713</v>
      </c>
      <c r="E1304" t="s">
        <v>938</v>
      </c>
      <c r="F1304" t="s">
        <v>1189</v>
      </c>
      <c r="G1304" t="s">
        <v>892</v>
      </c>
      <c r="H1304" t="s">
        <v>381</v>
      </c>
      <c r="I1304" t="s">
        <v>27</v>
      </c>
      <c r="J1304">
        <v>89.85</v>
      </c>
      <c r="K1304" s="1">
        <v>45647</v>
      </c>
      <c r="L1304" t="s">
        <v>14</v>
      </c>
      <c r="M1304">
        <v>21</v>
      </c>
      <c r="N1304">
        <v>12</v>
      </c>
      <c r="O1304">
        <v>4</v>
      </c>
      <c r="P1304">
        <v>2024</v>
      </c>
    </row>
    <row r="1305" spans="1:16">
      <c r="A1305">
        <v>401.84</v>
      </c>
      <c r="B1305">
        <v>4</v>
      </c>
      <c r="C1305" t="s">
        <v>2213</v>
      </c>
      <c r="D1305" t="s">
        <v>2214</v>
      </c>
      <c r="E1305" t="s">
        <v>1556</v>
      </c>
      <c r="F1305" t="s">
        <v>691</v>
      </c>
      <c r="G1305" t="s">
        <v>776</v>
      </c>
      <c r="H1305" t="s">
        <v>703</v>
      </c>
      <c r="I1305" t="s">
        <v>60</v>
      </c>
      <c r="J1305">
        <v>100.46</v>
      </c>
      <c r="K1305" s="1">
        <v>46115</v>
      </c>
      <c r="L1305" t="s">
        <v>79</v>
      </c>
      <c r="M1305">
        <v>3</v>
      </c>
      <c r="N1305">
        <v>4</v>
      </c>
      <c r="O1305">
        <v>2</v>
      </c>
      <c r="P1305">
        <v>2026</v>
      </c>
    </row>
    <row r="1306" spans="1:16">
      <c r="A1306">
        <v>105.24</v>
      </c>
      <c r="B1306">
        <v>2</v>
      </c>
      <c r="C1306" t="s">
        <v>3165</v>
      </c>
      <c r="D1306" t="s">
        <v>3166</v>
      </c>
      <c r="E1306" t="s">
        <v>1633</v>
      </c>
      <c r="F1306" t="s">
        <v>1673</v>
      </c>
      <c r="G1306" t="s">
        <v>821</v>
      </c>
      <c r="H1306" t="s">
        <v>270</v>
      </c>
      <c r="I1306" t="s">
        <v>55</v>
      </c>
      <c r="J1306">
        <v>52.62</v>
      </c>
      <c r="K1306" s="1">
        <v>45694</v>
      </c>
      <c r="L1306" t="s">
        <v>105</v>
      </c>
      <c r="M1306">
        <v>6</v>
      </c>
      <c r="N1306">
        <v>2</v>
      </c>
      <c r="O1306">
        <v>1</v>
      </c>
      <c r="P1306">
        <v>2025</v>
      </c>
    </row>
    <row r="1307" spans="1:16">
      <c r="A1307">
        <v>1061.8499999999999</v>
      </c>
      <c r="B1307">
        <v>5</v>
      </c>
      <c r="C1307" t="s">
        <v>1548</v>
      </c>
      <c r="D1307" t="s">
        <v>1549</v>
      </c>
      <c r="E1307" t="s">
        <v>1057</v>
      </c>
      <c r="F1307" t="s">
        <v>1550</v>
      </c>
      <c r="G1307" t="s">
        <v>776</v>
      </c>
      <c r="H1307" t="s">
        <v>331</v>
      </c>
      <c r="I1307" t="s">
        <v>51</v>
      </c>
      <c r="J1307">
        <v>212.37</v>
      </c>
      <c r="K1307" s="1">
        <v>45550</v>
      </c>
      <c r="L1307" t="s">
        <v>28</v>
      </c>
      <c r="M1307">
        <v>15</v>
      </c>
      <c r="N1307">
        <v>9</v>
      </c>
      <c r="O1307">
        <v>3</v>
      </c>
      <c r="P1307">
        <v>2024</v>
      </c>
    </row>
    <row r="1308" spans="1:16">
      <c r="A1308">
        <v>488.72</v>
      </c>
      <c r="B1308">
        <v>4</v>
      </c>
      <c r="C1308" t="s">
        <v>1072</v>
      </c>
      <c r="D1308" t="s">
        <v>1073</v>
      </c>
      <c r="E1308" t="s">
        <v>1074</v>
      </c>
      <c r="F1308" t="s">
        <v>1002</v>
      </c>
      <c r="G1308" t="s">
        <v>1003</v>
      </c>
      <c r="H1308" t="s">
        <v>433</v>
      </c>
      <c r="I1308" t="s">
        <v>100</v>
      </c>
      <c r="J1308">
        <v>122.18</v>
      </c>
      <c r="K1308" s="1">
        <v>46026</v>
      </c>
      <c r="L1308" t="s">
        <v>28</v>
      </c>
      <c r="M1308">
        <v>4</v>
      </c>
      <c r="N1308">
        <v>1</v>
      </c>
      <c r="O1308">
        <v>1</v>
      </c>
      <c r="P1308">
        <v>2026</v>
      </c>
    </row>
    <row r="1309" spans="1:16">
      <c r="A1309">
        <v>447.44</v>
      </c>
      <c r="B1309">
        <v>4</v>
      </c>
      <c r="C1309" t="s">
        <v>2127</v>
      </c>
      <c r="D1309" t="s">
        <v>2128</v>
      </c>
      <c r="E1309" t="s">
        <v>1050</v>
      </c>
      <c r="F1309" t="s">
        <v>1371</v>
      </c>
      <c r="G1309" t="s">
        <v>786</v>
      </c>
      <c r="H1309" t="s">
        <v>432</v>
      </c>
      <c r="I1309" t="s">
        <v>46</v>
      </c>
      <c r="J1309">
        <v>111.86</v>
      </c>
      <c r="K1309" s="1">
        <v>45877</v>
      </c>
      <c r="L1309" t="s">
        <v>79</v>
      </c>
      <c r="M1309">
        <v>8</v>
      </c>
      <c r="N1309">
        <v>8</v>
      </c>
      <c r="O1309">
        <v>3</v>
      </c>
      <c r="P1309">
        <v>2025</v>
      </c>
    </row>
    <row r="1310" spans="1:16">
      <c r="A1310">
        <v>231.14999999999998</v>
      </c>
      <c r="B1310">
        <v>3</v>
      </c>
      <c r="C1310" t="s">
        <v>2106</v>
      </c>
      <c r="D1310" t="s">
        <v>2107</v>
      </c>
      <c r="E1310" t="s">
        <v>2108</v>
      </c>
      <c r="F1310" t="s">
        <v>1395</v>
      </c>
      <c r="G1310" t="s">
        <v>776</v>
      </c>
      <c r="H1310" t="s">
        <v>509</v>
      </c>
      <c r="I1310" t="s">
        <v>19</v>
      </c>
      <c r="J1310">
        <v>77.05</v>
      </c>
      <c r="K1310" s="1">
        <v>45567</v>
      </c>
      <c r="L1310" t="s">
        <v>34</v>
      </c>
      <c r="M1310">
        <v>2</v>
      </c>
      <c r="N1310">
        <v>10</v>
      </c>
      <c r="O1310">
        <v>4</v>
      </c>
      <c r="P1310">
        <v>2024</v>
      </c>
    </row>
    <row r="1311" spans="1:16">
      <c r="A1311">
        <v>191.82</v>
      </c>
      <c r="B1311">
        <v>1</v>
      </c>
      <c r="C1311" t="s">
        <v>2104</v>
      </c>
      <c r="D1311" t="s">
        <v>2105</v>
      </c>
      <c r="E1311" t="s">
        <v>991</v>
      </c>
      <c r="F1311" t="s">
        <v>29</v>
      </c>
      <c r="G1311" t="s">
        <v>821</v>
      </c>
      <c r="H1311" t="s">
        <v>584</v>
      </c>
      <c r="I1311" t="s">
        <v>19</v>
      </c>
      <c r="J1311">
        <v>191.82</v>
      </c>
      <c r="K1311" s="1">
        <v>46233</v>
      </c>
      <c r="L1311" t="s">
        <v>105</v>
      </c>
      <c r="M1311">
        <v>30</v>
      </c>
      <c r="N1311">
        <v>7</v>
      </c>
      <c r="O1311">
        <v>3</v>
      </c>
      <c r="P1311">
        <v>2026</v>
      </c>
    </row>
    <row r="1312" spans="1:16">
      <c r="A1312">
        <v>877.04</v>
      </c>
      <c r="B1312">
        <v>4</v>
      </c>
      <c r="C1312" t="s">
        <v>1122</v>
      </c>
      <c r="D1312" t="s">
        <v>1123</v>
      </c>
      <c r="E1312" t="s">
        <v>1124</v>
      </c>
      <c r="F1312" t="s">
        <v>15</v>
      </c>
      <c r="G1312" t="s">
        <v>834</v>
      </c>
      <c r="H1312" t="s">
        <v>162</v>
      </c>
      <c r="I1312" t="s">
        <v>51</v>
      </c>
      <c r="J1312">
        <v>219.26</v>
      </c>
      <c r="K1312" s="1">
        <v>45842</v>
      </c>
      <c r="L1312" t="s">
        <v>79</v>
      </c>
      <c r="M1312">
        <v>4</v>
      </c>
      <c r="N1312">
        <v>7</v>
      </c>
      <c r="O1312">
        <v>3</v>
      </c>
      <c r="P1312">
        <v>2025</v>
      </c>
    </row>
    <row r="1313" spans="1:16">
      <c r="A1313">
        <v>888.08</v>
      </c>
      <c r="B1313">
        <v>4</v>
      </c>
      <c r="C1313" t="s">
        <v>3312</v>
      </c>
      <c r="D1313" t="s">
        <v>3313</v>
      </c>
      <c r="E1313" t="s">
        <v>1556</v>
      </c>
      <c r="F1313" t="s">
        <v>879</v>
      </c>
      <c r="G1313" t="s">
        <v>748</v>
      </c>
      <c r="H1313" t="s">
        <v>501</v>
      </c>
      <c r="I1313" t="s">
        <v>25</v>
      </c>
      <c r="J1313">
        <v>222.02</v>
      </c>
      <c r="K1313" s="1">
        <v>45992</v>
      </c>
      <c r="L1313" t="s">
        <v>93</v>
      </c>
      <c r="M1313">
        <v>1</v>
      </c>
      <c r="N1313">
        <v>12</v>
      </c>
      <c r="O1313">
        <v>4</v>
      </c>
      <c r="P1313">
        <v>2025</v>
      </c>
    </row>
    <row r="1314" spans="1:16">
      <c r="A1314">
        <v>487.76</v>
      </c>
      <c r="B1314">
        <v>4</v>
      </c>
      <c r="C1314" t="s">
        <v>893</v>
      </c>
      <c r="D1314" t="s">
        <v>894</v>
      </c>
      <c r="E1314" t="s">
        <v>895</v>
      </c>
      <c r="F1314" t="s">
        <v>106</v>
      </c>
      <c r="G1314" t="s">
        <v>896</v>
      </c>
      <c r="H1314" t="s">
        <v>245</v>
      </c>
      <c r="I1314" t="s">
        <v>43</v>
      </c>
      <c r="J1314">
        <v>121.94</v>
      </c>
      <c r="K1314" s="1">
        <v>45897</v>
      </c>
      <c r="L1314" t="s">
        <v>105</v>
      </c>
      <c r="M1314">
        <v>28</v>
      </c>
      <c r="N1314">
        <v>8</v>
      </c>
      <c r="O1314">
        <v>3</v>
      </c>
      <c r="P1314">
        <v>2025</v>
      </c>
    </row>
    <row r="1315" spans="1:16">
      <c r="A1315">
        <v>293.85000000000002</v>
      </c>
      <c r="B1315">
        <v>5</v>
      </c>
      <c r="C1315" t="s">
        <v>2477</v>
      </c>
      <c r="D1315" t="s">
        <v>2478</v>
      </c>
      <c r="E1315" t="s">
        <v>2479</v>
      </c>
      <c r="F1315" t="s">
        <v>196</v>
      </c>
      <c r="G1315" t="s">
        <v>1247</v>
      </c>
      <c r="H1315" t="s">
        <v>262</v>
      </c>
      <c r="I1315" t="s">
        <v>21</v>
      </c>
      <c r="J1315">
        <v>58.77</v>
      </c>
      <c r="K1315" s="1">
        <v>45739</v>
      </c>
      <c r="L1315" t="s">
        <v>28</v>
      </c>
      <c r="M1315">
        <v>23</v>
      </c>
      <c r="N1315">
        <v>3</v>
      </c>
      <c r="O1315">
        <v>1</v>
      </c>
      <c r="P1315">
        <v>2025</v>
      </c>
    </row>
    <row r="1316" spans="1:16">
      <c r="A1316">
        <v>328.54</v>
      </c>
      <c r="B1316">
        <v>2</v>
      </c>
      <c r="C1316" t="s">
        <v>840</v>
      </c>
      <c r="D1316" t="s">
        <v>841</v>
      </c>
      <c r="E1316" t="s">
        <v>842</v>
      </c>
      <c r="F1316" t="s">
        <v>843</v>
      </c>
      <c r="G1316" t="s">
        <v>753</v>
      </c>
      <c r="H1316" t="s">
        <v>127</v>
      </c>
      <c r="I1316" t="s">
        <v>21</v>
      </c>
      <c r="J1316">
        <v>164.27</v>
      </c>
      <c r="K1316" s="1">
        <v>45723</v>
      </c>
      <c r="L1316" t="s">
        <v>79</v>
      </c>
      <c r="M1316">
        <v>7</v>
      </c>
      <c r="N1316">
        <v>3</v>
      </c>
      <c r="O1316">
        <v>1</v>
      </c>
      <c r="P1316">
        <v>2025</v>
      </c>
    </row>
    <row r="1317" spans="1:16">
      <c r="A1317">
        <v>53.87</v>
      </c>
      <c r="B1317">
        <v>1</v>
      </c>
      <c r="C1317" t="s">
        <v>3251</v>
      </c>
      <c r="D1317" t="s">
        <v>3252</v>
      </c>
      <c r="E1317" t="s">
        <v>1565</v>
      </c>
      <c r="F1317" t="s">
        <v>1591</v>
      </c>
      <c r="G1317" t="s">
        <v>966</v>
      </c>
      <c r="H1317" t="s">
        <v>2034</v>
      </c>
      <c r="I1317" t="s">
        <v>100</v>
      </c>
      <c r="J1317">
        <v>53.87</v>
      </c>
      <c r="K1317" s="1">
        <v>45598</v>
      </c>
      <c r="L1317" t="s">
        <v>14</v>
      </c>
      <c r="M1317">
        <v>2</v>
      </c>
      <c r="N1317">
        <v>11</v>
      </c>
      <c r="O1317">
        <v>4</v>
      </c>
      <c r="P1317">
        <v>2024</v>
      </c>
    </row>
    <row r="1318" spans="1:16">
      <c r="A1318">
        <v>109.76</v>
      </c>
      <c r="B1318">
        <v>4</v>
      </c>
      <c r="C1318" t="s">
        <v>2258</v>
      </c>
      <c r="D1318" t="s">
        <v>2259</v>
      </c>
      <c r="E1318" t="s">
        <v>2260</v>
      </c>
      <c r="F1318" t="s">
        <v>772</v>
      </c>
      <c r="G1318" t="s">
        <v>758</v>
      </c>
      <c r="H1318" t="s">
        <v>722</v>
      </c>
      <c r="I1318" t="s">
        <v>37</v>
      </c>
      <c r="J1318">
        <v>27.44</v>
      </c>
      <c r="K1318" s="1">
        <v>46148</v>
      </c>
      <c r="L1318" t="s">
        <v>34</v>
      </c>
      <c r="M1318">
        <v>6</v>
      </c>
      <c r="N1318">
        <v>5</v>
      </c>
      <c r="O1318">
        <v>2</v>
      </c>
      <c r="P1318">
        <v>2026</v>
      </c>
    </row>
    <row r="1319" spans="1:16">
      <c r="A1319">
        <v>180.31</v>
      </c>
      <c r="B1319">
        <v>1</v>
      </c>
      <c r="C1319" t="s">
        <v>2930</v>
      </c>
      <c r="D1319" t="s">
        <v>2931</v>
      </c>
      <c r="E1319" t="s">
        <v>2354</v>
      </c>
      <c r="F1319" t="s">
        <v>942</v>
      </c>
      <c r="G1319" t="s">
        <v>943</v>
      </c>
      <c r="H1319" t="s">
        <v>643</v>
      </c>
      <c r="I1319" t="s">
        <v>37</v>
      </c>
      <c r="J1319">
        <v>180.31</v>
      </c>
      <c r="K1319" s="1">
        <v>45646</v>
      </c>
      <c r="L1319" t="s">
        <v>79</v>
      </c>
      <c r="M1319">
        <v>20</v>
      </c>
      <c r="N1319">
        <v>12</v>
      </c>
      <c r="O1319">
        <v>4</v>
      </c>
      <c r="P1319">
        <v>2024</v>
      </c>
    </row>
    <row r="1320" spans="1:16">
      <c r="A1320">
        <v>358.64</v>
      </c>
      <c r="B1320">
        <v>2</v>
      </c>
      <c r="C1320" t="s">
        <v>3323</v>
      </c>
      <c r="D1320" t="s">
        <v>3324</v>
      </c>
      <c r="E1320" t="s">
        <v>2184</v>
      </c>
      <c r="F1320" t="s">
        <v>15</v>
      </c>
      <c r="G1320" t="s">
        <v>834</v>
      </c>
      <c r="H1320" t="s">
        <v>174</v>
      </c>
      <c r="I1320" t="s">
        <v>122</v>
      </c>
      <c r="J1320">
        <v>179.32</v>
      </c>
      <c r="K1320" s="1">
        <v>45989</v>
      </c>
      <c r="L1320" t="s">
        <v>79</v>
      </c>
      <c r="M1320">
        <v>28</v>
      </c>
      <c r="N1320">
        <v>11</v>
      </c>
      <c r="O1320">
        <v>4</v>
      </c>
      <c r="P1320">
        <v>2025</v>
      </c>
    </row>
    <row r="1321" spans="1:16">
      <c r="A1321">
        <v>94.27</v>
      </c>
      <c r="B1321">
        <v>1</v>
      </c>
      <c r="C1321" t="s">
        <v>835</v>
      </c>
      <c r="D1321" t="s">
        <v>836</v>
      </c>
      <c r="E1321" t="s">
        <v>837</v>
      </c>
      <c r="F1321" t="s">
        <v>838</v>
      </c>
      <c r="G1321" t="s">
        <v>839</v>
      </c>
      <c r="H1321" t="s">
        <v>506</v>
      </c>
      <c r="I1321" t="s">
        <v>97</v>
      </c>
      <c r="J1321">
        <v>94.27</v>
      </c>
      <c r="K1321" s="1">
        <v>46188</v>
      </c>
      <c r="L1321" t="s">
        <v>93</v>
      </c>
      <c r="M1321">
        <v>15</v>
      </c>
      <c r="N1321">
        <v>6</v>
      </c>
      <c r="O1321">
        <v>2</v>
      </c>
      <c r="P1321">
        <v>2026</v>
      </c>
    </row>
    <row r="1322" spans="1:16">
      <c r="A1322">
        <v>543.72</v>
      </c>
      <c r="B1322">
        <v>3</v>
      </c>
      <c r="C1322" t="s">
        <v>1806</v>
      </c>
      <c r="D1322" t="s">
        <v>1807</v>
      </c>
      <c r="E1322" t="s">
        <v>1235</v>
      </c>
      <c r="F1322" t="s">
        <v>1061</v>
      </c>
      <c r="G1322" t="s">
        <v>834</v>
      </c>
      <c r="H1322" t="s">
        <v>81</v>
      </c>
      <c r="I1322" t="s">
        <v>82</v>
      </c>
      <c r="J1322">
        <v>181.24</v>
      </c>
      <c r="K1322" s="1">
        <v>46218</v>
      </c>
      <c r="L1322" t="s">
        <v>34</v>
      </c>
      <c r="M1322">
        <v>15</v>
      </c>
      <c r="N1322">
        <v>7</v>
      </c>
      <c r="O1322">
        <v>3</v>
      </c>
      <c r="P1322">
        <v>2026</v>
      </c>
    </row>
    <row r="1323" spans="1:16">
      <c r="A1323">
        <v>226.55</v>
      </c>
      <c r="B1323">
        <v>5</v>
      </c>
      <c r="C1323" t="s">
        <v>886</v>
      </c>
      <c r="D1323" t="s">
        <v>887</v>
      </c>
      <c r="E1323" t="s">
        <v>888</v>
      </c>
      <c r="F1323" t="s">
        <v>806</v>
      </c>
      <c r="G1323" t="s">
        <v>807</v>
      </c>
      <c r="H1323" t="s">
        <v>537</v>
      </c>
      <c r="I1323" t="s">
        <v>31</v>
      </c>
      <c r="J1323">
        <v>45.31</v>
      </c>
      <c r="K1323" s="1">
        <v>46049</v>
      </c>
      <c r="L1323" t="s">
        <v>48</v>
      </c>
      <c r="M1323">
        <v>27</v>
      </c>
      <c r="N1323">
        <v>1</v>
      </c>
      <c r="O1323">
        <v>1</v>
      </c>
      <c r="P1323">
        <v>2026</v>
      </c>
    </row>
    <row r="1324" spans="1:16">
      <c r="A1324">
        <v>906.2</v>
      </c>
      <c r="B1324">
        <v>5</v>
      </c>
      <c r="C1324" t="s">
        <v>2406</v>
      </c>
      <c r="D1324" t="s">
        <v>2407</v>
      </c>
      <c r="E1324" t="s">
        <v>994</v>
      </c>
      <c r="F1324" t="s">
        <v>478</v>
      </c>
      <c r="G1324" t="s">
        <v>781</v>
      </c>
      <c r="H1324" t="s">
        <v>81</v>
      </c>
      <c r="I1324" t="s">
        <v>82</v>
      </c>
      <c r="J1324">
        <v>181.24</v>
      </c>
      <c r="K1324" s="1">
        <v>45644</v>
      </c>
      <c r="L1324" t="s">
        <v>34</v>
      </c>
      <c r="M1324">
        <v>18</v>
      </c>
      <c r="N1324">
        <v>12</v>
      </c>
      <c r="O1324">
        <v>4</v>
      </c>
      <c r="P1324">
        <v>2024</v>
      </c>
    </row>
    <row r="1325" spans="1:16">
      <c r="A1325">
        <v>44.96</v>
      </c>
      <c r="B1325">
        <v>2</v>
      </c>
      <c r="C1325" t="s">
        <v>1712</v>
      </c>
      <c r="D1325" t="s">
        <v>1713</v>
      </c>
      <c r="E1325" t="s">
        <v>938</v>
      </c>
      <c r="F1325" t="s">
        <v>1189</v>
      </c>
      <c r="G1325" t="s">
        <v>892</v>
      </c>
      <c r="H1325" t="s">
        <v>41</v>
      </c>
      <c r="I1325" t="s">
        <v>39</v>
      </c>
      <c r="J1325">
        <v>22.48</v>
      </c>
      <c r="K1325" s="1">
        <v>45865</v>
      </c>
      <c r="L1325" t="s">
        <v>28</v>
      </c>
      <c r="M1325">
        <v>27</v>
      </c>
      <c r="N1325">
        <v>7</v>
      </c>
      <c r="O1325">
        <v>3</v>
      </c>
      <c r="P1325">
        <v>2025</v>
      </c>
    </row>
    <row r="1326" spans="1:16">
      <c r="A1326">
        <v>1074.75</v>
      </c>
      <c r="B1326">
        <v>5</v>
      </c>
      <c r="C1326" t="s">
        <v>2347</v>
      </c>
      <c r="D1326" t="s">
        <v>2348</v>
      </c>
      <c r="E1326" t="s">
        <v>891</v>
      </c>
      <c r="F1326" t="s">
        <v>965</v>
      </c>
      <c r="G1326" t="s">
        <v>966</v>
      </c>
      <c r="H1326" t="s">
        <v>195</v>
      </c>
      <c r="I1326" t="s">
        <v>31</v>
      </c>
      <c r="J1326">
        <v>214.95</v>
      </c>
      <c r="K1326" s="1">
        <v>45741</v>
      </c>
      <c r="L1326" t="s">
        <v>48</v>
      </c>
      <c r="M1326">
        <v>25</v>
      </c>
      <c r="N1326">
        <v>3</v>
      </c>
      <c r="O1326">
        <v>1</v>
      </c>
      <c r="P1326">
        <v>2025</v>
      </c>
    </row>
    <row r="1327" spans="1:16">
      <c r="A1327">
        <v>199.66</v>
      </c>
      <c r="B1327">
        <v>2</v>
      </c>
      <c r="C1327" t="s">
        <v>1177</v>
      </c>
      <c r="D1327" t="s">
        <v>1178</v>
      </c>
      <c r="E1327" t="s">
        <v>1179</v>
      </c>
      <c r="F1327" t="s">
        <v>879</v>
      </c>
      <c r="G1327" t="s">
        <v>748</v>
      </c>
      <c r="H1327" t="s">
        <v>467</v>
      </c>
      <c r="I1327" t="s">
        <v>19</v>
      </c>
      <c r="J1327">
        <v>99.83</v>
      </c>
      <c r="K1327" s="1">
        <v>46009</v>
      </c>
      <c r="L1327" t="s">
        <v>105</v>
      </c>
      <c r="M1327">
        <v>18</v>
      </c>
      <c r="N1327">
        <v>12</v>
      </c>
      <c r="O1327">
        <v>4</v>
      </c>
      <c r="P1327">
        <v>2025</v>
      </c>
    </row>
    <row r="1328" spans="1:16">
      <c r="A1328">
        <v>81.8</v>
      </c>
      <c r="B1328">
        <v>5</v>
      </c>
      <c r="C1328" t="s">
        <v>2018</v>
      </c>
      <c r="D1328" t="s">
        <v>2019</v>
      </c>
      <c r="E1328" t="s">
        <v>2020</v>
      </c>
      <c r="F1328" t="s">
        <v>635</v>
      </c>
      <c r="G1328" t="s">
        <v>768</v>
      </c>
      <c r="H1328" t="s">
        <v>1183</v>
      </c>
      <c r="I1328" t="s">
        <v>100</v>
      </c>
      <c r="J1328">
        <v>16.36</v>
      </c>
      <c r="K1328" s="1">
        <v>46030</v>
      </c>
      <c r="L1328" t="s">
        <v>105</v>
      </c>
      <c r="M1328">
        <v>8</v>
      </c>
      <c r="N1328">
        <v>1</v>
      </c>
      <c r="O1328">
        <v>1</v>
      </c>
      <c r="P1328">
        <v>2026</v>
      </c>
    </row>
    <row r="1329" spans="1:16">
      <c r="A1329">
        <v>293.85000000000002</v>
      </c>
      <c r="B1329">
        <v>5</v>
      </c>
      <c r="C1329" t="s">
        <v>2159</v>
      </c>
      <c r="D1329" t="s">
        <v>2160</v>
      </c>
      <c r="E1329" t="s">
        <v>1559</v>
      </c>
      <c r="F1329" t="s">
        <v>919</v>
      </c>
      <c r="G1329" t="s">
        <v>786</v>
      </c>
      <c r="H1329" t="s">
        <v>262</v>
      </c>
      <c r="I1329" t="s">
        <v>21</v>
      </c>
      <c r="J1329">
        <v>58.77</v>
      </c>
      <c r="K1329" s="1">
        <v>46077</v>
      </c>
      <c r="L1329" t="s">
        <v>48</v>
      </c>
      <c r="M1329">
        <v>24</v>
      </c>
      <c r="N1329">
        <v>2</v>
      </c>
      <c r="O1329">
        <v>1</v>
      </c>
      <c r="P1329">
        <v>2026</v>
      </c>
    </row>
    <row r="1330" spans="1:16">
      <c r="A1330">
        <v>496.16</v>
      </c>
      <c r="B1330">
        <v>4</v>
      </c>
      <c r="C1330" t="s">
        <v>2205</v>
      </c>
      <c r="D1330" t="s">
        <v>2206</v>
      </c>
      <c r="E1330" t="s">
        <v>1114</v>
      </c>
      <c r="F1330" t="s">
        <v>635</v>
      </c>
      <c r="G1330" t="s">
        <v>768</v>
      </c>
      <c r="H1330" t="s">
        <v>543</v>
      </c>
      <c r="I1330" t="s">
        <v>37</v>
      </c>
      <c r="J1330">
        <v>124.04</v>
      </c>
      <c r="K1330" s="1">
        <v>46110</v>
      </c>
      <c r="L1330" t="s">
        <v>28</v>
      </c>
      <c r="M1330">
        <v>29</v>
      </c>
      <c r="N1330">
        <v>3</v>
      </c>
      <c r="O1330">
        <v>1</v>
      </c>
      <c r="P1330">
        <v>2026</v>
      </c>
    </row>
    <row r="1331" spans="1:16">
      <c r="A1331">
        <v>640.84999999999991</v>
      </c>
      <c r="B1331">
        <v>5</v>
      </c>
      <c r="C1331" t="s">
        <v>3001</v>
      </c>
      <c r="D1331" t="s">
        <v>3002</v>
      </c>
      <c r="E1331" t="s">
        <v>1231</v>
      </c>
      <c r="F1331" t="s">
        <v>1302</v>
      </c>
      <c r="G1331" t="s">
        <v>786</v>
      </c>
      <c r="H1331" t="s">
        <v>487</v>
      </c>
      <c r="I1331" t="s">
        <v>19</v>
      </c>
      <c r="J1331">
        <v>128.16999999999999</v>
      </c>
      <c r="K1331" s="1">
        <v>45935</v>
      </c>
      <c r="L1331" t="s">
        <v>28</v>
      </c>
      <c r="M1331">
        <v>5</v>
      </c>
      <c r="N1331">
        <v>10</v>
      </c>
      <c r="O1331">
        <v>4</v>
      </c>
      <c r="P1331">
        <v>2025</v>
      </c>
    </row>
    <row r="1332" spans="1:16">
      <c r="A1332">
        <v>602.32000000000005</v>
      </c>
      <c r="B1332">
        <v>4</v>
      </c>
      <c r="C1332" t="s">
        <v>2480</v>
      </c>
      <c r="D1332" t="s">
        <v>2308</v>
      </c>
      <c r="E1332" t="s">
        <v>789</v>
      </c>
      <c r="F1332" t="s">
        <v>708</v>
      </c>
      <c r="G1332" t="s">
        <v>834</v>
      </c>
      <c r="H1332" t="s">
        <v>398</v>
      </c>
      <c r="I1332" t="s">
        <v>27</v>
      </c>
      <c r="J1332">
        <v>150.58000000000001</v>
      </c>
      <c r="K1332" s="1">
        <v>45716</v>
      </c>
      <c r="L1332" t="s">
        <v>79</v>
      </c>
      <c r="M1332">
        <v>28</v>
      </c>
      <c r="N1332">
        <v>2</v>
      </c>
      <c r="O1332">
        <v>1</v>
      </c>
      <c r="P1332">
        <v>2025</v>
      </c>
    </row>
    <row r="1333" spans="1:16">
      <c r="A1333">
        <v>139.78</v>
      </c>
      <c r="B1333">
        <v>2</v>
      </c>
      <c r="C1333" t="s">
        <v>2531</v>
      </c>
      <c r="D1333" t="s">
        <v>2532</v>
      </c>
      <c r="E1333" t="s">
        <v>756</v>
      </c>
      <c r="F1333" t="s">
        <v>29</v>
      </c>
      <c r="G1333" t="s">
        <v>821</v>
      </c>
      <c r="H1333" t="s">
        <v>366</v>
      </c>
      <c r="I1333" t="s">
        <v>19</v>
      </c>
      <c r="J1333">
        <v>69.89</v>
      </c>
      <c r="K1333" s="1">
        <v>45994</v>
      </c>
      <c r="L1333" t="s">
        <v>34</v>
      </c>
      <c r="M1333">
        <v>3</v>
      </c>
      <c r="N1333">
        <v>12</v>
      </c>
      <c r="O1333">
        <v>4</v>
      </c>
      <c r="P1333">
        <v>2025</v>
      </c>
    </row>
    <row r="1334" spans="1:16">
      <c r="A1334">
        <v>352.32</v>
      </c>
      <c r="B1334">
        <v>3</v>
      </c>
      <c r="C1334" t="s">
        <v>2155</v>
      </c>
      <c r="D1334" t="s">
        <v>2156</v>
      </c>
      <c r="E1334" t="s">
        <v>1865</v>
      </c>
      <c r="F1334" t="s">
        <v>1607</v>
      </c>
      <c r="G1334" t="s">
        <v>839</v>
      </c>
      <c r="H1334" t="s">
        <v>419</v>
      </c>
      <c r="I1334" t="s">
        <v>39</v>
      </c>
      <c r="J1334">
        <v>117.44</v>
      </c>
      <c r="K1334" s="1">
        <v>46273</v>
      </c>
      <c r="L1334" t="s">
        <v>48</v>
      </c>
      <c r="M1334">
        <v>8</v>
      </c>
      <c r="N1334">
        <v>9</v>
      </c>
      <c r="O1334">
        <v>3</v>
      </c>
      <c r="P1334">
        <v>2026</v>
      </c>
    </row>
    <row r="1335" spans="1:16">
      <c r="A1335">
        <v>12.7</v>
      </c>
      <c r="B1335">
        <v>5</v>
      </c>
      <c r="C1335" t="s">
        <v>996</v>
      </c>
      <c r="D1335" t="s">
        <v>997</v>
      </c>
      <c r="E1335" t="s">
        <v>998</v>
      </c>
      <c r="F1335" t="s">
        <v>762</v>
      </c>
      <c r="G1335" t="s">
        <v>763</v>
      </c>
      <c r="H1335" t="s">
        <v>409</v>
      </c>
      <c r="I1335" t="s">
        <v>39</v>
      </c>
      <c r="J1335">
        <v>2.54</v>
      </c>
      <c r="K1335" s="1">
        <v>45768</v>
      </c>
      <c r="L1335" t="s">
        <v>93</v>
      </c>
      <c r="M1335">
        <v>21</v>
      </c>
      <c r="N1335">
        <v>4</v>
      </c>
      <c r="O1335">
        <v>2</v>
      </c>
      <c r="P1335">
        <v>2025</v>
      </c>
    </row>
    <row r="1336" spans="1:16">
      <c r="A1336">
        <v>229.09</v>
      </c>
      <c r="B1336">
        <v>1</v>
      </c>
      <c r="C1336" t="s">
        <v>2704</v>
      </c>
      <c r="D1336" t="s">
        <v>2705</v>
      </c>
      <c r="E1336" t="s">
        <v>925</v>
      </c>
      <c r="F1336" t="s">
        <v>1092</v>
      </c>
      <c r="G1336" t="s">
        <v>763</v>
      </c>
      <c r="H1336" t="s">
        <v>622</v>
      </c>
      <c r="I1336" t="s">
        <v>37</v>
      </c>
      <c r="J1336">
        <v>229.09</v>
      </c>
      <c r="K1336" s="1">
        <v>45554</v>
      </c>
      <c r="L1336" t="s">
        <v>105</v>
      </c>
      <c r="M1336">
        <v>19</v>
      </c>
      <c r="N1336">
        <v>9</v>
      </c>
      <c r="O1336">
        <v>3</v>
      </c>
      <c r="P1336">
        <v>2024</v>
      </c>
    </row>
    <row r="1337" spans="1:16">
      <c r="A1337">
        <v>424.74</v>
      </c>
      <c r="B1337">
        <v>2</v>
      </c>
      <c r="C1337" t="s">
        <v>2379</v>
      </c>
      <c r="D1337" t="s">
        <v>2380</v>
      </c>
      <c r="E1337" t="s">
        <v>820</v>
      </c>
      <c r="F1337" t="s">
        <v>995</v>
      </c>
      <c r="G1337" t="s">
        <v>781</v>
      </c>
      <c r="H1337" t="s">
        <v>331</v>
      </c>
      <c r="I1337" t="s">
        <v>51</v>
      </c>
      <c r="J1337">
        <v>212.37</v>
      </c>
      <c r="K1337" s="1">
        <v>45818</v>
      </c>
      <c r="L1337" t="s">
        <v>48</v>
      </c>
      <c r="M1337">
        <v>10</v>
      </c>
      <c r="N1337">
        <v>6</v>
      </c>
      <c r="O1337">
        <v>2</v>
      </c>
      <c r="P1337">
        <v>2025</v>
      </c>
    </row>
    <row r="1338" spans="1:16">
      <c r="A1338">
        <v>362.48</v>
      </c>
      <c r="B1338">
        <v>2</v>
      </c>
      <c r="C1338" t="s">
        <v>1891</v>
      </c>
      <c r="D1338" t="s">
        <v>1892</v>
      </c>
      <c r="E1338" t="s">
        <v>1893</v>
      </c>
      <c r="F1338" t="s">
        <v>806</v>
      </c>
      <c r="G1338" t="s">
        <v>807</v>
      </c>
      <c r="H1338" t="s">
        <v>81</v>
      </c>
      <c r="I1338" t="s">
        <v>82</v>
      </c>
      <c r="J1338">
        <v>181.24</v>
      </c>
      <c r="K1338" s="1">
        <v>45952</v>
      </c>
      <c r="L1338" t="s">
        <v>34</v>
      </c>
      <c r="M1338">
        <v>22</v>
      </c>
      <c r="N1338">
        <v>10</v>
      </c>
      <c r="O1338">
        <v>4</v>
      </c>
      <c r="P1338">
        <v>2025</v>
      </c>
    </row>
    <row r="1339" spans="1:16">
      <c r="A1339">
        <v>15.66</v>
      </c>
      <c r="B1339">
        <v>2</v>
      </c>
      <c r="C1339" t="s">
        <v>2762</v>
      </c>
      <c r="D1339" t="s">
        <v>2763</v>
      </c>
      <c r="E1339" t="s">
        <v>1162</v>
      </c>
      <c r="F1339" t="s">
        <v>392</v>
      </c>
      <c r="G1339" t="s">
        <v>943</v>
      </c>
      <c r="H1339" t="s">
        <v>489</v>
      </c>
      <c r="I1339" t="s">
        <v>51</v>
      </c>
      <c r="J1339">
        <v>7.83</v>
      </c>
      <c r="K1339" s="1">
        <v>46223</v>
      </c>
      <c r="L1339" t="s">
        <v>93</v>
      </c>
      <c r="M1339">
        <v>20</v>
      </c>
      <c r="N1339">
        <v>7</v>
      </c>
      <c r="O1339">
        <v>3</v>
      </c>
      <c r="P1339">
        <v>2026</v>
      </c>
    </row>
    <row r="1340" spans="1:16">
      <c r="A1340">
        <v>103.44</v>
      </c>
      <c r="B1340">
        <v>4</v>
      </c>
      <c r="C1340" t="s">
        <v>3145</v>
      </c>
      <c r="D1340" t="s">
        <v>3146</v>
      </c>
      <c r="E1340" t="s">
        <v>3147</v>
      </c>
      <c r="F1340" t="s">
        <v>3139</v>
      </c>
      <c r="G1340" t="s">
        <v>908</v>
      </c>
      <c r="H1340" t="s">
        <v>282</v>
      </c>
      <c r="I1340" t="s">
        <v>21</v>
      </c>
      <c r="J1340">
        <v>25.86</v>
      </c>
      <c r="K1340" s="1">
        <v>45680</v>
      </c>
      <c r="L1340" t="s">
        <v>105</v>
      </c>
      <c r="M1340">
        <v>23</v>
      </c>
      <c r="N1340">
        <v>1</v>
      </c>
      <c r="O1340">
        <v>1</v>
      </c>
      <c r="P1340">
        <v>2025</v>
      </c>
    </row>
    <row r="1341" spans="1:16">
      <c r="A1341">
        <v>35.270000000000003</v>
      </c>
      <c r="B1341">
        <v>1</v>
      </c>
      <c r="C1341" t="s">
        <v>1163</v>
      </c>
      <c r="D1341" t="s">
        <v>1164</v>
      </c>
      <c r="E1341" t="s">
        <v>1165</v>
      </c>
      <c r="F1341" t="s">
        <v>464</v>
      </c>
      <c r="G1341" t="s">
        <v>896</v>
      </c>
      <c r="H1341" t="s">
        <v>33</v>
      </c>
      <c r="I1341" t="s">
        <v>19</v>
      </c>
      <c r="J1341">
        <v>35.270000000000003</v>
      </c>
      <c r="K1341" s="1">
        <v>45703</v>
      </c>
      <c r="L1341" t="s">
        <v>14</v>
      </c>
      <c r="M1341">
        <v>15</v>
      </c>
      <c r="N1341">
        <v>2</v>
      </c>
      <c r="O1341">
        <v>1</v>
      </c>
      <c r="P1341">
        <v>2025</v>
      </c>
    </row>
    <row r="1342" spans="1:16">
      <c r="A1342">
        <v>674.95</v>
      </c>
      <c r="B1342">
        <v>5</v>
      </c>
      <c r="C1342" t="s">
        <v>2561</v>
      </c>
      <c r="D1342" t="s">
        <v>2562</v>
      </c>
      <c r="E1342" t="s">
        <v>2563</v>
      </c>
      <c r="F1342" t="s">
        <v>691</v>
      </c>
      <c r="G1342" t="s">
        <v>776</v>
      </c>
      <c r="H1342" t="s">
        <v>428</v>
      </c>
      <c r="I1342" t="s">
        <v>31</v>
      </c>
      <c r="J1342">
        <v>134.99</v>
      </c>
      <c r="K1342" s="1">
        <v>46017</v>
      </c>
      <c r="L1342" t="s">
        <v>79</v>
      </c>
      <c r="M1342">
        <v>26</v>
      </c>
      <c r="N1342">
        <v>12</v>
      </c>
      <c r="O1342">
        <v>4</v>
      </c>
      <c r="P1342">
        <v>2025</v>
      </c>
    </row>
    <row r="1343" spans="1:16">
      <c r="A1343">
        <v>129.72</v>
      </c>
      <c r="B1343">
        <v>4</v>
      </c>
      <c r="C1343" t="s">
        <v>2531</v>
      </c>
      <c r="D1343" t="s">
        <v>2532</v>
      </c>
      <c r="E1343" t="s">
        <v>756</v>
      </c>
      <c r="F1343" t="s">
        <v>29</v>
      </c>
      <c r="G1343" t="s">
        <v>821</v>
      </c>
      <c r="H1343" t="s">
        <v>77</v>
      </c>
      <c r="I1343" t="s">
        <v>17</v>
      </c>
      <c r="J1343">
        <v>32.43</v>
      </c>
      <c r="K1343" s="1">
        <v>45886</v>
      </c>
      <c r="L1343" t="s">
        <v>28</v>
      </c>
      <c r="M1343">
        <v>17</v>
      </c>
      <c r="N1343">
        <v>8</v>
      </c>
      <c r="O1343">
        <v>3</v>
      </c>
      <c r="P1343">
        <v>2025</v>
      </c>
    </row>
    <row r="1344" spans="1:16">
      <c r="A1344">
        <v>197.25</v>
      </c>
      <c r="B1344">
        <v>5</v>
      </c>
      <c r="C1344" t="s">
        <v>2389</v>
      </c>
      <c r="D1344" t="s">
        <v>2390</v>
      </c>
      <c r="E1344" t="s">
        <v>1925</v>
      </c>
      <c r="F1344" t="s">
        <v>816</v>
      </c>
      <c r="G1344" t="s">
        <v>817</v>
      </c>
      <c r="H1344" t="s">
        <v>668</v>
      </c>
      <c r="I1344" t="s">
        <v>46</v>
      </c>
      <c r="J1344">
        <v>39.450000000000003</v>
      </c>
      <c r="K1344" s="1">
        <v>45655</v>
      </c>
      <c r="L1344" t="s">
        <v>28</v>
      </c>
      <c r="M1344">
        <v>29</v>
      </c>
      <c r="N1344">
        <v>12</v>
      </c>
      <c r="O1344">
        <v>4</v>
      </c>
      <c r="P1344">
        <v>2024</v>
      </c>
    </row>
    <row r="1345" spans="1:16">
      <c r="A1345">
        <v>332.82</v>
      </c>
      <c r="B1345">
        <v>2</v>
      </c>
      <c r="C1345" t="s">
        <v>2211</v>
      </c>
      <c r="D1345" t="s">
        <v>2212</v>
      </c>
      <c r="E1345" t="s">
        <v>1298</v>
      </c>
      <c r="F1345" t="s">
        <v>862</v>
      </c>
      <c r="G1345" t="s">
        <v>807</v>
      </c>
      <c r="H1345" t="s">
        <v>285</v>
      </c>
      <c r="I1345" t="s">
        <v>17</v>
      </c>
      <c r="J1345">
        <v>166.41</v>
      </c>
      <c r="K1345" s="1">
        <v>46263</v>
      </c>
      <c r="L1345" t="s">
        <v>14</v>
      </c>
      <c r="M1345">
        <v>29</v>
      </c>
      <c r="N1345">
        <v>8</v>
      </c>
      <c r="O1345">
        <v>3</v>
      </c>
      <c r="P1345">
        <v>2026</v>
      </c>
    </row>
    <row r="1346" spans="1:16">
      <c r="A1346">
        <v>90.24</v>
      </c>
      <c r="B1346">
        <v>4</v>
      </c>
      <c r="C1346" t="s">
        <v>2719</v>
      </c>
      <c r="D1346" t="s">
        <v>2720</v>
      </c>
      <c r="E1346" t="s">
        <v>2721</v>
      </c>
      <c r="F1346" t="s">
        <v>1061</v>
      </c>
      <c r="G1346" t="s">
        <v>821</v>
      </c>
      <c r="H1346" t="s">
        <v>371</v>
      </c>
      <c r="I1346" t="s">
        <v>21</v>
      </c>
      <c r="J1346">
        <v>22.56</v>
      </c>
      <c r="K1346" s="1">
        <v>45690</v>
      </c>
      <c r="L1346" t="s">
        <v>28</v>
      </c>
      <c r="M1346">
        <v>2</v>
      </c>
      <c r="N1346">
        <v>2</v>
      </c>
      <c r="O1346">
        <v>1</v>
      </c>
      <c r="P1346">
        <v>2025</v>
      </c>
    </row>
    <row r="1347" spans="1:16">
      <c r="A1347">
        <v>47.62</v>
      </c>
      <c r="B1347">
        <v>1</v>
      </c>
      <c r="C1347" t="s">
        <v>1277</v>
      </c>
      <c r="D1347" t="s">
        <v>1278</v>
      </c>
      <c r="E1347" t="s">
        <v>1279</v>
      </c>
      <c r="F1347" t="s">
        <v>1280</v>
      </c>
      <c r="G1347" t="s">
        <v>908</v>
      </c>
      <c r="H1347" t="s">
        <v>508</v>
      </c>
      <c r="I1347" t="s">
        <v>43</v>
      </c>
      <c r="J1347">
        <v>47.62</v>
      </c>
      <c r="K1347" s="1">
        <v>45914</v>
      </c>
      <c r="L1347" t="s">
        <v>28</v>
      </c>
      <c r="M1347">
        <v>14</v>
      </c>
      <c r="N1347">
        <v>9</v>
      </c>
      <c r="O1347">
        <v>3</v>
      </c>
      <c r="P1347">
        <v>2025</v>
      </c>
    </row>
    <row r="1348" spans="1:16">
      <c r="A1348">
        <v>967.92</v>
      </c>
      <c r="B1348">
        <v>4</v>
      </c>
      <c r="C1348" t="s">
        <v>1804</v>
      </c>
      <c r="D1348" t="s">
        <v>1805</v>
      </c>
      <c r="E1348" t="s">
        <v>1127</v>
      </c>
      <c r="F1348" t="s">
        <v>15</v>
      </c>
      <c r="G1348" t="s">
        <v>834</v>
      </c>
      <c r="H1348" t="s">
        <v>203</v>
      </c>
      <c r="I1348" t="s">
        <v>100</v>
      </c>
      <c r="J1348">
        <v>241.98</v>
      </c>
      <c r="K1348" s="1">
        <v>45916</v>
      </c>
      <c r="L1348" t="s">
        <v>48</v>
      </c>
      <c r="M1348">
        <v>16</v>
      </c>
      <c r="N1348">
        <v>9</v>
      </c>
      <c r="O1348">
        <v>3</v>
      </c>
      <c r="P1348">
        <v>2025</v>
      </c>
    </row>
    <row r="1349" spans="1:16">
      <c r="A1349">
        <v>356.08</v>
      </c>
      <c r="B1349">
        <v>4</v>
      </c>
      <c r="C1349" t="s">
        <v>2384</v>
      </c>
      <c r="D1349" t="s">
        <v>2385</v>
      </c>
      <c r="E1349" t="s">
        <v>2386</v>
      </c>
      <c r="F1349" t="s">
        <v>1469</v>
      </c>
      <c r="G1349" t="s">
        <v>908</v>
      </c>
      <c r="H1349" t="s">
        <v>399</v>
      </c>
      <c r="I1349" t="s">
        <v>55</v>
      </c>
      <c r="J1349">
        <v>89.02</v>
      </c>
      <c r="K1349" s="1">
        <v>45774</v>
      </c>
      <c r="L1349" t="s">
        <v>28</v>
      </c>
      <c r="M1349">
        <v>27</v>
      </c>
      <c r="N1349">
        <v>4</v>
      </c>
      <c r="O1349">
        <v>2</v>
      </c>
      <c r="P1349">
        <v>2025</v>
      </c>
    </row>
    <row r="1350" spans="1:16">
      <c r="A1350">
        <v>484.68</v>
      </c>
      <c r="B1350">
        <v>3</v>
      </c>
      <c r="C1350" t="s">
        <v>3413</v>
      </c>
      <c r="D1350" t="s">
        <v>3444</v>
      </c>
      <c r="E1350" t="s">
        <v>1556</v>
      </c>
      <c r="F1350" t="s">
        <v>919</v>
      </c>
      <c r="G1350" t="s">
        <v>786</v>
      </c>
      <c r="H1350" t="s">
        <v>422</v>
      </c>
      <c r="I1350" t="s">
        <v>122</v>
      </c>
      <c r="J1350">
        <v>161.56</v>
      </c>
      <c r="K1350" s="1">
        <v>45789</v>
      </c>
      <c r="L1350" t="s">
        <v>93</v>
      </c>
      <c r="M1350">
        <v>12</v>
      </c>
      <c r="N1350">
        <v>5</v>
      </c>
      <c r="O1350">
        <v>2</v>
      </c>
      <c r="P1350">
        <v>2025</v>
      </c>
    </row>
    <row r="1351" spans="1:16">
      <c r="A1351">
        <v>11.42</v>
      </c>
      <c r="B1351">
        <v>2</v>
      </c>
      <c r="C1351" t="s">
        <v>1979</v>
      </c>
      <c r="D1351" t="s">
        <v>1980</v>
      </c>
      <c r="E1351" t="s">
        <v>1981</v>
      </c>
      <c r="F1351" t="s">
        <v>1691</v>
      </c>
      <c r="G1351" t="s">
        <v>821</v>
      </c>
      <c r="H1351" t="s">
        <v>669</v>
      </c>
      <c r="I1351" t="s">
        <v>97</v>
      </c>
      <c r="J1351">
        <v>5.71</v>
      </c>
      <c r="K1351" s="1">
        <v>45977</v>
      </c>
      <c r="L1351" t="s">
        <v>28</v>
      </c>
      <c r="M1351">
        <v>16</v>
      </c>
      <c r="N1351">
        <v>11</v>
      </c>
      <c r="O1351">
        <v>4</v>
      </c>
      <c r="P1351">
        <v>2025</v>
      </c>
    </row>
    <row r="1352" spans="1:16">
      <c r="A1352">
        <v>67.679999999999993</v>
      </c>
      <c r="B1352">
        <v>3</v>
      </c>
      <c r="C1352" t="s">
        <v>1900</v>
      </c>
      <c r="D1352" t="s">
        <v>1901</v>
      </c>
      <c r="E1352" t="s">
        <v>1477</v>
      </c>
      <c r="F1352" t="s">
        <v>961</v>
      </c>
      <c r="G1352" t="s">
        <v>753</v>
      </c>
      <c r="H1352" t="s">
        <v>371</v>
      </c>
      <c r="I1352" t="s">
        <v>21</v>
      </c>
      <c r="J1352">
        <v>22.56</v>
      </c>
      <c r="K1352" s="1">
        <v>45589</v>
      </c>
      <c r="L1352" t="s">
        <v>105</v>
      </c>
      <c r="M1352">
        <v>24</v>
      </c>
      <c r="N1352">
        <v>10</v>
      </c>
      <c r="O1352">
        <v>4</v>
      </c>
      <c r="P1352">
        <v>2024</v>
      </c>
    </row>
    <row r="1353" spans="1:16">
      <c r="A1353">
        <v>1001.35</v>
      </c>
      <c r="B1353">
        <v>5</v>
      </c>
      <c r="C1353" t="s">
        <v>1528</v>
      </c>
      <c r="D1353" t="s">
        <v>1529</v>
      </c>
      <c r="E1353" t="s">
        <v>998</v>
      </c>
      <c r="F1353" t="s">
        <v>1465</v>
      </c>
      <c r="G1353" t="s">
        <v>817</v>
      </c>
      <c r="H1353" t="s">
        <v>434</v>
      </c>
      <c r="I1353" t="s">
        <v>57</v>
      </c>
      <c r="J1353">
        <v>200.27</v>
      </c>
      <c r="K1353" s="1">
        <v>46118</v>
      </c>
      <c r="L1353" t="s">
        <v>93</v>
      </c>
      <c r="M1353">
        <v>6</v>
      </c>
      <c r="N1353">
        <v>4</v>
      </c>
      <c r="O1353">
        <v>2</v>
      </c>
      <c r="P1353">
        <v>2026</v>
      </c>
    </row>
    <row r="1354" spans="1:16">
      <c r="A1354">
        <v>297.08</v>
      </c>
      <c r="B1354">
        <v>2</v>
      </c>
      <c r="C1354" t="s">
        <v>1112</v>
      </c>
      <c r="D1354" t="s">
        <v>1113</v>
      </c>
      <c r="E1354" t="s">
        <v>1114</v>
      </c>
      <c r="F1354" t="s">
        <v>1078</v>
      </c>
      <c r="G1354" t="s">
        <v>781</v>
      </c>
      <c r="H1354" t="s">
        <v>16</v>
      </c>
      <c r="I1354" t="s">
        <v>17</v>
      </c>
      <c r="J1354">
        <v>148.54</v>
      </c>
      <c r="K1354" s="1">
        <v>45575</v>
      </c>
      <c r="L1354" t="s">
        <v>105</v>
      </c>
      <c r="M1354">
        <v>10</v>
      </c>
      <c r="N1354">
        <v>10</v>
      </c>
      <c r="O1354">
        <v>4</v>
      </c>
      <c r="P1354">
        <v>2024</v>
      </c>
    </row>
    <row r="1355" spans="1:16">
      <c r="A1355">
        <v>557.55000000000007</v>
      </c>
      <c r="B1355">
        <v>5</v>
      </c>
      <c r="C1355" t="s">
        <v>1812</v>
      </c>
      <c r="D1355" t="s">
        <v>1813</v>
      </c>
      <c r="E1355" t="s">
        <v>925</v>
      </c>
      <c r="F1355" t="s">
        <v>548</v>
      </c>
      <c r="G1355" t="s">
        <v>790</v>
      </c>
      <c r="H1355" t="s">
        <v>416</v>
      </c>
      <c r="I1355" t="s">
        <v>57</v>
      </c>
      <c r="J1355">
        <v>111.51</v>
      </c>
      <c r="K1355" s="1">
        <v>45826</v>
      </c>
      <c r="L1355" t="s">
        <v>34</v>
      </c>
      <c r="M1355">
        <v>18</v>
      </c>
      <c r="N1355">
        <v>6</v>
      </c>
      <c r="O1355">
        <v>2</v>
      </c>
      <c r="P1355">
        <v>2025</v>
      </c>
    </row>
    <row r="1356" spans="1:16">
      <c r="A1356">
        <v>985.3</v>
      </c>
      <c r="B1356">
        <v>5</v>
      </c>
      <c r="C1356" t="s">
        <v>818</v>
      </c>
      <c r="D1356" t="s">
        <v>819</v>
      </c>
      <c r="E1356" t="s">
        <v>820</v>
      </c>
      <c r="F1356" t="s">
        <v>29</v>
      </c>
      <c r="G1356" t="s">
        <v>821</v>
      </c>
      <c r="H1356" t="s">
        <v>179</v>
      </c>
      <c r="I1356" t="s">
        <v>37</v>
      </c>
      <c r="J1356">
        <v>197.06</v>
      </c>
      <c r="K1356" s="1">
        <v>45772</v>
      </c>
      <c r="L1356" t="s">
        <v>79</v>
      </c>
      <c r="M1356">
        <v>25</v>
      </c>
      <c r="N1356">
        <v>4</v>
      </c>
      <c r="O1356">
        <v>2</v>
      </c>
      <c r="P1356">
        <v>2025</v>
      </c>
    </row>
    <row r="1357" spans="1:16">
      <c r="A1357">
        <v>84.64</v>
      </c>
      <c r="B1357">
        <v>2</v>
      </c>
      <c r="C1357" t="s">
        <v>2226</v>
      </c>
      <c r="D1357" t="s">
        <v>2227</v>
      </c>
      <c r="E1357" t="s">
        <v>1188</v>
      </c>
      <c r="F1357" t="s">
        <v>1089</v>
      </c>
      <c r="G1357" t="s">
        <v>812</v>
      </c>
      <c r="H1357" t="s">
        <v>415</v>
      </c>
      <c r="I1357" t="s">
        <v>43</v>
      </c>
      <c r="J1357">
        <v>42.32</v>
      </c>
      <c r="K1357" s="1">
        <v>45722</v>
      </c>
      <c r="L1357" t="s">
        <v>105</v>
      </c>
      <c r="M1357">
        <v>6</v>
      </c>
      <c r="N1357">
        <v>3</v>
      </c>
      <c r="O1357">
        <v>1</v>
      </c>
      <c r="P1357">
        <v>2025</v>
      </c>
    </row>
    <row r="1358" spans="1:16">
      <c r="A1358">
        <v>977.28</v>
      </c>
      <c r="B1358">
        <v>4</v>
      </c>
      <c r="C1358" t="s">
        <v>1526</v>
      </c>
      <c r="D1358" t="s">
        <v>1527</v>
      </c>
      <c r="E1358" t="s">
        <v>1031</v>
      </c>
      <c r="F1358" t="s">
        <v>1092</v>
      </c>
      <c r="G1358" t="s">
        <v>763</v>
      </c>
      <c r="H1358" t="s">
        <v>613</v>
      </c>
      <c r="I1358" t="s">
        <v>21</v>
      </c>
      <c r="J1358">
        <v>244.32</v>
      </c>
      <c r="K1358" s="1">
        <v>45874</v>
      </c>
      <c r="L1358" t="s">
        <v>48</v>
      </c>
      <c r="M1358">
        <v>5</v>
      </c>
      <c r="N1358">
        <v>8</v>
      </c>
      <c r="O1358">
        <v>3</v>
      </c>
      <c r="P1358">
        <v>2025</v>
      </c>
    </row>
    <row r="1359" spans="1:16">
      <c r="A1359">
        <v>706.80000000000007</v>
      </c>
      <c r="B1359">
        <v>5</v>
      </c>
      <c r="C1359" t="s">
        <v>2564</v>
      </c>
      <c r="D1359" t="s">
        <v>2565</v>
      </c>
      <c r="E1359" t="s">
        <v>2566</v>
      </c>
      <c r="F1359" t="s">
        <v>280</v>
      </c>
      <c r="G1359" t="s">
        <v>812</v>
      </c>
      <c r="H1359" t="s">
        <v>181</v>
      </c>
      <c r="I1359" t="s">
        <v>82</v>
      </c>
      <c r="J1359">
        <v>141.36000000000001</v>
      </c>
      <c r="K1359" s="1">
        <v>46047</v>
      </c>
      <c r="L1359" t="s">
        <v>28</v>
      </c>
      <c r="M1359">
        <v>25</v>
      </c>
      <c r="N1359">
        <v>1</v>
      </c>
      <c r="O1359">
        <v>1</v>
      </c>
      <c r="P1359">
        <v>2026</v>
      </c>
    </row>
    <row r="1360" spans="1:16">
      <c r="A1360">
        <v>459.7</v>
      </c>
      <c r="B1360">
        <v>2</v>
      </c>
      <c r="C1360" t="s">
        <v>2374</v>
      </c>
      <c r="D1360" t="s">
        <v>2375</v>
      </c>
      <c r="E1360" t="s">
        <v>2120</v>
      </c>
      <c r="F1360" t="s">
        <v>1740</v>
      </c>
      <c r="G1360" t="s">
        <v>954</v>
      </c>
      <c r="H1360" t="s">
        <v>63</v>
      </c>
      <c r="I1360" t="s">
        <v>25</v>
      </c>
      <c r="J1360">
        <v>229.85</v>
      </c>
      <c r="K1360" s="1">
        <v>45645</v>
      </c>
      <c r="L1360" t="s">
        <v>105</v>
      </c>
      <c r="M1360">
        <v>19</v>
      </c>
      <c r="N1360">
        <v>12</v>
      </c>
      <c r="O1360">
        <v>4</v>
      </c>
      <c r="P1360">
        <v>2024</v>
      </c>
    </row>
    <row r="1361" spans="1:16">
      <c r="A1361">
        <v>1234.0999999999999</v>
      </c>
      <c r="B1361">
        <v>5</v>
      </c>
      <c r="C1361" t="s">
        <v>1281</v>
      </c>
      <c r="D1361" t="s">
        <v>1282</v>
      </c>
      <c r="E1361" t="s">
        <v>1283</v>
      </c>
      <c r="F1361" t="s">
        <v>691</v>
      </c>
      <c r="G1361" t="s">
        <v>776</v>
      </c>
      <c r="H1361" t="s">
        <v>369</v>
      </c>
      <c r="I1361" t="s">
        <v>43</v>
      </c>
      <c r="J1361">
        <v>246.82</v>
      </c>
      <c r="K1361" s="1">
        <v>46052</v>
      </c>
      <c r="L1361" t="s">
        <v>79</v>
      </c>
      <c r="M1361">
        <v>30</v>
      </c>
      <c r="N1361">
        <v>1</v>
      </c>
      <c r="O1361">
        <v>1</v>
      </c>
      <c r="P1361">
        <v>2026</v>
      </c>
    </row>
    <row r="1362" spans="1:16">
      <c r="A1362">
        <v>105.24</v>
      </c>
      <c r="B1362">
        <v>2</v>
      </c>
      <c r="C1362" t="s">
        <v>2706</v>
      </c>
      <c r="D1362" t="s">
        <v>2707</v>
      </c>
      <c r="E1362" t="s">
        <v>1909</v>
      </c>
      <c r="F1362" t="s">
        <v>15</v>
      </c>
      <c r="G1362" t="s">
        <v>834</v>
      </c>
      <c r="H1362" t="s">
        <v>270</v>
      </c>
      <c r="I1362" t="s">
        <v>55</v>
      </c>
      <c r="J1362">
        <v>52.62</v>
      </c>
      <c r="K1362" s="1">
        <v>45691</v>
      </c>
      <c r="L1362" t="s">
        <v>93</v>
      </c>
      <c r="M1362">
        <v>3</v>
      </c>
      <c r="N1362">
        <v>2</v>
      </c>
      <c r="O1362">
        <v>1</v>
      </c>
      <c r="P1362">
        <v>2025</v>
      </c>
    </row>
    <row r="1363" spans="1:16">
      <c r="A1363">
        <v>213.16</v>
      </c>
      <c r="B1363">
        <v>2</v>
      </c>
      <c r="C1363" t="s">
        <v>2109</v>
      </c>
      <c r="D1363" t="s">
        <v>2110</v>
      </c>
      <c r="E1363" t="s">
        <v>2111</v>
      </c>
      <c r="F1363" t="s">
        <v>1156</v>
      </c>
      <c r="G1363" t="s">
        <v>821</v>
      </c>
      <c r="H1363" t="s">
        <v>670</v>
      </c>
      <c r="I1363" t="s">
        <v>57</v>
      </c>
      <c r="J1363">
        <v>106.58</v>
      </c>
      <c r="K1363" s="1">
        <v>45638</v>
      </c>
      <c r="L1363" t="s">
        <v>105</v>
      </c>
      <c r="M1363">
        <v>12</v>
      </c>
      <c r="N1363">
        <v>12</v>
      </c>
      <c r="O1363">
        <v>4</v>
      </c>
      <c r="P1363">
        <v>2024</v>
      </c>
    </row>
    <row r="1364" spans="1:16">
      <c r="A1364">
        <v>81.960000000000008</v>
      </c>
      <c r="B1364">
        <v>3</v>
      </c>
      <c r="C1364" t="s">
        <v>2790</v>
      </c>
      <c r="D1364" t="s">
        <v>2791</v>
      </c>
      <c r="E1364" t="s">
        <v>1440</v>
      </c>
      <c r="F1364" t="s">
        <v>1342</v>
      </c>
      <c r="G1364" t="s">
        <v>776</v>
      </c>
      <c r="H1364" t="s">
        <v>423</v>
      </c>
      <c r="I1364" t="s">
        <v>37</v>
      </c>
      <c r="J1364">
        <v>27.32</v>
      </c>
      <c r="K1364" s="1">
        <v>45596</v>
      </c>
      <c r="L1364" t="s">
        <v>105</v>
      </c>
      <c r="M1364">
        <v>31</v>
      </c>
      <c r="N1364">
        <v>10</v>
      </c>
      <c r="O1364">
        <v>4</v>
      </c>
      <c r="P1364">
        <v>2024</v>
      </c>
    </row>
    <row r="1365" spans="1:16">
      <c r="A1365">
        <v>163.62</v>
      </c>
      <c r="B1365">
        <v>3</v>
      </c>
      <c r="C1365" t="s">
        <v>1138</v>
      </c>
      <c r="D1365" t="s">
        <v>1139</v>
      </c>
      <c r="E1365" t="s">
        <v>1140</v>
      </c>
      <c r="F1365" t="s">
        <v>666</v>
      </c>
      <c r="G1365" t="s">
        <v>954</v>
      </c>
      <c r="H1365" t="s">
        <v>292</v>
      </c>
      <c r="I1365" t="s">
        <v>97</v>
      </c>
      <c r="J1365">
        <v>54.54</v>
      </c>
      <c r="K1365" s="1">
        <v>46243</v>
      </c>
      <c r="L1365" t="s">
        <v>28</v>
      </c>
      <c r="M1365">
        <v>9</v>
      </c>
      <c r="N1365">
        <v>8</v>
      </c>
      <c r="O1365">
        <v>3</v>
      </c>
      <c r="P1365">
        <v>2026</v>
      </c>
    </row>
    <row r="1366" spans="1:16">
      <c r="A1366">
        <v>358.75</v>
      </c>
      <c r="B1366">
        <v>5</v>
      </c>
      <c r="C1366" t="s">
        <v>1563</v>
      </c>
      <c r="D1366" t="s">
        <v>1564</v>
      </c>
      <c r="E1366" t="s">
        <v>1565</v>
      </c>
      <c r="F1366" t="s">
        <v>1566</v>
      </c>
      <c r="G1366" t="s">
        <v>763</v>
      </c>
      <c r="H1366" t="s">
        <v>133</v>
      </c>
      <c r="I1366" t="s">
        <v>97</v>
      </c>
      <c r="J1366">
        <v>71.75</v>
      </c>
      <c r="K1366" s="1">
        <v>45937</v>
      </c>
      <c r="L1366" t="s">
        <v>48</v>
      </c>
      <c r="M1366">
        <v>7</v>
      </c>
      <c r="N1366">
        <v>10</v>
      </c>
      <c r="O1366">
        <v>4</v>
      </c>
      <c r="P1366">
        <v>2025</v>
      </c>
    </row>
    <row r="1367" spans="1:16">
      <c r="A1367">
        <v>314.42</v>
      </c>
      <c r="B1367">
        <v>2</v>
      </c>
      <c r="C1367" t="s">
        <v>764</v>
      </c>
      <c r="D1367" t="s">
        <v>765</v>
      </c>
      <c r="E1367" t="s">
        <v>766</v>
      </c>
      <c r="F1367" t="s">
        <v>767</v>
      </c>
      <c r="G1367" t="s">
        <v>768</v>
      </c>
      <c r="H1367" t="s">
        <v>576</v>
      </c>
      <c r="I1367" t="s">
        <v>27</v>
      </c>
      <c r="J1367">
        <v>157.21</v>
      </c>
      <c r="K1367" s="1">
        <v>45877</v>
      </c>
      <c r="L1367" t="s">
        <v>79</v>
      </c>
      <c r="M1367">
        <v>8</v>
      </c>
      <c r="N1367">
        <v>8</v>
      </c>
      <c r="O1367">
        <v>3</v>
      </c>
      <c r="P1367">
        <v>2025</v>
      </c>
    </row>
    <row r="1368" spans="1:16">
      <c r="A1368">
        <v>53.550000000000004</v>
      </c>
      <c r="B1368">
        <v>3</v>
      </c>
      <c r="C1368" t="s">
        <v>1122</v>
      </c>
      <c r="D1368" t="s">
        <v>1123</v>
      </c>
      <c r="E1368" t="s">
        <v>1124</v>
      </c>
      <c r="F1368" t="s">
        <v>15</v>
      </c>
      <c r="G1368" t="s">
        <v>834</v>
      </c>
      <c r="H1368" t="s">
        <v>605</v>
      </c>
      <c r="I1368" t="s">
        <v>39</v>
      </c>
      <c r="J1368">
        <v>17.850000000000001</v>
      </c>
      <c r="K1368" s="1">
        <v>46164</v>
      </c>
      <c r="L1368" t="s">
        <v>79</v>
      </c>
      <c r="M1368">
        <v>22</v>
      </c>
      <c r="N1368">
        <v>5</v>
      </c>
      <c r="O1368">
        <v>2</v>
      </c>
      <c r="P1368">
        <v>2026</v>
      </c>
    </row>
    <row r="1369" spans="1:16">
      <c r="A1369">
        <v>1125.25</v>
      </c>
      <c r="B1369">
        <v>5</v>
      </c>
      <c r="C1369" t="s">
        <v>1598</v>
      </c>
      <c r="D1369" t="s">
        <v>1599</v>
      </c>
      <c r="E1369" t="s">
        <v>1283</v>
      </c>
      <c r="F1369" t="s">
        <v>1600</v>
      </c>
      <c r="G1369" t="s">
        <v>768</v>
      </c>
      <c r="H1369" t="s">
        <v>320</v>
      </c>
      <c r="I1369" t="s">
        <v>21</v>
      </c>
      <c r="J1369">
        <v>225.05</v>
      </c>
      <c r="K1369" s="1">
        <v>45676</v>
      </c>
      <c r="L1369" t="s">
        <v>28</v>
      </c>
      <c r="M1369">
        <v>19</v>
      </c>
      <c r="N1369">
        <v>1</v>
      </c>
      <c r="O1369">
        <v>1</v>
      </c>
      <c r="P1369">
        <v>2025</v>
      </c>
    </row>
    <row r="1370" spans="1:16">
      <c r="A1370">
        <v>449.18</v>
      </c>
      <c r="B1370">
        <v>2</v>
      </c>
      <c r="C1370" t="s">
        <v>2812</v>
      </c>
      <c r="D1370" t="s">
        <v>2813</v>
      </c>
      <c r="E1370" t="s">
        <v>2098</v>
      </c>
      <c r="F1370" t="s">
        <v>953</v>
      </c>
      <c r="G1370" t="s">
        <v>954</v>
      </c>
      <c r="H1370" t="s">
        <v>121</v>
      </c>
      <c r="I1370" t="s">
        <v>122</v>
      </c>
      <c r="J1370">
        <v>224.59</v>
      </c>
      <c r="K1370" s="1">
        <v>45730</v>
      </c>
      <c r="L1370" t="s">
        <v>79</v>
      </c>
      <c r="M1370">
        <v>14</v>
      </c>
      <c r="N1370">
        <v>3</v>
      </c>
      <c r="O1370">
        <v>1</v>
      </c>
      <c r="P1370">
        <v>2025</v>
      </c>
    </row>
    <row r="1371" spans="1:16">
      <c r="A1371">
        <v>185.24</v>
      </c>
      <c r="B1371">
        <v>4</v>
      </c>
      <c r="C1371" t="s">
        <v>1470</v>
      </c>
      <c r="D1371" t="s">
        <v>1471</v>
      </c>
      <c r="E1371" t="s">
        <v>1472</v>
      </c>
      <c r="F1371" t="s">
        <v>1128</v>
      </c>
      <c r="G1371" t="s">
        <v>954</v>
      </c>
      <c r="H1371" t="s">
        <v>583</v>
      </c>
      <c r="I1371" t="s">
        <v>19</v>
      </c>
      <c r="J1371">
        <v>46.31</v>
      </c>
      <c r="K1371" s="1">
        <v>46155</v>
      </c>
      <c r="L1371" t="s">
        <v>34</v>
      </c>
      <c r="M1371">
        <v>13</v>
      </c>
      <c r="N1371">
        <v>5</v>
      </c>
      <c r="O1371">
        <v>2</v>
      </c>
      <c r="P1371">
        <v>2026</v>
      </c>
    </row>
    <row r="1372" spans="1:16">
      <c r="A1372">
        <v>245.79</v>
      </c>
      <c r="B1372">
        <v>1</v>
      </c>
      <c r="C1372" t="s">
        <v>1586</v>
      </c>
      <c r="D1372" t="s">
        <v>1587</v>
      </c>
      <c r="E1372" t="s">
        <v>1577</v>
      </c>
      <c r="F1372" t="s">
        <v>961</v>
      </c>
      <c r="G1372" t="s">
        <v>753</v>
      </c>
      <c r="H1372" t="s">
        <v>344</v>
      </c>
      <c r="I1372" t="s">
        <v>19</v>
      </c>
      <c r="J1372">
        <v>245.79</v>
      </c>
      <c r="K1372" s="1">
        <v>46068</v>
      </c>
      <c r="L1372" t="s">
        <v>28</v>
      </c>
      <c r="M1372">
        <v>15</v>
      </c>
      <c r="N1372">
        <v>2</v>
      </c>
      <c r="O1372">
        <v>1</v>
      </c>
      <c r="P1372">
        <v>2026</v>
      </c>
    </row>
    <row r="1373" spans="1:16">
      <c r="A1373">
        <v>582.52</v>
      </c>
      <c r="B1373">
        <v>4</v>
      </c>
      <c r="C1373" t="s">
        <v>2169</v>
      </c>
      <c r="D1373" t="s">
        <v>2170</v>
      </c>
      <c r="E1373" t="s">
        <v>1279</v>
      </c>
      <c r="F1373" t="s">
        <v>64</v>
      </c>
      <c r="G1373" t="s">
        <v>892</v>
      </c>
      <c r="H1373" t="s">
        <v>191</v>
      </c>
      <c r="I1373" t="s">
        <v>60</v>
      </c>
      <c r="J1373">
        <v>145.63</v>
      </c>
      <c r="K1373" s="1">
        <v>46076</v>
      </c>
      <c r="L1373" t="s">
        <v>93</v>
      </c>
      <c r="M1373">
        <v>23</v>
      </c>
      <c r="N1373">
        <v>2</v>
      </c>
      <c r="O1373">
        <v>1</v>
      </c>
      <c r="P1373">
        <v>2026</v>
      </c>
    </row>
    <row r="1374" spans="1:16">
      <c r="A1374">
        <v>667.53</v>
      </c>
      <c r="B1374">
        <v>3</v>
      </c>
      <c r="C1374" t="s">
        <v>1011</v>
      </c>
      <c r="D1374" t="s">
        <v>1012</v>
      </c>
      <c r="E1374" t="s">
        <v>1013</v>
      </c>
      <c r="F1374" t="s">
        <v>883</v>
      </c>
      <c r="G1374" t="s">
        <v>807</v>
      </c>
      <c r="H1374" t="s">
        <v>142</v>
      </c>
      <c r="I1374" t="s">
        <v>60</v>
      </c>
      <c r="J1374">
        <v>222.51</v>
      </c>
      <c r="K1374" s="1">
        <v>45675</v>
      </c>
      <c r="L1374" t="s">
        <v>14</v>
      </c>
      <c r="M1374">
        <v>18</v>
      </c>
      <c r="N1374">
        <v>1</v>
      </c>
      <c r="O1374">
        <v>1</v>
      </c>
      <c r="P1374">
        <v>2025</v>
      </c>
    </row>
    <row r="1375" spans="1:16">
      <c r="A1375">
        <v>107.74</v>
      </c>
      <c r="B1375">
        <v>2</v>
      </c>
      <c r="C1375" t="s">
        <v>1062</v>
      </c>
      <c r="D1375" t="s">
        <v>1063</v>
      </c>
      <c r="E1375" t="s">
        <v>1064</v>
      </c>
      <c r="F1375" t="s">
        <v>151</v>
      </c>
      <c r="G1375" t="s">
        <v>1003</v>
      </c>
      <c r="H1375" t="s">
        <v>2034</v>
      </c>
      <c r="I1375" t="s">
        <v>100</v>
      </c>
      <c r="J1375">
        <v>53.87</v>
      </c>
      <c r="K1375" s="1">
        <v>46077</v>
      </c>
      <c r="L1375" t="s">
        <v>48</v>
      </c>
      <c r="M1375">
        <v>24</v>
      </c>
      <c r="N1375">
        <v>2</v>
      </c>
      <c r="O1375">
        <v>1</v>
      </c>
      <c r="P1375">
        <v>2026</v>
      </c>
    </row>
    <row r="1376" spans="1:16">
      <c r="A1376">
        <v>986.3</v>
      </c>
      <c r="B1376">
        <v>5</v>
      </c>
      <c r="C1376" t="s">
        <v>2311</v>
      </c>
      <c r="D1376" t="s">
        <v>2312</v>
      </c>
      <c r="E1376" t="s">
        <v>1205</v>
      </c>
      <c r="F1376" t="s">
        <v>825</v>
      </c>
      <c r="G1376" t="s">
        <v>781</v>
      </c>
      <c r="H1376" t="s">
        <v>293</v>
      </c>
      <c r="I1376" t="s">
        <v>100</v>
      </c>
      <c r="J1376">
        <v>197.26</v>
      </c>
      <c r="K1376" s="1">
        <v>45777</v>
      </c>
      <c r="L1376" t="s">
        <v>34</v>
      </c>
      <c r="M1376">
        <v>30</v>
      </c>
      <c r="N1376">
        <v>4</v>
      </c>
      <c r="O1376">
        <v>2</v>
      </c>
      <c r="P1376">
        <v>2025</v>
      </c>
    </row>
    <row r="1377" spans="1:16">
      <c r="A1377">
        <v>159.84</v>
      </c>
      <c r="B1377">
        <v>2</v>
      </c>
      <c r="C1377" t="s">
        <v>962</v>
      </c>
      <c r="D1377" t="s">
        <v>963</v>
      </c>
      <c r="E1377" t="s">
        <v>964</v>
      </c>
      <c r="F1377" t="s">
        <v>965</v>
      </c>
      <c r="G1377" t="s">
        <v>966</v>
      </c>
      <c r="H1377" t="s">
        <v>209</v>
      </c>
      <c r="I1377" t="s">
        <v>25</v>
      </c>
      <c r="J1377">
        <v>79.92</v>
      </c>
      <c r="K1377" s="1">
        <v>45743</v>
      </c>
      <c r="L1377" t="s">
        <v>105</v>
      </c>
      <c r="M1377">
        <v>27</v>
      </c>
      <c r="N1377">
        <v>3</v>
      </c>
      <c r="O1377">
        <v>1</v>
      </c>
      <c r="P1377">
        <v>2025</v>
      </c>
    </row>
    <row r="1378" spans="1:16">
      <c r="A1378">
        <v>732.72</v>
      </c>
      <c r="B1378">
        <v>3</v>
      </c>
      <c r="C1378" t="s">
        <v>2087</v>
      </c>
      <c r="D1378" t="s">
        <v>2088</v>
      </c>
      <c r="E1378" t="s">
        <v>820</v>
      </c>
      <c r="F1378" t="s">
        <v>995</v>
      </c>
      <c r="G1378" t="s">
        <v>781</v>
      </c>
      <c r="H1378" t="s">
        <v>61</v>
      </c>
      <c r="I1378" t="s">
        <v>55</v>
      </c>
      <c r="J1378">
        <v>244.24</v>
      </c>
      <c r="K1378" s="1">
        <v>45676</v>
      </c>
      <c r="L1378" t="s">
        <v>28</v>
      </c>
      <c r="M1378">
        <v>19</v>
      </c>
      <c r="N1378">
        <v>1</v>
      </c>
      <c r="O1378">
        <v>1</v>
      </c>
      <c r="P1378">
        <v>2025</v>
      </c>
    </row>
    <row r="1379" spans="1:16">
      <c r="A1379">
        <v>729.68999999999994</v>
      </c>
      <c r="B1379">
        <v>3</v>
      </c>
      <c r="C1379" t="s">
        <v>1177</v>
      </c>
      <c r="D1379" t="s">
        <v>1178</v>
      </c>
      <c r="E1379" t="s">
        <v>1179</v>
      </c>
      <c r="F1379" t="s">
        <v>879</v>
      </c>
      <c r="G1379" t="s">
        <v>748</v>
      </c>
      <c r="H1379" t="s">
        <v>126</v>
      </c>
      <c r="I1379" t="s">
        <v>43</v>
      </c>
      <c r="J1379">
        <v>243.23</v>
      </c>
      <c r="K1379" s="1">
        <v>45692</v>
      </c>
      <c r="L1379" t="s">
        <v>48</v>
      </c>
      <c r="M1379">
        <v>4</v>
      </c>
      <c r="N1379">
        <v>2</v>
      </c>
      <c r="O1379">
        <v>1</v>
      </c>
      <c r="P1379">
        <v>2025</v>
      </c>
    </row>
    <row r="1380" spans="1:16">
      <c r="A1380">
        <v>425.43</v>
      </c>
      <c r="B1380">
        <v>3</v>
      </c>
      <c r="C1380" t="s">
        <v>3074</v>
      </c>
      <c r="D1380" t="s">
        <v>3075</v>
      </c>
      <c r="E1380" t="s">
        <v>2272</v>
      </c>
      <c r="F1380" t="s">
        <v>414</v>
      </c>
      <c r="G1380" t="s">
        <v>795</v>
      </c>
      <c r="H1380" t="s">
        <v>391</v>
      </c>
      <c r="I1380" t="s">
        <v>60</v>
      </c>
      <c r="J1380">
        <v>141.81</v>
      </c>
      <c r="K1380" s="1">
        <v>45676</v>
      </c>
      <c r="L1380" t="s">
        <v>28</v>
      </c>
      <c r="M1380">
        <v>19</v>
      </c>
      <c r="N1380">
        <v>1</v>
      </c>
      <c r="O1380">
        <v>1</v>
      </c>
      <c r="P1380">
        <v>2025</v>
      </c>
    </row>
    <row r="1381" spans="1:16">
      <c r="A1381">
        <v>222.12</v>
      </c>
      <c r="B1381">
        <v>2</v>
      </c>
      <c r="C1381" t="s">
        <v>3383</v>
      </c>
      <c r="D1381" t="s">
        <v>3384</v>
      </c>
      <c r="E1381" t="s">
        <v>1228</v>
      </c>
      <c r="F1381" t="s">
        <v>965</v>
      </c>
      <c r="G1381" t="s">
        <v>966</v>
      </c>
      <c r="H1381" t="s">
        <v>89</v>
      </c>
      <c r="I1381" t="s">
        <v>69</v>
      </c>
      <c r="J1381">
        <v>111.06</v>
      </c>
      <c r="K1381" s="1">
        <v>45553</v>
      </c>
      <c r="L1381" t="s">
        <v>34</v>
      </c>
      <c r="M1381">
        <v>18</v>
      </c>
      <c r="N1381">
        <v>9</v>
      </c>
      <c r="O1381">
        <v>3</v>
      </c>
      <c r="P1381">
        <v>2024</v>
      </c>
    </row>
    <row r="1382" spans="1:16">
      <c r="A1382">
        <v>30.03</v>
      </c>
      <c r="B1382">
        <v>3</v>
      </c>
      <c r="C1382" t="s">
        <v>1221</v>
      </c>
      <c r="D1382" t="s">
        <v>1222</v>
      </c>
      <c r="E1382" t="s">
        <v>1098</v>
      </c>
      <c r="F1382" t="s">
        <v>802</v>
      </c>
      <c r="G1382" t="s">
        <v>748</v>
      </c>
      <c r="H1382" t="s">
        <v>163</v>
      </c>
      <c r="I1382" t="s">
        <v>97</v>
      </c>
      <c r="J1382">
        <v>10.01</v>
      </c>
      <c r="K1382" s="1">
        <v>46262</v>
      </c>
      <c r="L1382" t="s">
        <v>79</v>
      </c>
      <c r="M1382">
        <v>28</v>
      </c>
      <c r="N1382">
        <v>8</v>
      </c>
      <c r="O1382">
        <v>3</v>
      </c>
      <c r="P1382">
        <v>2026</v>
      </c>
    </row>
    <row r="1383" spans="1:16">
      <c r="A1383">
        <v>208.08</v>
      </c>
      <c r="B1383">
        <v>2</v>
      </c>
      <c r="C1383" t="s">
        <v>3267</v>
      </c>
      <c r="D1383" t="s">
        <v>3268</v>
      </c>
      <c r="E1383" t="s">
        <v>784</v>
      </c>
      <c r="F1383" t="s">
        <v>1600</v>
      </c>
      <c r="G1383" t="s">
        <v>768</v>
      </c>
      <c r="H1383" t="s">
        <v>507</v>
      </c>
      <c r="I1383" t="s">
        <v>55</v>
      </c>
      <c r="J1383">
        <v>104.04</v>
      </c>
      <c r="K1383" s="1">
        <v>45872</v>
      </c>
      <c r="L1383" t="s">
        <v>28</v>
      </c>
      <c r="M1383">
        <v>3</v>
      </c>
      <c r="N1383">
        <v>8</v>
      </c>
      <c r="O1383">
        <v>3</v>
      </c>
      <c r="P1383">
        <v>2025</v>
      </c>
    </row>
    <row r="1384" spans="1:16">
      <c r="A1384">
        <v>148.28</v>
      </c>
      <c r="B1384">
        <v>1</v>
      </c>
      <c r="C1384" t="s">
        <v>2572</v>
      </c>
      <c r="D1384" t="s">
        <v>2573</v>
      </c>
      <c r="E1384" t="s">
        <v>1688</v>
      </c>
      <c r="F1384" t="s">
        <v>2574</v>
      </c>
      <c r="G1384" t="s">
        <v>839</v>
      </c>
      <c r="H1384" t="s">
        <v>568</v>
      </c>
      <c r="I1384" t="s">
        <v>51</v>
      </c>
      <c r="J1384">
        <v>148.28</v>
      </c>
      <c r="K1384" s="1">
        <v>45840</v>
      </c>
      <c r="L1384" t="s">
        <v>34</v>
      </c>
      <c r="M1384">
        <v>2</v>
      </c>
      <c r="N1384">
        <v>7</v>
      </c>
      <c r="O1384">
        <v>3</v>
      </c>
      <c r="P1384">
        <v>2025</v>
      </c>
    </row>
    <row r="1385" spans="1:16">
      <c r="A1385">
        <v>69.25</v>
      </c>
      <c r="B1385">
        <v>5</v>
      </c>
      <c r="C1385" t="s">
        <v>2261</v>
      </c>
      <c r="D1385" t="s">
        <v>2262</v>
      </c>
      <c r="E1385" t="s">
        <v>1660</v>
      </c>
      <c r="F1385" t="s">
        <v>1206</v>
      </c>
      <c r="G1385" t="s">
        <v>943</v>
      </c>
      <c r="H1385" t="s">
        <v>233</v>
      </c>
      <c r="I1385" t="s">
        <v>122</v>
      </c>
      <c r="J1385">
        <v>13.85</v>
      </c>
      <c r="K1385" s="1">
        <v>46076</v>
      </c>
      <c r="L1385" t="s">
        <v>93</v>
      </c>
      <c r="M1385">
        <v>23</v>
      </c>
      <c r="N1385">
        <v>2</v>
      </c>
      <c r="O1385">
        <v>1</v>
      </c>
      <c r="P1385">
        <v>2026</v>
      </c>
    </row>
    <row r="1386" spans="1:16">
      <c r="A1386">
        <v>36.36</v>
      </c>
      <c r="B1386">
        <v>2</v>
      </c>
      <c r="C1386" t="s">
        <v>2516</v>
      </c>
      <c r="D1386" t="s">
        <v>2517</v>
      </c>
      <c r="E1386" t="s">
        <v>1793</v>
      </c>
      <c r="F1386" t="s">
        <v>106</v>
      </c>
      <c r="G1386" t="s">
        <v>896</v>
      </c>
      <c r="H1386" t="s">
        <v>284</v>
      </c>
      <c r="I1386" t="s">
        <v>97</v>
      </c>
      <c r="J1386">
        <v>18.18</v>
      </c>
      <c r="K1386" s="1">
        <v>45564</v>
      </c>
      <c r="L1386" t="s">
        <v>28</v>
      </c>
      <c r="M1386">
        <v>29</v>
      </c>
      <c r="N1386">
        <v>9</v>
      </c>
      <c r="O1386">
        <v>3</v>
      </c>
      <c r="P1386">
        <v>2024</v>
      </c>
    </row>
    <row r="1387" spans="1:16">
      <c r="A1387">
        <v>49.66</v>
      </c>
      <c r="B1387">
        <v>2</v>
      </c>
      <c r="C1387" t="s">
        <v>1068</v>
      </c>
      <c r="D1387" t="s">
        <v>1069</v>
      </c>
      <c r="E1387" t="s">
        <v>1070</v>
      </c>
      <c r="F1387" t="s">
        <v>1071</v>
      </c>
      <c r="G1387" t="s">
        <v>817</v>
      </c>
      <c r="H1387" t="s">
        <v>338</v>
      </c>
      <c r="I1387" t="s">
        <v>82</v>
      </c>
      <c r="J1387">
        <v>24.83</v>
      </c>
      <c r="K1387" s="1">
        <v>46183</v>
      </c>
      <c r="L1387" t="s">
        <v>34</v>
      </c>
      <c r="M1387">
        <v>10</v>
      </c>
      <c r="N1387">
        <v>6</v>
      </c>
      <c r="O1387">
        <v>2</v>
      </c>
      <c r="P1387">
        <v>2026</v>
      </c>
    </row>
    <row r="1388" spans="1:16">
      <c r="A1388">
        <v>100.56</v>
      </c>
      <c r="B1388">
        <v>2</v>
      </c>
      <c r="C1388" t="s">
        <v>2776</v>
      </c>
      <c r="D1388" t="s">
        <v>2777</v>
      </c>
      <c r="E1388" t="s">
        <v>1409</v>
      </c>
      <c r="F1388" t="s">
        <v>858</v>
      </c>
      <c r="G1388" t="s">
        <v>753</v>
      </c>
      <c r="H1388" t="s">
        <v>519</v>
      </c>
      <c r="I1388" t="s">
        <v>51</v>
      </c>
      <c r="J1388">
        <v>50.28</v>
      </c>
      <c r="K1388" s="1">
        <v>46276</v>
      </c>
      <c r="L1388" t="s">
        <v>79</v>
      </c>
      <c r="M1388">
        <v>11</v>
      </c>
      <c r="N1388">
        <v>9</v>
      </c>
      <c r="O1388">
        <v>3</v>
      </c>
      <c r="P1388">
        <v>2026</v>
      </c>
    </row>
    <row r="1389" spans="1:16">
      <c r="A1389">
        <v>36.86</v>
      </c>
      <c r="B1389">
        <v>2</v>
      </c>
      <c r="C1389" t="s">
        <v>2261</v>
      </c>
      <c r="D1389" t="s">
        <v>2262</v>
      </c>
      <c r="E1389" t="s">
        <v>1660</v>
      </c>
      <c r="F1389" t="s">
        <v>1206</v>
      </c>
      <c r="G1389" t="s">
        <v>943</v>
      </c>
      <c r="H1389" t="s">
        <v>1816</v>
      </c>
      <c r="I1389" t="s">
        <v>37</v>
      </c>
      <c r="J1389">
        <v>18.43</v>
      </c>
      <c r="K1389" s="1">
        <v>46131</v>
      </c>
      <c r="L1389" t="s">
        <v>28</v>
      </c>
      <c r="M1389">
        <v>19</v>
      </c>
      <c r="N1389">
        <v>4</v>
      </c>
      <c r="O1389">
        <v>2</v>
      </c>
      <c r="P1389">
        <v>2026</v>
      </c>
    </row>
    <row r="1390" spans="1:16">
      <c r="A1390">
        <v>383.64</v>
      </c>
      <c r="B1390">
        <v>2</v>
      </c>
      <c r="C1390" t="s">
        <v>1023</v>
      </c>
      <c r="D1390" t="s">
        <v>1024</v>
      </c>
      <c r="E1390" t="s">
        <v>1025</v>
      </c>
      <c r="F1390" t="s">
        <v>1026</v>
      </c>
      <c r="G1390" t="s">
        <v>896</v>
      </c>
      <c r="H1390" t="s">
        <v>584</v>
      </c>
      <c r="I1390" t="s">
        <v>19</v>
      </c>
      <c r="J1390">
        <v>191.82</v>
      </c>
      <c r="K1390" s="1">
        <v>45554</v>
      </c>
      <c r="L1390" t="s">
        <v>105</v>
      </c>
      <c r="M1390">
        <v>19</v>
      </c>
      <c r="N1390">
        <v>9</v>
      </c>
      <c r="O1390">
        <v>3</v>
      </c>
      <c r="P1390">
        <v>2024</v>
      </c>
    </row>
    <row r="1391" spans="1:16">
      <c r="A1391">
        <v>515.64</v>
      </c>
      <c r="B1391">
        <v>3</v>
      </c>
      <c r="C1391" t="s">
        <v>2865</v>
      </c>
      <c r="D1391" t="s">
        <v>2866</v>
      </c>
      <c r="E1391" t="s">
        <v>1085</v>
      </c>
      <c r="F1391" t="s">
        <v>608</v>
      </c>
      <c r="G1391" t="s">
        <v>966</v>
      </c>
      <c r="H1391" t="s">
        <v>525</v>
      </c>
      <c r="I1391" t="s">
        <v>17</v>
      </c>
      <c r="J1391">
        <v>171.88</v>
      </c>
      <c r="K1391" s="1">
        <v>46136</v>
      </c>
      <c r="L1391" t="s">
        <v>79</v>
      </c>
      <c r="M1391">
        <v>24</v>
      </c>
      <c r="N1391">
        <v>4</v>
      </c>
      <c r="O1391">
        <v>2</v>
      </c>
      <c r="P1391">
        <v>2026</v>
      </c>
    </row>
    <row r="1392" spans="1:16">
      <c r="A1392">
        <v>11.49</v>
      </c>
      <c r="B1392">
        <v>1</v>
      </c>
      <c r="C1392" t="s">
        <v>2829</v>
      </c>
      <c r="D1392" t="s">
        <v>2830</v>
      </c>
      <c r="E1392" t="s">
        <v>2831</v>
      </c>
      <c r="F1392" t="s">
        <v>15</v>
      </c>
      <c r="G1392" t="s">
        <v>834</v>
      </c>
      <c r="H1392" t="s">
        <v>736</v>
      </c>
      <c r="I1392" t="s">
        <v>122</v>
      </c>
      <c r="J1392">
        <v>11.49</v>
      </c>
      <c r="K1392" s="1">
        <v>45678</v>
      </c>
      <c r="L1392" t="s">
        <v>48</v>
      </c>
      <c r="M1392">
        <v>21</v>
      </c>
      <c r="N1392">
        <v>1</v>
      </c>
      <c r="O1392">
        <v>1</v>
      </c>
      <c r="P1392">
        <v>2025</v>
      </c>
    </row>
    <row r="1393" spans="1:16">
      <c r="A1393">
        <v>700.56000000000006</v>
      </c>
      <c r="B1393">
        <v>3</v>
      </c>
      <c r="C1393" t="s">
        <v>920</v>
      </c>
      <c r="D1393" t="s">
        <v>921</v>
      </c>
      <c r="E1393" t="s">
        <v>922</v>
      </c>
      <c r="F1393" t="s">
        <v>380</v>
      </c>
      <c r="G1393" t="s">
        <v>776</v>
      </c>
      <c r="H1393" t="s">
        <v>676</v>
      </c>
      <c r="I1393" t="s">
        <v>69</v>
      </c>
      <c r="J1393">
        <v>233.52</v>
      </c>
      <c r="K1393" s="1">
        <v>45759</v>
      </c>
      <c r="L1393" t="s">
        <v>14</v>
      </c>
      <c r="M1393">
        <v>12</v>
      </c>
      <c r="N1393">
        <v>4</v>
      </c>
      <c r="O1393">
        <v>2</v>
      </c>
      <c r="P1393">
        <v>2025</v>
      </c>
    </row>
    <row r="1394" spans="1:16">
      <c r="A1394">
        <v>594.16</v>
      </c>
      <c r="B1394">
        <v>4</v>
      </c>
      <c r="C1394" t="s">
        <v>933</v>
      </c>
      <c r="D1394" t="s">
        <v>934</v>
      </c>
      <c r="E1394" t="s">
        <v>935</v>
      </c>
      <c r="F1394" t="s">
        <v>322</v>
      </c>
      <c r="G1394" t="s">
        <v>795</v>
      </c>
      <c r="H1394" t="s">
        <v>16</v>
      </c>
      <c r="I1394" t="s">
        <v>17</v>
      </c>
      <c r="J1394">
        <v>148.54</v>
      </c>
      <c r="K1394" s="1">
        <v>45907</v>
      </c>
      <c r="L1394" t="s">
        <v>28</v>
      </c>
      <c r="M1394">
        <v>7</v>
      </c>
      <c r="N1394">
        <v>9</v>
      </c>
      <c r="O1394">
        <v>3</v>
      </c>
      <c r="P1394">
        <v>2025</v>
      </c>
    </row>
    <row r="1395" spans="1:16">
      <c r="A1395">
        <v>38.85</v>
      </c>
      <c r="B1395">
        <v>1</v>
      </c>
      <c r="C1395" t="s">
        <v>2442</v>
      </c>
      <c r="D1395" t="s">
        <v>2443</v>
      </c>
      <c r="E1395" t="s">
        <v>872</v>
      </c>
      <c r="F1395" t="s">
        <v>1525</v>
      </c>
      <c r="G1395" t="s">
        <v>763</v>
      </c>
      <c r="H1395" t="s">
        <v>586</v>
      </c>
      <c r="I1395" t="s">
        <v>43</v>
      </c>
      <c r="J1395">
        <v>38.85</v>
      </c>
      <c r="K1395" s="1">
        <v>45955</v>
      </c>
      <c r="L1395" t="s">
        <v>14</v>
      </c>
      <c r="M1395">
        <v>25</v>
      </c>
      <c r="N1395">
        <v>10</v>
      </c>
      <c r="O1395">
        <v>4</v>
      </c>
      <c r="P1395">
        <v>2025</v>
      </c>
    </row>
    <row r="1396" spans="1:16">
      <c r="A1396">
        <v>182.64</v>
      </c>
      <c r="B1396">
        <v>1</v>
      </c>
      <c r="C1396" t="s">
        <v>1834</v>
      </c>
      <c r="D1396" t="s">
        <v>1835</v>
      </c>
      <c r="E1396" t="s">
        <v>946</v>
      </c>
      <c r="F1396" t="s">
        <v>1525</v>
      </c>
      <c r="G1396" t="s">
        <v>763</v>
      </c>
      <c r="H1396" t="s">
        <v>505</v>
      </c>
      <c r="I1396" t="s">
        <v>100</v>
      </c>
      <c r="J1396">
        <v>182.64</v>
      </c>
      <c r="K1396" s="1">
        <v>45624</v>
      </c>
      <c r="L1396" t="s">
        <v>105</v>
      </c>
      <c r="M1396">
        <v>28</v>
      </c>
      <c r="N1396">
        <v>11</v>
      </c>
      <c r="O1396">
        <v>4</v>
      </c>
      <c r="P1396">
        <v>2024</v>
      </c>
    </row>
    <row r="1397" spans="1:16">
      <c r="A1397">
        <v>1221.8499999999999</v>
      </c>
      <c r="B1397">
        <v>5</v>
      </c>
      <c r="C1397" t="s">
        <v>2783</v>
      </c>
      <c r="D1397" t="s">
        <v>2784</v>
      </c>
      <c r="E1397" t="s">
        <v>1050</v>
      </c>
      <c r="F1397" t="s">
        <v>1107</v>
      </c>
      <c r="G1397" t="s">
        <v>763</v>
      </c>
      <c r="H1397" t="s">
        <v>327</v>
      </c>
      <c r="I1397" t="s">
        <v>51</v>
      </c>
      <c r="J1397">
        <v>244.37</v>
      </c>
      <c r="K1397" s="1">
        <v>45748</v>
      </c>
      <c r="L1397" t="s">
        <v>48</v>
      </c>
      <c r="M1397">
        <v>1</v>
      </c>
      <c r="N1397">
        <v>4</v>
      </c>
      <c r="O1397">
        <v>2</v>
      </c>
      <c r="P1397">
        <v>2025</v>
      </c>
    </row>
    <row r="1398" spans="1:16">
      <c r="A1398">
        <v>134.99</v>
      </c>
      <c r="B1398">
        <v>1</v>
      </c>
      <c r="C1398" t="s">
        <v>2307</v>
      </c>
      <c r="D1398" t="s">
        <v>2308</v>
      </c>
      <c r="E1398" t="s">
        <v>761</v>
      </c>
      <c r="F1398" t="s">
        <v>1032</v>
      </c>
      <c r="G1398" t="s">
        <v>839</v>
      </c>
      <c r="H1398" t="s">
        <v>428</v>
      </c>
      <c r="I1398" t="s">
        <v>31</v>
      </c>
      <c r="J1398">
        <v>134.99</v>
      </c>
      <c r="K1398" s="1">
        <v>46018</v>
      </c>
      <c r="L1398" t="s">
        <v>14</v>
      </c>
      <c r="M1398">
        <v>27</v>
      </c>
      <c r="N1398">
        <v>12</v>
      </c>
      <c r="O1398">
        <v>4</v>
      </c>
      <c r="P1398">
        <v>2025</v>
      </c>
    </row>
    <row r="1399" spans="1:16">
      <c r="A1399">
        <v>489.64</v>
      </c>
      <c r="B1399">
        <v>2</v>
      </c>
      <c r="C1399" t="s">
        <v>1419</v>
      </c>
      <c r="D1399" t="s">
        <v>1420</v>
      </c>
      <c r="E1399" t="s">
        <v>891</v>
      </c>
      <c r="F1399" t="s">
        <v>1421</v>
      </c>
      <c r="G1399" t="s">
        <v>776</v>
      </c>
      <c r="H1399" t="s">
        <v>627</v>
      </c>
      <c r="I1399" t="s">
        <v>51</v>
      </c>
      <c r="J1399">
        <v>244.82</v>
      </c>
      <c r="K1399" s="1">
        <v>46104</v>
      </c>
      <c r="L1399" t="s">
        <v>93</v>
      </c>
      <c r="M1399">
        <v>23</v>
      </c>
      <c r="N1399">
        <v>3</v>
      </c>
      <c r="O1399">
        <v>1</v>
      </c>
      <c r="P1399">
        <v>2026</v>
      </c>
    </row>
    <row r="1400" spans="1:16">
      <c r="A1400">
        <v>591.18000000000006</v>
      </c>
      <c r="B1400">
        <v>3</v>
      </c>
      <c r="C1400" t="s">
        <v>1570</v>
      </c>
      <c r="D1400" t="s">
        <v>1571</v>
      </c>
      <c r="E1400" t="s">
        <v>1274</v>
      </c>
      <c r="F1400" t="s">
        <v>1502</v>
      </c>
      <c r="G1400" t="s">
        <v>817</v>
      </c>
      <c r="H1400" t="s">
        <v>179</v>
      </c>
      <c r="I1400" t="s">
        <v>37</v>
      </c>
      <c r="J1400">
        <v>197.06</v>
      </c>
      <c r="K1400" s="1">
        <v>46083</v>
      </c>
      <c r="L1400" t="s">
        <v>93</v>
      </c>
      <c r="M1400">
        <v>2</v>
      </c>
      <c r="N1400">
        <v>3</v>
      </c>
      <c r="O1400">
        <v>1</v>
      </c>
      <c r="P1400">
        <v>2026</v>
      </c>
    </row>
    <row r="1401" spans="1:16">
      <c r="A1401">
        <v>201.53</v>
      </c>
      <c r="B1401">
        <v>1</v>
      </c>
      <c r="C1401" t="s">
        <v>2327</v>
      </c>
      <c r="D1401" t="s">
        <v>2328</v>
      </c>
      <c r="E1401" t="s">
        <v>1577</v>
      </c>
      <c r="F1401" t="s">
        <v>915</v>
      </c>
      <c r="G1401" t="s">
        <v>768</v>
      </c>
      <c r="H1401" t="s">
        <v>476</v>
      </c>
      <c r="I1401" t="s">
        <v>31</v>
      </c>
      <c r="J1401">
        <v>201.53</v>
      </c>
      <c r="K1401" s="1">
        <v>45555</v>
      </c>
      <c r="L1401" t="s">
        <v>79</v>
      </c>
      <c r="M1401">
        <v>20</v>
      </c>
      <c r="N1401">
        <v>9</v>
      </c>
      <c r="O1401">
        <v>3</v>
      </c>
      <c r="P1401">
        <v>2024</v>
      </c>
    </row>
    <row r="1402" spans="1:16">
      <c r="A1402">
        <v>901.56</v>
      </c>
      <c r="B1402">
        <v>4</v>
      </c>
      <c r="C1402" t="s">
        <v>2344</v>
      </c>
      <c r="D1402" t="s">
        <v>2345</v>
      </c>
      <c r="E1402" t="s">
        <v>2346</v>
      </c>
      <c r="F1402" t="s">
        <v>2154</v>
      </c>
      <c r="G1402" t="s">
        <v>1003</v>
      </c>
      <c r="H1402" t="s">
        <v>152</v>
      </c>
      <c r="I1402" t="s">
        <v>19</v>
      </c>
      <c r="J1402">
        <v>225.39</v>
      </c>
      <c r="K1402" s="1">
        <v>45579</v>
      </c>
      <c r="L1402" t="s">
        <v>93</v>
      </c>
      <c r="M1402">
        <v>14</v>
      </c>
      <c r="N1402">
        <v>10</v>
      </c>
      <c r="O1402">
        <v>4</v>
      </c>
      <c r="P1402">
        <v>2024</v>
      </c>
    </row>
    <row r="1403" spans="1:16">
      <c r="A1403">
        <v>440.94</v>
      </c>
      <c r="B1403">
        <v>2</v>
      </c>
      <c r="C1403" t="s">
        <v>2205</v>
      </c>
      <c r="D1403" t="s">
        <v>2206</v>
      </c>
      <c r="E1403" t="s">
        <v>1114</v>
      </c>
      <c r="F1403" t="s">
        <v>635</v>
      </c>
      <c r="G1403" t="s">
        <v>768</v>
      </c>
      <c r="H1403" t="s">
        <v>496</v>
      </c>
      <c r="I1403" t="s">
        <v>17</v>
      </c>
      <c r="J1403">
        <v>220.47</v>
      </c>
      <c r="K1403" s="1">
        <v>45653</v>
      </c>
      <c r="L1403" t="s">
        <v>79</v>
      </c>
      <c r="M1403">
        <v>27</v>
      </c>
      <c r="N1403">
        <v>12</v>
      </c>
      <c r="O1403">
        <v>4</v>
      </c>
      <c r="P1403">
        <v>2024</v>
      </c>
    </row>
    <row r="1404" spans="1:16">
      <c r="A1404">
        <v>864.44999999999993</v>
      </c>
      <c r="B1404">
        <v>5</v>
      </c>
      <c r="C1404" t="s">
        <v>2350</v>
      </c>
      <c r="D1404" t="s">
        <v>2351</v>
      </c>
      <c r="E1404" t="s">
        <v>2346</v>
      </c>
      <c r="F1404" t="s">
        <v>1306</v>
      </c>
      <c r="G1404" t="s">
        <v>966</v>
      </c>
      <c r="H1404" t="s">
        <v>2166</v>
      </c>
      <c r="I1404" t="s">
        <v>21</v>
      </c>
      <c r="J1404">
        <v>172.89</v>
      </c>
      <c r="K1404" s="1">
        <v>45577</v>
      </c>
      <c r="L1404" t="s">
        <v>14</v>
      </c>
      <c r="M1404">
        <v>12</v>
      </c>
      <c r="N1404">
        <v>10</v>
      </c>
      <c r="O1404">
        <v>4</v>
      </c>
      <c r="P1404">
        <v>2024</v>
      </c>
    </row>
    <row r="1405" spans="1:16">
      <c r="A1405">
        <v>484.56</v>
      </c>
      <c r="B1405">
        <v>4</v>
      </c>
      <c r="C1405" t="s">
        <v>2023</v>
      </c>
      <c r="D1405" t="s">
        <v>2024</v>
      </c>
      <c r="E1405" t="s">
        <v>1865</v>
      </c>
      <c r="F1405" t="s">
        <v>1246</v>
      </c>
      <c r="G1405" t="s">
        <v>1247</v>
      </c>
      <c r="H1405" t="s">
        <v>640</v>
      </c>
      <c r="I1405" t="s">
        <v>82</v>
      </c>
      <c r="J1405">
        <v>121.14</v>
      </c>
      <c r="K1405" s="1">
        <v>45660</v>
      </c>
      <c r="L1405" t="s">
        <v>79</v>
      </c>
      <c r="M1405">
        <v>3</v>
      </c>
      <c r="N1405">
        <v>1</v>
      </c>
      <c r="O1405">
        <v>1</v>
      </c>
      <c r="P1405">
        <v>2025</v>
      </c>
    </row>
    <row r="1406" spans="1:16">
      <c r="A1406">
        <v>43.74</v>
      </c>
      <c r="B1406">
        <v>2</v>
      </c>
      <c r="C1406" t="s">
        <v>2442</v>
      </c>
      <c r="D1406" t="s">
        <v>2443</v>
      </c>
      <c r="E1406" t="s">
        <v>872</v>
      </c>
      <c r="F1406" t="s">
        <v>1525</v>
      </c>
      <c r="G1406" t="s">
        <v>763</v>
      </c>
      <c r="H1406" t="s">
        <v>462</v>
      </c>
      <c r="I1406" t="s">
        <v>100</v>
      </c>
      <c r="J1406">
        <v>21.87</v>
      </c>
      <c r="K1406" s="1">
        <v>46068</v>
      </c>
      <c r="L1406" t="s">
        <v>28</v>
      </c>
      <c r="M1406">
        <v>15</v>
      </c>
      <c r="N1406">
        <v>2</v>
      </c>
      <c r="O1406">
        <v>1</v>
      </c>
      <c r="P1406">
        <v>2026</v>
      </c>
    </row>
    <row r="1407" spans="1:16">
      <c r="A1407">
        <v>5.15</v>
      </c>
      <c r="B1407">
        <v>5</v>
      </c>
      <c r="C1407" t="s">
        <v>3129</v>
      </c>
      <c r="D1407" t="s">
        <v>3130</v>
      </c>
      <c r="E1407" t="s">
        <v>1326</v>
      </c>
      <c r="F1407" t="s">
        <v>2247</v>
      </c>
      <c r="G1407" t="s">
        <v>781</v>
      </c>
      <c r="H1407" t="s">
        <v>711</v>
      </c>
      <c r="I1407" t="s">
        <v>122</v>
      </c>
      <c r="J1407">
        <v>1.03</v>
      </c>
      <c r="K1407" s="1">
        <v>45916</v>
      </c>
      <c r="L1407" t="s">
        <v>48</v>
      </c>
      <c r="M1407">
        <v>16</v>
      </c>
      <c r="N1407">
        <v>9</v>
      </c>
      <c r="O1407">
        <v>3</v>
      </c>
      <c r="P1407">
        <v>2025</v>
      </c>
    </row>
    <row r="1408" spans="1:16">
      <c r="A1408">
        <v>225.73</v>
      </c>
      <c r="B1408">
        <v>1</v>
      </c>
      <c r="C1408" t="s">
        <v>1974</v>
      </c>
      <c r="D1408" t="s">
        <v>1975</v>
      </c>
      <c r="E1408" t="s">
        <v>1976</v>
      </c>
      <c r="F1408" t="s">
        <v>806</v>
      </c>
      <c r="G1408" t="s">
        <v>807</v>
      </c>
      <c r="H1408" t="s">
        <v>444</v>
      </c>
      <c r="I1408" t="s">
        <v>37</v>
      </c>
      <c r="J1408">
        <v>225.73</v>
      </c>
      <c r="K1408" s="1">
        <v>46149</v>
      </c>
      <c r="L1408" t="s">
        <v>105</v>
      </c>
      <c r="M1408">
        <v>7</v>
      </c>
      <c r="N1408">
        <v>5</v>
      </c>
      <c r="O1408">
        <v>2</v>
      </c>
      <c r="P1408">
        <v>2026</v>
      </c>
    </row>
    <row r="1409" spans="1:16">
      <c r="A1409">
        <v>33.050000000000004</v>
      </c>
      <c r="B1409">
        <v>5</v>
      </c>
      <c r="C1409" t="s">
        <v>1887</v>
      </c>
      <c r="D1409" t="s">
        <v>1888</v>
      </c>
      <c r="E1409" t="s">
        <v>1562</v>
      </c>
      <c r="F1409" t="s">
        <v>1302</v>
      </c>
      <c r="G1409" t="s">
        <v>786</v>
      </c>
      <c r="H1409" t="s">
        <v>447</v>
      </c>
      <c r="I1409" t="s">
        <v>21</v>
      </c>
      <c r="J1409">
        <v>6.61</v>
      </c>
      <c r="K1409" s="1">
        <v>45773</v>
      </c>
      <c r="L1409" t="s">
        <v>14</v>
      </c>
      <c r="M1409">
        <v>26</v>
      </c>
      <c r="N1409">
        <v>4</v>
      </c>
      <c r="O1409">
        <v>2</v>
      </c>
      <c r="P1409">
        <v>2025</v>
      </c>
    </row>
    <row r="1410" spans="1:16">
      <c r="A1410">
        <v>299.56</v>
      </c>
      <c r="B1410">
        <v>2</v>
      </c>
      <c r="C1410" t="s">
        <v>1802</v>
      </c>
      <c r="D1410" t="s">
        <v>1803</v>
      </c>
      <c r="E1410" t="s">
        <v>906</v>
      </c>
      <c r="F1410" t="s">
        <v>970</v>
      </c>
      <c r="G1410" t="s">
        <v>790</v>
      </c>
      <c r="H1410" t="s">
        <v>427</v>
      </c>
      <c r="I1410" t="s">
        <v>21</v>
      </c>
      <c r="J1410">
        <v>149.78</v>
      </c>
      <c r="K1410" s="1">
        <v>45548</v>
      </c>
      <c r="L1410" t="s">
        <v>79</v>
      </c>
      <c r="M1410">
        <v>13</v>
      </c>
      <c r="N1410">
        <v>9</v>
      </c>
      <c r="O1410">
        <v>3</v>
      </c>
      <c r="P1410">
        <v>2024</v>
      </c>
    </row>
    <row r="1411" spans="1:16">
      <c r="A1411">
        <v>935.64</v>
      </c>
      <c r="B1411">
        <v>4</v>
      </c>
      <c r="C1411" t="s">
        <v>2452</v>
      </c>
      <c r="D1411" t="s">
        <v>1151</v>
      </c>
      <c r="E1411" t="s">
        <v>875</v>
      </c>
      <c r="F1411" t="s">
        <v>1236</v>
      </c>
      <c r="G1411" t="s">
        <v>807</v>
      </c>
      <c r="H1411" t="s">
        <v>272</v>
      </c>
      <c r="I1411" t="s">
        <v>55</v>
      </c>
      <c r="J1411">
        <v>233.91</v>
      </c>
      <c r="K1411" s="1">
        <v>46107</v>
      </c>
      <c r="L1411" t="s">
        <v>105</v>
      </c>
      <c r="M1411">
        <v>26</v>
      </c>
      <c r="N1411">
        <v>3</v>
      </c>
      <c r="O1411">
        <v>1</v>
      </c>
      <c r="P1411">
        <v>2026</v>
      </c>
    </row>
    <row r="1412" spans="1:16">
      <c r="A1412">
        <v>159.84</v>
      </c>
      <c r="B1412">
        <v>3</v>
      </c>
      <c r="C1412" t="s">
        <v>1233</v>
      </c>
      <c r="D1412" t="s">
        <v>1234</v>
      </c>
      <c r="E1412" t="s">
        <v>1235</v>
      </c>
      <c r="F1412" t="s">
        <v>1236</v>
      </c>
      <c r="G1412" t="s">
        <v>807</v>
      </c>
      <c r="H1412" t="s">
        <v>459</v>
      </c>
      <c r="I1412" t="s">
        <v>43</v>
      </c>
      <c r="J1412">
        <v>53.28</v>
      </c>
      <c r="K1412" s="1">
        <v>45756</v>
      </c>
      <c r="L1412" t="s">
        <v>34</v>
      </c>
      <c r="M1412">
        <v>9</v>
      </c>
      <c r="N1412">
        <v>4</v>
      </c>
      <c r="O1412">
        <v>2</v>
      </c>
      <c r="P1412">
        <v>2025</v>
      </c>
    </row>
    <row r="1413" spans="1:16">
      <c r="A1413">
        <v>615.65</v>
      </c>
      <c r="B1413">
        <v>5</v>
      </c>
      <c r="C1413" t="s">
        <v>1068</v>
      </c>
      <c r="D1413" t="s">
        <v>1069</v>
      </c>
      <c r="E1413" t="s">
        <v>1070</v>
      </c>
      <c r="F1413" t="s">
        <v>1071</v>
      </c>
      <c r="G1413" t="s">
        <v>817</v>
      </c>
      <c r="H1413" t="s">
        <v>66</v>
      </c>
      <c r="I1413" t="s">
        <v>46</v>
      </c>
      <c r="J1413">
        <v>123.13</v>
      </c>
      <c r="K1413" s="1">
        <v>46122</v>
      </c>
      <c r="L1413" t="s">
        <v>79</v>
      </c>
      <c r="M1413">
        <v>10</v>
      </c>
      <c r="N1413">
        <v>4</v>
      </c>
      <c r="O1413">
        <v>2</v>
      </c>
      <c r="P1413">
        <v>2026</v>
      </c>
    </row>
    <row r="1414" spans="1:16">
      <c r="A1414">
        <v>81.960000000000008</v>
      </c>
      <c r="B1414">
        <v>3</v>
      </c>
      <c r="C1414" t="s">
        <v>1186</v>
      </c>
      <c r="D1414" t="s">
        <v>1187</v>
      </c>
      <c r="E1414" t="s">
        <v>1188</v>
      </c>
      <c r="F1414" t="s">
        <v>1189</v>
      </c>
      <c r="G1414" t="s">
        <v>892</v>
      </c>
      <c r="H1414" t="s">
        <v>423</v>
      </c>
      <c r="I1414" t="s">
        <v>37</v>
      </c>
      <c r="J1414">
        <v>27.32</v>
      </c>
      <c r="K1414" s="1">
        <v>45782</v>
      </c>
      <c r="L1414" t="s">
        <v>93</v>
      </c>
      <c r="M1414">
        <v>5</v>
      </c>
      <c r="N1414">
        <v>5</v>
      </c>
      <c r="O1414">
        <v>2</v>
      </c>
      <c r="P1414">
        <v>2025</v>
      </c>
    </row>
    <row r="1415" spans="1:16">
      <c r="A1415">
        <v>699.08</v>
      </c>
      <c r="B1415">
        <v>4</v>
      </c>
      <c r="C1415" t="s">
        <v>1033</v>
      </c>
      <c r="D1415" t="s">
        <v>1034</v>
      </c>
      <c r="E1415" t="s">
        <v>1035</v>
      </c>
      <c r="F1415" t="s">
        <v>548</v>
      </c>
      <c r="G1415" t="s">
        <v>790</v>
      </c>
      <c r="H1415" t="s">
        <v>483</v>
      </c>
      <c r="I1415" t="s">
        <v>100</v>
      </c>
      <c r="J1415">
        <v>174.77</v>
      </c>
      <c r="K1415" s="1">
        <v>45927</v>
      </c>
      <c r="L1415" t="s">
        <v>14</v>
      </c>
      <c r="M1415">
        <v>27</v>
      </c>
      <c r="N1415">
        <v>9</v>
      </c>
      <c r="O1415">
        <v>3</v>
      </c>
      <c r="P1415">
        <v>2025</v>
      </c>
    </row>
    <row r="1416" spans="1:16">
      <c r="A1416">
        <v>676.48</v>
      </c>
      <c r="B1416">
        <v>4</v>
      </c>
      <c r="C1416" t="s">
        <v>2469</v>
      </c>
      <c r="D1416" t="s">
        <v>2470</v>
      </c>
      <c r="E1416" t="s">
        <v>2471</v>
      </c>
      <c r="F1416" t="s">
        <v>985</v>
      </c>
      <c r="G1416" t="s">
        <v>817</v>
      </c>
      <c r="H1416" t="s">
        <v>368</v>
      </c>
      <c r="I1416" t="s">
        <v>31</v>
      </c>
      <c r="J1416">
        <v>169.12</v>
      </c>
      <c r="K1416" s="1">
        <v>45929</v>
      </c>
      <c r="L1416" t="s">
        <v>93</v>
      </c>
      <c r="M1416">
        <v>29</v>
      </c>
      <c r="N1416">
        <v>9</v>
      </c>
      <c r="O1416">
        <v>3</v>
      </c>
      <c r="P1416">
        <v>2025</v>
      </c>
    </row>
    <row r="1417" spans="1:16">
      <c r="A1417">
        <v>203.12</v>
      </c>
      <c r="B1417">
        <v>2</v>
      </c>
      <c r="C1417" t="s">
        <v>2063</v>
      </c>
      <c r="D1417" t="s">
        <v>2064</v>
      </c>
      <c r="E1417" t="s">
        <v>2065</v>
      </c>
      <c r="F1417" t="s">
        <v>1156</v>
      </c>
      <c r="G1417" t="s">
        <v>821</v>
      </c>
      <c r="H1417" t="s">
        <v>426</v>
      </c>
      <c r="I1417" t="s">
        <v>37</v>
      </c>
      <c r="J1417">
        <v>101.56</v>
      </c>
      <c r="K1417" s="1">
        <v>45663</v>
      </c>
      <c r="L1417" t="s">
        <v>93</v>
      </c>
      <c r="M1417">
        <v>6</v>
      </c>
      <c r="N1417">
        <v>1</v>
      </c>
      <c r="O1417">
        <v>1</v>
      </c>
      <c r="P1417">
        <v>2025</v>
      </c>
    </row>
    <row r="1418" spans="1:16">
      <c r="A1418">
        <v>286.92</v>
      </c>
      <c r="B1418">
        <v>2</v>
      </c>
      <c r="C1418" t="s">
        <v>2023</v>
      </c>
      <c r="D1418" t="s">
        <v>2024</v>
      </c>
      <c r="E1418" t="s">
        <v>1865</v>
      </c>
      <c r="F1418" t="s">
        <v>1246</v>
      </c>
      <c r="G1418" t="s">
        <v>1247</v>
      </c>
      <c r="H1418" t="s">
        <v>299</v>
      </c>
      <c r="I1418" t="s">
        <v>57</v>
      </c>
      <c r="J1418">
        <v>143.46</v>
      </c>
      <c r="K1418" s="1">
        <v>45949</v>
      </c>
      <c r="L1418" t="s">
        <v>28</v>
      </c>
      <c r="M1418">
        <v>19</v>
      </c>
      <c r="N1418">
        <v>10</v>
      </c>
      <c r="O1418">
        <v>4</v>
      </c>
      <c r="P1418">
        <v>2025</v>
      </c>
    </row>
    <row r="1419" spans="1:16">
      <c r="A1419">
        <v>231.64</v>
      </c>
      <c r="B1419">
        <v>1</v>
      </c>
      <c r="C1419" t="s">
        <v>2997</v>
      </c>
      <c r="D1419" t="s">
        <v>2998</v>
      </c>
      <c r="E1419" t="s">
        <v>2383</v>
      </c>
      <c r="F1419" t="s">
        <v>869</v>
      </c>
      <c r="G1419" t="s">
        <v>812</v>
      </c>
      <c r="H1419" t="s">
        <v>658</v>
      </c>
      <c r="I1419" t="s">
        <v>69</v>
      </c>
      <c r="J1419">
        <v>231.64</v>
      </c>
      <c r="K1419" s="1">
        <v>45654</v>
      </c>
      <c r="L1419" t="s">
        <v>14</v>
      </c>
      <c r="M1419">
        <v>28</v>
      </c>
      <c r="N1419">
        <v>12</v>
      </c>
      <c r="O1419">
        <v>4</v>
      </c>
      <c r="P1419">
        <v>2024</v>
      </c>
    </row>
    <row r="1420" spans="1:16">
      <c r="A1420">
        <v>393.56</v>
      </c>
      <c r="B1420">
        <v>2</v>
      </c>
      <c r="C1420" t="s">
        <v>1866</v>
      </c>
      <c r="D1420" t="s">
        <v>1867</v>
      </c>
      <c r="E1420" t="s">
        <v>1868</v>
      </c>
      <c r="F1420" t="s">
        <v>1111</v>
      </c>
      <c r="G1420" t="s">
        <v>981</v>
      </c>
      <c r="H1420" t="s">
        <v>397</v>
      </c>
      <c r="I1420" t="s">
        <v>31</v>
      </c>
      <c r="J1420">
        <v>196.78</v>
      </c>
      <c r="K1420" s="1">
        <v>46186</v>
      </c>
      <c r="L1420" t="s">
        <v>14</v>
      </c>
      <c r="M1420">
        <v>13</v>
      </c>
      <c r="N1420">
        <v>6</v>
      </c>
      <c r="O1420">
        <v>2</v>
      </c>
      <c r="P1420">
        <v>2026</v>
      </c>
    </row>
    <row r="1421" spans="1:16">
      <c r="A1421">
        <v>651.48</v>
      </c>
      <c r="B1421">
        <v>4</v>
      </c>
      <c r="C1421" t="s">
        <v>3082</v>
      </c>
      <c r="D1421" t="s">
        <v>3083</v>
      </c>
      <c r="E1421" t="s">
        <v>751</v>
      </c>
      <c r="F1421" t="s">
        <v>2489</v>
      </c>
      <c r="G1421" t="s">
        <v>1247</v>
      </c>
      <c r="H1421" t="s">
        <v>236</v>
      </c>
      <c r="I1421" t="s">
        <v>60</v>
      </c>
      <c r="J1421">
        <v>162.87</v>
      </c>
      <c r="K1421" s="1">
        <v>45804</v>
      </c>
      <c r="L1421" t="s">
        <v>48</v>
      </c>
      <c r="M1421">
        <v>27</v>
      </c>
      <c r="N1421">
        <v>5</v>
      </c>
      <c r="O1421">
        <v>2</v>
      </c>
      <c r="P1421">
        <v>2025</v>
      </c>
    </row>
    <row r="1422" spans="1:16">
      <c r="A1422">
        <v>463.68</v>
      </c>
      <c r="B1422">
        <v>2</v>
      </c>
      <c r="C1422" t="s">
        <v>2584</v>
      </c>
      <c r="D1422" t="s">
        <v>2585</v>
      </c>
      <c r="E1422" t="s">
        <v>1444</v>
      </c>
      <c r="F1422" t="s">
        <v>1292</v>
      </c>
      <c r="G1422" t="s">
        <v>1247</v>
      </c>
      <c r="H1422" t="s">
        <v>626</v>
      </c>
      <c r="I1422" t="s">
        <v>17</v>
      </c>
      <c r="J1422">
        <v>231.84</v>
      </c>
      <c r="K1422" s="1">
        <v>46171</v>
      </c>
      <c r="L1422" t="s">
        <v>79</v>
      </c>
      <c r="M1422">
        <v>29</v>
      </c>
      <c r="N1422">
        <v>5</v>
      </c>
      <c r="O1422">
        <v>2</v>
      </c>
      <c r="P1422">
        <v>2026</v>
      </c>
    </row>
    <row r="1423" spans="1:16">
      <c r="A1423">
        <v>645.75</v>
      </c>
      <c r="B1423">
        <v>3</v>
      </c>
      <c r="C1423" t="s">
        <v>2370</v>
      </c>
      <c r="D1423" t="s">
        <v>2371</v>
      </c>
      <c r="E1423" t="s">
        <v>1633</v>
      </c>
      <c r="F1423" t="s">
        <v>757</v>
      </c>
      <c r="G1423" t="s">
        <v>758</v>
      </c>
      <c r="H1423" t="s">
        <v>148</v>
      </c>
      <c r="I1423" t="s">
        <v>51</v>
      </c>
      <c r="J1423">
        <v>215.25</v>
      </c>
      <c r="K1423" s="1">
        <v>46067</v>
      </c>
      <c r="L1423" t="s">
        <v>14</v>
      </c>
      <c r="M1423">
        <v>14</v>
      </c>
      <c r="N1423">
        <v>2</v>
      </c>
      <c r="O1423">
        <v>1</v>
      </c>
      <c r="P1423">
        <v>2026</v>
      </c>
    </row>
    <row r="1424" spans="1:16">
      <c r="A1424">
        <v>1169.55</v>
      </c>
      <c r="B1424">
        <v>5</v>
      </c>
      <c r="C1424" t="s">
        <v>1743</v>
      </c>
      <c r="D1424" t="s">
        <v>1744</v>
      </c>
      <c r="E1424" t="s">
        <v>1745</v>
      </c>
      <c r="F1424" t="s">
        <v>666</v>
      </c>
      <c r="G1424" t="s">
        <v>954</v>
      </c>
      <c r="H1424" t="s">
        <v>272</v>
      </c>
      <c r="I1424" t="s">
        <v>55</v>
      </c>
      <c r="J1424">
        <v>233.91</v>
      </c>
      <c r="K1424" s="1">
        <v>46058</v>
      </c>
      <c r="L1424" t="s">
        <v>105</v>
      </c>
      <c r="M1424">
        <v>5</v>
      </c>
      <c r="N1424">
        <v>2</v>
      </c>
      <c r="O1424">
        <v>1</v>
      </c>
      <c r="P1424">
        <v>2026</v>
      </c>
    </row>
    <row r="1425" spans="1:16">
      <c r="A1425">
        <v>145.83000000000001</v>
      </c>
      <c r="B1425">
        <v>1</v>
      </c>
      <c r="C1425" t="s">
        <v>1144</v>
      </c>
      <c r="D1425" t="s">
        <v>1145</v>
      </c>
      <c r="E1425" t="s">
        <v>1146</v>
      </c>
      <c r="F1425" t="s">
        <v>1128</v>
      </c>
      <c r="G1425" t="s">
        <v>954</v>
      </c>
      <c r="H1425" t="s">
        <v>171</v>
      </c>
      <c r="I1425" t="s">
        <v>46</v>
      </c>
      <c r="J1425">
        <v>145.83000000000001</v>
      </c>
      <c r="K1425" s="1">
        <v>45995</v>
      </c>
      <c r="L1425" t="s">
        <v>105</v>
      </c>
      <c r="M1425">
        <v>4</v>
      </c>
      <c r="N1425">
        <v>12</v>
      </c>
      <c r="O1425">
        <v>4</v>
      </c>
      <c r="P1425">
        <v>2025</v>
      </c>
    </row>
    <row r="1426" spans="1:16">
      <c r="A1426">
        <v>123.13</v>
      </c>
      <c r="B1426">
        <v>1</v>
      </c>
      <c r="C1426" t="s">
        <v>1099</v>
      </c>
      <c r="D1426" t="s">
        <v>1100</v>
      </c>
      <c r="E1426" t="s">
        <v>1035</v>
      </c>
      <c r="F1426" t="s">
        <v>211</v>
      </c>
      <c r="G1426" t="s">
        <v>812</v>
      </c>
      <c r="H1426" t="s">
        <v>66</v>
      </c>
      <c r="I1426" t="s">
        <v>46</v>
      </c>
      <c r="J1426">
        <v>123.13</v>
      </c>
      <c r="K1426" s="1">
        <v>45740</v>
      </c>
      <c r="L1426" t="s">
        <v>93</v>
      </c>
      <c r="M1426">
        <v>24</v>
      </c>
      <c r="N1426">
        <v>3</v>
      </c>
      <c r="O1426">
        <v>1</v>
      </c>
      <c r="P1426">
        <v>2025</v>
      </c>
    </row>
    <row r="1427" spans="1:16">
      <c r="A1427">
        <v>556.04999999999995</v>
      </c>
      <c r="B1427">
        <v>5</v>
      </c>
      <c r="C1427" t="s">
        <v>2724</v>
      </c>
      <c r="D1427" t="s">
        <v>2860</v>
      </c>
      <c r="E1427" t="s">
        <v>1698</v>
      </c>
      <c r="F1427" t="s">
        <v>1984</v>
      </c>
      <c r="G1427" t="s">
        <v>768</v>
      </c>
      <c r="H1427" t="s">
        <v>254</v>
      </c>
      <c r="I1427" t="s">
        <v>51</v>
      </c>
      <c r="J1427">
        <v>111.21</v>
      </c>
      <c r="K1427" s="1">
        <v>45725</v>
      </c>
      <c r="L1427" t="s">
        <v>28</v>
      </c>
      <c r="M1427">
        <v>9</v>
      </c>
      <c r="N1427">
        <v>3</v>
      </c>
      <c r="O1427">
        <v>1</v>
      </c>
      <c r="P1427">
        <v>2025</v>
      </c>
    </row>
    <row r="1428" spans="1:16">
      <c r="A1428">
        <v>1122.95</v>
      </c>
      <c r="B1428">
        <v>5</v>
      </c>
      <c r="C1428" t="s">
        <v>1842</v>
      </c>
      <c r="D1428" t="s">
        <v>1843</v>
      </c>
      <c r="E1428" t="s">
        <v>1844</v>
      </c>
      <c r="F1428" t="s">
        <v>106</v>
      </c>
      <c r="G1428" t="s">
        <v>790</v>
      </c>
      <c r="H1428" t="s">
        <v>121</v>
      </c>
      <c r="I1428" t="s">
        <v>122</v>
      </c>
      <c r="J1428">
        <v>224.59</v>
      </c>
      <c r="K1428" s="1">
        <v>45678</v>
      </c>
      <c r="L1428" t="s">
        <v>48</v>
      </c>
      <c r="M1428">
        <v>21</v>
      </c>
      <c r="N1428">
        <v>1</v>
      </c>
      <c r="O1428">
        <v>1</v>
      </c>
      <c r="P1428">
        <v>2025</v>
      </c>
    </row>
    <row r="1429" spans="1:16">
      <c r="A1429">
        <v>145.80000000000001</v>
      </c>
      <c r="B1429">
        <v>5</v>
      </c>
      <c r="C1429" t="s">
        <v>2023</v>
      </c>
      <c r="D1429" t="s">
        <v>2024</v>
      </c>
      <c r="E1429" t="s">
        <v>1865</v>
      </c>
      <c r="F1429" t="s">
        <v>1246</v>
      </c>
      <c r="G1429" t="s">
        <v>1247</v>
      </c>
      <c r="H1429" t="s">
        <v>511</v>
      </c>
      <c r="I1429" t="s">
        <v>27</v>
      </c>
      <c r="J1429">
        <v>29.16</v>
      </c>
      <c r="K1429" s="1">
        <v>46017</v>
      </c>
      <c r="L1429" t="s">
        <v>79</v>
      </c>
      <c r="M1429">
        <v>26</v>
      </c>
      <c r="N1429">
        <v>12</v>
      </c>
      <c r="O1429">
        <v>4</v>
      </c>
      <c r="P1429">
        <v>2025</v>
      </c>
    </row>
    <row r="1430" spans="1:16">
      <c r="A1430">
        <v>169.88</v>
      </c>
      <c r="B1430">
        <v>2</v>
      </c>
      <c r="C1430" t="s">
        <v>1299</v>
      </c>
      <c r="D1430" t="s">
        <v>1300</v>
      </c>
      <c r="E1430" t="s">
        <v>1301</v>
      </c>
      <c r="F1430" t="s">
        <v>1302</v>
      </c>
      <c r="G1430" t="s">
        <v>786</v>
      </c>
      <c r="H1430" t="s">
        <v>554</v>
      </c>
      <c r="I1430" t="s">
        <v>17</v>
      </c>
      <c r="J1430">
        <v>84.94</v>
      </c>
      <c r="K1430" s="1">
        <v>45891</v>
      </c>
      <c r="L1430" t="s">
        <v>79</v>
      </c>
      <c r="M1430">
        <v>22</v>
      </c>
      <c r="N1430">
        <v>8</v>
      </c>
      <c r="O1430">
        <v>3</v>
      </c>
      <c r="P1430">
        <v>2025</v>
      </c>
    </row>
    <row r="1431" spans="1:16">
      <c r="A1431">
        <v>14.54</v>
      </c>
      <c r="B1431">
        <v>1</v>
      </c>
      <c r="C1431" t="s">
        <v>1346</v>
      </c>
      <c r="D1431" t="s">
        <v>1347</v>
      </c>
      <c r="E1431" t="s">
        <v>1348</v>
      </c>
      <c r="F1431" t="s">
        <v>548</v>
      </c>
      <c r="G1431" t="s">
        <v>790</v>
      </c>
      <c r="H1431" t="s">
        <v>1349</v>
      </c>
      <c r="I1431" t="s">
        <v>97</v>
      </c>
      <c r="J1431">
        <v>14.54</v>
      </c>
      <c r="K1431" s="1">
        <v>45994</v>
      </c>
      <c r="L1431" t="s">
        <v>34</v>
      </c>
      <c r="M1431">
        <v>3</v>
      </c>
      <c r="N1431">
        <v>12</v>
      </c>
      <c r="O1431">
        <v>4</v>
      </c>
      <c r="P1431">
        <v>2025</v>
      </c>
    </row>
    <row r="1432" spans="1:16">
      <c r="A1432">
        <v>236.81</v>
      </c>
      <c r="B1432">
        <v>1</v>
      </c>
      <c r="C1432" t="s">
        <v>1104</v>
      </c>
      <c r="D1432" t="s">
        <v>1105</v>
      </c>
      <c r="E1432" t="s">
        <v>1106</v>
      </c>
      <c r="F1432" t="s">
        <v>1107</v>
      </c>
      <c r="G1432" t="s">
        <v>892</v>
      </c>
      <c r="H1432" t="s">
        <v>84</v>
      </c>
      <c r="I1432" t="s">
        <v>31</v>
      </c>
      <c r="J1432">
        <v>236.81</v>
      </c>
      <c r="K1432" s="1">
        <v>46064</v>
      </c>
      <c r="L1432" t="s">
        <v>34</v>
      </c>
      <c r="M1432">
        <v>11</v>
      </c>
      <c r="N1432">
        <v>2</v>
      </c>
      <c r="O1432">
        <v>1</v>
      </c>
      <c r="P1432">
        <v>2026</v>
      </c>
    </row>
    <row r="1433" spans="1:16">
      <c r="A1433">
        <v>430.5</v>
      </c>
      <c r="B1433">
        <v>2</v>
      </c>
      <c r="C1433" t="s">
        <v>2895</v>
      </c>
      <c r="D1433" t="s">
        <v>2896</v>
      </c>
      <c r="E1433" t="s">
        <v>1987</v>
      </c>
      <c r="F1433" t="s">
        <v>2468</v>
      </c>
      <c r="G1433" t="s">
        <v>763</v>
      </c>
      <c r="H1433" t="s">
        <v>148</v>
      </c>
      <c r="I1433" t="s">
        <v>51</v>
      </c>
      <c r="J1433">
        <v>215.25</v>
      </c>
      <c r="K1433" s="1">
        <v>46156</v>
      </c>
      <c r="L1433" t="s">
        <v>105</v>
      </c>
      <c r="M1433">
        <v>14</v>
      </c>
      <c r="N1433">
        <v>5</v>
      </c>
      <c r="O1433">
        <v>2</v>
      </c>
      <c r="P1433">
        <v>2026</v>
      </c>
    </row>
    <row r="1434" spans="1:16">
      <c r="A1434">
        <v>462.45000000000005</v>
      </c>
      <c r="B1434">
        <v>3</v>
      </c>
      <c r="C1434" t="s">
        <v>2349</v>
      </c>
      <c r="D1434" t="s">
        <v>1571</v>
      </c>
      <c r="E1434" t="s">
        <v>1045</v>
      </c>
      <c r="F1434" t="s">
        <v>919</v>
      </c>
      <c r="G1434" t="s">
        <v>786</v>
      </c>
      <c r="H1434" t="s">
        <v>599</v>
      </c>
      <c r="I1434" t="s">
        <v>27</v>
      </c>
      <c r="J1434">
        <v>154.15</v>
      </c>
      <c r="K1434" s="1">
        <v>45593</v>
      </c>
      <c r="L1434" t="s">
        <v>93</v>
      </c>
      <c r="M1434">
        <v>28</v>
      </c>
      <c r="N1434">
        <v>10</v>
      </c>
      <c r="O1434">
        <v>4</v>
      </c>
      <c r="P1434">
        <v>2024</v>
      </c>
    </row>
    <row r="1435" spans="1:16">
      <c r="A1435">
        <v>683</v>
      </c>
      <c r="B1435">
        <v>4</v>
      </c>
      <c r="C1435" t="s">
        <v>2531</v>
      </c>
      <c r="D1435" t="s">
        <v>2532</v>
      </c>
      <c r="E1435" t="s">
        <v>756</v>
      </c>
      <c r="F1435" t="s">
        <v>29</v>
      </c>
      <c r="G1435" t="s">
        <v>821</v>
      </c>
      <c r="H1435" t="s">
        <v>652</v>
      </c>
      <c r="I1435" t="s">
        <v>37</v>
      </c>
      <c r="J1435">
        <v>170.75</v>
      </c>
      <c r="K1435" s="1">
        <v>46077</v>
      </c>
      <c r="L1435" t="s">
        <v>48</v>
      </c>
      <c r="M1435">
        <v>24</v>
      </c>
      <c r="N1435">
        <v>2</v>
      </c>
      <c r="O1435">
        <v>1</v>
      </c>
      <c r="P1435">
        <v>2026</v>
      </c>
    </row>
    <row r="1436" spans="1:16">
      <c r="A1436">
        <v>467.12</v>
      </c>
      <c r="B1436">
        <v>2</v>
      </c>
      <c r="C1436" t="s">
        <v>897</v>
      </c>
      <c r="D1436" t="s">
        <v>898</v>
      </c>
      <c r="E1436" t="s">
        <v>899</v>
      </c>
      <c r="F1436" t="s">
        <v>280</v>
      </c>
      <c r="G1436" t="s">
        <v>812</v>
      </c>
      <c r="H1436" t="s">
        <v>247</v>
      </c>
      <c r="I1436" t="s">
        <v>55</v>
      </c>
      <c r="J1436">
        <v>233.56</v>
      </c>
      <c r="K1436" s="1">
        <v>45582</v>
      </c>
      <c r="L1436" t="s">
        <v>105</v>
      </c>
      <c r="M1436">
        <v>17</v>
      </c>
      <c r="N1436">
        <v>10</v>
      </c>
      <c r="O1436">
        <v>4</v>
      </c>
      <c r="P1436">
        <v>2024</v>
      </c>
    </row>
    <row r="1437" spans="1:16">
      <c r="A1437">
        <v>349.54</v>
      </c>
      <c r="B1437">
        <v>2</v>
      </c>
      <c r="C1437" t="s">
        <v>3102</v>
      </c>
      <c r="D1437" t="s">
        <v>3103</v>
      </c>
      <c r="E1437" t="s">
        <v>2191</v>
      </c>
      <c r="F1437" t="s">
        <v>199</v>
      </c>
      <c r="G1437" t="s">
        <v>781</v>
      </c>
      <c r="H1437" t="s">
        <v>483</v>
      </c>
      <c r="I1437" t="s">
        <v>100</v>
      </c>
      <c r="J1437">
        <v>174.77</v>
      </c>
      <c r="K1437" s="1">
        <v>45732</v>
      </c>
      <c r="L1437" t="s">
        <v>28</v>
      </c>
      <c r="M1437">
        <v>16</v>
      </c>
      <c r="N1437">
        <v>3</v>
      </c>
      <c r="O1437">
        <v>1</v>
      </c>
      <c r="P1437">
        <v>2025</v>
      </c>
    </row>
    <row r="1438" spans="1:16">
      <c r="A1438">
        <v>727.08</v>
      </c>
      <c r="B1438">
        <v>3</v>
      </c>
      <c r="C1438" t="s">
        <v>884</v>
      </c>
      <c r="D1438" t="s">
        <v>885</v>
      </c>
      <c r="E1438" t="s">
        <v>837</v>
      </c>
      <c r="F1438" t="s">
        <v>762</v>
      </c>
      <c r="G1438" t="s">
        <v>763</v>
      </c>
      <c r="H1438" t="s">
        <v>115</v>
      </c>
      <c r="I1438" t="s">
        <v>55</v>
      </c>
      <c r="J1438">
        <v>242.36</v>
      </c>
      <c r="K1438" s="1">
        <v>46112</v>
      </c>
      <c r="L1438" t="s">
        <v>48</v>
      </c>
      <c r="M1438">
        <v>31</v>
      </c>
      <c r="N1438">
        <v>3</v>
      </c>
      <c r="O1438">
        <v>1</v>
      </c>
      <c r="P1438">
        <v>2026</v>
      </c>
    </row>
    <row r="1439" spans="1:16">
      <c r="A1439">
        <v>180.26</v>
      </c>
      <c r="B1439">
        <v>2</v>
      </c>
      <c r="C1439" t="s">
        <v>3084</v>
      </c>
      <c r="D1439" t="s">
        <v>3085</v>
      </c>
      <c r="E1439" t="s">
        <v>3086</v>
      </c>
      <c r="F1439" t="s">
        <v>562</v>
      </c>
      <c r="G1439" t="s">
        <v>753</v>
      </c>
      <c r="H1439" t="s">
        <v>304</v>
      </c>
      <c r="I1439" t="s">
        <v>100</v>
      </c>
      <c r="J1439">
        <v>90.13</v>
      </c>
      <c r="K1439" s="1">
        <v>46157</v>
      </c>
      <c r="L1439" t="s">
        <v>79</v>
      </c>
      <c r="M1439">
        <v>15</v>
      </c>
      <c r="N1439">
        <v>5</v>
      </c>
      <c r="O1439">
        <v>2</v>
      </c>
      <c r="P1439">
        <v>2026</v>
      </c>
    </row>
    <row r="1440" spans="1:16">
      <c r="A1440">
        <v>690.68</v>
      </c>
      <c r="B1440">
        <v>4</v>
      </c>
      <c r="C1440" t="s">
        <v>1916</v>
      </c>
      <c r="D1440" t="s">
        <v>1917</v>
      </c>
      <c r="E1440" t="s">
        <v>1195</v>
      </c>
      <c r="F1440" t="s">
        <v>1384</v>
      </c>
      <c r="G1440" t="s">
        <v>908</v>
      </c>
      <c r="H1440" t="s">
        <v>551</v>
      </c>
      <c r="I1440" t="s">
        <v>122</v>
      </c>
      <c r="J1440">
        <v>172.67</v>
      </c>
      <c r="K1440" s="1">
        <v>46097</v>
      </c>
      <c r="L1440" t="s">
        <v>93</v>
      </c>
      <c r="M1440">
        <v>16</v>
      </c>
      <c r="N1440">
        <v>3</v>
      </c>
      <c r="O1440">
        <v>1</v>
      </c>
      <c r="P1440">
        <v>2026</v>
      </c>
    </row>
    <row r="1441" spans="1:16">
      <c r="A1441">
        <v>90.07</v>
      </c>
      <c r="B1441">
        <v>1</v>
      </c>
      <c r="C1441" t="s">
        <v>2528</v>
      </c>
      <c r="D1441" t="s">
        <v>2529</v>
      </c>
      <c r="E1441" t="s">
        <v>2530</v>
      </c>
      <c r="F1441" t="s">
        <v>853</v>
      </c>
      <c r="G1441" t="s">
        <v>854</v>
      </c>
      <c r="H1441" t="s">
        <v>707</v>
      </c>
      <c r="I1441" t="s">
        <v>23</v>
      </c>
      <c r="J1441">
        <v>90.07</v>
      </c>
      <c r="K1441" s="1">
        <v>45778</v>
      </c>
      <c r="L1441" t="s">
        <v>105</v>
      </c>
      <c r="M1441">
        <v>1</v>
      </c>
      <c r="N1441">
        <v>5</v>
      </c>
      <c r="O1441">
        <v>2</v>
      </c>
      <c r="P1441">
        <v>2025</v>
      </c>
    </row>
    <row r="1442" spans="1:16">
      <c r="A1442">
        <v>819.80000000000007</v>
      </c>
      <c r="B1442">
        <v>5</v>
      </c>
      <c r="C1442" t="s">
        <v>3167</v>
      </c>
      <c r="D1442" t="s">
        <v>3168</v>
      </c>
      <c r="E1442" t="s">
        <v>1117</v>
      </c>
      <c r="F1442" t="s">
        <v>1920</v>
      </c>
      <c r="G1442" t="s">
        <v>807</v>
      </c>
      <c r="H1442" t="s">
        <v>731</v>
      </c>
      <c r="I1442" t="s">
        <v>21</v>
      </c>
      <c r="J1442">
        <v>163.96</v>
      </c>
      <c r="K1442" s="1">
        <v>45897</v>
      </c>
      <c r="L1442" t="s">
        <v>105</v>
      </c>
      <c r="M1442">
        <v>28</v>
      </c>
      <c r="N1442">
        <v>8</v>
      </c>
      <c r="O1442">
        <v>3</v>
      </c>
      <c r="P1442">
        <v>2025</v>
      </c>
    </row>
    <row r="1443" spans="1:16">
      <c r="A1443">
        <v>91.42</v>
      </c>
      <c r="B1443">
        <v>1</v>
      </c>
      <c r="C1443" t="s">
        <v>2739</v>
      </c>
      <c r="D1443" t="s">
        <v>2740</v>
      </c>
      <c r="E1443" t="s">
        <v>2060</v>
      </c>
      <c r="F1443" t="s">
        <v>691</v>
      </c>
      <c r="G1443" t="s">
        <v>776</v>
      </c>
      <c r="H1443" t="s">
        <v>479</v>
      </c>
      <c r="I1443" t="s">
        <v>17</v>
      </c>
      <c r="J1443">
        <v>91.42</v>
      </c>
      <c r="K1443" s="1">
        <v>45923</v>
      </c>
      <c r="L1443" t="s">
        <v>48</v>
      </c>
      <c r="M1443">
        <v>23</v>
      </c>
      <c r="N1443">
        <v>9</v>
      </c>
      <c r="O1443">
        <v>3</v>
      </c>
      <c r="P1443">
        <v>2025</v>
      </c>
    </row>
    <row r="1444" spans="1:16">
      <c r="A1444">
        <v>82.320000000000007</v>
      </c>
      <c r="B1444">
        <v>3</v>
      </c>
      <c r="C1444" t="s">
        <v>3224</v>
      </c>
      <c r="D1444" t="s">
        <v>3225</v>
      </c>
      <c r="E1444" t="s">
        <v>1031</v>
      </c>
      <c r="F1444" t="s">
        <v>1236</v>
      </c>
      <c r="G1444" t="s">
        <v>807</v>
      </c>
      <c r="H1444" t="s">
        <v>722</v>
      </c>
      <c r="I1444" t="s">
        <v>37</v>
      </c>
      <c r="J1444">
        <v>27.44</v>
      </c>
      <c r="K1444" s="1">
        <v>46054</v>
      </c>
      <c r="L1444" t="s">
        <v>28</v>
      </c>
      <c r="M1444">
        <v>1</v>
      </c>
      <c r="N1444">
        <v>2</v>
      </c>
      <c r="O1444">
        <v>1</v>
      </c>
      <c r="P1444">
        <v>2026</v>
      </c>
    </row>
    <row r="1445" spans="1:16">
      <c r="A1445">
        <v>29.55</v>
      </c>
      <c r="B1445">
        <v>5</v>
      </c>
      <c r="C1445" t="s">
        <v>1277</v>
      </c>
      <c r="D1445" t="s">
        <v>1278</v>
      </c>
      <c r="E1445" t="s">
        <v>1279</v>
      </c>
      <c r="F1445" t="s">
        <v>1280</v>
      </c>
      <c r="G1445" t="s">
        <v>908</v>
      </c>
      <c r="H1445" t="s">
        <v>590</v>
      </c>
      <c r="I1445" t="s">
        <v>51</v>
      </c>
      <c r="J1445">
        <v>5.91</v>
      </c>
      <c r="K1445" s="1">
        <v>45959</v>
      </c>
      <c r="L1445" t="s">
        <v>34</v>
      </c>
      <c r="M1445">
        <v>29</v>
      </c>
      <c r="N1445">
        <v>10</v>
      </c>
      <c r="O1445">
        <v>4</v>
      </c>
      <c r="P1445">
        <v>2025</v>
      </c>
    </row>
    <row r="1446" spans="1:16">
      <c r="A1446">
        <v>244.36</v>
      </c>
      <c r="B1446">
        <v>2</v>
      </c>
      <c r="C1446" t="s">
        <v>1510</v>
      </c>
      <c r="D1446" t="s">
        <v>1511</v>
      </c>
      <c r="E1446" t="s">
        <v>1512</v>
      </c>
      <c r="F1446" t="s">
        <v>1395</v>
      </c>
      <c r="G1446" t="s">
        <v>776</v>
      </c>
      <c r="H1446" t="s">
        <v>433</v>
      </c>
      <c r="I1446" t="s">
        <v>100</v>
      </c>
      <c r="J1446">
        <v>122.18</v>
      </c>
      <c r="K1446" s="1">
        <v>45836</v>
      </c>
      <c r="L1446" t="s">
        <v>14</v>
      </c>
      <c r="M1446">
        <v>28</v>
      </c>
      <c r="N1446">
        <v>6</v>
      </c>
      <c r="O1446">
        <v>2</v>
      </c>
      <c r="P1446">
        <v>2025</v>
      </c>
    </row>
    <row r="1447" spans="1:16">
      <c r="A1447">
        <v>453.1</v>
      </c>
      <c r="B1447">
        <v>5</v>
      </c>
      <c r="C1447" t="s">
        <v>3351</v>
      </c>
      <c r="D1447" t="s">
        <v>3352</v>
      </c>
      <c r="E1447" t="s">
        <v>3353</v>
      </c>
      <c r="F1447" t="s">
        <v>980</v>
      </c>
      <c r="G1447" t="s">
        <v>981</v>
      </c>
      <c r="H1447" t="s">
        <v>686</v>
      </c>
      <c r="I1447" t="s">
        <v>82</v>
      </c>
      <c r="J1447">
        <v>90.62</v>
      </c>
      <c r="K1447" s="1">
        <v>45936</v>
      </c>
      <c r="L1447" t="s">
        <v>93</v>
      </c>
      <c r="M1447">
        <v>6</v>
      </c>
      <c r="N1447">
        <v>10</v>
      </c>
      <c r="O1447">
        <v>4</v>
      </c>
      <c r="P1447">
        <v>2025</v>
      </c>
    </row>
    <row r="1448" spans="1:16">
      <c r="A1448">
        <v>285.92</v>
      </c>
      <c r="B1448">
        <v>4</v>
      </c>
      <c r="C1448" t="s">
        <v>2752</v>
      </c>
      <c r="D1448" t="s">
        <v>2753</v>
      </c>
      <c r="E1448" t="s">
        <v>2754</v>
      </c>
      <c r="F1448" t="s">
        <v>1327</v>
      </c>
      <c r="G1448" t="s">
        <v>795</v>
      </c>
      <c r="H1448" t="s">
        <v>610</v>
      </c>
      <c r="I1448" t="s">
        <v>69</v>
      </c>
      <c r="J1448">
        <v>71.48</v>
      </c>
      <c r="K1448" s="1">
        <v>45771</v>
      </c>
      <c r="L1448" t="s">
        <v>105</v>
      </c>
      <c r="M1448">
        <v>24</v>
      </c>
      <c r="N1448">
        <v>4</v>
      </c>
      <c r="O1448">
        <v>2</v>
      </c>
      <c r="P1448">
        <v>2025</v>
      </c>
    </row>
    <row r="1449" spans="1:16">
      <c r="A1449">
        <v>24.83</v>
      </c>
      <c r="B1449">
        <v>1</v>
      </c>
      <c r="C1449" t="s">
        <v>840</v>
      </c>
      <c r="D1449" t="s">
        <v>841</v>
      </c>
      <c r="E1449" t="s">
        <v>842</v>
      </c>
      <c r="F1449" t="s">
        <v>843</v>
      </c>
      <c r="G1449" t="s">
        <v>753</v>
      </c>
      <c r="H1449" t="s">
        <v>338</v>
      </c>
      <c r="I1449" t="s">
        <v>82</v>
      </c>
      <c r="J1449">
        <v>24.83</v>
      </c>
      <c r="K1449" s="1">
        <v>46064</v>
      </c>
      <c r="L1449" t="s">
        <v>34</v>
      </c>
      <c r="M1449">
        <v>11</v>
      </c>
      <c r="N1449">
        <v>2</v>
      </c>
      <c r="O1449">
        <v>1</v>
      </c>
      <c r="P1449">
        <v>2026</v>
      </c>
    </row>
    <row r="1450" spans="1:16">
      <c r="A1450">
        <v>92.31</v>
      </c>
      <c r="B1450">
        <v>3</v>
      </c>
      <c r="C1450" t="s">
        <v>1528</v>
      </c>
      <c r="D1450" t="s">
        <v>1529</v>
      </c>
      <c r="E1450" t="s">
        <v>998</v>
      </c>
      <c r="F1450" t="s">
        <v>1465</v>
      </c>
      <c r="G1450" t="s">
        <v>817</v>
      </c>
      <c r="H1450" t="s">
        <v>522</v>
      </c>
      <c r="I1450" t="s">
        <v>97</v>
      </c>
      <c r="J1450">
        <v>30.77</v>
      </c>
      <c r="K1450" s="1">
        <v>45770</v>
      </c>
      <c r="L1450" t="s">
        <v>34</v>
      </c>
      <c r="M1450">
        <v>23</v>
      </c>
      <c r="N1450">
        <v>4</v>
      </c>
      <c r="O1450">
        <v>2</v>
      </c>
      <c r="P1450">
        <v>2025</v>
      </c>
    </row>
    <row r="1451" spans="1:16">
      <c r="A1451">
        <v>518.91999999999996</v>
      </c>
      <c r="B1451">
        <v>4</v>
      </c>
      <c r="C1451" t="s">
        <v>1287</v>
      </c>
      <c r="D1451" t="s">
        <v>1288</v>
      </c>
      <c r="E1451" t="s">
        <v>1050</v>
      </c>
      <c r="F1451" t="s">
        <v>64</v>
      </c>
      <c r="G1451" t="s">
        <v>892</v>
      </c>
      <c r="H1451" t="s">
        <v>20</v>
      </c>
      <c r="I1451" t="s">
        <v>21</v>
      </c>
      <c r="J1451">
        <v>129.72999999999999</v>
      </c>
      <c r="K1451" s="1">
        <v>45968</v>
      </c>
      <c r="L1451" t="s">
        <v>79</v>
      </c>
      <c r="M1451">
        <v>7</v>
      </c>
      <c r="N1451">
        <v>11</v>
      </c>
      <c r="O1451">
        <v>4</v>
      </c>
      <c r="P1451">
        <v>2025</v>
      </c>
    </row>
    <row r="1452" spans="1:16">
      <c r="A1452">
        <v>614.45000000000005</v>
      </c>
      <c r="B1452">
        <v>5</v>
      </c>
      <c r="C1452" t="s">
        <v>2360</v>
      </c>
      <c r="D1452" t="s">
        <v>2361</v>
      </c>
      <c r="E1452" t="s">
        <v>2362</v>
      </c>
      <c r="F1452" t="s">
        <v>1306</v>
      </c>
      <c r="G1452" t="s">
        <v>966</v>
      </c>
      <c r="H1452" t="s">
        <v>665</v>
      </c>
      <c r="I1452" t="s">
        <v>17</v>
      </c>
      <c r="J1452">
        <v>122.89</v>
      </c>
      <c r="K1452" s="1">
        <v>46004</v>
      </c>
      <c r="L1452" t="s">
        <v>14</v>
      </c>
      <c r="M1452">
        <v>13</v>
      </c>
      <c r="N1452">
        <v>12</v>
      </c>
      <c r="O1452">
        <v>4</v>
      </c>
      <c r="P1452">
        <v>2025</v>
      </c>
    </row>
    <row r="1453" spans="1:16">
      <c r="A1453">
        <v>193.22</v>
      </c>
      <c r="B1453">
        <v>1</v>
      </c>
      <c r="C1453" t="s">
        <v>2790</v>
      </c>
      <c r="D1453" t="s">
        <v>2791</v>
      </c>
      <c r="E1453" t="s">
        <v>1440</v>
      </c>
      <c r="F1453" t="s">
        <v>1342</v>
      </c>
      <c r="G1453" t="s">
        <v>776</v>
      </c>
      <c r="H1453" t="s">
        <v>430</v>
      </c>
      <c r="I1453" t="s">
        <v>27</v>
      </c>
      <c r="J1453">
        <v>193.22</v>
      </c>
      <c r="K1453" s="1">
        <v>45662</v>
      </c>
      <c r="L1453" t="s">
        <v>28</v>
      </c>
      <c r="M1453">
        <v>5</v>
      </c>
      <c r="N1453">
        <v>1</v>
      </c>
      <c r="O1453">
        <v>1</v>
      </c>
      <c r="P1453">
        <v>2025</v>
      </c>
    </row>
    <row r="1454" spans="1:16">
      <c r="A1454">
        <v>371.9</v>
      </c>
      <c r="B1454">
        <v>2</v>
      </c>
      <c r="C1454" t="s">
        <v>2636</v>
      </c>
      <c r="D1454" t="s">
        <v>2637</v>
      </c>
      <c r="E1454" t="s">
        <v>1006</v>
      </c>
      <c r="F1454" t="s">
        <v>199</v>
      </c>
      <c r="G1454" t="s">
        <v>781</v>
      </c>
      <c r="H1454" t="s">
        <v>556</v>
      </c>
      <c r="I1454" t="s">
        <v>55</v>
      </c>
      <c r="J1454">
        <v>185.95</v>
      </c>
      <c r="K1454" s="1">
        <v>46006</v>
      </c>
      <c r="L1454" t="s">
        <v>93</v>
      </c>
      <c r="M1454">
        <v>15</v>
      </c>
      <c r="N1454">
        <v>12</v>
      </c>
      <c r="O1454">
        <v>4</v>
      </c>
      <c r="P1454">
        <v>2025</v>
      </c>
    </row>
    <row r="1455" spans="1:16">
      <c r="A1455">
        <v>157.85999999999999</v>
      </c>
      <c r="B1455">
        <v>3</v>
      </c>
      <c r="C1455" t="s">
        <v>2564</v>
      </c>
      <c r="D1455" t="s">
        <v>2565</v>
      </c>
      <c r="E1455" t="s">
        <v>2566</v>
      </c>
      <c r="F1455" t="s">
        <v>280</v>
      </c>
      <c r="G1455" t="s">
        <v>812</v>
      </c>
      <c r="H1455" t="s">
        <v>270</v>
      </c>
      <c r="I1455" t="s">
        <v>55</v>
      </c>
      <c r="J1455">
        <v>52.62</v>
      </c>
      <c r="K1455" s="1">
        <v>46066</v>
      </c>
      <c r="L1455" t="s">
        <v>79</v>
      </c>
      <c r="M1455">
        <v>13</v>
      </c>
      <c r="N1455">
        <v>2</v>
      </c>
      <c r="O1455">
        <v>1</v>
      </c>
      <c r="P1455">
        <v>2026</v>
      </c>
    </row>
    <row r="1456" spans="1:16">
      <c r="A1456">
        <v>336.54</v>
      </c>
      <c r="B1456">
        <v>2</v>
      </c>
      <c r="C1456" t="s">
        <v>2387</v>
      </c>
      <c r="D1456" t="s">
        <v>2388</v>
      </c>
      <c r="E1456" t="s">
        <v>1590</v>
      </c>
      <c r="F1456" t="s">
        <v>113</v>
      </c>
      <c r="G1456" t="s">
        <v>854</v>
      </c>
      <c r="H1456" t="s">
        <v>591</v>
      </c>
      <c r="I1456" t="s">
        <v>82</v>
      </c>
      <c r="J1456">
        <v>168.27</v>
      </c>
      <c r="K1456" s="1">
        <v>46117</v>
      </c>
      <c r="L1456" t="s">
        <v>28</v>
      </c>
      <c r="M1456">
        <v>5</v>
      </c>
      <c r="N1456">
        <v>4</v>
      </c>
      <c r="O1456">
        <v>2</v>
      </c>
      <c r="P1456">
        <v>2026</v>
      </c>
    </row>
    <row r="1457" spans="1:16">
      <c r="A1457">
        <v>226.05</v>
      </c>
      <c r="B1457">
        <v>5</v>
      </c>
      <c r="C1457" t="s">
        <v>1583</v>
      </c>
      <c r="D1457" t="s">
        <v>1584</v>
      </c>
      <c r="E1457" t="s">
        <v>1585</v>
      </c>
      <c r="F1457" t="s">
        <v>113</v>
      </c>
      <c r="G1457" t="s">
        <v>1247</v>
      </c>
      <c r="H1457" t="s">
        <v>542</v>
      </c>
      <c r="I1457" t="s">
        <v>46</v>
      </c>
      <c r="J1457">
        <v>45.21</v>
      </c>
      <c r="K1457" s="1">
        <v>46014</v>
      </c>
      <c r="L1457" t="s">
        <v>48</v>
      </c>
      <c r="M1457">
        <v>23</v>
      </c>
      <c r="N1457">
        <v>12</v>
      </c>
      <c r="O1457">
        <v>4</v>
      </c>
      <c r="P1457">
        <v>2025</v>
      </c>
    </row>
    <row r="1458" spans="1:16">
      <c r="A1458">
        <v>154.88</v>
      </c>
      <c r="B1458">
        <v>1</v>
      </c>
      <c r="C1458" t="s">
        <v>2169</v>
      </c>
      <c r="D1458" t="s">
        <v>2170</v>
      </c>
      <c r="E1458" t="s">
        <v>1279</v>
      </c>
      <c r="F1458" t="s">
        <v>64</v>
      </c>
      <c r="G1458" t="s">
        <v>892</v>
      </c>
      <c r="H1458" t="s">
        <v>704</v>
      </c>
      <c r="I1458" t="s">
        <v>51</v>
      </c>
      <c r="J1458">
        <v>154.88</v>
      </c>
      <c r="K1458" s="1">
        <v>46136</v>
      </c>
      <c r="L1458" t="s">
        <v>79</v>
      </c>
      <c r="M1458">
        <v>24</v>
      </c>
      <c r="N1458">
        <v>4</v>
      </c>
      <c r="O1458">
        <v>2</v>
      </c>
      <c r="P1458">
        <v>2026</v>
      </c>
    </row>
    <row r="1459" spans="1:16">
      <c r="A1459">
        <v>175.28</v>
      </c>
      <c r="B1459">
        <v>2</v>
      </c>
      <c r="C1459" t="s">
        <v>2902</v>
      </c>
      <c r="D1459" t="s">
        <v>2903</v>
      </c>
      <c r="E1459" t="s">
        <v>2904</v>
      </c>
      <c r="F1459" t="s">
        <v>160</v>
      </c>
      <c r="G1459" t="s">
        <v>790</v>
      </c>
      <c r="H1459" t="s">
        <v>561</v>
      </c>
      <c r="I1459" t="s">
        <v>17</v>
      </c>
      <c r="J1459">
        <v>87.64</v>
      </c>
      <c r="K1459" s="1">
        <v>45646</v>
      </c>
      <c r="L1459" t="s">
        <v>79</v>
      </c>
      <c r="M1459">
        <v>20</v>
      </c>
      <c r="N1459">
        <v>12</v>
      </c>
      <c r="O1459">
        <v>4</v>
      </c>
      <c r="P1459">
        <v>2024</v>
      </c>
    </row>
    <row r="1460" spans="1:16">
      <c r="A1460">
        <v>193.22</v>
      </c>
      <c r="B1460">
        <v>1</v>
      </c>
      <c r="C1460" t="s">
        <v>2372</v>
      </c>
      <c r="D1460" t="s">
        <v>2373</v>
      </c>
      <c r="E1460" t="s">
        <v>2319</v>
      </c>
      <c r="F1460" t="s">
        <v>713</v>
      </c>
      <c r="G1460" t="s">
        <v>908</v>
      </c>
      <c r="H1460" t="s">
        <v>430</v>
      </c>
      <c r="I1460" t="s">
        <v>27</v>
      </c>
      <c r="J1460">
        <v>193.22</v>
      </c>
      <c r="K1460" s="1">
        <v>46090</v>
      </c>
      <c r="L1460" t="s">
        <v>93</v>
      </c>
      <c r="M1460">
        <v>9</v>
      </c>
      <c r="N1460">
        <v>3</v>
      </c>
      <c r="O1460">
        <v>1</v>
      </c>
      <c r="P1460">
        <v>2026</v>
      </c>
    </row>
    <row r="1461" spans="1:16">
      <c r="A1461">
        <v>928.34999999999991</v>
      </c>
      <c r="B1461">
        <v>5</v>
      </c>
      <c r="C1461" t="s">
        <v>2547</v>
      </c>
      <c r="D1461" t="s">
        <v>2548</v>
      </c>
      <c r="E1461" t="s">
        <v>1938</v>
      </c>
      <c r="F1461" t="s">
        <v>1670</v>
      </c>
      <c r="G1461" t="s">
        <v>1247</v>
      </c>
      <c r="H1461" t="s">
        <v>720</v>
      </c>
      <c r="I1461" t="s">
        <v>100</v>
      </c>
      <c r="J1461">
        <v>185.67</v>
      </c>
      <c r="K1461" s="1">
        <v>45681</v>
      </c>
      <c r="L1461" t="s">
        <v>79</v>
      </c>
      <c r="M1461">
        <v>24</v>
      </c>
      <c r="N1461">
        <v>1</v>
      </c>
      <c r="O1461">
        <v>1</v>
      </c>
      <c r="P1461">
        <v>2025</v>
      </c>
    </row>
    <row r="1462" spans="1:16">
      <c r="A1462">
        <v>29.19</v>
      </c>
      <c r="B1462">
        <v>3</v>
      </c>
      <c r="C1462" t="s">
        <v>3402</v>
      </c>
      <c r="D1462" t="s">
        <v>3403</v>
      </c>
      <c r="E1462" t="s">
        <v>1997</v>
      </c>
      <c r="F1462" t="s">
        <v>1384</v>
      </c>
      <c r="G1462" t="s">
        <v>908</v>
      </c>
      <c r="H1462" t="s">
        <v>716</v>
      </c>
      <c r="I1462" t="s">
        <v>19</v>
      </c>
      <c r="J1462">
        <v>9.73</v>
      </c>
      <c r="K1462" s="1">
        <v>45994</v>
      </c>
      <c r="L1462" t="s">
        <v>34</v>
      </c>
      <c r="M1462">
        <v>3</v>
      </c>
      <c r="N1462">
        <v>12</v>
      </c>
      <c r="O1462">
        <v>4</v>
      </c>
      <c r="P1462">
        <v>2025</v>
      </c>
    </row>
    <row r="1463" spans="1:16">
      <c r="A1463">
        <v>258.55</v>
      </c>
      <c r="B1463">
        <v>5</v>
      </c>
      <c r="C1463" t="s">
        <v>2387</v>
      </c>
      <c r="D1463" t="s">
        <v>2388</v>
      </c>
      <c r="E1463" t="s">
        <v>1590</v>
      </c>
      <c r="F1463" t="s">
        <v>113</v>
      </c>
      <c r="G1463" t="s">
        <v>854</v>
      </c>
      <c r="H1463" t="s">
        <v>26</v>
      </c>
      <c r="I1463" t="s">
        <v>27</v>
      </c>
      <c r="J1463">
        <v>51.71</v>
      </c>
      <c r="K1463" s="1">
        <v>45908</v>
      </c>
      <c r="L1463" t="s">
        <v>93</v>
      </c>
      <c r="M1463">
        <v>8</v>
      </c>
      <c r="N1463">
        <v>9</v>
      </c>
      <c r="O1463">
        <v>3</v>
      </c>
      <c r="P1463">
        <v>2025</v>
      </c>
    </row>
    <row r="1464" spans="1:16">
      <c r="A1464">
        <v>333.39</v>
      </c>
      <c r="B1464">
        <v>3</v>
      </c>
      <c r="C1464" t="s">
        <v>2496</v>
      </c>
      <c r="D1464" t="s">
        <v>2497</v>
      </c>
      <c r="E1464" t="s">
        <v>2498</v>
      </c>
      <c r="F1464" t="s">
        <v>1302</v>
      </c>
      <c r="G1464" t="s">
        <v>786</v>
      </c>
      <c r="H1464" t="s">
        <v>269</v>
      </c>
      <c r="I1464" t="s">
        <v>60</v>
      </c>
      <c r="J1464">
        <v>111.13</v>
      </c>
      <c r="K1464" s="1">
        <v>45687</v>
      </c>
      <c r="L1464" t="s">
        <v>105</v>
      </c>
      <c r="M1464">
        <v>30</v>
      </c>
      <c r="N1464">
        <v>1</v>
      </c>
      <c r="O1464">
        <v>1</v>
      </c>
      <c r="P1464">
        <v>2025</v>
      </c>
    </row>
    <row r="1465" spans="1:16">
      <c r="A1465">
        <v>98.82</v>
      </c>
      <c r="B1465">
        <v>2</v>
      </c>
      <c r="C1465" t="s">
        <v>3419</v>
      </c>
      <c r="D1465" t="s">
        <v>3420</v>
      </c>
      <c r="E1465" t="s">
        <v>1679</v>
      </c>
      <c r="F1465" t="s">
        <v>1649</v>
      </c>
      <c r="G1465" t="s">
        <v>790</v>
      </c>
      <c r="H1465" t="s">
        <v>144</v>
      </c>
      <c r="I1465" t="s">
        <v>97</v>
      </c>
      <c r="J1465">
        <v>49.41</v>
      </c>
      <c r="K1465" s="1">
        <v>45973</v>
      </c>
      <c r="L1465" t="s">
        <v>34</v>
      </c>
      <c r="M1465">
        <v>12</v>
      </c>
      <c r="N1465">
        <v>11</v>
      </c>
      <c r="O1465">
        <v>4</v>
      </c>
      <c r="P1465">
        <v>2025</v>
      </c>
    </row>
    <row r="1466" spans="1:16">
      <c r="A1466">
        <v>205.27</v>
      </c>
      <c r="B1466">
        <v>1</v>
      </c>
      <c r="C1466" t="s">
        <v>2846</v>
      </c>
      <c r="D1466" t="s">
        <v>2847</v>
      </c>
      <c r="E1466" t="s">
        <v>2848</v>
      </c>
      <c r="F1466" t="s">
        <v>985</v>
      </c>
      <c r="G1466" t="s">
        <v>817</v>
      </c>
      <c r="H1466" t="s">
        <v>404</v>
      </c>
      <c r="I1466" t="s">
        <v>37</v>
      </c>
      <c r="J1466">
        <v>205.27</v>
      </c>
      <c r="K1466" s="1">
        <v>46030</v>
      </c>
      <c r="L1466" t="s">
        <v>105</v>
      </c>
      <c r="M1466">
        <v>8</v>
      </c>
      <c r="N1466">
        <v>1</v>
      </c>
      <c r="O1466">
        <v>1</v>
      </c>
      <c r="P1466">
        <v>2026</v>
      </c>
    </row>
    <row r="1467" spans="1:16">
      <c r="A1467">
        <v>927.36</v>
      </c>
      <c r="B1467">
        <v>4</v>
      </c>
      <c r="C1467" t="s">
        <v>1180</v>
      </c>
      <c r="D1467" t="s">
        <v>1181</v>
      </c>
      <c r="E1467" t="s">
        <v>1182</v>
      </c>
      <c r="F1467" t="s">
        <v>953</v>
      </c>
      <c r="G1467" t="s">
        <v>954</v>
      </c>
      <c r="H1467" t="s">
        <v>626</v>
      </c>
      <c r="I1467" t="s">
        <v>17</v>
      </c>
      <c r="J1467">
        <v>231.84</v>
      </c>
      <c r="K1467" s="1">
        <v>45759</v>
      </c>
      <c r="L1467" t="s">
        <v>14</v>
      </c>
      <c r="M1467">
        <v>12</v>
      </c>
      <c r="N1467">
        <v>4</v>
      </c>
      <c r="O1467">
        <v>2</v>
      </c>
      <c r="P1467">
        <v>2025</v>
      </c>
    </row>
    <row r="1468" spans="1:16">
      <c r="A1468">
        <v>606.68999999999994</v>
      </c>
      <c r="B1468">
        <v>3</v>
      </c>
      <c r="C1468" t="s">
        <v>2641</v>
      </c>
      <c r="D1468" t="s">
        <v>2642</v>
      </c>
      <c r="E1468" t="s">
        <v>2643</v>
      </c>
      <c r="F1468" t="s">
        <v>785</v>
      </c>
      <c r="G1468" t="s">
        <v>786</v>
      </c>
      <c r="H1468" t="s">
        <v>321</v>
      </c>
      <c r="I1468" t="s">
        <v>17</v>
      </c>
      <c r="J1468">
        <v>202.23</v>
      </c>
      <c r="K1468" s="1">
        <v>45806</v>
      </c>
      <c r="L1468" t="s">
        <v>105</v>
      </c>
      <c r="M1468">
        <v>29</v>
      </c>
      <c r="N1468">
        <v>5</v>
      </c>
      <c r="O1468">
        <v>2</v>
      </c>
      <c r="P1468">
        <v>2025</v>
      </c>
    </row>
    <row r="1469" spans="1:16">
      <c r="A1469">
        <v>84.72</v>
      </c>
      <c r="B1469">
        <v>4</v>
      </c>
      <c r="C1469" t="s">
        <v>2792</v>
      </c>
      <c r="D1469" t="s">
        <v>2793</v>
      </c>
      <c r="E1469" t="s">
        <v>2794</v>
      </c>
      <c r="F1469" t="s">
        <v>548</v>
      </c>
      <c r="G1469" t="s">
        <v>790</v>
      </c>
      <c r="H1469" t="s">
        <v>530</v>
      </c>
      <c r="I1469" t="s">
        <v>37</v>
      </c>
      <c r="J1469">
        <v>21.18</v>
      </c>
      <c r="K1469" s="1">
        <v>45951</v>
      </c>
      <c r="L1469" t="s">
        <v>48</v>
      </c>
      <c r="M1469">
        <v>21</v>
      </c>
      <c r="N1469">
        <v>10</v>
      </c>
      <c r="O1469">
        <v>4</v>
      </c>
      <c r="P1469">
        <v>2025</v>
      </c>
    </row>
    <row r="1470" spans="1:16">
      <c r="A1470">
        <v>439.36</v>
      </c>
      <c r="B1470">
        <v>4</v>
      </c>
      <c r="C1470" t="s">
        <v>2485</v>
      </c>
      <c r="D1470" t="s">
        <v>2486</v>
      </c>
      <c r="E1470" t="s">
        <v>1849</v>
      </c>
      <c r="F1470" t="s">
        <v>1525</v>
      </c>
      <c r="G1470" t="s">
        <v>763</v>
      </c>
      <c r="H1470" t="s">
        <v>663</v>
      </c>
      <c r="I1470" t="s">
        <v>27</v>
      </c>
      <c r="J1470">
        <v>109.84</v>
      </c>
      <c r="K1470" s="1">
        <v>45905</v>
      </c>
      <c r="L1470" t="s">
        <v>79</v>
      </c>
      <c r="M1470">
        <v>5</v>
      </c>
      <c r="N1470">
        <v>9</v>
      </c>
      <c r="O1470">
        <v>3</v>
      </c>
      <c r="P1470">
        <v>2025</v>
      </c>
    </row>
    <row r="1471" spans="1:16">
      <c r="A1471">
        <v>286.92</v>
      </c>
      <c r="B1471">
        <v>2</v>
      </c>
      <c r="C1471" t="s">
        <v>2572</v>
      </c>
      <c r="D1471" t="s">
        <v>2573</v>
      </c>
      <c r="E1471" t="s">
        <v>1688</v>
      </c>
      <c r="F1471" t="s">
        <v>2574</v>
      </c>
      <c r="G1471" t="s">
        <v>839</v>
      </c>
      <c r="H1471" t="s">
        <v>299</v>
      </c>
      <c r="I1471" t="s">
        <v>57</v>
      </c>
      <c r="J1471">
        <v>143.46</v>
      </c>
      <c r="K1471" s="1">
        <v>45899</v>
      </c>
      <c r="L1471" t="s">
        <v>14</v>
      </c>
      <c r="M1471">
        <v>30</v>
      </c>
      <c r="N1471">
        <v>8</v>
      </c>
      <c r="O1471">
        <v>3</v>
      </c>
      <c r="P1471">
        <v>2025</v>
      </c>
    </row>
    <row r="1472" spans="1:16">
      <c r="A1472">
        <v>696.42</v>
      </c>
      <c r="B1472">
        <v>3</v>
      </c>
      <c r="C1472" t="s">
        <v>2827</v>
      </c>
      <c r="D1472" t="s">
        <v>2828</v>
      </c>
      <c r="E1472" t="s">
        <v>991</v>
      </c>
      <c r="F1472" t="s">
        <v>1213</v>
      </c>
      <c r="G1472" t="s">
        <v>839</v>
      </c>
      <c r="H1472" t="s">
        <v>439</v>
      </c>
      <c r="I1472" t="s">
        <v>21</v>
      </c>
      <c r="J1472">
        <v>232.14</v>
      </c>
      <c r="K1472" s="1">
        <v>45979</v>
      </c>
      <c r="L1472" t="s">
        <v>48</v>
      </c>
      <c r="M1472">
        <v>18</v>
      </c>
      <c r="N1472">
        <v>11</v>
      </c>
      <c r="O1472">
        <v>4</v>
      </c>
      <c r="P1472">
        <v>2025</v>
      </c>
    </row>
    <row r="1473" spans="1:16">
      <c r="A1473">
        <v>229.85</v>
      </c>
      <c r="B1473">
        <v>1</v>
      </c>
      <c r="C1473" t="s">
        <v>1879</v>
      </c>
      <c r="D1473" t="s">
        <v>1880</v>
      </c>
      <c r="E1473" t="s">
        <v>1881</v>
      </c>
      <c r="F1473" t="s">
        <v>1882</v>
      </c>
      <c r="G1473" t="s">
        <v>795</v>
      </c>
      <c r="H1473" t="s">
        <v>63</v>
      </c>
      <c r="I1473" t="s">
        <v>25</v>
      </c>
      <c r="J1473">
        <v>229.85</v>
      </c>
      <c r="K1473" s="1">
        <v>45771</v>
      </c>
      <c r="L1473" t="s">
        <v>105</v>
      </c>
      <c r="M1473">
        <v>24</v>
      </c>
      <c r="N1473">
        <v>4</v>
      </c>
      <c r="O1473">
        <v>2</v>
      </c>
      <c r="P1473">
        <v>2025</v>
      </c>
    </row>
    <row r="1474" spans="1:16">
      <c r="A1474">
        <v>57.16</v>
      </c>
      <c r="B1474">
        <v>4</v>
      </c>
      <c r="C1474" t="s">
        <v>1874</v>
      </c>
      <c r="D1474" t="s">
        <v>1875</v>
      </c>
      <c r="E1474" t="s">
        <v>1876</v>
      </c>
      <c r="F1474" t="s">
        <v>929</v>
      </c>
      <c r="G1474" t="s">
        <v>786</v>
      </c>
      <c r="H1474" t="s">
        <v>170</v>
      </c>
      <c r="I1474" t="s">
        <v>82</v>
      </c>
      <c r="J1474">
        <v>14.29</v>
      </c>
      <c r="K1474" s="1">
        <v>46230</v>
      </c>
      <c r="L1474" t="s">
        <v>93</v>
      </c>
      <c r="M1474">
        <v>27</v>
      </c>
      <c r="N1474">
        <v>7</v>
      </c>
      <c r="O1474">
        <v>3</v>
      </c>
      <c r="P1474">
        <v>2026</v>
      </c>
    </row>
    <row r="1475" spans="1:16">
      <c r="A1475">
        <v>116.19999999999999</v>
      </c>
      <c r="B1475">
        <v>5</v>
      </c>
      <c r="C1475" t="s">
        <v>3055</v>
      </c>
      <c r="D1475" t="s">
        <v>3056</v>
      </c>
      <c r="E1475" t="s">
        <v>960</v>
      </c>
      <c r="F1475" t="s">
        <v>1540</v>
      </c>
      <c r="G1475" t="s">
        <v>768</v>
      </c>
      <c r="H1475" t="s">
        <v>738</v>
      </c>
      <c r="I1475" t="s">
        <v>27</v>
      </c>
      <c r="J1475">
        <v>23.24</v>
      </c>
      <c r="K1475" s="1">
        <v>46230</v>
      </c>
      <c r="L1475" t="s">
        <v>93</v>
      </c>
      <c r="M1475">
        <v>27</v>
      </c>
      <c r="N1475">
        <v>7</v>
      </c>
      <c r="O1475">
        <v>3</v>
      </c>
      <c r="P1475">
        <v>2026</v>
      </c>
    </row>
    <row r="1476" spans="1:16">
      <c r="A1476">
        <v>319.68</v>
      </c>
      <c r="B1476">
        <v>4</v>
      </c>
      <c r="C1476" t="s">
        <v>1352</v>
      </c>
      <c r="D1476" t="s">
        <v>1353</v>
      </c>
      <c r="E1476" t="s">
        <v>1266</v>
      </c>
      <c r="F1476" t="s">
        <v>1239</v>
      </c>
      <c r="G1476" t="s">
        <v>795</v>
      </c>
      <c r="H1476" t="s">
        <v>209</v>
      </c>
      <c r="I1476" t="s">
        <v>25</v>
      </c>
      <c r="J1476">
        <v>79.92</v>
      </c>
      <c r="K1476" s="1">
        <v>46202</v>
      </c>
      <c r="L1476" t="s">
        <v>93</v>
      </c>
      <c r="M1476">
        <v>29</v>
      </c>
      <c r="N1476">
        <v>6</v>
      </c>
      <c r="O1476">
        <v>2</v>
      </c>
      <c r="P1476">
        <v>2026</v>
      </c>
    </row>
    <row r="1477" spans="1:16">
      <c r="A1477">
        <v>273.04000000000002</v>
      </c>
      <c r="B1477">
        <v>4</v>
      </c>
      <c r="C1477" t="s">
        <v>1760</v>
      </c>
      <c r="D1477" t="s">
        <v>1761</v>
      </c>
      <c r="E1477" t="s">
        <v>1603</v>
      </c>
      <c r="F1477" t="s">
        <v>380</v>
      </c>
      <c r="G1477" t="s">
        <v>896</v>
      </c>
      <c r="H1477" t="s">
        <v>306</v>
      </c>
      <c r="I1477" t="s">
        <v>39</v>
      </c>
      <c r="J1477">
        <v>68.260000000000005</v>
      </c>
      <c r="K1477" s="1">
        <v>46117</v>
      </c>
      <c r="L1477" t="s">
        <v>28</v>
      </c>
      <c r="M1477">
        <v>5</v>
      </c>
      <c r="N1477">
        <v>4</v>
      </c>
      <c r="O1477">
        <v>2</v>
      </c>
      <c r="P1477">
        <v>2026</v>
      </c>
    </row>
    <row r="1478" spans="1:16">
      <c r="A1478">
        <v>727.34999999999991</v>
      </c>
      <c r="B1478">
        <v>3</v>
      </c>
      <c r="C1478" t="s">
        <v>2072</v>
      </c>
      <c r="D1478" t="s">
        <v>2073</v>
      </c>
      <c r="E1478" t="s">
        <v>1709</v>
      </c>
      <c r="F1478" t="s">
        <v>961</v>
      </c>
      <c r="G1478" t="s">
        <v>807</v>
      </c>
      <c r="H1478" t="s">
        <v>214</v>
      </c>
      <c r="I1478" t="s">
        <v>69</v>
      </c>
      <c r="J1478">
        <v>242.45</v>
      </c>
      <c r="K1478" s="1">
        <v>46087</v>
      </c>
      <c r="L1478" t="s">
        <v>79</v>
      </c>
      <c r="M1478">
        <v>6</v>
      </c>
      <c r="N1478">
        <v>3</v>
      </c>
      <c r="O1478">
        <v>1</v>
      </c>
      <c r="P1478">
        <v>2026</v>
      </c>
    </row>
    <row r="1479" spans="1:16">
      <c r="A1479">
        <v>326.3</v>
      </c>
      <c r="B1479">
        <v>5</v>
      </c>
      <c r="C1479" t="s">
        <v>3142</v>
      </c>
      <c r="D1479" t="s">
        <v>3428</v>
      </c>
      <c r="E1479" t="s">
        <v>1532</v>
      </c>
      <c r="F1479" t="s">
        <v>1156</v>
      </c>
      <c r="G1479" t="s">
        <v>821</v>
      </c>
      <c r="H1479" t="s">
        <v>78</v>
      </c>
      <c r="I1479" t="s">
        <v>51</v>
      </c>
      <c r="J1479">
        <v>65.260000000000005</v>
      </c>
      <c r="K1479" s="1">
        <v>46031</v>
      </c>
      <c r="L1479" t="s">
        <v>79</v>
      </c>
      <c r="M1479">
        <v>9</v>
      </c>
      <c r="N1479">
        <v>1</v>
      </c>
      <c r="O1479">
        <v>1</v>
      </c>
      <c r="P1479">
        <v>2026</v>
      </c>
    </row>
    <row r="1480" spans="1:16">
      <c r="A1480">
        <v>490.02</v>
      </c>
      <c r="B1480">
        <v>2</v>
      </c>
      <c r="C1480" t="s">
        <v>1756</v>
      </c>
      <c r="D1480" t="s">
        <v>1757</v>
      </c>
      <c r="E1480" t="s">
        <v>1679</v>
      </c>
      <c r="F1480" t="s">
        <v>802</v>
      </c>
      <c r="G1480" t="s">
        <v>748</v>
      </c>
      <c r="H1480" t="s">
        <v>53</v>
      </c>
      <c r="I1480" t="s">
        <v>43</v>
      </c>
      <c r="J1480">
        <v>245.01</v>
      </c>
      <c r="K1480" s="1">
        <v>45983</v>
      </c>
      <c r="L1480" t="s">
        <v>14</v>
      </c>
      <c r="M1480">
        <v>22</v>
      </c>
      <c r="N1480">
        <v>11</v>
      </c>
      <c r="O1480">
        <v>4</v>
      </c>
      <c r="P1480">
        <v>2025</v>
      </c>
    </row>
    <row r="1481" spans="1:16">
      <c r="A1481">
        <v>22.26</v>
      </c>
      <c r="B1481">
        <v>2</v>
      </c>
      <c r="C1481" t="s">
        <v>3038</v>
      </c>
      <c r="D1481" t="s">
        <v>3039</v>
      </c>
      <c r="E1481" t="s">
        <v>878</v>
      </c>
      <c r="F1481" t="s">
        <v>862</v>
      </c>
      <c r="G1481" t="s">
        <v>807</v>
      </c>
      <c r="H1481" t="s">
        <v>42</v>
      </c>
      <c r="I1481" t="s">
        <v>43</v>
      </c>
      <c r="J1481">
        <v>11.13</v>
      </c>
      <c r="K1481" s="1">
        <v>46160</v>
      </c>
      <c r="L1481" t="s">
        <v>93</v>
      </c>
      <c r="M1481">
        <v>18</v>
      </c>
      <c r="N1481">
        <v>5</v>
      </c>
      <c r="O1481">
        <v>2</v>
      </c>
      <c r="P1481">
        <v>2026</v>
      </c>
    </row>
    <row r="1482" spans="1:16">
      <c r="A1482">
        <v>383.38</v>
      </c>
      <c r="B1482">
        <v>2</v>
      </c>
      <c r="C1482" t="s">
        <v>2233</v>
      </c>
      <c r="D1482" t="s">
        <v>2234</v>
      </c>
      <c r="E1482" t="s">
        <v>2235</v>
      </c>
      <c r="F1482" t="s">
        <v>1755</v>
      </c>
      <c r="G1482" t="s">
        <v>786</v>
      </c>
      <c r="H1482" t="s">
        <v>186</v>
      </c>
      <c r="I1482" t="s">
        <v>37</v>
      </c>
      <c r="J1482">
        <v>191.69</v>
      </c>
      <c r="K1482" s="1">
        <v>46175</v>
      </c>
      <c r="L1482" t="s">
        <v>48</v>
      </c>
      <c r="M1482">
        <v>2</v>
      </c>
      <c r="N1482">
        <v>6</v>
      </c>
      <c r="O1482">
        <v>2</v>
      </c>
      <c r="P1482">
        <v>2026</v>
      </c>
    </row>
    <row r="1483" spans="1:16">
      <c r="A1483">
        <v>374.96999999999997</v>
      </c>
      <c r="B1483">
        <v>3</v>
      </c>
      <c r="C1483" t="s">
        <v>1646</v>
      </c>
      <c r="D1483" t="s">
        <v>1647</v>
      </c>
      <c r="E1483" t="s">
        <v>1648</v>
      </c>
      <c r="F1483" t="s">
        <v>1649</v>
      </c>
      <c r="G1483" t="s">
        <v>790</v>
      </c>
      <c r="H1483" t="s">
        <v>512</v>
      </c>
      <c r="I1483" t="s">
        <v>27</v>
      </c>
      <c r="J1483">
        <v>124.99</v>
      </c>
      <c r="K1483" s="1">
        <v>45651</v>
      </c>
      <c r="L1483" t="s">
        <v>34</v>
      </c>
      <c r="M1483">
        <v>25</v>
      </c>
      <c r="N1483">
        <v>12</v>
      </c>
      <c r="O1483">
        <v>4</v>
      </c>
      <c r="P1483">
        <v>2024</v>
      </c>
    </row>
    <row r="1484" spans="1:16">
      <c r="A1484">
        <v>286.48</v>
      </c>
      <c r="B1484">
        <v>4</v>
      </c>
      <c r="C1484" t="s">
        <v>986</v>
      </c>
      <c r="D1484" t="s">
        <v>987</v>
      </c>
      <c r="E1484" t="s">
        <v>988</v>
      </c>
      <c r="F1484" t="s">
        <v>708</v>
      </c>
      <c r="G1484" t="s">
        <v>834</v>
      </c>
      <c r="H1484" t="s">
        <v>680</v>
      </c>
      <c r="I1484" t="s">
        <v>69</v>
      </c>
      <c r="J1484">
        <v>71.62</v>
      </c>
      <c r="K1484" s="1">
        <v>45736</v>
      </c>
      <c r="L1484" t="s">
        <v>105</v>
      </c>
      <c r="M1484">
        <v>20</v>
      </c>
      <c r="N1484">
        <v>3</v>
      </c>
      <c r="O1484">
        <v>1</v>
      </c>
      <c r="P1484">
        <v>2025</v>
      </c>
    </row>
    <row r="1485" spans="1:16">
      <c r="A1485">
        <v>934.9</v>
      </c>
      <c r="B1485">
        <v>5</v>
      </c>
      <c r="C1485" t="s">
        <v>2886</v>
      </c>
      <c r="D1485" t="s">
        <v>2887</v>
      </c>
      <c r="E1485" t="s">
        <v>935</v>
      </c>
      <c r="F1485" t="s">
        <v>843</v>
      </c>
      <c r="G1485" t="s">
        <v>753</v>
      </c>
      <c r="H1485" t="s">
        <v>139</v>
      </c>
      <c r="I1485" t="s">
        <v>122</v>
      </c>
      <c r="J1485">
        <v>186.98</v>
      </c>
      <c r="K1485" s="1">
        <v>45707</v>
      </c>
      <c r="L1485" t="s">
        <v>34</v>
      </c>
      <c r="M1485">
        <v>19</v>
      </c>
      <c r="N1485">
        <v>2</v>
      </c>
      <c r="O1485">
        <v>1</v>
      </c>
      <c r="P1485">
        <v>2025</v>
      </c>
    </row>
    <row r="1486" spans="1:16">
      <c r="A1486">
        <v>643.6</v>
      </c>
      <c r="B1486">
        <v>5</v>
      </c>
      <c r="C1486" t="s">
        <v>3187</v>
      </c>
      <c r="D1486" t="s">
        <v>3188</v>
      </c>
      <c r="E1486" t="s">
        <v>1501</v>
      </c>
      <c r="F1486" t="s">
        <v>1189</v>
      </c>
      <c r="G1486" t="s">
        <v>892</v>
      </c>
      <c r="H1486" t="s">
        <v>693</v>
      </c>
      <c r="I1486" t="s">
        <v>46</v>
      </c>
      <c r="J1486">
        <v>128.72</v>
      </c>
      <c r="K1486" s="1">
        <v>46165</v>
      </c>
      <c r="L1486" t="s">
        <v>14</v>
      </c>
      <c r="M1486">
        <v>23</v>
      </c>
      <c r="N1486">
        <v>5</v>
      </c>
      <c r="O1486">
        <v>2</v>
      </c>
      <c r="P1486">
        <v>2026</v>
      </c>
    </row>
    <row r="1487" spans="1:16">
      <c r="A1487">
        <v>261.32</v>
      </c>
      <c r="B1487">
        <v>4</v>
      </c>
      <c r="C1487" t="s">
        <v>1021</v>
      </c>
      <c r="D1487" t="s">
        <v>1022</v>
      </c>
      <c r="E1487" t="s">
        <v>984</v>
      </c>
      <c r="F1487" t="s">
        <v>929</v>
      </c>
      <c r="G1487" t="s">
        <v>830</v>
      </c>
      <c r="H1487" t="s">
        <v>189</v>
      </c>
      <c r="I1487" t="s">
        <v>43</v>
      </c>
      <c r="J1487">
        <v>65.33</v>
      </c>
      <c r="K1487" s="1">
        <v>45822</v>
      </c>
      <c r="L1487" t="s">
        <v>14</v>
      </c>
      <c r="M1487">
        <v>14</v>
      </c>
      <c r="N1487">
        <v>6</v>
      </c>
      <c r="O1487">
        <v>2</v>
      </c>
      <c r="P1487">
        <v>2025</v>
      </c>
    </row>
    <row r="1488" spans="1:16">
      <c r="A1488">
        <v>24.76</v>
      </c>
      <c r="B1488">
        <v>4</v>
      </c>
      <c r="C1488" t="s">
        <v>3197</v>
      </c>
      <c r="D1488" t="s">
        <v>3198</v>
      </c>
      <c r="E1488" t="s">
        <v>2726</v>
      </c>
      <c r="F1488" t="s">
        <v>1067</v>
      </c>
      <c r="G1488" t="s">
        <v>854</v>
      </c>
      <c r="H1488" t="s">
        <v>662</v>
      </c>
      <c r="I1488" t="s">
        <v>21</v>
      </c>
      <c r="J1488">
        <v>6.19</v>
      </c>
      <c r="K1488" s="1">
        <v>46202</v>
      </c>
      <c r="L1488" t="s">
        <v>93</v>
      </c>
      <c r="M1488">
        <v>29</v>
      </c>
      <c r="N1488">
        <v>6</v>
      </c>
      <c r="O1488">
        <v>2</v>
      </c>
      <c r="P1488">
        <v>2026</v>
      </c>
    </row>
    <row r="1489" spans="1:16">
      <c r="A1489">
        <v>68.31</v>
      </c>
      <c r="B1489">
        <v>3</v>
      </c>
      <c r="C1489" t="s">
        <v>2634</v>
      </c>
      <c r="D1489" t="s">
        <v>2635</v>
      </c>
      <c r="E1489" t="s">
        <v>1490</v>
      </c>
      <c r="F1489" t="s">
        <v>816</v>
      </c>
      <c r="G1489" t="s">
        <v>817</v>
      </c>
      <c r="H1489" t="s">
        <v>1250</v>
      </c>
      <c r="I1489" t="s">
        <v>23</v>
      </c>
      <c r="J1489">
        <v>22.77</v>
      </c>
      <c r="K1489" s="1">
        <v>46144</v>
      </c>
      <c r="L1489" t="s">
        <v>14</v>
      </c>
      <c r="M1489">
        <v>2</v>
      </c>
      <c r="N1489">
        <v>5</v>
      </c>
      <c r="O1489">
        <v>2</v>
      </c>
      <c r="P1489">
        <v>2026</v>
      </c>
    </row>
    <row r="1490" spans="1:16">
      <c r="A1490">
        <v>202.27</v>
      </c>
      <c r="B1490">
        <v>1</v>
      </c>
      <c r="C1490" t="s">
        <v>977</v>
      </c>
      <c r="D1490" t="s">
        <v>978</v>
      </c>
      <c r="E1490" t="s">
        <v>979</v>
      </c>
      <c r="F1490" t="s">
        <v>980</v>
      </c>
      <c r="G1490" t="s">
        <v>981</v>
      </c>
      <c r="H1490" t="s">
        <v>541</v>
      </c>
      <c r="I1490" t="s">
        <v>43</v>
      </c>
      <c r="J1490">
        <v>202.27</v>
      </c>
      <c r="K1490" s="1">
        <v>45801</v>
      </c>
      <c r="L1490" t="s">
        <v>14</v>
      </c>
      <c r="M1490">
        <v>24</v>
      </c>
      <c r="N1490">
        <v>5</v>
      </c>
      <c r="O1490">
        <v>2</v>
      </c>
      <c r="P1490">
        <v>2025</v>
      </c>
    </row>
    <row r="1491" spans="1:16">
      <c r="A1491">
        <v>808.92</v>
      </c>
      <c r="B1491">
        <v>4</v>
      </c>
      <c r="C1491" t="s">
        <v>2499</v>
      </c>
      <c r="D1491" t="s">
        <v>2500</v>
      </c>
      <c r="E1491" t="s">
        <v>2341</v>
      </c>
      <c r="F1491" t="s">
        <v>1257</v>
      </c>
      <c r="G1491" t="s">
        <v>839</v>
      </c>
      <c r="H1491" t="s">
        <v>321</v>
      </c>
      <c r="I1491" t="s">
        <v>17</v>
      </c>
      <c r="J1491">
        <v>202.23</v>
      </c>
      <c r="K1491" s="1">
        <v>46278</v>
      </c>
      <c r="L1491" t="s">
        <v>28</v>
      </c>
      <c r="M1491">
        <v>13</v>
      </c>
      <c r="N1491">
        <v>9</v>
      </c>
      <c r="O1491">
        <v>3</v>
      </c>
      <c r="P1491">
        <v>2026</v>
      </c>
    </row>
    <row r="1492" spans="1:16">
      <c r="A1492">
        <v>266.2</v>
      </c>
      <c r="B1492">
        <v>4</v>
      </c>
      <c r="C1492" t="s">
        <v>2261</v>
      </c>
      <c r="D1492" t="s">
        <v>2262</v>
      </c>
      <c r="E1492" t="s">
        <v>1660</v>
      </c>
      <c r="F1492" t="s">
        <v>1206</v>
      </c>
      <c r="G1492" t="s">
        <v>943</v>
      </c>
      <c r="H1492" t="s">
        <v>452</v>
      </c>
      <c r="I1492" t="s">
        <v>69</v>
      </c>
      <c r="J1492">
        <v>66.55</v>
      </c>
      <c r="K1492" s="1">
        <v>46005</v>
      </c>
      <c r="L1492" t="s">
        <v>28</v>
      </c>
      <c r="M1492">
        <v>14</v>
      </c>
      <c r="N1492">
        <v>12</v>
      </c>
      <c r="O1492">
        <v>4</v>
      </c>
      <c r="P1492">
        <v>2025</v>
      </c>
    </row>
    <row r="1493" spans="1:16">
      <c r="A1493">
        <v>206.6</v>
      </c>
      <c r="B1493">
        <v>4</v>
      </c>
      <c r="C1493" t="s">
        <v>2125</v>
      </c>
      <c r="D1493" t="s">
        <v>2126</v>
      </c>
      <c r="E1493" t="s">
        <v>1562</v>
      </c>
      <c r="F1493" t="s">
        <v>1607</v>
      </c>
      <c r="G1493" t="s">
        <v>839</v>
      </c>
      <c r="H1493" t="s">
        <v>212</v>
      </c>
      <c r="I1493" t="s">
        <v>57</v>
      </c>
      <c r="J1493">
        <v>51.65</v>
      </c>
      <c r="K1493" s="1">
        <v>45669</v>
      </c>
      <c r="L1493" t="s">
        <v>28</v>
      </c>
      <c r="M1493">
        <v>12</v>
      </c>
      <c r="N1493">
        <v>1</v>
      </c>
      <c r="O1493">
        <v>1</v>
      </c>
      <c r="P1493">
        <v>2025</v>
      </c>
    </row>
    <row r="1494" spans="1:16">
      <c r="A1494">
        <v>571.91999999999996</v>
      </c>
      <c r="B1494">
        <v>3</v>
      </c>
      <c r="C1494" t="s">
        <v>1923</v>
      </c>
      <c r="D1494" t="s">
        <v>1924</v>
      </c>
      <c r="E1494" t="s">
        <v>1925</v>
      </c>
      <c r="F1494" t="s">
        <v>29</v>
      </c>
      <c r="G1494" t="s">
        <v>821</v>
      </c>
      <c r="H1494" t="s">
        <v>340</v>
      </c>
      <c r="I1494" t="s">
        <v>43</v>
      </c>
      <c r="J1494">
        <v>190.64</v>
      </c>
      <c r="K1494" s="1">
        <v>46118</v>
      </c>
      <c r="L1494" t="s">
        <v>93</v>
      </c>
      <c r="M1494">
        <v>6</v>
      </c>
      <c r="N1494">
        <v>4</v>
      </c>
      <c r="O1494">
        <v>2</v>
      </c>
      <c r="P1494">
        <v>2026</v>
      </c>
    </row>
    <row r="1495" spans="1:16">
      <c r="A1495">
        <v>141.76</v>
      </c>
      <c r="B1495">
        <v>4</v>
      </c>
      <c r="C1495" t="s">
        <v>967</v>
      </c>
      <c r="D1495" t="s">
        <v>968</v>
      </c>
      <c r="E1495" t="s">
        <v>969</v>
      </c>
      <c r="F1495" t="s">
        <v>970</v>
      </c>
      <c r="G1495" t="s">
        <v>790</v>
      </c>
      <c r="H1495" t="s">
        <v>173</v>
      </c>
      <c r="I1495" t="s">
        <v>55</v>
      </c>
      <c r="J1495">
        <v>35.44</v>
      </c>
      <c r="K1495" s="1">
        <v>45952</v>
      </c>
      <c r="L1495" t="s">
        <v>34</v>
      </c>
      <c r="M1495">
        <v>22</v>
      </c>
      <c r="N1495">
        <v>10</v>
      </c>
      <c r="O1495">
        <v>4</v>
      </c>
      <c r="P1495">
        <v>2025</v>
      </c>
    </row>
    <row r="1496" spans="1:16">
      <c r="A1496">
        <v>218.29999999999998</v>
      </c>
      <c r="B1496">
        <v>5</v>
      </c>
      <c r="C1496" t="s">
        <v>813</v>
      </c>
      <c r="D1496" t="s">
        <v>814</v>
      </c>
      <c r="E1496" t="s">
        <v>815</v>
      </c>
      <c r="F1496" t="s">
        <v>816</v>
      </c>
      <c r="G1496" t="s">
        <v>817</v>
      </c>
      <c r="H1496" t="s">
        <v>675</v>
      </c>
      <c r="I1496" t="s">
        <v>97</v>
      </c>
      <c r="J1496">
        <v>43.66</v>
      </c>
      <c r="K1496" s="1">
        <v>45754</v>
      </c>
      <c r="L1496" t="s">
        <v>93</v>
      </c>
      <c r="M1496">
        <v>7</v>
      </c>
      <c r="N1496">
        <v>4</v>
      </c>
      <c r="O1496">
        <v>2</v>
      </c>
      <c r="P1496">
        <v>2025</v>
      </c>
    </row>
    <row r="1497" spans="1:16">
      <c r="A1497">
        <v>166.41</v>
      </c>
      <c r="B1497">
        <v>1</v>
      </c>
      <c r="C1497" t="s">
        <v>3125</v>
      </c>
      <c r="D1497" t="s">
        <v>3126</v>
      </c>
      <c r="E1497" t="s">
        <v>925</v>
      </c>
      <c r="F1497" t="s">
        <v>1722</v>
      </c>
      <c r="G1497" t="s">
        <v>954</v>
      </c>
      <c r="H1497" t="s">
        <v>285</v>
      </c>
      <c r="I1497" t="s">
        <v>17</v>
      </c>
      <c r="J1497">
        <v>166.41</v>
      </c>
      <c r="K1497" s="1">
        <v>46030</v>
      </c>
      <c r="L1497" t="s">
        <v>105</v>
      </c>
      <c r="M1497">
        <v>8</v>
      </c>
      <c r="N1497">
        <v>1</v>
      </c>
      <c r="O1497">
        <v>1</v>
      </c>
      <c r="P1497">
        <v>2026</v>
      </c>
    </row>
    <row r="1498" spans="1:16">
      <c r="A1498">
        <v>256.70000000000005</v>
      </c>
      <c r="B1498">
        <v>5</v>
      </c>
      <c r="C1498" t="s">
        <v>809</v>
      </c>
      <c r="D1498" t="s">
        <v>810</v>
      </c>
      <c r="E1498" t="s">
        <v>811</v>
      </c>
      <c r="F1498" t="s">
        <v>280</v>
      </c>
      <c r="G1498" t="s">
        <v>812</v>
      </c>
      <c r="H1498" t="s">
        <v>376</v>
      </c>
      <c r="I1498" t="s">
        <v>51</v>
      </c>
      <c r="J1498">
        <v>51.34</v>
      </c>
      <c r="K1498" s="1">
        <v>46237</v>
      </c>
      <c r="L1498" t="s">
        <v>93</v>
      </c>
      <c r="M1498">
        <v>3</v>
      </c>
      <c r="N1498">
        <v>8</v>
      </c>
      <c r="O1498">
        <v>3</v>
      </c>
      <c r="P1498">
        <v>2026</v>
      </c>
    </row>
    <row r="1499" spans="1:16">
      <c r="A1499">
        <v>272.61</v>
      </c>
      <c r="B1499">
        <v>3</v>
      </c>
      <c r="C1499" t="s">
        <v>2344</v>
      </c>
      <c r="D1499" t="s">
        <v>2345</v>
      </c>
      <c r="E1499" t="s">
        <v>2346</v>
      </c>
      <c r="F1499" t="s">
        <v>2154</v>
      </c>
      <c r="G1499" t="s">
        <v>1003</v>
      </c>
      <c r="H1499" t="s">
        <v>470</v>
      </c>
      <c r="I1499" t="s">
        <v>39</v>
      </c>
      <c r="J1499">
        <v>90.87</v>
      </c>
      <c r="K1499" s="1">
        <v>45639</v>
      </c>
      <c r="L1499" t="s">
        <v>79</v>
      </c>
      <c r="M1499">
        <v>13</v>
      </c>
      <c r="N1499">
        <v>12</v>
      </c>
      <c r="O1499">
        <v>4</v>
      </c>
      <c r="P1499">
        <v>2024</v>
      </c>
    </row>
    <row r="1500" spans="1:16">
      <c r="A1500">
        <v>261.27999999999997</v>
      </c>
      <c r="B1500">
        <v>2</v>
      </c>
      <c r="C1500" t="s">
        <v>1548</v>
      </c>
      <c r="D1500" t="s">
        <v>1549</v>
      </c>
      <c r="E1500" t="s">
        <v>1057</v>
      </c>
      <c r="F1500" t="s">
        <v>1550</v>
      </c>
      <c r="G1500" t="s">
        <v>776</v>
      </c>
      <c r="H1500" t="s">
        <v>553</v>
      </c>
      <c r="I1500" t="s">
        <v>100</v>
      </c>
      <c r="J1500">
        <v>130.63999999999999</v>
      </c>
      <c r="K1500" s="1">
        <v>45989</v>
      </c>
      <c r="L1500" t="s">
        <v>79</v>
      </c>
      <c r="M1500">
        <v>28</v>
      </c>
      <c r="N1500">
        <v>11</v>
      </c>
      <c r="O1500">
        <v>4</v>
      </c>
      <c r="P1500">
        <v>2025</v>
      </c>
    </row>
    <row r="1501" spans="1:16">
      <c r="A1501">
        <v>59.15</v>
      </c>
      <c r="B1501">
        <v>5</v>
      </c>
      <c r="C1501" t="s">
        <v>2533</v>
      </c>
      <c r="D1501" t="s">
        <v>2534</v>
      </c>
      <c r="E1501" t="s">
        <v>2535</v>
      </c>
      <c r="F1501" t="s">
        <v>1232</v>
      </c>
      <c r="G1501" t="s">
        <v>817</v>
      </c>
      <c r="H1501" t="s">
        <v>220</v>
      </c>
      <c r="I1501" t="s">
        <v>97</v>
      </c>
      <c r="J1501">
        <v>11.83</v>
      </c>
      <c r="K1501" s="1">
        <v>45680</v>
      </c>
      <c r="L1501" t="s">
        <v>105</v>
      </c>
      <c r="M1501">
        <v>23</v>
      </c>
      <c r="N1501">
        <v>1</v>
      </c>
      <c r="O1501">
        <v>1</v>
      </c>
      <c r="P1501">
        <v>2025</v>
      </c>
    </row>
    <row r="1502" spans="1:16">
      <c r="A1502">
        <v>27.57</v>
      </c>
      <c r="B1502">
        <v>3</v>
      </c>
      <c r="C1502" t="s">
        <v>1947</v>
      </c>
      <c r="D1502" t="s">
        <v>1948</v>
      </c>
      <c r="E1502" t="s">
        <v>1038</v>
      </c>
      <c r="F1502" t="s">
        <v>414</v>
      </c>
      <c r="G1502" t="s">
        <v>795</v>
      </c>
      <c r="H1502" t="s">
        <v>413</v>
      </c>
      <c r="I1502" t="s">
        <v>57</v>
      </c>
      <c r="J1502">
        <v>9.19</v>
      </c>
      <c r="K1502" s="1">
        <v>46125</v>
      </c>
      <c r="L1502" t="s">
        <v>93</v>
      </c>
      <c r="M1502">
        <v>13</v>
      </c>
      <c r="N1502">
        <v>4</v>
      </c>
      <c r="O1502">
        <v>2</v>
      </c>
      <c r="P1502">
        <v>2026</v>
      </c>
    </row>
    <row r="1503" spans="1:16">
      <c r="A1503">
        <v>67.12</v>
      </c>
      <c r="B1503">
        <v>2</v>
      </c>
      <c r="C1503" t="s">
        <v>3389</v>
      </c>
      <c r="D1503" t="s">
        <v>3390</v>
      </c>
      <c r="E1503" t="s">
        <v>3391</v>
      </c>
      <c r="F1503" t="s">
        <v>794</v>
      </c>
      <c r="G1503" t="s">
        <v>821</v>
      </c>
      <c r="H1503" t="s">
        <v>609</v>
      </c>
      <c r="I1503" t="s">
        <v>27</v>
      </c>
      <c r="J1503">
        <v>33.56</v>
      </c>
      <c r="K1503" s="1">
        <v>45936</v>
      </c>
      <c r="L1503" t="s">
        <v>93</v>
      </c>
      <c r="M1503">
        <v>6</v>
      </c>
      <c r="N1503">
        <v>10</v>
      </c>
      <c r="O1503">
        <v>4</v>
      </c>
      <c r="P1503">
        <v>2025</v>
      </c>
    </row>
    <row r="1504" spans="1:16">
      <c r="A1504">
        <v>19.46</v>
      </c>
      <c r="B1504">
        <v>2</v>
      </c>
      <c r="C1504" t="s">
        <v>2841</v>
      </c>
      <c r="D1504" t="s">
        <v>1063</v>
      </c>
      <c r="E1504" t="s">
        <v>2842</v>
      </c>
      <c r="F1504" t="s">
        <v>2574</v>
      </c>
      <c r="G1504" t="s">
        <v>839</v>
      </c>
      <c r="H1504" t="s">
        <v>716</v>
      </c>
      <c r="I1504" t="s">
        <v>19</v>
      </c>
      <c r="J1504">
        <v>9.73</v>
      </c>
      <c r="K1504" s="1">
        <v>46046</v>
      </c>
      <c r="L1504" t="s">
        <v>14</v>
      </c>
      <c r="M1504">
        <v>24</v>
      </c>
      <c r="N1504">
        <v>1</v>
      </c>
      <c r="O1504">
        <v>1</v>
      </c>
      <c r="P1504">
        <v>2026</v>
      </c>
    </row>
    <row r="1505" spans="1:16">
      <c r="A1505">
        <v>237.63</v>
      </c>
      <c r="B1505">
        <v>1</v>
      </c>
      <c r="C1505" t="s">
        <v>3183</v>
      </c>
      <c r="D1505" t="s">
        <v>3184</v>
      </c>
      <c r="E1505" t="s">
        <v>1981</v>
      </c>
      <c r="F1505" t="s">
        <v>2332</v>
      </c>
      <c r="G1505" t="s">
        <v>1003</v>
      </c>
      <c r="H1505" t="s">
        <v>202</v>
      </c>
      <c r="I1505" t="s">
        <v>17</v>
      </c>
      <c r="J1505">
        <v>237.63</v>
      </c>
      <c r="K1505" s="1">
        <v>46174</v>
      </c>
      <c r="L1505" t="s">
        <v>93</v>
      </c>
      <c r="M1505">
        <v>1</v>
      </c>
      <c r="N1505">
        <v>6</v>
      </c>
      <c r="O1505">
        <v>2</v>
      </c>
      <c r="P1505">
        <v>2026</v>
      </c>
    </row>
    <row r="1506" spans="1:16">
      <c r="A1506">
        <v>279.56</v>
      </c>
      <c r="B1506">
        <v>4</v>
      </c>
      <c r="C1506" t="s">
        <v>2011</v>
      </c>
      <c r="D1506" t="s">
        <v>2012</v>
      </c>
      <c r="E1506" t="s">
        <v>2013</v>
      </c>
      <c r="F1506" t="s">
        <v>1172</v>
      </c>
      <c r="G1506" t="s">
        <v>830</v>
      </c>
      <c r="H1506" t="s">
        <v>366</v>
      </c>
      <c r="I1506" t="s">
        <v>19</v>
      </c>
      <c r="J1506">
        <v>69.89</v>
      </c>
      <c r="K1506" s="1">
        <v>45841</v>
      </c>
      <c r="L1506" t="s">
        <v>105</v>
      </c>
      <c r="M1506">
        <v>3</v>
      </c>
      <c r="N1506">
        <v>7</v>
      </c>
      <c r="O1506">
        <v>3</v>
      </c>
      <c r="P1506">
        <v>2025</v>
      </c>
    </row>
    <row r="1507" spans="1:16">
      <c r="A1507">
        <v>980.88</v>
      </c>
      <c r="B1507">
        <v>4</v>
      </c>
      <c r="C1507" t="s">
        <v>2320</v>
      </c>
      <c r="D1507" t="s">
        <v>2321</v>
      </c>
      <c r="E1507" t="s">
        <v>1657</v>
      </c>
      <c r="F1507" t="s">
        <v>113</v>
      </c>
      <c r="G1507" t="s">
        <v>854</v>
      </c>
      <c r="H1507" t="s">
        <v>168</v>
      </c>
      <c r="I1507" t="s">
        <v>46</v>
      </c>
      <c r="J1507">
        <v>245.22</v>
      </c>
      <c r="K1507" s="1">
        <v>45822</v>
      </c>
      <c r="L1507" t="s">
        <v>14</v>
      </c>
      <c r="M1507">
        <v>14</v>
      </c>
      <c r="N1507">
        <v>6</v>
      </c>
      <c r="O1507">
        <v>2</v>
      </c>
      <c r="P1507">
        <v>2025</v>
      </c>
    </row>
    <row r="1508" spans="1:16">
      <c r="A1508">
        <v>60.91</v>
      </c>
      <c r="B1508">
        <v>1</v>
      </c>
      <c r="C1508" t="s">
        <v>2109</v>
      </c>
      <c r="D1508" t="s">
        <v>2110</v>
      </c>
      <c r="E1508" t="s">
        <v>2111</v>
      </c>
      <c r="F1508" t="s">
        <v>1156</v>
      </c>
      <c r="G1508" t="s">
        <v>821</v>
      </c>
      <c r="H1508" t="s">
        <v>550</v>
      </c>
      <c r="I1508" t="s">
        <v>55</v>
      </c>
      <c r="J1508">
        <v>60.91</v>
      </c>
      <c r="K1508" s="1">
        <v>45924</v>
      </c>
      <c r="L1508" t="s">
        <v>34</v>
      </c>
      <c r="M1508">
        <v>24</v>
      </c>
      <c r="N1508">
        <v>9</v>
      </c>
      <c r="O1508">
        <v>3</v>
      </c>
      <c r="P1508">
        <v>2025</v>
      </c>
    </row>
    <row r="1509" spans="1:16">
      <c r="A1509">
        <v>206.84</v>
      </c>
      <c r="B1509">
        <v>4</v>
      </c>
      <c r="C1509" t="s">
        <v>2766</v>
      </c>
      <c r="D1509" t="s">
        <v>2767</v>
      </c>
      <c r="E1509" t="s">
        <v>1709</v>
      </c>
      <c r="F1509" t="s">
        <v>608</v>
      </c>
      <c r="G1509" t="s">
        <v>966</v>
      </c>
      <c r="H1509" t="s">
        <v>26</v>
      </c>
      <c r="I1509" t="s">
        <v>27</v>
      </c>
      <c r="J1509">
        <v>51.71</v>
      </c>
      <c r="K1509" s="1">
        <v>45941</v>
      </c>
      <c r="L1509" t="s">
        <v>14</v>
      </c>
      <c r="M1509">
        <v>11</v>
      </c>
      <c r="N1509">
        <v>10</v>
      </c>
      <c r="O1509">
        <v>4</v>
      </c>
      <c r="P1509">
        <v>2025</v>
      </c>
    </row>
    <row r="1510" spans="1:16">
      <c r="A1510">
        <v>416.16</v>
      </c>
      <c r="B1510">
        <v>4</v>
      </c>
      <c r="C1510" t="s">
        <v>1442</v>
      </c>
      <c r="D1510" t="s">
        <v>1443</v>
      </c>
      <c r="E1510" t="s">
        <v>1444</v>
      </c>
      <c r="F1510" t="s">
        <v>380</v>
      </c>
      <c r="G1510" t="s">
        <v>896</v>
      </c>
      <c r="H1510" t="s">
        <v>507</v>
      </c>
      <c r="I1510" t="s">
        <v>55</v>
      </c>
      <c r="J1510">
        <v>104.04</v>
      </c>
      <c r="K1510" s="1">
        <v>45920</v>
      </c>
      <c r="L1510" t="s">
        <v>14</v>
      </c>
      <c r="M1510">
        <v>20</v>
      </c>
      <c r="N1510">
        <v>9</v>
      </c>
      <c r="O1510">
        <v>3</v>
      </c>
      <c r="P1510">
        <v>2025</v>
      </c>
    </row>
    <row r="1511" spans="1:16">
      <c r="A1511">
        <v>560.93999999999994</v>
      </c>
      <c r="B1511">
        <v>3</v>
      </c>
      <c r="C1511" t="s">
        <v>2520</v>
      </c>
      <c r="D1511" t="s">
        <v>2521</v>
      </c>
      <c r="E1511" t="s">
        <v>2522</v>
      </c>
      <c r="F1511" t="s">
        <v>1054</v>
      </c>
      <c r="G1511" t="s">
        <v>892</v>
      </c>
      <c r="H1511" t="s">
        <v>139</v>
      </c>
      <c r="I1511" t="s">
        <v>122</v>
      </c>
      <c r="J1511">
        <v>186.98</v>
      </c>
      <c r="K1511" s="1">
        <v>45722</v>
      </c>
      <c r="L1511" t="s">
        <v>105</v>
      </c>
      <c r="M1511">
        <v>6</v>
      </c>
      <c r="N1511">
        <v>3</v>
      </c>
      <c r="O1511">
        <v>1</v>
      </c>
      <c r="P1511">
        <v>2025</v>
      </c>
    </row>
    <row r="1512" spans="1:16">
      <c r="A1512">
        <v>919.4</v>
      </c>
      <c r="B1512">
        <v>4</v>
      </c>
      <c r="C1512" t="s">
        <v>1817</v>
      </c>
      <c r="D1512" t="s">
        <v>1818</v>
      </c>
      <c r="E1512" t="s">
        <v>914</v>
      </c>
      <c r="F1512" t="s">
        <v>1574</v>
      </c>
      <c r="G1512" t="s">
        <v>1003</v>
      </c>
      <c r="H1512" t="s">
        <v>63</v>
      </c>
      <c r="I1512" t="s">
        <v>25</v>
      </c>
      <c r="J1512">
        <v>229.85</v>
      </c>
      <c r="K1512" s="1">
        <v>46125</v>
      </c>
      <c r="L1512" t="s">
        <v>93</v>
      </c>
      <c r="M1512">
        <v>13</v>
      </c>
      <c r="N1512">
        <v>4</v>
      </c>
      <c r="O1512">
        <v>2</v>
      </c>
      <c r="P1512">
        <v>2026</v>
      </c>
    </row>
    <row r="1513" spans="1:16">
      <c r="A1513">
        <v>181.24</v>
      </c>
      <c r="B1513">
        <v>2</v>
      </c>
      <c r="C1513" t="s">
        <v>2653</v>
      </c>
      <c r="D1513" t="s">
        <v>2654</v>
      </c>
      <c r="E1513" t="s">
        <v>2315</v>
      </c>
      <c r="F1513" t="s">
        <v>780</v>
      </c>
      <c r="G1513" t="s">
        <v>781</v>
      </c>
      <c r="H1513" t="s">
        <v>686</v>
      </c>
      <c r="I1513" t="s">
        <v>82</v>
      </c>
      <c r="J1513">
        <v>90.62</v>
      </c>
      <c r="K1513" s="1">
        <v>45942</v>
      </c>
      <c r="L1513" t="s">
        <v>28</v>
      </c>
      <c r="M1513">
        <v>12</v>
      </c>
      <c r="N1513">
        <v>10</v>
      </c>
      <c r="O1513">
        <v>4</v>
      </c>
      <c r="P1513">
        <v>2025</v>
      </c>
    </row>
    <row r="1514" spans="1:16">
      <c r="A1514">
        <v>111.51</v>
      </c>
      <c r="B1514">
        <v>1</v>
      </c>
      <c r="C1514" t="s">
        <v>1516</v>
      </c>
      <c r="D1514" t="s">
        <v>1517</v>
      </c>
      <c r="E1514" t="s">
        <v>1518</v>
      </c>
      <c r="F1514" t="s">
        <v>752</v>
      </c>
      <c r="G1514" t="s">
        <v>753</v>
      </c>
      <c r="H1514" t="s">
        <v>416</v>
      </c>
      <c r="I1514" t="s">
        <v>57</v>
      </c>
      <c r="J1514">
        <v>111.51</v>
      </c>
      <c r="K1514" s="1">
        <v>45697</v>
      </c>
      <c r="L1514" t="s">
        <v>28</v>
      </c>
      <c r="M1514">
        <v>9</v>
      </c>
      <c r="N1514">
        <v>2</v>
      </c>
      <c r="O1514">
        <v>1</v>
      </c>
      <c r="P1514">
        <v>2025</v>
      </c>
    </row>
    <row r="1515" spans="1:16">
      <c r="A1515">
        <v>1160.6999999999998</v>
      </c>
      <c r="B1515">
        <v>5</v>
      </c>
      <c r="C1515" t="s">
        <v>2402</v>
      </c>
      <c r="D1515" t="s">
        <v>2403</v>
      </c>
      <c r="E1515" t="s">
        <v>1263</v>
      </c>
      <c r="F1515" t="s">
        <v>929</v>
      </c>
      <c r="G1515" t="s">
        <v>830</v>
      </c>
      <c r="H1515" t="s">
        <v>439</v>
      </c>
      <c r="I1515" t="s">
        <v>21</v>
      </c>
      <c r="J1515">
        <v>232.14</v>
      </c>
      <c r="K1515" s="1">
        <v>46232</v>
      </c>
      <c r="L1515" t="s">
        <v>34</v>
      </c>
      <c r="M1515">
        <v>29</v>
      </c>
      <c r="N1515">
        <v>7</v>
      </c>
      <c r="O1515">
        <v>3</v>
      </c>
      <c r="P1515">
        <v>2026</v>
      </c>
    </row>
    <row r="1516" spans="1:16">
      <c r="A1516">
        <v>261.05</v>
      </c>
      <c r="B1516">
        <v>5</v>
      </c>
      <c r="C1516" t="s">
        <v>1079</v>
      </c>
      <c r="D1516" t="s">
        <v>1080</v>
      </c>
      <c r="E1516" t="s">
        <v>1081</v>
      </c>
      <c r="F1516" t="s">
        <v>772</v>
      </c>
      <c r="G1516" t="s">
        <v>758</v>
      </c>
      <c r="H1516" t="s">
        <v>137</v>
      </c>
      <c r="I1516" t="s">
        <v>82</v>
      </c>
      <c r="J1516">
        <v>52.21</v>
      </c>
      <c r="K1516" s="1">
        <v>45797</v>
      </c>
      <c r="L1516" t="s">
        <v>48</v>
      </c>
      <c r="M1516">
        <v>20</v>
      </c>
      <c r="N1516">
        <v>5</v>
      </c>
      <c r="O1516">
        <v>2</v>
      </c>
      <c r="P1516">
        <v>2025</v>
      </c>
    </row>
    <row r="1517" spans="1:16">
      <c r="A1517">
        <v>863.34999999999991</v>
      </c>
      <c r="B1517">
        <v>5</v>
      </c>
      <c r="C1517" t="s">
        <v>2827</v>
      </c>
      <c r="D1517" t="s">
        <v>2828</v>
      </c>
      <c r="E1517" t="s">
        <v>991</v>
      </c>
      <c r="F1517" t="s">
        <v>1213</v>
      </c>
      <c r="G1517" t="s">
        <v>839</v>
      </c>
      <c r="H1517" t="s">
        <v>551</v>
      </c>
      <c r="I1517" t="s">
        <v>122</v>
      </c>
      <c r="J1517">
        <v>172.67</v>
      </c>
      <c r="K1517" s="1">
        <v>46207</v>
      </c>
      <c r="L1517" t="s">
        <v>14</v>
      </c>
      <c r="M1517">
        <v>4</v>
      </c>
      <c r="N1517">
        <v>7</v>
      </c>
      <c r="O1517">
        <v>3</v>
      </c>
      <c r="P1517">
        <v>2026</v>
      </c>
    </row>
    <row r="1518" spans="1:16">
      <c r="A1518">
        <v>12.44</v>
      </c>
      <c r="B1518">
        <v>1</v>
      </c>
      <c r="C1518" t="s">
        <v>2366</v>
      </c>
      <c r="D1518" t="s">
        <v>2367</v>
      </c>
      <c r="E1518" t="s">
        <v>2098</v>
      </c>
      <c r="F1518" t="s">
        <v>211</v>
      </c>
      <c r="G1518" t="s">
        <v>966</v>
      </c>
      <c r="H1518" t="s">
        <v>310</v>
      </c>
      <c r="I1518" t="s">
        <v>60</v>
      </c>
      <c r="J1518">
        <v>12.44</v>
      </c>
      <c r="K1518" s="1">
        <v>45818</v>
      </c>
      <c r="L1518" t="s">
        <v>48</v>
      </c>
      <c r="M1518">
        <v>10</v>
      </c>
      <c r="N1518">
        <v>6</v>
      </c>
      <c r="O1518">
        <v>2</v>
      </c>
      <c r="P1518">
        <v>2025</v>
      </c>
    </row>
    <row r="1519" spans="1:16">
      <c r="A1519">
        <v>401.84</v>
      </c>
      <c r="B1519">
        <v>4</v>
      </c>
      <c r="C1519" t="s">
        <v>2174</v>
      </c>
      <c r="D1519" t="s">
        <v>2175</v>
      </c>
      <c r="E1519" t="s">
        <v>1539</v>
      </c>
      <c r="F1519" t="s">
        <v>64</v>
      </c>
      <c r="G1519" t="s">
        <v>892</v>
      </c>
      <c r="H1519" t="s">
        <v>703</v>
      </c>
      <c r="I1519" t="s">
        <v>60</v>
      </c>
      <c r="J1519">
        <v>100.46</v>
      </c>
      <c r="K1519" s="1">
        <v>46082</v>
      </c>
      <c r="L1519" t="s">
        <v>28</v>
      </c>
      <c r="M1519">
        <v>1</v>
      </c>
      <c r="N1519">
        <v>3</v>
      </c>
      <c r="O1519">
        <v>1</v>
      </c>
      <c r="P1519">
        <v>2026</v>
      </c>
    </row>
    <row r="1520" spans="1:16">
      <c r="A1520">
        <v>95.62</v>
      </c>
      <c r="B1520">
        <v>1</v>
      </c>
      <c r="C1520" t="s">
        <v>1068</v>
      </c>
      <c r="D1520" t="s">
        <v>1069</v>
      </c>
      <c r="E1520" t="s">
        <v>1070</v>
      </c>
      <c r="F1520" t="s">
        <v>1071</v>
      </c>
      <c r="G1520" t="s">
        <v>817</v>
      </c>
      <c r="H1520" t="s">
        <v>153</v>
      </c>
      <c r="I1520" t="s">
        <v>37</v>
      </c>
      <c r="J1520">
        <v>95.62</v>
      </c>
      <c r="K1520" s="1">
        <v>45822</v>
      </c>
      <c r="L1520" t="s">
        <v>14</v>
      </c>
      <c r="M1520">
        <v>14</v>
      </c>
      <c r="N1520">
        <v>6</v>
      </c>
      <c r="O1520">
        <v>2</v>
      </c>
      <c r="P1520">
        <v>2025</v>
      </c>
    </row>
    <row r="1521" spans="1:16">
      <c r="A1521">
        <v>521.44000000000005</v>
      </c>
      <c r="B1521">
        <v>4</v>
      </c>
      <c r="C1521" t="s">
        <v>2244</v>
      </c>
      <c r="D1521" t="s">
        <v>2245</v>
      </c>
      <c r="E1521" t="s">
        <v>2246</v>
      </c>
      <c r="F1521" t="s">
        <v>2247</v>
      </c>
      <c r="G1521" t="s">
        <v>781</v>
      </c>
      <c r="H1521" t="s">
        <v>118</v>
      </c>
      <c r="I1521" t="s">
        <v>31</v>
      </c>
      <c r="J1521">
        <v>130.36000000000001</v>
      </c>
      <c r="K1521" s="1">
        <v>45998</v>
      </c>
      <c r="L1521" t="s">
        <v>28</v>
      </c>
      <c r="M1521">
        <v>7</v>
      </c>
      <c r="N1521">
        <v>12</v>
      </c>
      <c r="O1521">
        <v>4</v>
      </c>
      <c r="P1521">
        <v>2025</v>
      </c>
    </row>
    <row r="1522" spans="1:16">
      <c r="A1522">
        <v>47.62</v>
      </c>
      <c r="B1522">
        <v>1</v>
      </c>
      <c r="C1522" t="s">
        <v>2700</v>
      </c>
      <c r="D1522" t="s">
        <v>2701</v>
      </c>
      <c r="E1522" t="s">
        <v>1688</v>
      </c>
      <c r="F1522" t="s">
        <v>635</v>
      </c>
      <c r="G1522" t="s">
        <v>768</v>
      </c>
      <c r="H1522" t="s">
        <v>508</v>
      </c>
      <c r="I1522" t="s">
        <v>43</v>
      </c>
      <c r="J1522">
        <v>47.62</v>
      </c>
      <c r="K1522" s="1">
        <v>45903</v>
      </c>
      <c r="L1522" t="s">
        <v>34</v>
      </c>
      <c r="M1522">
        <v>3</v>
      </c>
      <c r="N1522">
        <v>9</v>
      </c>
      <c r="O1522">
        <v>3</v>
      </c>
      <c r="P1522">
        <v>2025</v>
      </c>
    </row>
    <row r="1523" spans="1:16">
      <c r="A1523">
        <v>71.62</v>
      </c>
      <c r="B1523">
        <v>1</v>
      </c>
      <c r="C1523" t="s">
        <v>3371</v>
      </c>
      <c r="D1523" t="s">
        <v>3372</v>
      </c>
      <c r="E1523" t="s">
        <v>1050</v>
      </c>
      <c r="F1523" t="s">
        <v>74</v>
      </c>
      <c r="G1523" t="s">
        <v>943</v>
      </c>
      <c r="H1523" t="s">
        <v>680</v>
      </c>
      <c r="I1523" t="s">
        <v>69</v>
      </c>
      <c r="J1523">
        <v>71.62</v>
      </c>
      <c r="K1523" s="1">
        <v>46114</v>
      </c>
      <c r="L1523" t="s">
        <v>105</v>
      </c>
      <c r="M1523">
        <v>2</v>
      </c>
      <c r="N1523">
        <v>4</v>
      </c>
      <c r="O1523">
        <v>2</v>
      </c>
      <c r="P1523">
        <v>2026</v>
      </c>
    </row>
    <row r="1524" spans="1:16">
      <c r="A1524">
        <v>512.25</v>
      </c>
      <c r="B1524">
        <v>3</v>
      </c>
      <c r="C1524" t="s">
        <v>3308</v>
      </c>
      <c r="D1524" t="s">
        <v>3309</v>
      </c>
      <c r="E1524" t="s">
        <v>2848</v>
      </c>
      <c r="F1524" t="s">
        <v>708</v>
      </c>
      <c r="G1524" t="s">
        <v>834</v>
      </c>
      <c r="H1524" t="s">
        <v>652</v>
      </c>
      <c r="I1524" t="s">
        <v>37</v>
      </c>
      <c r="J1524">
        <v>170.75</v>
      </c>
      <c r="K1524" s="1">
        <v>46155</v>
      </c>
      <c r="L1524" t="s">
        <v>34</v>
      </c>
      <c r="M1524">
        <v>13</v>
      </c>
      <c r="N1524">
        <v>5</v>
      </c>
      <c r="O1524">
        <v>2</v>
      </c>
      <c r="P1524">
        <v>2026</v>
      </c>
    </row>
    <row r="1525" spans="1:16">
      <c r="A1525">
        <v>130.52000000000001</v>
      </c>
      <c r="B1525">
        <v>2</v>
      </c>
      <c r="C1525" t="s">
        <v>1516</v>
      </c>
      <c r="D1525" t="s">
        <v>1517</v>
      </c>
      <c r="E1525" t="s">
        <v>1518</v>
      </c>
      <c r="F1525" t="s">
        <v>752</v>
      </c>
      <c r="G1525" t="s">
        <v>753</v>
      </c>
      <c r="H1525" t="s">
        <v>78</v>
      </c>
      <c r="I1525" t="s">
        <v>51</v>
      </c>
      <c r="J1525">
        <v>65.260000000000005</v>
      </c>
      <c r="K1525" s="1">
        <v>45712</v>
      </c>
      <c r="L1525" t="s">
        <v>93</v>
      </c>
      <c r="M1525">
        <v>24</v>
      </c>
      <c r="N1525">
        <v>2</v>
      </c>
      <c r="O1525">
        <v>1</v>
      </c>
      <c r="P1525">
        <v>2025</v>
      </c>
    </row>
    <row r="1526" spans="1:16">
      <c r="A1526">
        <v>162.16</v>
      </c>
      <c r="B1526">
        <v>1</v>
      </c>
      <c r="C1526" t="s">
        <v>1852</v>
      </c>
      <c r="D1526" t="s">
        <v>1853</v>
      </c>
      <c r="E1526" t="s">
        <v>1854</v>
      </c>
      <c r="F1526" t="s">
        <v>1061</v>
      </c>
      <c r="G1526" t="s">
        <v>834</v>
      </c>
      <c r="H1526" t="s">
        <v>651</v>
      </c>
      <c r="I1526" t="s">
        <v>122</v>
      </c>
      <c r="J1526">
        <v>162.16</v>
      </c>
      <c r="K1526" s="1">
        <v>45642</v>
      </c>
      <c r="L1526" t="s">
        <v>93</v>
      </c>
      <c r="M1526">
        <v>16</v>
      </c>
      <c r="N1526">
        <v>12</v>
      </c>
      <c r="O1526">
        <v>4</v>
      </c>
      <c r="P1526">
        <v>2024</v>
      </c>
    </row>
    <row r="1527" spans="1:16">
      <c r="A1527">
        <v>143.44</v>
      </c>
      <c r="B1527">
        <v>2</v>
      </c>
      <c r="C1527" t="s">
        <v>1293</v>
      </c>
      <c r="D1527" t="s">
        <v>1294</v>
      </c>
      <c r="E1527" t="s">
        <v>1295</v>
      </c>
      <c r="F1527" t="s">
        <v>883</v>
      </c>
      <c r="G1527" t="s">
        <v>807</v>
      </c>
      <c r="H1527" t="s">
        <v>141</v>
      </c>
      <c r="I1527" t="s">
        <v>46</v>
      </c>
      <c r="J1527">
        <v>71.72</v>
      </c>
      <c r="K1527" s="1">
        <v>46125</v>
      </c>
      <c r="L1527" t="s">
        <v>93</v>
      </c>
      <c r="M1527">
        <v>13</v>
      </c>
      <c r="N1527">
        <v>4</v>
      </c>
      <c r="O1527">
        <v>2</v>
      </c>
      <c r="P1527">
        <v>2026</v>
      </c>
    </row>
    <row r="1528" spans="1:16">
      <c r="A1528">
        <v>2.44</v>
      </c>
      <c r="B1528">
        <v>2</v>
      </c>
      <c r="C1528" t="s">
        <v>933</v>
      </c>
      <c r="D1528" t="s">
        <v>934</v>
      </c>
      <c r="E1528" t="s">
        <v>935</v>
      </c>
      <c r="F1528" t="s">
        <v>322</v>
      </c>
      <c r="G1528" t="s">
        <v>795</v>
      </c>
      <c r="H1528" t="s">
        <v>242</v>
      </c>
      <c r="I1528" t="s">
        <v>19</v>
      </c>
      <c r="J1528">
        <v>1.22</v>
      </c>
      <c r="K1528" s="1">
        <v>46148</v>
      </c>
      <c r="L1528" t="s">
        <v>34</v>
      </c>
      <c r="M1528">
        <v>6</v>
      </c>
      <c r="N1528">
        <v>5</v>
      </c>
      <c r="O1528">
        <v>2</v>
      </c>
      <c r="P1528">
        <v>2026</v>
      </c>
    </row>
    <row r="1529" spans="1:16">
      <c r="A1529">
        <v>832.05</v>
      </c>
      <c r="B1529">
        <v>5</v>
      </c>
      <c r="C1529" t="s">
        <v>2611</v>
      </c>
      <c r="D1529" t="s">
        <v>2612</v>
      </c>
      <c r="E1529" t="s">
        <v>1050</v>
      </c>
      <c r="F1529" t="s">
        <v>1395</v>
      </c>
      <c r="G1529" t="s">
        <v>776</v>
      </c>
      <c r="H1529" t="s">
        <v>285</v>
      </c>
      <c r="I1529" t="s">
        <v>17</v>
      </c>
      <c r="J1529">
        <v>166.41</v>
      </c>
      <c r="K1529" s="1">
        <v>45816</v>
      </c>
      <c r="L1529" t="s">
        <v>28</v>
      </c>
      <c r="M1529">
        <v>8</v>
      </c>
      <c r="N1529">
        <v>6</v>
      </c>
      <c r="O1529">
        <v>2</v>
      </c>
      <c r="P1529">
        <v>2025</v>
      </c>
    </row>
    <row r="1530" spans="1:16">
      <c r="A1530">
        <v>55.82</v>
      </c>
      <c r="B1530">
        <v>1</v>
      </c>
      <c r="C1530" t="s">
        <v>1928</v>
      </c>
      <c r="D1530" t="s">
        <v>1929</v>
      </c>
      <c r="E1530" t="s">
        <v>1577</v>
      </c>
      <c r="F1530" t="s">
        <v>747</v>
      </c>
      <c r="G1530" t="s">
        <v>748</v>
      </c>
      <c r="H1530" t="s">
        <v>109</v>
      </c>
      <c r="I1530" t="s">
        <v>46</v>
      </c>
      <c r="J1530">
        <v>55.82</v>
      </c>
      <c r="K1530" s="1">
        <v>46262</v>
      </c>
      <c r="L1530" t="s">
        <v>79</v>
      </c>
      <c r="M1530">
        <v>28</v>
      </c>
      <c r="N1530">
        <v>8</v>
      </c>
      <c r="O1530">
        <v>3</v>
      </c>
      <c r="P1530">
        <v>2026</v>
      </c>
    </row>
    <row r="1531" spans="1:16">
      <c r="A1531">
        <v>128.58000000000001</v>
      </c>
      <c r="B1531">
        <v>2</v>
      </c>
      <c r="C1531" t="s">
        <v>2715</v>
      </c>
      <c r="D1531" t="s">
        <v>2716</v>
      </c>
      <c r="E1531" t="s">
        <v>2338</v>
      </c>
      <c r="F1531" t="s">
        <v>869</v>
      </c>
      <c r="G1531" t="s">
        <v>1247</v>
      </c>
      <c r="H1531" t="s">
        <v>461</v>
      </c>
      <c r="I1531" t="s">
        <v>60</v>
      </c>
      <c r="J1531">
        <v>64.290000000000006</v>
      </c>
      <c r="K1531" s="1">
        <v>45944</v>
      </c>
      <c r="L1531" t="s">
        <v>48</v>
      </c>
      <c r="M1531">
        <v>14</v>
      </c>
      <c r="N1531">
        <v>10</v>
      </c>
      <c r="O1531">
        <v>4</v>
      </c>
      <c r="P1531">
        <v>2025</v>
      </c>
    </row>
    <row r="1532" spans="1:16">
      <c r="A1532">
        <v>109.76</v>
      </c>
      <c r="B1532">
        <v>4</v>
      </c>
      <c r="C1532" t="s">
        <v>3023</v>
      </c>
      <c r="D1532" t="s">
        <v>3024</v>
      </c>
      <c r="E1532" t="s">
        <v>2365</v>
      </c>
      <c r="F1532" t="s">
        <v>106</v>
      </c>
      <c r="G1532" t="s">
        <v>790</v>
      </c>
      <c r="H1532" t="s">
        <v>722</v>
      </c>
      <c r="I1532" t="s">
        <v>37</v>
      </c>
      <c r="J1532">
        <v>27.44</v>
      </c>
      <c r="K1532" s="1">
        <v>45609</v>
      </c>
      <c r="L1532" t="s">
        <v>34</v>
      </c>
      <c r="M1532">
        <v>13</v>
      </c>
      <c r="N1532">
        <v>11</v>
      </c>
      <c r="O1532">
        <v>4</v>
      </c>
      <c r="P1532">
        <v>2024</v>
      </c>
    </row>
    <row r="1533" spans="1:16">
      <c r="A1533">
        <v>934.9</v>
      </c>
      <c r="B1533">
        <v>5</v>
      </c>
      <c r="C1533" t="s">
        <v>2849</v>
      </c>
      <c r="D1533" t="s">
        <v>2850</v>
      </c>
      <c r="E1533" t="s">
        <v>1821</v>
      </c>
      <c r="F1533" t="s">
        <v>1067</v>
      </c>
      <c r="G1533" t="s">
        <v>854</v>
      </c>
      <c r="H1533" t="s">
        <v>139</v>
      </c>
      <c r="I1533" t="s">
        <v>122</v>
      </c>
      <c r="J1533">
        <v>186.98</v>
      </c>
      <c r="K1533" s="1">
        <v>46254</v>
      </c>
      <c r="L1533" t="s">
        <v>105</v>
      </c>
      <c r="M1533">
        <v>20</v>
      </c>
      <c r="N1533">
        <v>8</v>
      </c>
      <c r="O1533">
        <v>3</v>
      </c>
      <c r="P1533">
        <v>2026</v>
      </c>
    </row>
    <row r="1534" spans="1:16">
      <c r="A1534">
        <v>932.32</v>
      </c>
      <c r="B1534">
        <v>4</v>
      </c>
      <c r="C1534" t="s">
        <v>1315</v>
      </c>
      <c r="D1534" t="s">
        <v>1316</v>
      </c>
      <c r="E1534" t="s">
        <v>1317</v>
      </c>
      <c r="F1534" t="s">
        <v>1318</v>
      </c>
      <c r="G1534" t="s">
        <v>807</v>
      </c>
      <c r="H1534" t="s">
        <v>213</v>
      </c>
      <c r="I1534" t="s">
        <v>69</v>
      </c>
      <c r="J1534">
        <v>233.08</v>
      </c>
      <c r="K1534" s="1">
        <v>45720</v>
      </c>
      <c r="L1534" t="s">
        <v>48</v>
      </c>
      <c r="M1534">
        <v>4</v>
      </c>
      <c r="N1534">
        <v>3</v>
      </c>
      <c r="O1534">
        <v>1</v>
      </c>
      <c r="P1534">
        <v>2025</v>
      </c>
    </row>
    <row r="1535" spans="1:16">
      <c r="A1535">
        <v>403.59000000000003</v>
      </c>
      <c r="B1535">
        <v>3</v>
      </c>
      <c r="C1535" t="s">
        <v>809</v>
      </c>
      <c r="D1535" t="s">
        <v>810</v>
      </c>
      <c r="E1535" t="s">
        <v>811</v>
      </c>
      <c r="F1535" t="s">
        <v>280</v>
      </c>
      <c r="G1535" t="s">
        <v>812</v>
      </c>
      <c r="H1535" t="s">
        <v>361</v>
      </c>
      <c r="I1535" t="s">
        <v>37</v>
      </c>
      <c r="J1535">
        <v>134.53</v>
      </c>
      <c r="K1535" s="1">
        <v>45719</v>
      </c>
      <c r="L1535" t="s">
        <v>93</v>
      </c>
      <c r="M1535">
        <v>3</v>
      </c>
      <c r="N1535">
        <v>3</v>
      </c>
      <c r="O1535">
        <v>1</v>
      </c>
      <c r="P1535">
        <v>2025</v>
      </c>
    </row>
    <row r="1536" spans="1:16">
      <c r="A1536">
        <v>30.58</v>
      </c>
      <c r="B1536">
        <v>1</v>
      </c>
      <c r="C1536" t="s">
        <v>3095</v>
      </c>
      <c r="D1536" t="s">
        <v>3096</v>
      </c>
      <c r="E1536" t="s">
        <v>3097</v>
      </c>
      <c r="F1536" t="s">
        <v>1092</v>
      </c>
      <c r="G1536" t="s">
        <v>763</v>
      </c>
      <c r="H1536" t="s">
        <v>574</v>
      </c>
      <c r="I1536" t="s">
        <v>19</v>
      </c>
      <c r="J1536">
        <v>30.58</v>
      </c>
      <c r="K1536" s="1">
        <v>45877</v>
      </c>
      <c r="L1536" t="s">
        <v>79</v>
      </c>
      <c r="M1536">
        <v>8</v>
      </c>
      <c r="N1536">
        <v>8</v>
      </c>
      <c r="O1536">
        <v>3</v>
      </c>
      <c r="P1536">
        <v>2025</v>
      </c>
    </row>
    <row r="1537" spans="1:16">
      <c r="A1537">
        <v>72.849999999999994</v>
      </c>
      <c r="B1537">
        <v>5</v>
      </c>
      <c r="C1537" t="s">
        <v>2448</v>
      </c>
      <c r="D1537" t="s">
        <v>2449</v>
      </c>
      <c r="E1537" t="s">
        <v>1070</v>
      </c>
      <c r="F1537" t="s">
        <v>961</v>
      </c>
      <c r="G1537" t="s">
        <v>807</v>
      </c>
      <c r="H1537" t="s">
        <v>166</v>
      </c>
      <c r="I1537" t="s">
        <v>23</v>
      </c>
      <c r="J1537">
        <v>14.57</v>
      </c>
      <c r="K1537" s="1">
        <v>46140</v>
      </c>
      <c r="L1537" t="s">
        <v>48</v>
      </c>
      <c r="M1537">
        <v>28</v>
      </c>
      <c r="N1537">
        <v>4</v>
      </c>
      <c r="O1537">
        <v>2</v>
      </c>
      <c r="P1537">
        <v>2026</v>
      </c>
    </row>
    <row r="1538" spans="1:16">
      <c r="A1538">
        <v>655.84</v>
      </c>
      <c r="B1538">
        <v>4</v>
      </c>
      <c r="C1538" t="s">
        <v>1775</v>
      </c>
      <c r="D1538" t="s">
        <v>1776</v>
      </c>
      <c r="E1538" t="s">
        <v>1777</v>
      </c>
      <c r="F1538" t="s">
        <v>1525</v>
      </c>
      <c r="G1538" t="s">
        <v>763</v>
      </c>
      <c r="H1538" t="s">
        <v>731</v>
      </c>
      <c r="I1538" t="s">
        <v>21</v>
      </c>
      <c r="J1538">
        <v>163.96</v>
      </c>
      <c r="K1538" s="1">
        <v>45792</v>
      </c>
      <c r="L1538" t="s">
        <v>105</v>
      </c>
      <c r="M1538">
        <v>15</v>
      </c>
      <c r="N1538">
        <v>5</v>
      </c>
      <c r="O1538">
        <v>2</v>
      </c>
      <c r="P1538">
        <v>2025</v>
      </c>
    </row>
    <row r="1539" spans="1:16">
      <c r="A1539">
        <v>1125.25</v>
      </c>
      <c r="B1539">
        <v>5</v>
      </c>
      <c r="C1539" t="s">
        <v>2708</v>
      </c>
      <c r="D1539" t="s">
        <v>2709</v>
      </c>
      <c r="E1539" t="s">
        <v>2710</v>
      </c>
      <c r="F1539" t="s">
        <v>1039</v>
      </c>
      <c r="G1539" t="s">
        <v>758</v>
      </c>
      <c r="H1539" t="s">
        <v>320</v>
      </c>
      <c r="I1539" t="s">
        <v>21</v>
      </c>
      <c r="J1539">
        <v>225.05</v>
      </c>
      <c r="K1539" s="1">
        <v>45726</v>
      </c>
      <c r="L1539" t="s">
        <v>93</v>
      </c>
      <c r="M1539">
        <v>10</v>
      </c>
      <c r="N1539">
        <v>3</v>
      </c>
      <c r="O1539">
        <v>1</v>
      </c>
      <c r="P1539">
        <v>2025</v>
      </c>
    </row>
    <row r="1540" spans="1:16">
      <c r="A1540">
        <v>102.62</v>
      </c>
      <c r="B1540">
        <v>1</v>
      </c>
      <c r="C1540" t="s">
        <v>2333</v>
      </c>
      <c r="D1540" t="s">
        <v>2334</v>
      </c>
      <c r="E1540" t="s">
        <v>2335</v>
      </c>
      <c r="F1540" t="s">
        <v>478</v>
      </c>
      <c r="G1540" t="s">
        <v>781</v>
      </c>
      <c r="H1540" t="s">
        <v>348</v>
      </c>
      <c r="I1540" t="s">
        <v>60</v>
      </c>
      <c r="J1540">
        <v>102.62</v>
      </c>
      <c r="K1540" s="1">
        <v>46162</v>
      </c>
      <c r="L1540" t="s">
        <v>34</v>
      </c>
      <c r="M1540">
        <v>20</v>
      </c>
      <c r="N1540">
        <v>5</v>
      </c>
      <c r="O1540">
        <v>2</v>
      </c>
      <c r="P1540">
        <v>2026</v>
      </c>
    </row>
    <row r="1541" spans="1:16">
      <c r="A1541">
        <v>49.16</v>
      </c>
      <c r="B1541">
        <v>2</v>
      </c>
      <c r="C1541" t="s">
        <v>1546</v>
      </c>
      <c r="D1541" t="s">
        <v>1547</v>
      </c>
      <c r="E1541" t="s">
        <v>952</v>
      </c>
      <c r="F1541" t="s">
        <v>380</v>
      </c>
      <c r="G1541" t="s">
        <v>776</v>
      </c>
      <c r="H1541" t="s">
        <v>370</v>
      </c>
      <c r="I1541" t="s">
        <v>43</v>
      </c>
      <c r="J1541">
        <v>24.58</v>
      </c>
      <c r="K1541" s="1">
        <v>45951</v>
      </c>
      <c r="L1541" t="s">
        <v>48</v>
      </c>
      <c r="M1541">
        <v>21</v>
      </c>
      <c r="N1541">
        <v>10</v>
      </c>
      <c r="O1541">
        <v>4</v>
      </c>
      <c r="P1541">
        <v>2025</v>
      </c>
    </row>
    <row r="1542" spans="1:16">
      <c r="A1542">
        <v>681.66</v>
      </c>
      <c r="B1542">
        <v>3</v>
      </c>
      <c r="C1542" t="s">
        <v>3038</v>
      </c>
      <c r="D1542" t="s">
        <v>3039</v>
      </c>
      <c r="E1542" t="s">
        <v>878</v>
      </c>
      <c r="F1542" t="s">
        <v>862</v>
      </c>
      <c r="G1542" t="s">
        <v>807</v>
      </c>
      <c r="H1542" t="s">
        <v>1314</v>
      </c>
      <c r="I1542" t="s">
        <v>55</v>
      </c>
      <c r="J1542">
        <v>227.22</v>
      </c>
      <c r="K1542" s="1">
        <v>46209</v>
      </c>
      <c r="L1542" t="s">
        <v>93</v>
      </c>
      <c r="M1542">
        <v>6</v>
      </c>
      <c r="N1542">
        <v>7</v>
      </c>
      <c r="O1542">
        <v>3</v>
      </c>
      <c r="P1542">
        <v>2026</v>
      </c>
    </row>
    <row r="1543" spans="1:16">
      <c r="A1543">
        <v>537.88</v>
      </c>
      <c r="B1543">
        <v>4</v>
      </c>
      <c r="C1543" t="s">
        <v>2180</v>
      </c>
      <c r="D1543" t="s">
        <v>2181</v>
      </c>
      <c r="E1543" t="s">
        <v>1455</v>
      </c>
      <c r="F1543" t="s">
        <v>1239</v>
      </c>
      <c r="G1543" t="s">
        <v>795</v>
      </c>
      <c r="H1543" t="s">
        <v>76</v>
      </c>
      <c r="I1543" t="s">
        <v>69</v>
      </c>
      <c r="J1543">
        <v>134.47</v>
      </c>
      <c r="K1543" s="1">
        <v>45980</v>
      </c>
      <c r="L1543" t="s">
        <v>34</v>
      </c>
      <c r="M1543">
        <v>19</v>
      </c>
      <c r="N1543">
        <v>11</v>
      </c>
      <c r="O1543">
        <v>4</v>
      </c>
      <c r="P1543">
        <v>2025</v>
      </c>
    </row>
    <row r="1544" spans="1:16">
      <c r="A1544">
        <v>456.52</v>
      </c>
      <c r="B1544">
        <v>2</v>
      </c>
      <c r="C1544" t="s">
        <v>799</v>
      </c>
      <c r="D1544" t="s">
        <v>800</v>
      </c>
      <c r="E1544" t="s">
        <v>801</v>
      </c>
      <c r="F1544" t="s">
        <v>802</v>
      </c>
      <c r="G1544" t="s">
        <v>748</v>
      </c>
      <c r="H1544" t="s">
        <v>268</v>
      </c>
      <c r="I1544" t="s">
        <v>97</v>
      </c>
      <c r="J1544">
        <v>228.26</v>
      </c>
      <c r="K1544" s="1">
        <v>45718</v>
      </c>
      <c r="L1544" t="s">
        <v>28</v>
      </c>
      <c r="M1544">
        <v>2</v>
      </c>
      <c r="N1544">
        <v>3</v>
      </c>
      <c r="O1544">
        <v>1</v>
      </c>
      <c r="P1544">
        <v>2025</v>
      </c>
    </row>
    <row r="1545" spans="1:16">
      <c r="A1545">
        <v>27.4</v>
      </c>
      <c r="B1545">
        <v>4</v>
      </c>
      <c r="C1545" t="s">
        <v>2221</v>
      </c>
      <c r="D1545" t="s">
        <v>2222</v>
      </c>
      <c r="E1545" t="s">
        <v>798</v>
      </c>
      <c r="F1545" t="s">
        <v>816</v>
      </c>
      <c r="G1545" t="s">
        <v>817</v>
      </c>
      <c r="H1545" t="s">
        <v>673</v>
      </c>
      <c r="I1545" t="s">
        <v>100</v>
      </c>
      <c r="J1545">
        <v>6.85</v>
      </c>
      <c r="K1545" s="1">
        <v>46154</v>
      </c>
      <c r="L1545" t="s">
        <v>48</v>
      </c>
      <c r="M1545">
        <v>12</v>
      </c>
      <c r="N1545">
        <v>5</v>
      </c>
      <c r="O1545">
        <v>2</v>
      </c>
      <c r="P1545">
        <v>2026</v>
      </c>
    </row>
    <row r="1546" spans="1:16">
      <c r="A1546">
        <v>199.05</v>
      </c>
      <c r="B1546">
        <v>5</v>
      </c>
      <c r="C1546" t="s">
        <v>3365</v>
      </c>
      <c r="D1546" t="s">
        <v>3366</v>
      </c>
      <c r="E1546" t="s">
        <v>2338</v>
      </c>
      <c r="F1546" t="s">
        <v>919</v>
      </c>
      <c r="G1546" t="s">
        <v>786</v>
      </c>
      <c r="H1546" t="s">
        <v>154</v>
      </c>
      <c r="I1546" t="s">
        <v>37</v>
      </c>
      <c r="J1546">
        <v>39.81</v>
      </c>
      <c r="K1546" s="1">
        <v>46171</v>
      </c>
      <c r="L1546" t="s">
        <v>79</v>
      </c>
      <c r="M1546">
        <v>29</v>
      </c>
      <c r="N1546">
        <v>5</v>
      </c>
      <c r="O1546">
        <v>2</v>
      </c>
      <c r="P1546">
        <v>2026</v>
      </c>
    </row>
    <row r="1547" spans="1:16">
      <c r="A1547">
        <v>263.01</v>
      </c>
      <c r="B1547">
        <v>3</v>
      </c>
      <c r="C1547" t="s">
        <v>2801</v>
      </c>
      <c r="D1547" t="s">
        <v>2802</v>
      </c>
      <c r="E1547" t="s">
        <v>2535</v>
      </c>
      <c r="F1547" t="s">
        <v>713</v>
      </c>
      <c r="G1547" t="s">
        <v>908</v>
      </c>
      <c r="H1547" t="s">
        <v>1774</v>
      </c>
      <c r="I1547" t="s">
        <v>27</v>
      </c>
      <c r="J1547">
        <v>87.67</v>
      </c>
      <c r="K1547" s="1">
        <v>46253</v>
      </c>
      <c r="L1547" t="s">
        <v>34</v>
      </c>
      <c r="M1547">
        <v>19</v>
      </c>
      <c r="N1547">
        <v>8</v>
      </c>
      <c r="O1547">
        <v>3</v>
      </c>
      <c r="P1547">
        <v>2026</v>
      </c>
    </row>
    <row r="1548" spans="1:16">
      <c r="A1548">
        <v>269.76</v>
      </c>
      <c r="B1548">
        <v>2</v>
      </c>
      <c r="C1548" t="s">
        <v>2432</v>
      </c>
      <c r="D1548" t="s">
        <v>2433</v>
      </c>
      <c r="E1548" t="s">
        <v>2434</v>
      </c>
      <c r="F1548" t="s">
        <v>1257</v>
      </c>
      <c r="G1548" t="s">
        <v>839</v>
      </c>
      <c r="H1548" t="s">
        <v>595</v>
      </c>
      <c r="I1548" t="s">
        <v>27</v>
      </c>
      <c r="J1548">
        <v>134.88</v>
      </c>
      <c r="K1548" s="1">
        <v>46003</v>
      </c>
      <c r="L1548" t="s">
        <v>79</v>
      </c>
      <c r="M1548">
        <v>12</v>
      </c>
      <c r="N1548">
        <v>12</v>
      </c>
      <c r="O1548">
        <v>4</v>
      </c>
      <c r="P1548">
        <v>2025</v>
      </c>
    </row>
    <row r="1549" spans="1:16">
      <c r="A1549">
        <v>1125.25</v>
      </c>
      <c r="B1549">
        <v>5</v>
      </c>
      <c r="C1549" t="s">
        <v>2923</v>
      </c>
      <c r="D1549" t="s">
        <v>2924</v>
      </c>
      <c r="E1549" t="s">
        <v>1585</v>
      </c>
      <c r="F1549" t="s">
        <v>1111</v>
      </c>
      <c r="G1549" t="s">
        <v>981</v>
      </c>
      <c r="H1549" t="s">
        <v>320</v>
      </c>
      <c r="I1549" t="s">
        <v>21</v>
      </c>
      <c r="J1549">
        <v>225.05</v>
      </c>
      <c r="K1549" s="1">
        <v>45972</v>
      </c>
      <c r="L1549" t="s">
        <v>48</v>
      </c>
      <c r="M1549">
        <v>11</v>
      </c>
      <c r="N1549">
        <v>11</v>
      </c>
      <c r="O1549">
        <v>4</v>
      </c>
      <c r="P1549">
        <v>2025</v>
      </c>
    </row>
    <row r="1550" spans="1:16">
      <c r="A1550">
        <v>26.45</v>
      </c>
      <c r="B1550">
        <v>5</v>
      </c>
      <c r="C1550" t="s">
        <v>3483</v>
      </c>
      <c r="D1550" t="s">
        <v>3484</v>
      </c>
      <c r="E1550" t="s">
        <v>2241</v>
      </c>
      <c r="F1550" t="s">
        <v>1017</v>
      </c>
      <c r="G1550" t="s">
        <v>966</v>
      </c>
      <c r="H1550" t="s">
        <v>394</v>
      </c>
      <c r="I1550" t="s">
        <v>122</v>
      </c>
      <c r="J1550">
        <v>5.29</v>
      </c>
      <c r="K1550" s="1">
        <v>46024</v>
      </c>
      <c r="L1550" t="s">
        <v>79</v>
      </c>
      <c r="M1550">
        <v>2</v>
      </c>
      <c r="N1550">
        <v>1</v>
      </c>
      <c r="O1550">
        <v>1</v>
      </c>
      <c r="P1550">
        <v>2026</v>
      </c>
    </row>
    <row r="1551" spans="1:16">
      <c r="A1551">
        <v>438.62</v>
      </c>
      <c r="B1551">
        <v>2</v>
      </c>
      <c r="C1551" t="s">
        <v>1399</v>
      </c>
      <c r="D1551" t="s">
        <v>1400</v>
      </c>
      <c r="E1551" t="s">
        <v>922</v>
      </c>
      <c r="F1551" t="s">
        <v>1401</v>
      </c>
      <c r="G1551" t="s">
        <v>943</v>
      </c>
      <c r="H1551" t="s">
        <v>594</v>
      </c>
      <c r="I1551" t="s">
        <v>43</v>
      </c>
      <c r="J1551">
        <v>219.31</v>
      </c>
      <c r="K1551" s="1">
        <v>46205</v>
      </c>
      <c r="L1551" t="s">
        <v>105</v>
      </c>
      <c r="M1551">
        <v>2</v>
      </c>
      <c r="N1551">
        <v>7</v>
      </c>
      <c r="O1551">
        <v>3</v>
      </c>
      <c r="P1551">
        <v>2026</v>
      </c>
    </row>
    <row r="1552" spans="1:16">
      <c r="A1552">
        <v>233.44</v>
      </c>
      <c r="B1552">
        <v>2</v>
      </c>
      <c r="C1552" t="s">
        <v>1918</v>
      </c>
      <c r="D1552" t="s">
        <v>1919</v>
      </c>
      <c r="E1552" t="s">
        <v>935</v>
      </c>
      <c r="F1552" t="s">
        <v>1920</v>
      </c>
      <c r="G1552" t="s">
        <v>807</v>
      </c>
      <c r="H1552" t="s">
        <v>500</v>
      </c>
      <c r="I1552" t="s">
        <v>27</v>
      </c>
      <c r="J1552">
        <v>116.72</v>
      </c>
      <c r="K1552" s="1">
        <v>45842</v>
      </c>
      <c r="L1552" t="s">
        <v>79</v>
      </c>
      <c r="M1552">
        <v>4</v>
      </c>
      <c r="N1552">
        <v>7</v>
      </c>
      <c r="O1552">
        <v>3</v>
      </c>
      <c r="P1552">
        <v>2025</v>
      </c>
    </row>
    <row r="1553" spans="1:16">
      <c r="A1553">
        <v>346.26</v>
      </c>
      <c r="B1553">
        <v>3</v>
      </c>
      <c r="C1553" t="s">
        <v>996</v>
      </c>
      <c r="D1553" t="s">
        <v>997</v>
      </c>
      <c r="E1553" t="s">
        <v>998</v>
      </c>
      <c r="F1553" t="s">
        <v>762</v>
      </c>
      <c r="G1553" t="s">
        <v>763</v>
      </c>
      <c r="H1553" t="s">
        <v>598</v>
      </c>
      <c r="I1553" t="s">
        <v>31</v>
      </c>
      <c r="J1553">
        <v>115.42</v>
      </c>
      <c r="K1553" s="1">
        <v>46018</v>
      </c>
      <c r="L1553" t="s">
        <v>14</v>
      </c>
      <c r="M1553">
        <v>27</v>
      </c>
      <c r="N1553">
        <v>12</v>
      </c>
      <c r="O1553">
        <v>4</v>
      </c>
      <c r="P1553">
        <v>2025</v>
      </c>
    </row>
    <row r="1554" spans="1:16">
      <c r="A1554">
        <v>934.24</v>
      </c>
      <c r="B1554">
        <v>4</v>
      </c>
      <c r="C1554" t="s">
        <v>1147</v>
      </c>
      <c r="D1554" t="s">
        <v>1148</v>
      </c>
      <c r="E1554" t="s">
        <v>1149</v>
      </c>
      <c r="F1554" t="s">
        <v>1071</v>
      </c>
      <c r="G1554" t="s">
        <v>817</v>
      </c>
      <c r="H1554" t="s">
        <v>247</v>
      </c>
      <c r="I1554" t="s">
        <v>55</v>
      </c>
      <c r="J1554">
        <v>233.56</v>
      </c>
      <c r="K1554" s="1">
        <v>45788</v>
      </c>
      <c r="L1554" t="s">
        <v>28</v>
      </c>
      <c r="M1554">
        <v>11</v>
      </c>
      <c r="N1554">
        <v>5</v>
      </c>
      <c r="O1554">
        <v>2</v>
      </c>
      <c r="P1554">
        <v>2025</v>
      </c>
    </row>
    <row r="1555" spans="1:16">
      <c r="A1555">
        <v>366.54</v>
      </c>
      <c r="B1555">
        <v>3</v>
      </c>
      <c r="C1555" t="s">
        <v>2893</v>
      </c>
      <c r="D1555" t="s">
        <v>2894</v>
      </c>
      <c r="E1555" t="s">
        <v>2141</v>
      </c>
      <c r="F1555" t="s">
        <v>1302</v>
      </c>
      <c r="G1555" t="s">
        <v>786</v>
      </c>
      <c r="H1555" t="s">
        <v>433</v>
      </c>
      <c r="I1555" t="s">
        <v>100</v>
      </c>
      <c r="J1555">
        <v>122.18</v>
      </c>
      <c r="K1555" s="1">
        <v>45550</v>
      </c>
      <c r="L1555" t="s">
        <v>28</v>
      </c>
      <c r="M1555">
        <v>15</v>
      </c>
      <c r="N1555">
        <v>9</v>
      </c>
      <c r="O1555">
        <v>3</v>
      </c>
      <c r="P1555">
        <v>2024</v>
      </c>
    </row>
    <row r="1556" spans="1:16">
      <c r="A1556">
        <v>115.27</v>
      </c>
      <c r="B1556">
        <v>1</v>
      </c>
      <c r="C1556" t="s">
        <v>1702</v>
      </c>
      <c r="D1556" t="s">
        <v>1703</v>
      </c>
      <c r="E1556" t="s">
        <v>1324</v>
      </c>
      <c r="F1556" t="s">
        <v>1026</v>
      </c>
      <c r="G1556" t="s">
        <v>896</v>
      </c>
      <c r="H1556" t="s">
        <v>198</v>
      </c>
      <c r="I1556" t="s">
        <v>43</v>
      </c>
      <c r="J1556">
        <v>115.27</v>
      </c>
      <c r="K1556" s="1">
        <v>46069</v>
      </c>
      <c r="L1556" t="s">
        <v>93</v>
      </c>
      <c r="M1556">
        <v>16</v>
      </c>
      <c r="N1556">
        <v>2</v>
      </c>
      <c r="O1556">
        <v>1</v>
      </c>
      <c r="P1556">
        <v>2026</v>
      </c>
    </row>
    <row r="1557" spans="1:16">
      <c r="A1557">
        <v>33.17</v>
      </c>
      <c r="B1557">
        <v>1</v>
      </c>
      <c r="C1557" t="s">
        <v>2846</v>
      </c>
      <c r="D1557" t="s">
        <v>2847</v>
      </c>
      <c r="E1557" t="s">
        <v>2848</v>
      </c>
      <c r="F1557" t="s">
        <v>985</v>
      </c>
      <c r="G1557" t="s">
        <v>817</v>
      </c>
      <c r="H1557" t="s">
        <v>481</v>
      </c>
      <c r="I1557" t="s">
        <v>69</v>
      </c>
      <c r="J1557">
        <v>33.17</v>
      </c>
      <c r="K1557" s="1">
        <v>45920</v>
      </c>
      <c r="L1557" t="s">
        <v>14</v>
      </c>
      <c r="M1557">
        <v>20</v>
      </c>
      <c r="N1557">
        <v>9</v>
      </c>
      <c r="O1557">
        <v>3</v>
      </c>
      <c r="P1557">
        <v>2025</v>
      </c>
    </row>
    <row r="1558" spans="1:16">
      <c r="A1558">
        <v>883.4</v>
      </c>
      <c r="B1558">
        <v>4</v>
      </c>
      <c r="C1558" t="s">
        <v>904</v>
      </c>
      <c r="D1558" t="s">
        <v>905</v>
      </c>
      <c r="E1558" t="s">
        <v>906</v>
      </c>
      <c r="F1558" t="s">
        <v>907</v>
      </c>
      <c r="G1558" t="s">
        <v>908</v>
      </c>
      <c r="H1558" t="s">
        <v>309</v>
      </c>
      <c r="I1558" t="s">
        <v>100</v>
      </c>
      <c r="J1558">
        <v>220.85</v>
      </c>
      <c r="K1558" s="1">
        <v>45966</v>
      </c>
      <c r="L1558" t="s">
        <v>34</v>
      </c>
      <c r="M1558">
        <v>5</v>
      </c>
      <c r="N1558">
        <v>11</v>
      </c>
      <c r="O1558">
        <v>4</v>
      </c>
      <c r="P1558">
        <v>2025</v>
      </c>
    </row>
    <row r="1559" spans="1:16">
      <c r="A1559">
        <v>485.62</v>
      </c>
      <c r="B1559">
        <v>2</v>
      </c>
      <c r="C1559" t="s">
        <v>2907</v>
      </c>
      <c r="D1559" t="s">
        <v>2908</v>
      </c>
      <c r="E1559" t="s">
        <v>925</v>
      </c>
      <c r="F1559" t="s">
        <v>1384</v>
      </c>
      <c r="G1559" t="s">
        <v>908</v>
      </c>
      <c r="H1559" t="s">
        <v>329</v>
      </c>
      <c r="I1559" t="s">
        <v>82</v>
      </c>
      <c r="J1559">
        <v>242.81</v>
      </c>
      <c r="K1559" s="1">
        <v>45803</v>
      </c>
      <c r="L1559" t="s">
        <v>93</v>
      </c>
      <c r="M1559">
        <v>26</v>
      </c>
      <c r="N1559">
        <v>5</v>
      </c>
      <c r="O1559">
        <v>2</v>
      </c>
      <c r="P1559">
        <v>2025</v>
      </c>
    </row>
    <row r="1560" spans="1:16">
      <c r="A1560">
        <v>70.22</v>
      </c>
      <c r="B1560">
        <v>2</v>
      </c>
      <c r="C1560" t="s">
        <v>1333</v>
      </c>
      <c r="D1560" t="s">
        <v>1334</v>
      </c>
      <c r="E1560" t="s">
        <v>1335</v>
      </c>
      <c r="F1560" t="s">
        <v>1302</v>
      </c>
      <c r="G1560" t="s">
        <v>786</v>
      </c>
      <c r="H1560" t="s">
        <v>400</v>
      </c>
      <c r="I1560" t="s">
        <v>57</v>
      </c>
      <c r="J1560">
        <v>35.11</v>
      </c>
      <c r="K1560" s="1">
        <v>46229</v>
      </c>
      <c r="L1560" t="s">
        <v>28</v>
      </c>
      <c r="M1560">
        <v>26</v>
      </c>
      <c r="N1560">
        <v>7</v>
      </c>
      <c r="O1560">
        <v>3</v>
      </c>
      <c r="P1560">
        <v>2026</v>
      </c>
    </row>
    <row r="1561" spans="1:16">
      <c r="A1561">
        <v>107.03</v>
      </c>
      <c r="B1561">
        <v>1</v>
      </c>
      <c r="C1561" t="s">
        <v>3148</v>
      </c>
      <c r="D1561" t="s">
        <v>3149</v>
      </c>
      <c r="E1561" t="s">
        <v>1709</v>
      </c>
      <c r="F1561" t="s">
        <v>691</v>
      </c>
      <c r="G1561" t="s">
        <v>776</v>
      </c>
      <c r="H1561" t="s">
        <v>529</v>
      </c>
      <c r="I1561" t="s">
        <v>37</v>
      </c>
      <c r="J1561">
        <v>107.03</v>
      </c>
      <c r="K1561" s="1">
        <v>45622</v>
      </c>
      <c r="L1561" t="s">
        <v>48</v>
      </c>
      <c r="M1561">
        <v>26</v>
      </c>
      <c r="N1561">
        <v>11</v>
      </c>
      <c r="O1561">
        <v>4</v>
      </c>
      <c r="P1561">
        <v>2024</v>
      </c>
    </row>
    <row r="1562" spans="1:16">
      <c r="A1562">
        <v>338.52</v>
      </c>
      <c r="B1562">
        <v>4</v>
      </c>
      <c r="C1562" t="s">
        <v>2810</v>
      </c>
      <c r="D1562" t="s">
        <v>2811</v>
      </c>
      <c r="E1562" t="s">
        <v>2775</v>
      </c>
      <c r="F1562" t="s">
        <v>199</v>
      </c>
      <c r="G1562" t="s">
        <v>781</v>
      </c>
      <c r="H1562" t="s">
        <v>495</v>
      </c>
      <c r="I1562" t="s">
        <v>39</v>
      </c>
      <c r="J1562">
        <v>84.63</v>
      </c>
      <c r="K1562" s="1">
        <v>46014</v>
      </c>
      <c r="L1562" t="s">
        <v>48</v>
      </c>
      <c r="M1562">
        <v>23</v>
      </c>
      <c r="N1562">
        <v>12</v>
      </c>
      <c r="O1562">
        <v>4</v>
      </c>
      <c r="P1562">
        <v>2025</v>
      </c>
    </row>
    <row r="1563" spans="1:16">
      <c r="A1563">
        <v>205.95</v>
      </c>
      <c r="B1563">
        <v>1</v>
      </c>
      <c r="C1563" t="s">
        <v>3373</v>
      </c>
      <c r="D1563" t="s">
        <v>3374</v>
      </c>
      <c r="E1563" t="s">
        <v>2754</v>
      </c>
      <c r="F1563" t="s">
        <v>211</v>
      </c>
      <c r="G1563" t="s">
        <v>966</v>
      </c>
      <c r="H1563" t="s">
        <v>705</v>
      </c>
      <c r="I1563" t="s">
        <v>60</v>
      </c>
      <c r="J1563">
        <v>205.95</v>
      </c>
      <c r="K1563" s="1">
        <v>45605</v>
      </c>
      <c r="L1563" t="s">
        <v>14</v>
      </c>
      <c r="M1563">
        <v>9</v>
      </c>
      <c r="N1563">
        <v>11</v>
      </c>
      <c r="O1563">
        <v>4</v>
      </c>
      <c r="P1563">
        <v>2024</v>
      </c>
    </row>
    <row r="1564" spans="1:16">
      <c r="A1564">
        <v>108.81</v>
      </c>
      <c r="B1564">
        <v>1</v>
      </c>
      <c r="C1564" t="s">
        <v>2644</v>
      </c>
      <c r="D1564" t="s">
        <v>2645</v>
      </c>
      <c r="E1564" t="s">
        <v>2383</v>
      </c>
      <c r="F1564" t="s">
        <v>862</v>
      </c>
      <c r="G1564" t="s">
        <v>981</v>
      </c>
      <c r="H1564" t="s">
        <v>453</v>
      </c>
      <c r="I1564" t="s">
        <v>55</v>
      </c>
      <c r="J1564">
        <v>108.81</v>
      </c>
      <c r="K1564" s="1">
        <v>45662</v>
      </c>
      <c r="L1564" t="s">
        <v>28</v>
      </c>
      <c r="M1564">
        <v>5</v>
      </c>
      <c r="N1564">
        <v>1</v>
      </c>
      <c r="O1564">
        <v>1</v>
      </c>
      <c r="P1564">
        <v>2025</v>
      </c>
    </row>
    <row r="1565" spans="1:16">
      <c r="A1565">
        <v>95.55</v>
      </c>
      <c r="B1565">
        <v>5</v>
      </c>
      <c r="C1565" t="s">
        <v>2899</v>
      </c>
      <c r="D1565" t="s">
        <v>2900</v>
      </c>
      <c r="E1565" t="s">
        <v>1152</v>
      </c>
      <c r="F1565" t="s">
        <v>464</v>
      </c>
      <c r="G1565" t="s">
        <v>896</v>
      </c>
      <c r="H1565" t="s">
        <v>410</v>
      </c>
      <c r="I1565" t="s">
        <v>97</v>
      </c>
      <c r="J1565">
        <v>19.11</v>
      </c>
      <c r="K1565" s="1">
        <v>46032</v>
      </c>
      <c r="L1565" t="s">
        <v>14</v>
      </c>
      <c r="M1565">
        <v>10</v>
      </c>
      <c r="N1565">
        <v>1</v>
      </c>
      <c r="O1565">
        <v>1</v>
      </c>
      <c r="P1565">
        <v>2026</v>
      </c>
    </row>
    <row r="1566" spans="1:16">
      <c r="A1566">
        <v>81.8</v>
      </c>
      <c r="B1566">
        <v>5</v>
      </c>
      <c r="C1566" t="s">
        <v>1101</v>
      </c>
      <c r="D1566" t="s">
        <v>1102</v>
      </c>
      <c r="E1566" t="s">
        <v>1103</v>
      </c>
      <c r="F1566" t="s">
        <v>825</v>
      </c>
      <c r="G1566" t="s">
        <v>781</v>
      </c>
      <c r="H1566" t="s">
        <v>1183</v>
      </c>
      <c r="I1566" t="s">
        <v>100</v>
      </c>
      <c r="J1566">
        <v>16.36</v>
      </c>
      <c r="K1566" s="1">
        <v>45938</v>
      </c>
      <c r="L1566" t="s">
        <v>34</v>
      </c>
      <c r="M1566">
        <v>8</v>
      </c>
      <c r="N1566">
        <v>10</v>
      </c>
      <c r="O1566">
        <v>4</v>
      </c>
      <c r="P1566">
        <v>2025</v>
      </c>
    </row>
    <row r="1567" spans="1:16">
      <c r="A1567">
        <v>72.72</v>
      </c>
      <c r="B1567">
        <v>4</v>
      </c>
      <c r="C1567" t="s">
        <v>2412</v>
      </c>
      <c r="D1567" t="s">
        <v>2413</v>
      </c>
      <c r="E1567" t="s">
        <v>875</v>
      </c>
      <c r="F1567" t="s">
        <v>825</v>
      </c>
      <c r="G1567" t="s">
        <v>781</v>
      </c>
      <c r="H1567" t="s">
        <v>284</v>
      </c>
      <c r="I1567" t="s">
        <v>97</v>
      </c>
      <c r="J1567">
        <v>18.18</v>
      </c>
      <c r="K1567" s="1">
        <v>45569</v>
      </c>
      <c r="L1567" t="s">
        <v>79</v>
      </c>
      <c r="M1567">
        <v>4</v>
      </c>
      <c r="N1567">
        <v>10</v>
      </c>
      <c r="O1567">
        <v>4</v>
      </c>
      <c r="P1567">
        <v>2024</v>
      </c>
    </row>
    <row r="1568" spans="1:16">
      <c r="A1568">
        <v>488.64</v>
      </c>
      <c r="B1568">
        <v>2</v>
      </c>
      <c r="C1568" t="s">
        <v>3339</v>
      </c>
      <c r="D1568" t="s">
        <v>3340</v>
      </c>
      <c r="E1568" t="s">
        <v>3341</v>
      </c>
      <c r="F1568" t="s">
        <v>328</v>
      </c>
      <c r="G1568" t="s">
        <v>1003</v>
      </c>
      <c r="H1568" t="s">
        <v>613</v>
      </c>
      <c r="I1568" t="s">
        <v>21</v>
      </c>
      <c r="J1568">
        <v>244.32</v>
      </c>
      <c r="K1568" s="1">
        <v>45656</v>
      </c>
      <c r="L1568" t="s">
        <v>93</v>
      </c>
      <c r="M1568">
        <v>30</v>
      </c>
      <c r="N1568">
        <v>12</v>
      </c>
      <c r="O1568">
        <v>4</v>
      </c>
      <c r="P1568">
        <v>2024</v>
      </c>
    </row>
    <row r="1569" spans="1:16">
      <c r="A1569">
        <v>489.96</v>
      </c>
      <c r="B1569">
        <v>4</v>
      </c>
      <c r="C1569" t="s">
        <v>1570</v>
      </c>
      <c r="D1569" t="s">
        <v>1571</v>
      </c>
      <c r="E1569" t="s">
        <v>1274</v>
      </c>
      <c r="F1569" t="s">
        <v>1502</v>
      </c>
      <c r="G1569" t="s">
        <v>817</v>
      </c>
      <c r="H1569" t="s">
        <v>449</v>
      </c>
      <c r="I1569" t="s">
        <v>82</v>
      </c>
      <c r="J1569">
        <v>122.49</v>
      </c>
      <c r="K1569" s="1">
        <v>45737</v>
      </c>
      <c r="L1569" t="s">
        <v>79</v>
      </c>
      <c r="M1569">
        <v>21</v>
      </c>
      <c r="N1569">
        <v>3</v>
      </c>
      <c r="O1569">
        <v>1</v>
      </c>
      <c r="P1569">
        <v>2025</v>
      </c>
    </row>
    <row r="1570" spans="1:16">
      <c r="A1570">
        <v>38.61</v>
      </c>
      <c r="B1570">
        <v>1</v>
      </c>
      <c r="C1570" t="s">
        <v>3280</v>
      </c>
      <c r="D1570" t="s">
        <v>3281</v>
      </c>
      <c r="E1570" t="s">
        <v>2615</v>
      </c>
      <c r="F1570" t="s">
        <v>387</v>
      </c>
      <c r="G1570" t="s">
        <v>821</v>
      </c>
      <c r="H1570" t="s">
        <v>58</v>
      </c>
      <c r="I1570" t="s">
        <v>25</v>
      </c>
      <c r="J1570">
        <v>38.61</v>
      </c>
      <c r="K1570" s="1">
        <v>45778</v>
      </c>
      <c r="L1570" t="s">
        <v>105</v>
      </c>
      <c r="M1570">
        <v>1</v>
      </c>
      <c r="N1570">
        <v>5</v>
      </c>
      <c r="O1570">
        <v>2</v>
      </c>
      <c r="P1570">
        <v>2025</v>
      </c>
    </row>
    <row r="1571" spans="1:16">
      <c r="A1571">
        <v>109.22999999999999</v>
      </c>
      <c r="B1571">
        <v>3</v>
      </c>
      <c r="C1571" t="s">
        <v>1322</v>
      </c>
      <c r="D1571" t="s">
        <v>1323</v>
      </c>
      <c r="E1571" t="s">
        <v>1324</v>
      </c>
      <c r="F1571" t="s">
        <v>29</v>
      </c>
      <c r="G1571" t="s">
        <v>821</v>
      </c>
      <c r="H1571" t="s">
        <v>607</v>
      </c>
      <c r="I1571" t="s">
        <v>43</v>
      </c>
      <c r="J1571">
        <v>36.409999999999997</v>
      </c>
      <c r="K1571" s="1">
        <v>46270</v>
      </c>
      <c r="L1571" t="s">
        <v>14</v>
      </c>
      <c r="M1571">
        <v>5</v>
      </c>
      <c r="N1571">
        <v>9</v>
      </c>
      <c r="O1571">
        <v>3</v>
      </c>
      <c r="P1571">
        <v>2026</v>
      </c>
    </row>
    <row r="1572" spans="1:16">
      <c r="A1572">
        <v>224.2</v>
      </c>
      <c r="B1572">
        <v>4</v>
      </c>
      <c r="C1572" t="s">
        <v>1671</v>
      </c>
      <c r="D1572" t="s">
        <v>1672</v>
      </c>
      <c r="E1572" t="s">
        <v>1013</v>
      </c>
      <c r="F1572" t="s">
        <v>1673</v>
      </c>
      <c r="G1572" t="s">
        <v>821</v>
      </c>
      <c r="H1572" t="s">
        <v>32</v>
      </c>
      <c r="I1572" t="s">
        <v>19</v>
      </c>
      <c r="J1572">
        <v>56.05</v>
      </c>
      <c r="K1572" s="1">
        <v>45994</v>
      </c>
      <c r="L1572" t="s">
        <v>34</v>
      </c>
      <c r="M1572">
        <v>3</v>
      </c>
      <c r="N1572">
        <v>12</v>
      </c>
      <c r="O1572">
        <v>4</v>
      </c>
      <c r="P1572">
        <v>2025</v>
      </c>
    </row>
    <row r="1573" spans="1:16">
      <c r="A1573">
        <v>173.51</v>
      </c>
      <c r="B1573">
        <v>1</v>
      </c>
      <c r="C1573" t="s">
        <v>1702</v>
      </c>
      <c r="D1573" t="s">
        <v>1703</v>
      </c>
      <c r="E1573" t="s">
        <v>1324</v>
      </c>
      <c r="F1573" t="s">
        <v>1026</v>
      </c>
      <c r="G1573" t="s">
        <v>896</v>
      </c>
      <c r="H1573" t="s">
        <v>734</v>
      </c>
      <c r="I1573" t="s">
        <v>51</v>
      </c>
      <c r="J1573">
        <v>173.51</v>
      </c>
      <c r="K1573" s="1">
        <v>45721</v>
      </c>
      <c r="L1573" t="s">
        <v>34</v>
      </c>
      <c r="M1573">
        <v>5</v>
      </c>
      <c r="N1573">
        <v>3</v>
      </c>
      <c r="O1573">
        <v>1</v>
      </c>
      <c r="P1573">
        <v>2025</v>
      </c>
    </row>
    <row r="1574" spans="1:16">
      <c r="A1574">
        <v>24.83</v>
      </c>
      <c r="B1574">
        <v>1</v>
      </c>
      <c r="C1574" t="s">
        <v>2776</v>
      </c>
      <c r="D1574" t="s">
        <v>2777</v>
      </c>
      <c r="E1574" t="s">
        <v>1409</v>
      </c>
      <c r="F1574" t="s">
        <v>858</v>
      </c>
      <c r="G1574" t="s">
        <v>753</v>
      </c>
      <c r="H1574" t="s">
        <v>338</v>
      </c>
      <c r="I1574" t="s">
        <v>82</v>
      </c>
      <c r="J1574">
        <v>24.83</v>
      </c>
      <c r="K1574" s="1">
        <v>45894</v>
      </c>
      <c r="L1574" t="s">
        <v>93</v>
      </c>
      <c r="M1574">
        <v>25</v>
      </c>
      <c r="N1574">
        <v>8</v>
      </c>
      <c r="O1574">
        <v>3</v>
      </c>
      <c r="P1574">
        <v>2025</v>
      </c>
    </row>
    <row r="1575" spans="1:16">
      <c r="A1575">
        <v>131.25</v>
      </c>
      <c r="B1575">
        <v>5</v>
      </c>
      <c r="C1575" t="s">
        <v>2504</v>
      </c>
      <c r="D1575" t="s">
        <v>2505</v>
      </c>
      <c r="E1575" t="s">
        <v>1452</v>
      </c>
      <c r="F1575" t="s">
        <v>1339</v>
      </c>
      <c r="G1575" t="s">
        <v>1247</v>
      </c>
      <c r="H1575" t="s">
        <v>493</v>
      </c>
      <c r="I1575" t="s">
        <v>46</v>
      </c>
      <c r="J1575">
        <v>26.25</v>
      </c>
      <c r="K1575" s="1">
        <v>45652</v>
      </c>
      <c r="L1575" t="s">
        <v>105</v>
      </c>
      <c r="M1575">
        <v>26</v>
      </c>
      <c r="N1575">
        <v>12</v>
      </c>
      <c r="O1575">
        <v>4</v>
      </c>
      <c r="P1575">
        <v>2024</v>
      </c>
    </row>
    <row r="1576" spans="1:16">
      <c r="A1576">
        <v>445.82</v>
      </c>
      <c r="B1576">
        <v>2</v>
      </c>
      <c r="C1576" t="s">
        <v>1503</v>
      </c>
      <c r="D1576" t="s">
        <v>1504</v>
      </c>
      <c r="E1576" t="s">
        <v>1505</v>
      </c>
      <c r="F1576" t="s">
        <v>929</v>
      </c>
      <c r="G1576" t="s">
        <v>830</v>
      </c>
      <c r="H1576" t="s">
        <v>438</v>
      </c>
      <c r="I1576" t="s">
        <v>51</v>
      </c>
      <c r="J1576">
        <v>222.91</v>
      </c>
      <c r="K1576" s="1">
        <v>45592</v>
      </c>
      <c r="L1576" t="s">
        <v>28</v>
      </c>
      <c r="M1576">
        <v>27</v>
      </c>
      <c r="N1576">
        <v>10</v>
      </c>
      <c r="O1576">
        <v>4</v>
      </c>
      <c r="P1576">
        <v>2024</v>
      </c>
    </row>
    <row r="1577" spans="1:16">
      <c r="A1577">
        <v>667.53</v>
      </c>
      <c r="B1577">
        <v>3</v>
      </c>
      <c r="C1577" t="s">
        <v>873</v>
      </c>
      <c r="D1577" t="s">
        <v>874</v>
      </c>
      <c r="E1577" t="s">
        <v>875</v>
      </c>
      <c r="F1577" t="s">
        <v>387</v>
      </c>
      <c r="G1577" t="s">
        <v>821</v>
      </c>
      <c r="H1577" t="s">
        <v>142</v>
      </c>
      <c r="I1577" t="s">
        <v>60</v>
      </c>
      <c r="J1577">
        <v>222.51</v>
      </c>
      <c r="K1577" s="1">
        <v>45736</v>
      </c>
      <c r="L1577" t="s">
        <v>105</v>
      </c>
      <c r="M1577">
        <v>20</v>
      </c>
      <c r="N1577">
        <v>3</v>
      </c>
      <c r="O1577">
        <v>1</v>
      </c>
      <c r="P1577">
        <v>2025</v>
      </c>
    </row>
    <row r="1578" spans="1:16">
      <c r="A1578">
        <v>194.43</v>
      </c>
      <c r="B1578">
        <v>3</v>
      </c>
      <c r="C1578" t="s">
        <v>1068</v>
      </c>
      <c r="D1578" t="s">
        <v>1069</v>
      </c>
      <c r="E1578" t="s">
        <v>1070</v>
      </c>
      <c r="F1578" t="s">
        <v>1071</v>
      </c>
      <c r="G1578" t="s">
        <v>817</v>
      </c>
      <c r="H1578" t="s">
        <v>471</v>
      </c>
      <c r="I1578" t="s">
        <v>19</v>
      </c>
      <c r="J1578">
        <v>64.81</v>
      </c>
      <c r="K1578" s="1">
        <v>46261</v>
      </c>
      <c r="L1578" t="s">
        <v>105</v>
      </c>
      <c r="M1578">
        <v>27</v>
      </c>
      <c r="N1578">
        <v>8</v>
      </c>
      <c r="O1578">
        <v>3</v>
      </c>
      <c r="P1578">
        <v>2026</v>
      </c>
    </row>
    <row r="1579" spans="1:16">
      <c r="A1579">
        <v>162.15</v>
      </c>
      <c r="B1579">
        <v>5</v>
      </c>
      <c r="C1579" t="s">
        <v>2819</v>
      </c>
      <c r="D1579" t="s">
        <v>2820</v>
      </c>
      <c r="E1579" t="s">
        <v>1619</v>
      </c>
      <c r="F1579" t="s">
        <v>1032</v>
      </c>
      <c r="G1579" t="s">
        <v>839</v>
      </c>
      <c r="H1579" t="s">
        <v>77</v>
      </c>
      <c r="I1579" t="s">
        <v>17</v>
      </c>
      <c r="J1579">
        <v>32.43</v>
      </c>
      <c r="K1579" s="1">
        <v>45667</v>
      </c>
      <c r="L1579" t="s">
        <v>79</v>
      </c>
      <c r="M1579">
        <v>10</v>
      </c>
      <c r="N1579">
        <v>1</v>
      </c>
      <c r="O1579">
        <v>1</v>
      </c>
      <c r="P1579">
        <v>2025</v>
      </c>
    </row>
    <row r="1580" spans="1:16">
      <c r="A1580">
        <v>58.95</v>
      </c>
      <c r="B1580">
        <v>1</v>
      </c>
      <c r="C1580" t="s">
        <v>3159</v>
      </c>
      <c r="D1580" t="s">
        <v>3160</v>
      </c>
      <c r="E1580" t="s">
        <v>1652</v>
      </c>
      <c r="F1580" t="s">
        <v>1107</v>
      </c>
      <c r="G1580" t="s">
        <v>763</v>
      </c>
      <c r="H1580" t="s">
        <v>75</v>
      </c>
      <c r="I1580" t="s">
        <v>27</v>
      </c>
      <c r="J1580">
        <v>58.95</v>
      </c>
      <c r="K1580" s="1">
        <v>46138</v>
      </c>
      <c r="L1580" t="s">
        <v>28</v>
      </c>
      <c r="M1580">
        <v>26</v>
      </c>
      <c r="N1580">
        <v>4</v>
      </c>
      <c r="O1580">
        <v>2</v>
      </c>
      <c r="P1580">
        <v>2026</v>
      </c>
    </row>
    <row r="1581" spans="1:16">
      <c r="A1581">
        <v>87.62</v>
      </c>
      <c r="B1581">
        <v>2</v>
      </c>
      <c r="C1581" t="s">
        <v>2350</v>
      </c>
      <c r="D1581" t="s">
        <v>2351</v>
      </c>
      <c r="E1581" t="s">
        <v>2346</v>
      </c>
      <c r="F1581" t="s">
        <v>1306</v>
      </c>
      <c r="G1581" t="s">
        <v>966</v>
      </c>
      <c r="H1581" t="s">
        <v>354</v>
      </c>
      <c r="I1581" t="s">
        <v>31</v>
      </c>
      <c r="J1581">
        <v>43.81</v>
      </c>
      <c r="K1581" s="1">
        <v>45895</v>
      </c>
      <c r="L1581" t="s">
        <v>48</v>
      </c>
      <c r="M1581">
        <v>26</v>
      </c>
      <c r="N1581">
        <v>8</v>
      </c>
      <c r="O1581">
        <v>3</v>
      </c>
      <c r="P1581">
        <v>2025</v>
      </c>
    </row>
    <row r="1582" spans="1:16">
      <c r="A1582">
        <v>179.55</v>
      </c>
      <c r="B1582">
        <v>1</v>
      </c>
      <c r="C1582" t="s">
        <v>1741</v>
      </c>
      <c r="D1582" t="s">
        <v>1742</v>
      </c>
      <c r="E1582" t="s">
        <v>1010</v>
      </c>
      <c r="F1582" t="s">
        <v>961</v>
      </c>
      <c r="G1582" t="s">
        <v>753</v>
      </c>
      <c r="H1582" t="s">
        <v>614</v>
      </c>
      <c r="I1582" t="s">
        <v>21</v>
      </c>
      <c r="J1582">
        <v>179.55</v>
      </c>
      <c r="K1582" s="1">
        <v>46191</v>
      </c>
      <c r="L1582" t="s">
        <v>105</v>
      </c>
      <c r="M1582">
        <v>18</v>
      </c>
      <c r="N1582">
        <v>6</v>
      </c>
      <c r="O1582">
        <v>2</v>
      </c>
      <c r="P1582">
        <v>2026</v>
      </c>
    </row>
    <row r="1583" spans="1:16">
      <c r="A1583">
        <v>400.96</v>
      </c>
      <c r="B1583">
        <v>2</v>
      </c>
      <c r="C1583" t="s">
        <v>1699</v>
      </c>
      <c r="D1583" t="s">
        <v>1700</v>
      </c>
      <c r="E1583" t="s">
        <v>1701</v>
      </c>
      <c r="F1583" t="s">
        <v>929</v>
      </c>
      <c r="G1583" t="s">
        <v>1247</v>
      </c>
      <c r="H1583" t="s">
        <v>2254</v>
      </c>
      <c r="I1583" t="s">
        <v>43</v>
      </c>
      <c r="J1583">
        <v>200.48</v>
      </c>
      <c r="K1583" s="1">
        <v>45587</v>
      </c>
      <c r="L1583" t="s">
        <v>48</v>
      </c>
      <c r="M1583">
        <v>22</v>
      </c>
      <c r="N1583">
        <v>10</v>
      </c>
      <c r="O1583">
        <v>4</v>
      </c>
      <c r="P1583">
        <v>2024</v>
      </c>
    </row>
    <row r="1584" spans="1:16">
      <c r="A1584">
        <v>19.38</v>
      </c>
      <c r="B1584">
        <v>1</v>
      </c>
      <c r="C1584" t="s">
        <v>1411</v>
      </c>
      <c r="D1584" t="s">
        <v>1412</v>
      </c>
      <c r="E1584" t="s">
        <v>1374</v>
      </c>
      <c r="F1584" t="s">
        <v>113</v>
      </c>
      <c r="G1584" t="s">
        <v>854</v>
      </c>
      <c r="H1584" t="s">
        <v>733</v>
      </c>
      <c r="I1584" t="s">
        <v>51</v>
      </c>
      <c r="J1584">
        <v>19.38</v>
      </c>
      <c r="K1584" s="1">
        <v>46176</v>
      </c>
      <c r="L1584" t="s">
        <v>34</v>
      </c>
      <c r="M1584">
        <v>3</v>
      </c>
      <c r="N1584">
        <v>6</v>
      </c>
      <c r="O1584">
        <v>2</v>
      </c>
      <c r="P1584">
        <v>2026</v>
      </c>
    </row>
    <row r="1585" spans="1:16">
      <c r="A1585">
        <v>23.17</v>
      </c>
      <c r="B1585">
        <v>1</v>
      </c>
      <c r="C1585" t="s">
        <v>2821</v>
      </c>
      <c r="D1585" t="s">
        <v>2822</v>
      </c>
      <c r="E1585" t="s">
        <v>2823</v>
      </c>
      <c r="F1585" t="s">
        <v>136</v>
      </c>
      <c r="G1585" t="s">
        <v>954</v>
      </c>
      <c r="H1585" t="s">
        <v>726</v>
      </c>
      <c r="I1585" t="s">
        <v>100</v>
      </c>
      <c r="J1585">
        <v>23.17</v>
      </c>
      <c r="K1585" s="1">
        <v>45993</v>
      </c>
      <c r="L1585" t="s">
        <v>48</v>
      </c>
      <c r="M1585">
        <v>2</v>
      </c>
      <c r="N1585">
        <v>12</v>
      </c>
      <c r="O1585">
        <v>4</v>
      </c>
      <c r="P1585">
        <v>2025</v>
      </c>
    </row>
    <row r="1586" spans="1:16">
      <c r="A1586">
        <v>1072.95</v>
      </c>
      <c r="B1586">
        <v>5</v>
      </c>
      <c r="C1586" t="s">
        <v>1243</v>
      </c>
      <c r="D1586" t="s">
        <v>1244</v>
      </c>
      <c r="E1586" t="s">
        <v>1245</v>
      </c>
      <c r="F1586" t="s">
        <v>1246</v>
      </c>
      <c r="G1586" t="s">
        <v>1247</v>
      </c>
      <c r="H1586" t="s">
        <v>571</v>
      </c>
      <c r="I1586" t="s">
        <v>23</v>
      </c>
      <c r="J1586">
        <v>214.59</v>
      </c>
      <c r="K1586" s="1">
        <v>45587</v>
      </c>
      <c r="L1586" t="s">
        <v>48</v>
      </c>
      <c r="M1586">
        <v>22</v>
      </c>
      <c r="N1586">
        <v>10</v>
      </c>
      <c r="O1586">
        <v>4</v>
      </c>
      <c r="P1586">
        <v>2024</v>
      </c>
    </row>
    <row r="1587" spans="1:16">
      <c r="A1587">
        <v>95.24</v>
      </c>
      <c r="B1587">
        <v>2</v>
      </c>
      <c r="C1587" t="s">
        <v>933</v>
      </c>
      <c r="D1587" t="s">
        <v>934</v>
      </c>
      <c r="E1587" t="s">
        <v>935</v>
      </c>
      <c r="F1587" t="s">
        <v>322</v>
      </c>
      <c r="G1587" t="s">
        <v>795</v>
      </c>
      <c r="H1587" t="s">
        <v>508</v>
      </c>
      <c r="I1587" t="s">
        <v>43</v>
      </c>
      <c r="J1587">
        <v>47.62</v>
      </c>
      <c r="K1587" s="1">
        <v>46201</v>
      </c>
      <c r="L1587" t="s">
        <v>28</v>
      </c>
      <c r="M1587">
        <v>28</v>
      </c>
      <c r="N1587">
        <v>6</v>
      </c>
      <c r="O1587">
        <v>2</v>
      </c>
      <c r="P1587">
        <v>2026</v>
      </c>
    </row>
    <row r="1588" spans="1:16">
      <c r="A1588">
        <v>1.37</v>
      </c>
      <c r="B1588">
        <v>1</v>
      </c>
      <c r="C1588" t="s">
        <v>1442</v>
      </c>
      <c r="D1588" t="s">
        <v>1443</v>
      </c>
      <c r="E1588" t="s">
        <v>1444</v>
      </c>
      <c r="F1588" t="s">
        <v>380</v>
      </c>
      <c r="G1588" t="s">
        <v>896</v>
      </c>
      <c r="H1588" t="s">
        <v>85</v>
      </c>
      <c r="I1588" t="s">
        <v>37</v>
      </c>
      <c r="J1588">
        <v>1.37</v>
      </c>
      <c r="K1588" s="1">
        <v>45960</v>
      </c>
      <c r="L1588" t="s">
        <v>105</v>
      </c>
      <c r="M1588">
        <v>30</v>
      </c>
      <c r="N1588">
        <v>10</v>
      </c>
      <c r="O1588">
        <v>4</v>
      </c>
      <c r="P1588">
        <v>2025</v>
      </c>
    </row>
    <row r="1589" spans="1:16">
      <c r="A1589">
        <v>3.66</v>
      </c>
      <c r="B1589">
        <v>3</v>
      </c>
      <c r="C1589" t="s">
        <v>1578</v>
      </c>
      <c r="D1589" t="s">
        <v>1579</v>
      </c>
      <c r="E1589" t="s">
        <v>891</v>
      </c>
      <c r="F1589" t="s">
        <v>106</v>
      </c>
      <c r="G1589" t="s">
        <v>748</v>
      </c>
      <c r="H1589" t="s">
        <v>242</v>
      </c>
      <c r="I1589" t="s">
        <v>19</v>
      </c>
      <c r="J1589">
        <v>1.22</v>
      </c>
      <c r="K1589" s="1">
        <v>46238</v>
      </c>
      <c r="L1589" t="s">
        <v>48</v>
      </c>
      <c r="M1589">
        <v>4</v>
      </c>
      <c r="N1589">
        <v>8</v>
      </c>
      <c r="O1589">
        <v>3</v>
      </c>
      <c r="P1589">
        <v>2026</v>
      </c>
    </row>
    <row r="1590" spans="1:16">
      <c r="A1590">
        <v>1221.2</v>
      </c>
      <c r="B1590">
        <v>5</v>
      </c>
      <c r="C1590" t="s">
        <v>2846</v>
      </c>
      <c r="D1590" t="s">
        <v>2847</v>
      </c>
      <c r="E1590" t="s">
        <v>2848</v>
      </c>
      <c r="F1590" t="s">
        <v>985</v>
      </c>
      <c r="G1590" t="s">
        <v>817</v>
      </c>
      <c r="H1590" t="s">
        <v>61</v>
      </c>
      <c r="I1590" t="s">
        <v>55</v>
      </c>
      <c r="J1590">
        <v>244.24</v>
      </c>
      <c r="K1590" s="1">
        <v>46182</v>
      </c>
      <c r="L1590" t="s">
        <v>48</v>
      </c>
      <c r="M1590">
        <v>9</v>
      </c>
      <c r="N1590">
        <v>6</v>
      </c>
      <c r="O1590">
        <v>2</v>
      </c>
      <c r="P1590">
        <v>2026</v>
      </c>
    </row>
    <row r="1591" spans="1:16">
      <c r="A1591">
        <v>30.58</v>
      </c>
      <c r="B1591">
        <v>1</v>
      </c>
      <c r="C1591" t="s">
        <v>3479</v>
      </c>
      <c r="D1591" t="s">
        <v>3480</v>
      </c>
      <c r="E1591" t="s">
        <v>2043</v>
      </c>
      <c r="F1591" t="s">
        <v>1017</v>
      </c>
      <c r="G1591" t="s">
        <v>966</v>
      </c>
      <c r="H1591" t="s">
        <v>574</v>
      </c>
      <c r="I1591" t="s">
        <v>19</v>
      </c>
      <c r="J1591">
        <v>30.58</v>
      </c>
      <c r="K1591" s="1">
        <v>46003</v>
      </c>
      <c r="L1591" t="s">
        <v>79</v>
      </c>
      <c r="M1591">
        <v>12</v>
      </c>
      <c r="N1591">
        <v>12</v>
      </c>
      <c r="O1591">
        <v>4</v>
      </c>
      <c r="P1591">
        <v>2025</v>
      </c>
    </row>
    <row r="1592" spans="1:16">
      <c r="A1592">
        <v>68.06</v>
      </c>
      <c r="B1592">
        <v>2</v>
      </c>
      <c r="C1592" t="s">
        <v>2311</v>
      </c>
      <c r="D1592" t="s">
        <v>2312</v>
      </c>
      <c r="E1592" t="s">
        <v>1205</v>
      </c>
      <c r="F1592" t="s">
        <v>825</v>
      </c>
      <c r="G1592" t="s">
        <v>781</v>
      </c>
      <c r="H1592" t="s">
        <v>678</v>
      </c>
      <c r="I1592" t="s">
        <v>100</v>
      </c>
      <c r="J1592">
        <v>34.03</v>
      </c>
      <c r="K1592" s="1">
        <v>46271</v>
      </c>
      <c r="L1592" t="s">
        <v>28</v>
      </c>
      <c r="M1592">
        <v>6</v>
      </c>
      <c r="N1592">
        <v>9</v>
      </c>
      <c r="O1592">
        <v>3</v>
      </c>
      <c r="P1592">
        <v>2026</v>
      </c>
    </row>
    <row r="1593" spans="1:16">
      <c r="A1593">
        <v>710.76</v>
      </c>
      <c r="B1593">
        <v>4</v>
      </c>
      <c r="C1593" t="s">
        <v>933</v>
      </c>
      <c r="D1593" t="s">
        <v>934</v>
      </c>
      <c r="E1593" t="s">
        <v>935</v>
      </c>
      <c r="F1593" t="s">
        <v>322</v>
      </c>
      <c r="G1593" t="s">
        <v>795</v>
      </c>
      <c r="H1593" t="s">
        <v>52</v>
      </c>
      <c r="I1593" t="s">
        <v>21</v>
      </c>
      <c r="J1593">
        <v>177.69</v>
      </c>
      <c r="K1593" s="1">
        <v>46141</v>
      </c>
      <c r="L1593" t="s">
        <v>34</v>
      </c>
      <c r="M1593">
        <v>29</v>
      </c>
      <c r="N1593">
        <v>4</v>
      </c>
      <c r="O1593">
        <v>2</v>
      </c>
      <c r="P1593">
        <v>2026</v>
      </c>
    </row>
    <row r="1594" spans="1:16">
      <c r="A1594">
        <v>267.42</v>
      </c>
      <c r="B1594">
        <v>2</v>
      </c>
      <c r="C1594" t="s">
        <v>782</v>
      </c>
      <c r="D1594" t="s">
        <v>783</v>
      </c>
      <c r="E1594" t="s">
        <v>784</v>
      </c>
      <c r="F1594" t="s">
        <v>785</v>
      </c>
      <c r="G1594" t="s">
        <v>786</v>
      </c>
      <c r="H1594" t="s">
        <v>539</v>
      </c>
      <c r="I1594" t="s">
        <v>69</v>
      </c>
      <c r="J1594">
        <v>133.71</v>
      </c>
      <c r="K1594" s="1">
        <v>45605</v>
      </c>
      <c r="L1594" t="s">
        <v>14</v>
      </c>
      <c r="M1594">
        <v>9</v>
      </c>
      <c r="N1594">
        <v>11</v>
      </c>
      <c r="O1594">
        <v>4</v>
      </c>
      <c r="P1594">
        <v>2024</v>
      </c>
    </row>
    <row r="1595" spans="1:16">
      <c r="A1595">
        <v>897.75</v>
      </c>
      <c r="B1595">
        <v>5</v>
      </c>
      <c r="C1595" t="s">
        <v>1923</v>
      </c>
      <c r="D1595" t="s">
        <v>2593</v>
      </c>
      <c r="E1595" t="s">
        <v>2594</v>
      </c>
      <c r="F1595" t="s">
        <v>708</v>
      </c>
      <c r="G1595" t="s">
        <v>834</v>
      </c>
      <c r="H1595" t="s">
        <v>614</v>
      </c>
      <c r="I1595" t="s">
        <v>21</v>
      </c>
      <c r="J1595">
        <v>179.55</v>
      </c>
      <c r="K1595" s="1">
        <v>45998</v>
      </c>
      <c r="L1595" t="s">
        <v>28</v>
      </c>
      <c r="M1595">
        <v>7</v>
      </c>
      <c r="N1595">
        <v>12</v>
      </c>
      <c r="O1595">
        <v>4</v>
      </c>
      <c r="P1595">
        <v>2025</v>
      </c>
    </row>
    <row r="1596" spans="1:16">
      <c r="A1596">
        <v>291.70000000000005</v>
      </c>
      <c r="B1596">
        <v>5</v>
      </c>
      <c r="C1596" t="s">
        <v>2211</v>
      </c>
      <c r="D1596" t="s">
        <v>2212</v>
      </c>
      <c r="E1596" t="s">
        <v>1298</v>
      </c>
      <c r="F1596" t="s">
        <v>862</v>
      </c>
      <c r="G1596" t="s">
        <v>807</v>
      </c>
      <c r="H1596" t="s">
        <v>305</v>
      </c>
      <c r="I1596" t="s">
        <v>55</v>
      </c>
      <c r="J1596">
        <v>58.34</v>
      </c>
      <c r="K1596" s="1">
        <v>45983</v>
      </c>
      <c r="L1596" t="s">
        <v>14</v>
      </c>
      <c r="M1596">
        <v>22</v>
      </c>
      <c r="N1596">
        <v>11</v>
      </c>
      <c r="O1596">
        <v>4</v>
      </c>
      <c r="P1596">
        <v>2025</v>
      </c>
    </row>
    <row r="1597" spans="1:16">
      <c r="A1597">
        <v>928.34999999999991</v>
      </c>
      <c r="B1597">
        <v>5</v>
      </c>
      <c r="C1597" t="s">
        <v>2187</v>
      </c>
      <c r="D1597" t="s">
        <v>2188</v>
      </c>
      <c r="E1597" t="s">
        <v>1418</v>
      </c>
      <c r="F1597" t="s">
        <v>1292</v>
      </c>
      <c r="G1597" t="s">
        <v>1247</v>
      </c>
      <c r="H1597" t="s">
        <v>720</v>
      </c>
      <c r="I1597" t="s">
        <v>100</v>
      </c>
      <c r="J1597">
        <v>185.67</v>
      </c>
      <c r="K1597" s="1">
        <v>46274</v>
      </c>
      <c r="L1597" t="s">
        <v>34</v>
      </c>
      <c r="M1597">
        <v>9</v>
      </c>
      <c r="N1597">
        <v>9</v>
      </c>
      <c r="O1597">
        <v>3</v>
      </c>
      <c r="P1597">
        <v>2026</v>
      </c>
    </row>
    <row r="1598" spans="1:16">
      <c r="A1598">
        <v>498.78</v>
      </c>
      <c r="B1598">
        <v>3</v>
      </c>
      <c r="C1598" t="s">
        <v>3475</v>
      </c>
      <c r="D1598" t="s">
        <v>3476</v>
      </c>
      <c r="E1598" t="s">
        <v>1633</v>
      </c>
      <c r="F1598" t="s">
        <v>136</v>
      </c>
      <c r="G1598" t="s">
        <v>776</v>
      </c>
      <c r="H1598" t="s">
        <v>72</v>
      </c>
      <c r="I1598" t="s">
        <v>37</v>
      </c>
      <c r="J1598">
        <v>166.26</v>
      </c>
      <c r="K1598" s="1">
        <v>46083</v>
      </c>
      <c r="L1598" t="s">
        <v>93</v>
      </c>
      <c r="M1598">
        <v>2</v>
      </c>
      <c r="N1598">
        <v>3</v>
      </c>
      <c r="O1598">
        <v>1</v>
      </c>
      <c r="P1598">
        <v>2026</v>
      </c>
    </row>
    <row r="1599" spans="1:16">
      <c r="A1599">
        <v>50.05</v>
      </c>
      <c r="B1599">
        <v>5</v>
      </c>
      <c r="C1599" t="s">
        <v>2008</v>
      </c>
      <c r="D1599" t="s">
        <v>2009</v>
      </c>
      <c r="E1599" t="s">
        <v>2010</v>
      </c>
      <c r="F1599" t="s">
        <v>794</v>
      </c>
      <c r="G1599" t="s">
        <v>821</v>
      </c>
      <c r="H1599" t="s">
        <v>163</v>
      </c>
      <c r="I1599" t="s">
        <v>97</v>
      </c>
      <c r="J1599">
        <v>10.01</v>
      </c>
      <c r="K1599" s="1">
        <v>45802</v>
      </c>
      <c r="L1599" t="s">
        <v>28</v>
      </c>
      <c r="M1599">
        <v>25</v>
      </c>
      <c r="N1599">
        <v>5</v>
      </c>
      <c r="O1599">
        <v>2</v>
      </c>
      <c r="P1599">
        <v>2025</v>
      </c>
    </row>
    <row r="1600" spans="1:16">
      <c r="A1600">
        <v>36.75</v>
      </c>
      <c r="B1600">
        <v>1</v>
      </c>
      <c r="C1600" t="s">
        <v>1112</v>
      </c>
      <c r="D1600" t="s">
        <v>1113</v>
      </c>
      <c r="E1600" t="s">
        <v>1114</v>
      </c>
      <c r="F1600" t="s">
        <v>1078</v>
      </c>
      <c r="G1600" t="s">
        <v>781</v>
      </c>
      <c r="H1600" t="s">
        <v>637</v>
      </c>
      <c r="I1600" t="s">
        <v>100</v>
      </c>
      <c r="J1600">
        <v>36.75</v>
      </c>
      <c r="K1600" s="1">
        <v>46272</v>
      </c>
      <c r="L1600" t="s">
        <v>93</v>
      </c>
      <c r="M1600">
        <v>7</v>
      </c>
      <c r="N1600">
        <v>9</v>
      </c>
      <c r="O1600">
        <v>3</v>
      </c>
      <c r="P1600">
        <v>2026</v>
      </c>
    </row>
    <row r="1601" spans="1:16">
      <c r="A1601">
        <v>950.52</v>
      </c>
      <c r="B1601">
        <v>4</v>
      </c>
      <c r="C1601" t="s">
        <v>1046</v>
      </c>
      <c r="D1601" t="s">
        <v>1047</v>
      </c>
      <c r="E1601" t="s">
        <v>746</v>
      </c>
      <c r="F1601" t="s">
        <v>29</v>
      </c>
      <c r="G1601" t="s">
        <v>821</v>
      </c>
      <c r="H1601" t="s">
        <v>375</v>
      </c>
      <c r="I1601" t="s">
        <v>31</v>
      </c>
      <c r="J1601">
        <v>237.63</v>
      </c>
      <c r="K1601" s="1">
        <v>45857</v>
      </c>
      <c r="L1601" t="s">
        <v>14</v>
      </c>
      <c r="M1601">
        <v>19</v>
      </c>
      <c r="N1601">
        <v>7</v>
      </c>
      <c r="O1601">
        <v>3</v>
      </c>
      <c r="P1601">
        <v>2025</v>
      </c>
    </row>
    <row r="1602" spans="1:16">
      <c r="A1602">
        <v>136.6</v>
      </c>
      <c r="B1602">
        <v>5</v>
      </c>
      <c r="C1602" t="s">
        <v>1131</v>
      </c>
      <c r="D1602" t="s">
        <v>1132</v>
      </c>
      <c r="E1602" t="s">
        <v>1133</v>
      </c>
      <c r="F1602" t="s">
        <v>1107</v>
      </c>
      <c r="G1602" t="s">
        <v>763</v>
      </c>
      <c r="H1602" t="s">
        <v>423</v>
      </c>
      <c r="I1602" t="s">
        <v>37</v>
      </c>
      <c r="J1602">
        <v>27.32</v>
      </c>
      <c r="K1602" s="1">
        <v>45888</v>
      </c>
      <c r="L1602" t="s">
        <v>48</v>
      </c>
      <c r="M1602">
        <v>19</v>
      </c>
      <c r="N1602">
        <v>8</v>
      </c>
      <c r="O1602">
        <v>3</v>
      </c>
      <c r="P1602">
        <v>2025</v>
      </c>
    </row>
    <row r="1603" spans="1:16">
      <c r="A1603">
        <v>23.18</v>
      </c>
      <c r="B1603">
        <v>2</v>
      </c>
      <c r="C1603" t="s">
        <v>2041</v>
      </c>
      <c r="D1603" t="s">
        <v>2042</v>
      </c>
      <c r="E1603" t="s">
        <v>2043</v>
      </c>
      <c r="F1603" t="s">
        <v>2044</v>
      </c>
      <c r="G1603" t="s">
        <v>748</v>
      </c>
      <c r="H1603" t="s">
        <v>579</v>
      </c>
      <c r="I1603" t="s">
        <v>31</v>
      </c>
      <c r="J1603">
        <v>11.59</v>
      </c>
      <c r="K1603" s="1">
        <v>45622</v>
      </c>
      <c r="L1603" t="s">
        <v>48</v>
      </c>
      <c r="M1603">
        <v>26</v>
      </c>
      <c r="N1603">
        <v>11</v>
      </c>
      <c r="O1603">
        <v>4</v>
      </c>
      <c r="P1603">
        <v>2024</v>
      </c>
    </row>
    <row r="1604" spans="1:16">
      <c r="A1604">
        <v>56.39</v>
      </c>
      <c r="B1604">
        <v>1</v>
      </c>
      <c r="C1604" t="s">
        <v>1610</v>
      </c>
      <c r="D1604" t="s">
        <v>1611</v>
      </c>
      <c r="E1604" t="s">
        <v>1565</v>
      </c>
      <c r="F1604" t="s">
        <v>380</v>
      </c>
      <c r="G1604" t="s">
        <v>896</v>
      </c>
      <c r="H1604" t="s">
        <v>308</v>
      </c>
      <c r="I1604" t="s">
        <v>19</v>
      </c>
      <c r="J1604">
        <v>56.39</v>
      </c>
      <c r="K1604" s="1">
        <v>45771</v>
      </c>
      <c r="L1604" t="s">
        <v>105</v>
      </c>
      <c r="M1604">
        <v>24</v>
      </c>
      <c r="N1604">
        <v>4</v>
      </c>
      <c r="O1604">
        <v>2</v>
      </c>
      <c r="P1604">
        <v>2025</v>
      </c>
    </row>
    <row r="1605" spans="1:16">
      <c r="A1605">
        <v>618.96</v>
      </c>
      <c r="B1605">
        <v>4</v>
      </c>
      <c r="C1605" t="s">
        <v>2384</v>
      </c>
      <c r="D1605" t="s">
        <v>2385</v>
      </c>
      <c r="E1605" t="s">
        <v>2386</v>
      </c>
      <c r="F1605" t="s">
        <v>1469</v>
      </c>
      <c r="G1605" t="s">
        <v>908</v>
      </c>
      <c r="H1605" t="s">
        <v>547</v>
      </c>
      <c r="I1605" t="s">
        <v>97</v>
      </c>
      <c r="J1605">
        <v>154.74</v>
      </c>
      <c r="K1605" s="1">
        <v>46011</v>
      </c>
      <c r="L1605" t="s">
        <v>14</v>
      </c>
      <c r="M1605">
        <v>20</v>
      </c>
      <c r="N1605">
        <v>12</v>
      </c>
      <c r="O1605">
        <v>4</v>
      </c>
      <c r="P1605">
        <v>2025</v>
      </c>
    </row>
    <row r="1606" spans="1:16">
      <c r="A1606">
        <v>917.90000000000009</v>
      </c>
      <c r="B1606">
        <v>5</v>
      </c>
      <c r="C1606" t="s">
        <v>2595</v>
      </c>
      <c r="D1606" t="s">
        <v>2596</v>
      </c>
      <c r="E1606" t="s">
        <v>1556</v>
      </c>
      <c r="F1606" t="s">
        <v>1199</v>
      </c>
      <c r="G1606" t="s">
        <v>839</v>
      </c>
      <c r="H1606" t="s">
        <v>641</v>
      </c>
      <c r="I1606" t="s">
        <v>46</v>
      </c>
      <c r="J1606">
        <v>183.58</v>
      </c>
      <c r="K1606" s="1">
        <v>45944</v>
      </c>
      <c r="L1606" t="s">
        <v>48</v>
      </c>
      <c r="M1606">
        <v>14</v>
      </c>
      <c r="N1606">
        <v>10</v>
      </c>
      <c r="O1606">
        <v>4</v>
      </c>
      <c r="P1606">
        <v>2025</v>
      </c>
    </row>
    <row r="1607" spans="1:16">
      <c r="A1607">
        <v>203.23</v>
      </c>
      <c r="B1607">
        <v>1</v>
      </c>
      <c r="C1607" t="s">
        <v>2851</v>
      </c>
      <c r="D1607" t="s">
        <v>2852</v>
      </c>
      <c r="E1607" t="s">
        <v>1418</v>
      </c>
      <c r="F1607" t="s">
        <v>106</v>
      </c>
      <c r="G1607" t="s">
        <v>896</v>
      </c>
      <c r="H1607" t="s">
        <v>417</v>
      </c>
      <c r="I1607" t="s">
        <v>51</v>
      </c>
      <c r="J1607">
        <v>203.23</v>
      </c>
      <c r="K1607" s="1">
        <v>45958</v>
      </c>
      <c r="L1607" t="s">
        <v>48</v>
      </c>
      <c r="M1607">
        <v>28</v>
      </c>
      <c r="N1607">
        <v>10</v>
      </c>
      <c r="O1607">
        <v>4</v>
      </c>
      <c r="P1607">
        <v>2025</v>
      </c>
    </row>
    <row r="1608" spans="1:16">
      <c r="A1608">
        <v>73.72</v>
      </c>
      <c r="B1608">
        <v>4</v>
      </c>
      <c r="C1608" t="s">
        <v>1814</v>
      </c>
      <c r="D1608" t="s">
        <v>1815</v>
      </c>
      <c r="E1608" t="s">
        <v>824</v>
      </c>
      <c r="F1608" t="s">
        <v>757</v>
      </c>
      <c r="G1608" t="s">
        <v>758</v>
      </c>
      <c r="H1608" t="s">
        <v>1816</v>
      </c>
      <c r="I1608" t="s">
        <v>37</v>
      </c>
      <c r="J1608">
        <v>18.43</v>
      </c>
      <c r="K1608" s="1">
        <v>45571</v>
      </c>
      <c r="L1608" t="s">
        <v>28</v>
      </c>
      <c r="M1608">
        <v>6</v>
      </c>
      <c r="N1608">
        <v>10</v>
      </c>
      <c r="O1608">
        <v>4</v>
      </c>
      <c r="P1608">
        <v>2024</v>
      </c>
    </row>
    <row r="1609" spans="1:16">
      <c r="A1609">
        <v>100.68</v>
      </c>
      <c r="B1609">
        <v>3</v>
      </c>
      <c r="C1609" t="s">
        <v>3387</v>
      </c>
      <c r="D1609" t="s">
        <v>3388</v>
      </c>
      <c r="E1609" t="s">
        <v>1597</v>
      </c>
      <c r="F1609" t="s">
        <v>151</v>
      </c>
      <c r="G1609" t="s">
        <v>1003</v>
      </c>
      <c r="H1609" t="s">
        <v>609</v>
      </c>
      <c r="I1609" t="s">
        <v>27</v>
      </c>
      <c r="J1609">
        <v>33.56</v>
      </c>
      <c r="K1609" s="1">
        <v>45677</v>
      </c>
      <c r="L1609" t="s">
        <v>93</v>
      </c>
      <c r="M1609">
        <v>20</v>
      </c>
      <c r="N1609">
        <v>1</v>
      </c>
      <c r="O1609">
        <v>1</v>
      </c>
      <c r="P1609">
        <v>2025</v>
      </c>
    </row>
    <row r="1610" spans="1:16">
      <c r="A1610">
        <v>223.82</v>
      </c>
      <c r="B1610">
        <v>1</v>
      </c>
      <c r="C1610" t="s">
        <v>2226</v>
      </c>
      <c r="D1610" t="s">
        <v>2227</v>
      </c>
      <c r="E1610" t="s">
        <v>1188</v>
      </c>
      <c r="F1610" t="s">
        <v>1089</v>
      </c>
      <c r="G1610" t="s">
        <v>812</v>
      </c>
      <c r="H1610" t="s">
        <v>588</v>
      </c>
      <c r="I1610" t="s">
        <v>82</v>
      </c>
      <c r="J1610">
        <v>223.82</v>
      </c>
      <c r="K1610" s="1">
        <v>45744</v>
      </c>
      <c r="L1610" t="s">
        <v>79</v>
      </c>
      <c r="M1610">
        <v>28</v>
      </c>
      <c r="N1610">
        <v>3</v>
      </c>
      <c r="O1610">
        <v>1</v>
      </c>
      <c r="P1610">
        <v>2025</v>
      </c>
    </row>
    <row r="1611" spans="1:16">
      <c r="A1611">
        <v>1226.0999999999999</v>
      </c>
      <c r="B1611">
        <v>5</v>
      </c>
      <c r="C1611" t="s">
        <v>799</v>
      </c>
      <c r="D1611" t="s">
        <v>800</v>
      </c>
      <c r="E1611" t="s">
        <v>801</v>
      </c>
      <c r="F1611" t="s">
        <v>802</v>
      </c>
      <c r="G1611" t="s">
        <v>748</v>
      </c>
      <c r="H1611" t="s">
        <v>168</v>
      </c>
      <c r="I1611" t="s">
        <v>46</v>
      </c>
      <c r="J1611">
        <v>245.22</v>
      </c>
      <c r="K1611" s="1">
        <v>46247</v>
      </c>
      <c r="L1611" t="s">
        <v>105</v>
      </c>
      <c r="M1611">
        <v>13</v>
      </c>
      <c r="N1611">
        <v>8</v>
      </c>
      <c r="O1611">
        <v>3</v>
      </c>
      <c r="P1611">
        <v>2026</v>
      </c>
    </row>
    <row r="1612" spans="1:16">
      <c r="A1612">
        <v>732.96</v>
      </c>
      <c r="B1612">
        <v>3</v>
      </c>
      <c r="C1612" t="s">
        <v>1966</v>
      </c>
      <c r="D1612" t="s">
        <v>1967</v>
      </c>
      <c r="E1612" t="s">
        <v>1968</v>
      </c>
      <c r="F1612" t="s">
        <v>1421</v>
      </c>
      <c r="G1612" t="s">
        <v>776</v>
      </c>
      <c r="H1612" t="s">
        <v>613</v>
      </c>
      <c r="I1612" t="s">
        <v>21</v>
      </c>
      <c r="J1612">
        <v>244.32</v>
      </c>
      <c r="K1612" s="1">
        <v>46140</v>
      </c>
      <c r="L1612" t="s">
        <v>48</v>
      </c>
      <c r="M1612">
        <v>28</v>
      </c>
      <c r="N1612">
        <v>4</v>
      </c>
      <c r="O1612">
        <v>2</v>
      </c>
      <c r="P1612">
        <v>2026</v>
      </c>
    </row>
    <row r="1613" spans="1:16">
      <c r="A1613">
        <v>43.62</v>
      </c>
      <c r="B1613">
        <v>3</v>
      </c>
      <c r="C1613" t="s">
        <v>3093</v>
      </c>
      <c r="D1613" t="s">
        <v>3094</v>
      </c>
      <c r="E1613" t="s">
        <v>2108</v>
      </c>
      <c r="F1613" t="s">
        <v>196</v>
      </c>
      <c r="G1613" t="s">
        <v>830</v>
      </c>
      <c r="H1613" t="s">
        <v>1349</v>
      </c>
      <c r="I1613" t="s">
        <v>97</v>
      </c>
      <c r="J1613">
        <v>14.54</v>
      </c>
      <c r="K1613" s="1">
        <v>46110</v>
      </c>
      <c r="L1613" t="s">
        <v>28</v>
      </c>
      <c r="M1613">
        <v>29</v>
      </c>
      <c r="N1613">
        <v>3</v>
      </c>
      <c r="O1613">
        <v>1</v>
      </c>
      <c r="P1613">
        <v>2026</v>
      </c>
    </row>
    <row r="1614" spans="1:16">
      <c r="A1614">
        <v>62.91</v>
      </c>
      <c r="B1614">
        <v>3</v>
      </c>
      <c r="C1614" t="s">
        <v>3015</v>
      </c>
      <c r="D1614" t="s">
        <v>3016</v>
      </c>
      <c r="E1614" t="s">
        <v>2319</v>
      </c>
      <c r="F1614" t="s">
        <v>869</v>
      </c>
      <c r="G1614" t="s">
        <v>807</v>
      </c>
      <c r="H1614" t="s">
        <v>472</v>
      </c>
      <c r="I1614" t="s">
        <v>122</v>
      </c>
      <c r="J1614">
        <v>20.97</v>
      </c>
      <c r="K1614" s="1">
        <v>45962</v>
      </c>
      <c r="L1614" t="s">
        <v>14</v>
      </c>
      <c r="M1614">
        <v>1</v>
      </c>
      <c r="N1614">
        <v>11</v>
      </c>
      <c r="O1614">
        <v>4</v>
      </c>
      <c r="P1614">
        <v>2025</v>
      </c>
    </row>
    <row r="1615" spans="1:16">
      <c r="A1615">
        <v>155.13</v>
      </c>
      <c r="B1615">
        <v>3</v>
      </c>
      <c r="C1615" t="s">
        <v>3473</v>
      </c>
      <c r="D1615" t="s">
        <v>3474</v>
      </c>
      <c r="E1615" t="s">
        <v>1074</v>
      </c>
      <c r="F1615" t="s">
        <v>160</v>
      </c>
      <c r="G1615" t="s">
        <v>790</v>
      </c>
      <c r="H1615" t="s">
        <v>26</v>
      </c>
      <c r="I1615" t="s">
        <v>27</v>
      </c>
      <c r="J1615">
        <v>51.71</v>
      </c>
      <c r="K1615" s="1">
        <v>46118</v>
      </c>
      <c r="L1615" t="s">
        <v>93</v>
      </c>
      <c r="M1615">
        <v>6</v>
      </c>
      <c r="N1615">
        <v>4</v>
      </c>
      <c r="O1615">
        <v>2</v>
      </c>
      <c r="P1615">
        <v>2026</v>
      </c>
    </row>
    <row r="1616" spans="1:16">
      <c r="A1616">
        <v>437.49</v>
      </c>
      <c r="B1616">
        <v>3</v>
      </c>
      <c r="C1616" t="s">
        <v>920</v>
      </c>
      <c r="D1616" t="s">
        <v>921</v>
      </c>
      <c r="E1616" t="s">
        <v>922</v>
      </c>
      <c r="F1616" t="s">
        <v>380</v>
      </c>
      <c r="G1616" t="s">
        <v>776</v>
      </c>
      <c r="H1616" t="s">
        <v>171</v>
      </c>
      <c r="I1616" t="s">
        <v>46</v>
      </c>
      <c r="J1616">
        <v>145.83000000000001</v>
      </c>
      <c r="K1616" s="1">
        <v>46237</v>
      </c>
      <c r="L1616" t="s">
        <v>93</v>
      </c>
      <c r="M1616">
        <v>3</v>
      </c>
      <c r="N1616">
        <v>8</v>
      </c>
      <c r="O1616">
        <v>3</v>
      </c>
      <c r="P1616">
        <v>2026</v>
      </c>
    </row>
    <row r="1617" spans="1:16">
      <c r="A1617">
        <v>51.42</v>
      </c>
      <c r="B1617">
        <v>3</v>
      </c>
      <c r="C1617" t="s">
        <v>2444</v>
      </c>
      <c r="D1617" t="s">
        <v>2445</v>
      </c>
      <c r="E1617" t="s">
        <v>1629</v>
      </c>
      <c r="F1617" t="s">
        <v>838</v>
      </c>
      <c r="G1617" t="s">
        <v>839</v>
      </c>
      <c r="H1617" t="s">
        <v>633</v>
      </c>
      <c r="I1617" t="s">
        <v>17</v>
      </c>
      <c r="J1617">
        <v>17.14</v>
      </c>
      <c r="K1617" s="1">
        <v>45893</v>
      </c>
      <c r="L1617" t="s">
        <v>28</v>
      </c>
      <c r="M1617">
        <v>24</v>
      </c>
      <c r="N1617">
        <v>8</v>
      </c>
      <c r="O1617">
        <v>3</v>
      </c>
      <c r="P1617">
        <v>2025</v>
      </c>
    </row>
    <row r="1618" spans="1:16">
      <c r="A1618">
        <v>68.06</v>
      </c>
      <c r="B1618">
        <v>2</v>
      </c>
      <c r="C1618" t="s">
        <v>1634</v>
      </c>
      <c r="D1618" t="s">
        <v>1635</v>
      </c>
      <c r="E1618" t="s">
        <v>952</v>
      </c>
      <c r="F1618" t="s">
        <v>1026</v>
      </c>
      <c r="G1618" t="s">
        <v>896</v>
      </c>
      <c r="H1618" t="s">
        <v>678</v>
      </c>
      <c r="I1618" t="s">
        <v>100</v>
      </c>
      <c r="J1618">
        <v>34.03</v>
      </c>
      <c r="K1618" s="1">
        <v>46019</v>
      </c>
      <c r="L1618" t="s">
        <v>28</v>
      </c>
      <c r="M1618">
        <v>28</v>
      </c>
      <c r="N1618">
        <v>12</v>
      </c>
      <c r="O1618">
        <v>4</v>
      </c>
      <c r="P1618">
        <v>2025</v>
      </c>
    </row>
    <row r="1619" spans="1:16">
      <c r="A1619">
        <v>566.04</v>
      </c>
      <c r="B1619">
        <v>4</v>
      </c>
      <c r="C1619" t="s">
        <v>2144</v>
      </c>
      <c r="D1619" t="s">
        <v>2145</v>
      </c>
      <c r="E1619" t="s">
        <v>1010</v>
      </c>
      <c r="F1619" t="s">
        <v>1032</v>
      </c>
      <c r="G1619" t="s">
        <v>839</v>
      </c>
      <c r="H1619" t="s">
        <v>437</v>
      </c>
      <c r="I1619" t="s">
        <v>122</v>
      </c>
      <c r="J1619">
        <v>141.51</v>
      </c>
      <c r="K1619" s="1">
        <v>45674</v>
      </c>
      <c r="L1619" t="s">
        <v>79</v>
      </c>
      <c r="M1619">
        <v>17</v>
      </c>
      <c r="N1619">
        <v>1</v>
      </c>
      <c r="O1619">
        <v>1</v>
      </c>
      <c r="P1619">
        <v>2025</v>
      </c>
    </row>
    <row r="1620" spans="1:16">
      <c r="A1620">
        <v>350.56</v>
      </c>
      <c r="B1620">
        <v>4</v>
      </c>
      <c r="C1620" t="s">
        <v>1696</v>
      </c>
      <c r="D1620" t="s">
        <v>1697</v>
      </c>
      <c r="E1620" t="s">
        <v>1698</v>
      </c>
      <c r="F1620" t="s">
        <v>1172</v>
      </c>
      <c r="G1620" t="s">
        <v>830</v>
      </c>
      <c r="H1620" t="s">
        <v>561</v>
      </c>
      <c r="I1620" t="s">
        <v>17</v>
      </c>
      <c r="J1620">
        <v>87.64</v>
      </c>
      <c r="K1620" s="1">
        <v>45665</v>
      </c>
      <c r="L1620" t="s">
        <v>34</v>
      </c>
      <c r="M1620">
        <v>8</v>
      </c>
      <c r="N1620">
        <v>1</v>
      </c>
      <c r="O1620">
        <v>1</v>
      </c>
      <c r="P1620">
        <v>2025</v>
      </c>
    </row>
    <row r="1621" spans="1:16">
      <c r="A1621">
        <v>45.54</v>
      </c>
      <c r="B1621">
        <v>2</v>
      </c>
      <c r="C1621" t="s">
        <v>1356</v>
      </c>
      <c r="D1621" t="s">
        <v>1357</v>
      </c>
      <c r="E1621" t="s">
        <v>1358</v>
      </c>
      <c r="F1621" t="s">
        <v>1359</v>
      </c>
      <c r="G1621" t="s">
        <v>768</v>
      </c>
      <c r="H1621" t="s">
        <v>1250</v>
      </c>
      <c r="I1621" t="s">
        <v>23</v>
      </c>
      <c r="J1621">
        <v>22.77</v>
      </c>
      <c r="K1621" s="1">
        <v>46158</v>
      </c>
      <c r="L1621" t="s">
        <v>14</v>
      </c>
      <c r="M1621">
        <v>16</v>
      </c>
      <c r="N1621">
        <v>5</v>
      </c>
      <c r="O1621">
        <v>2</v>
      </c>
      <c r="P1621">
        <v>2026</v>
      </c>
    </row>
    <row r="1622" spans="1:16">
      <c r="A1622">
        <v>7.9</v>
      </c>
      <c r="B1622">
        <v>2</v>
      </c>
      <c r="C1622" t="s">
        <v>1360</v>
      </c>
      <c r="D1622" t="s">
        <v>1361</v>
      </c>
      <c r="E1622" t="s">
        <v>932</v>
      </c>
      <c r="F1622" t="s">
        <v>1362</v>
      </c>
      <c r="G1622" t="s">
        <v>896</v>
      </c>
      <c r="H1622" t="s">
        <v>187</v>
      </c>
      <c r="I1622" t="s">
        <v>60</v>
      </c>
      <c r="J1622">
        <v>3.95</v>
      </c>
      <c r="K1622" s="1">
        <v>45988</v>
      </c>
      <c r="L1622" t="s">
        <v>105</v>
      </c>
      <c r="M1622">
        <v>27</v>
      </c>
      <c r="N1622">
        <v>11</v>
      </c>
      <c r="O1622">
        <v>4</v>
      </c>
      <c r="P1622">
        <v>2025</v>
      </c>
    </row>
    <row r="1623" spans="1:16">
      <c r="A1623">
        <v>694.92</v>
      </c>
      <c r="B1623">
        <v>3</v>
      </c>
      <c r="C1623" t="s">
        <v>1995</v>
      </c>
      <c r="D1623" t="s">
        <v>1996</v>
      </c>
      <c r="E1623" t="s">
        <v>1997</v>
      </c>
      <c r="F1623" t="s">
        <v>1061</v>
      </c>
      <c r="G1623" t="s">
        <v>821</v>
      </c>
      <c r="H1623" t="s">
        <v>658</v>
      </c>
      <c r="I1623" t="s">
        <v>69</v>
      </c>
      <c r="J1623">
        <v>231.64</v>
      </c>
      <c r="K1623" s="1">
        <v>45946</v>
      </c>
      <c r="L1623" t="s">
        <v>105</v>
      </c>
      <c r="M1623">
        <v>16</v>
      </c>
      <c r="N1623">
        <v>10</v>
      </c>
      <c r="O1623">
        <v>4</v>
      </c>
      <c r="P1623">
        <v>2025</v>
      </c>
    </row>
    <row r="1624" spans="1:16">
      <c r="A1624">
        <v>74.400000000000006</v>
      </c>
      <c r="B1624">
        <v>5</v>
      </c>
      <c r="C1624" t="s">
        <v>2814</v>
      </c>
      <c r="D1624" t="s">
        <v>2361</v>
      </c>
      <c r="E1624" t="s">
        <v>1321</v>
      </c>
      <c r="F1624" t="s">
        <v>858</v>
      </c>
      <c r="G1624" t="s">
        <v>753</v>
      </c>
      <c r="H1624" t="s">
        <v>349</v>
      </c>
      <c r="I1624" t="s">
        <v>51</v>
      </c>
      <c r="J1624">
        <v>14.88</v>
      </c>
      <c r="K1624" s="1">
        <v>46084</v>
      </c>
      <c r="L1624" t="s">
        <v>48</v>
      </c>
      <c r="M1624">
        <v>3</v>
      </c>
      <c r="N1624">
        <v>3</v>
      </c>
      <c r="O1624">
        <v>1</v>
      </c>
      <c r="P1624">
        <v>2026</v>
      </c>
    </row>
    <row r="1625" spans="1:16">
      <c r="A1625">
        <v>38.380000000000003</v>
      </c>
      <c r="B1625">
        <v>2</v>
      </c>
      <c r="C1625" t="s">
        <v>3036</v>
      </c>
      <c r="D1625" t="s">
        <v>3037</v>
      </c>
      <c r="E1625" t="s">
        <v>1110</v>
      </c>
      <c r="F1625" t="s">
        <v>1061</v>
      </c>
      <c r="G1625" t="s">
        <v>834</v>
      </c>
      <c r="H1625" t="s">
        <v>71</v>
      </c>
      <c r="I1625" t="s">
        <v>23</v>
      </c>
      <c r="J1625">
        <v>19.190000000000001</v>
      </c>
      <c r="K1625" s="1">
        <v>46145</v>
      </c>
      <c r="L1625" t="s">
        <v>28</v>
      </c>
      <c r="M1625">
        <v>3</v>
      </c>
      <c r="N1625">
        <v>5</v>
      </c>
      <c r="O1625">
        <v>2</v>
      </c>
      <c r="P1625">
        <v>2026</v>
      </c>
    </row>
    <row r="1626" spans="1:16">
      <c r="A1626">
        <v>607.59</v>
      </c>
      <c r="B1626">
        <v>3</v>
      </c>
      <c r="C1626" t="s">
        <v>2283</v>
      </c>
      <c r="D1626" t="s">
        <v>2284</v>
      </c>
      <c r="E1626" t="s">
        <v>2285</v>
      </c>
      <c r="F1626" t="s">
        <v>862</v>
      </c>
      <c r="G1626" t="s">
        <v>908</v>
      </c>
      <c r="H1626" t="s">
        <v>251</v>
      </c>
      <c r="I1626" t="s">
        <v>122</v>
      </c>
      <c r="J1626">
        <v>202.53</v>
      </c>
      <c r="K1626" s="1">
        <v>45929</v>
      </c>
      <c r="L1626" t="s">
        <v>93</v>
      </c>
      <c r="M1626">
        <v>29</v>
      </c>
      <c r="N1626">
        <v>9</v>
      </c>
      <c r="O1626">
        <v>3</v>
      </c>
      <c r="P1626">
        <v>2025</v>
      </c>
    </row>
    <row r="1627" spans="1:16">
      <c r="A1627">
        <v>58.32</v>
      </c>
      <c r="B1627">
        <v>2</v>
      </c>
      <c r="C1627" t="s">
        <v>3320</v>
      </c>
      <c r="D1627" t="s">
        <v>3321</v>
      </c>
      <c r="E1627" t="s">
        <v>3322</v>
      </c>
      <c r="F1627" t="s">
        <v>199</v>
      </c>
      <c r="G1627" t="s">
        <v>781</v>
      </c>
      <c r="H1627" t="s">
        <v>511</v>
      </c>
      <c r="I1627" t="s">
        <v>27</v>
      </c>
      <c r="J1627">
        <v>29.16</v>
      </c>
      <c r="K1627" s="1">
        <v>45800</v>
      </c>
      <c r="L1627" t="s">
        <v>79</v>
      </c>
      <c r="M1627">
        <v>23</v>
      </c>
      <c r="N1627">
        <v>5</v>
      </c>
      <c r="O1627">
        <v>2</v>
      </c>
      <c r="P1627">
        <v>2025</v>
      </c>
    </row>
    <row r="1628" spans="1:16">
      <c r="A1628">
        <v>148.54</v>
      </c>
      <c r="B1628">
        <v>1</v>
      </c>
      <c r="C1628" t="s">
        <v>3063</v>
      </c>
      <c r="D1628" t="s">
        <v>3064</v>
      </c>
      <c r="E1628" t="s">
        <v>1390</v>
      </c>
      <c r="F1628" t="s">
        <v>772</v>
      </c>
      <c r="G1628" t="s">
        <v>758</v>
      </c>
      <c r="H1628" t="s">
        <v>16</v>
      </c>
      <c r="I1628" t="s">
        <v>17</v>
      </c>
      <c r="J1628">
        <v>148.54</v>
      </c>
      <c r="K1628" s="1">
        <v>45787</v>
      </c>
      <c r="L1628" t="s">
        <v>14</v>
      </c>
      <c r="M1628">
        <v>10</v>
      </c>
      <c r="N1628">
        <v>5</v>
      </c>
      <c r="O1628">
        <v>2</v>
      </c>
      <c r="P1628">
        <v>2025</v>
      </c>
    </row>
    <row r="1629" spans="1:16">
      <c r="A1629">
        <v>67.44</v>
      </c>
      <c r="B1629">
        <v>3</v>
      </c>
      <c r="C1629" t="s">
        <v>2675</v>
      </c>
      <c r="D1629" t="s">
        <v>2676</v>
      </c>
      <c r="E1629" t="s">
        <v>2677</v>
      </c>
      <c r="F1629" t="s">
        <v>843</v>
      </c>
      <c r="G1629" t="s">
        <v>753</v>
      </c>
      <c r="H1629" t="s">
        <v>41</v>
      </c>
      <c r="I1629" t="s">
        <v>39</v>
      </c>
      <c r="J1629">
        <v>22.48</v>
      </c>
      <c r="K1629" s="1">
        <v>45997</v>
      </c>
      <c r="L1629" t="s">
        <v>14</v>
      </c>
      <c r="M1629">
        <v>6</v>
      </c>
      <c r="N1629">
        <v>12</v>
      </c>
      <c r="O1629">
        <v>4</v>
      </c>
      <c r="P1629">
        <v>2025</v>
      </c>
    </row>
    <row r="1630" spans="1:16">
      <c r="A1630">
        <v>202.6</v>
      </c>
      <c r="B1630">
        <v>4</v>
      </c>
      <c r="C1630" t="s">
        <v>2558</v>
      </c>
      <c r="D1630" t="s">
        <v>2559</v>
      </c>
      <c r="E1630" t="s">
        <v>2560</v>
      </c>
      <c r="F1630" t="s">
        <v>1302</v>
      </c>
      <c r="G1630" t="s">
        <v>786</v>
      </c>
      <c r="H1630" t="s">
        <v>403</v>
      </c>
      <c r="I1630" t="s">
        <v>23</v>
      </c>
      <c r="J1630">
        <v>50.65</v>
      </c>
      <c r="K1630" s="1">
        <v>46061</v>
      </c>
      <c r="L1630" t="s">
        <v>28</v>
      </c>
      <c r="M1630">
        <v>8</v>
      </c>
      <c r="N1630">
        <v>2</v>
      </c>
      <c r="O1630">
        <v>1</v>
      </c>
      <c r="P1630">
        <v>2026</v>
      </c>
    </row>
    <row r="1631" spans="1:16">
      <c r="A1631">
        <v>49.08</v>
      </c>
      <c r="B1631">
        <v>3</v>
      </c>
      <c r="C1631" t="s">
        <v>3363</v>
      </c>
      <c r="D1631" t="s">
        <v>3364</v>
      </c>
      <c r="E1631" t="s">
        <v>1968</v>
      </c>
      <c r="F1631" t="s">
        <v>853</v>
      </c>
      <c r="G1631" t="s">
        <v>854</v>
      </c>
      <c r="H1631" t="s">
        <v>1183</v>
      </c>
      <c r="I1631" t="s">
        <v>100</v>
      </c>
      <c r="J1631">
        <v>16.36</v>
      </c>
      <c r="K1631" s="1">
        <v>45935</v>
      </c>
      <c r="L1631" t="s">
        <v>28</v>
      </c>
      <c r="M1631">
        <v>5</v>
      </c>
      <c r="N1631">
        <v>10</v>
      </c>
      <c r="O1631">
        <v>4</v>
      </c>
      <c r="P1631">
        <v>2025</v>
      </c>
    </row>
    <row r="1632" spans="1:16">
      <c r="A1632">
        <v>112.04</v>
      </c>
      <c r="B1632">
        <v>4</v>
      </c>
      <c r="C1632" t="s">
        <v>1180</v>
      </c>
      <c r="D1632" t="s">
        <v>1181</v>
      </c>
      <c r="E1632" t="s">
        <v>1182</v>
      </c>
      <c r="F1632" t="s">
        <v>953</v>
      </c>
      <c r="G1632" t="s">
        <v>954</v>
      </c>
      <c r="H1632" t="s">
        <v>463</v>
      </c>
      <c r="I1632" t="s">
        <v>43</v>
      </c>
      <c r="J1632">
        <v>28.01</v>
      </c>
      <c r="K1632" s="1">
        <v>45666</v>
      </c>
      <c r="L1632" t="s">
        <v>105</v>
      </c>
      <c r="M1632">
        <v>9</v>
      </c>
      <c r="N1632">
        <v>1</v>
      </c>
      <c r="O1632">
        <v>1</v>
      </c>
      <c r="P1632">
        <v>2025</v>
      </c>
    </row>
    <row r="1633" spans="1:16">
      <c r="A1633">
        <v>466.16</v>
      </c>
      <c r="B1633">
        <v>2</v>
      </c>
      <c r="C1633" t="s">
        <v>2824</v>
      </c>
      <c r="D1633" t="s">
        <v>2825</v>
      </c>
      <c r="E1633" t="s">
        <v>2826</v>
      </c>
      <c r="F1633" t="s">
        <v>1327</v>
      </c>
      <c r="G1633" t="s">
        <v>795</v>
      </c>
      <c r="H1633" t="s">
        <v>213</v>
      </c>
      <c r="I1633" t="s">
        <v>69</v>
      </c>
      <c r="J1633">
        <v>233.08</v>
      </c>
      <c r="K1633" s="1">
        <v>45668</v>
      </c>
      <c r="L1633" t="s">
        <v>14</v>
      </c>
      <c r="M1633">
        <v>11</v>
      </c>
      <c r="N1633">
        <v>1</v>
      </c>
      <c r="O1633">
        <v>1</v>
      </c>
      <c r="P1633">
        <v>2025</v>
      </c>
    </row>
    <row r="1634" spans="1:16">
      <c r="A1634">
        <v>183.58</v>
      </c>
      <c r="B1634">
        <v>1</v>
      </c>
      <c r="C1634" t="s">
        <v>1580</v>
      </c>
      <c r="D1634" t="s">
        <v>1581</v>
      </c>
      <c r="E1634" t="s">
        <v>1582</v>
      </c>
      <c r="F1634" t="s">
        <v>862</v>
      </c>
      <c r="G1634" t="s">
        <v>908</v>
      </c>
      <c r="H1634" t="s">
        <v>641</v>
      </c>
      <c r="I1634" t="s">
        <v>46</v>
      </c>
      <c r="J1634">
        <v>183.58</v>
      </c>
      <c r="K1634" s="1">
        <v>45978</v>
      </c>
      <c r="L1634" t="s">
        <v>93</v>
      </c>
      <c r="M1634">
        <v>17</v>
      </c>
      <c r="N1634">
        <v>11</v>
      </c>
      <c r="O1634">
        <v>4</v>
      </c>
      <c r="P1634">
        <v>2025</v>
      </c>
    </row>
    <row r="1635" spans="1:16">
      <c r="A1635">
        <v>218.16</v>
      </c>
      <c r="B1635">
        <v>4</v>
      </c>
      <c r="C1635" t="s">
        <v>1808</v>
      </c>
      <c r="D1635" t="s">
        <v>1809</v>
      </c>
      <c r="E1635" t="s">
        <v>1810</v>
      </c>
      <c r="F1635" t="s">
        <v>1811</v>
      </c>
      <c r="G1635" t="s">
        <v>892</v>
      </c>
      <c r="H1635" t="s">
        <v>292</v>
      </c>
      <c r="I1635" t="s">
        <v>97</v>
      </c>
      <c r="J1635">
        <v>54.54</v>
      </c>
      <c r="K1635" s="1">
        <v>46239</v>
      </c>
      <c r="L1635" t="s">
        <v>34</v>
      </c>
      <c r="M1635">
        <v>5</v>
      </c>
      <c r="N1635">
        <v>8</v>
      </c>
      <c r="O1635">
        <v>3</v>
      </c>
      <c r="P1635">
        <v>2026</v>
      </c>
    </row>
    <row r="1636" spans="1:16">
      <c r="A1636">
        <v>95.95</v>
      </c>
      <c r="B1636">
        <v>5</v>
      </c>
      <c r="C1636" t="s">
        <v>1104</v>
      </c>
      <c r="D1636" t="s">
        <v>1105</v>
      </c>
      <c r="E1636" t="s">
        <v>1106</v>
      </c>
      <c r="F1636" t="s">
        <v>1107</v>
      </c>
      <c r="G1636" t="s">
        <v>892</v>
      </c>
      <c r="H1636" t="s">
        <v>71</v>
      </c>
      <c r="I1636" t="s">
        <v>23</v>
      </c>
      <c r="J1636">
        <v>19.190000000000001</v>
      </c>
      <c r="K1636" s="1">
        <v>45828</v>
      </c>
      <c r="L1636" t="s">
        <v>79</v>
      </c>
      <c r="M1636">
        <v>20</v>
      </c>
      <c r="N1636">
        <v>6</v>
      </c>
      <c r="O1636">
        <v>2</v>
      </c>
      <c r="P1636">
        <v>2025</v>
      </c>
    </row>
    <row r="1637" spans="1:16">
      <c r="A1637">
        <v>1003.5500000000001</v>
      </c>
      <c r="B1637">
        <v>5</v>
      </c>
      <c r="C1637" t="s">
        <v>3007</v>
      </c>
      <c r="D1637" t="s">
        <v>3008</v>
      </c>
      <c r="E1637" t="s">
        <v>1053</v>
      </c>
      <c r="F1637" t="s">
        <v>113</v>
      </c>
      <c r="G1637" t="s">
        <v>854</v>
      </c>
      <c r="H1637" t="s">
        <v>298</v>
      </c>
      <c r="I1637" t="s">
        <v>31</v>
      </c>
      <c r="J1637">
        <v>200.71</v>
      </c>
      <c r="K1637" s="1">
        <v>45618</v>
      </c>
      <c r="L1637" t="s">
        <v>79</v>
      </c>
      <c r="M1637">
        <v>22</v>
      </c>
      <c r="N1637">
        <v>11</v>
      </c>
      <c r="O1637">
        <v>4</v>
      </c>
      <c r="P1637">
        <v>2024</v>
      </c>
    </row>
    <row r="1638" spans="1:16">
      <c r="A1638">
        <v>247.04999999999998</v>
      </c>
      <c r="B1638">
        <v>5</v>
      </c>
      <c r="C1638" t="s">
        <v>3294</v>
      </c>
      <c r="D1638" t="s">
        <v>3295</v>
      </c>
      <c r="E1638" t="s">
        <v>2250</v>
      </c>
      <c r="F1638" t="s">
        <v>862</v>
      </c>
      <c r="G1638" t="s">
        <v>908</v>
      </c>
      <c r="H1638" t="s">
        <v>144</v>
      </c>
      <c r="I1638" t="s">
        <v>97</v>
      </c>
      <c r="J1638">
        <v>49.41</v>
      </c>
      <c r="K1638" s="1">
        <v>46097</v>
      </c>
      <c r="L1638" t="s">
        <v>93</v>
      </c>
      <c r="M1638">
        <v>16</v>
      </c>
      <c r="N1638">
        <v>3</v>
      </c>
      <c r="O1638">
        <v>1</v>
      </c>
      <c r="P1638">
        <v>2026</v>
      </c>
    </row>
    <row r="1639" spans="1:16">
      <c r="A1639">
        <v>926.56</v>
      </c>
      <c r="B1639">
        <v>4</v>
      </c>
      <c r="C1639" t="s">
        <v>2795</v>
      </c>
      <c r="D1639" t="s">
        <v>2796</v>
      </c>
      <c r="E1639" t="s">
        <v>2797</v>
      </c>
      <c r="F1639" t="s">
        <v>1691</v>
      </c>
      <c r="G1639" t="s">
        <v>821</v>
      </c>
      <c r="H1639" t="s">
        <v>658</v>
      </c>
      <c r="I1639" t="s">
        <v>69</v>
      </c>
      <c r="J1639">
        <v>231.64</v>
      </c>
      <c r="K1639" s="1">
        <v>45864</v>
      </c>
      <c r="L1639" t="s">
        <v>14</v>
      </c>
      <c r="M1639">
        <v>26</v>
      </c>
      <c r="N1639">
        <v>7</v>
      </c>
      <c r="O1639">
        <v>3</v>
      </c>
      <c r="P1639">
        <v>2025</v>
      </c>
    </row>
    <row r="1640" spans="1:16">
      <c r="A1640">
        <v>400.24</v>
      </c>
      <c r="B1640">
        <v>2</v>
      </c>
      <c r="C1640" t="s">
        <v>999</v>
      </c>
      <c r="D1640" t="s">
        <v>1000</v>
      </c>
      <c r="E1640" t="s">
        <v>1001</v>
      </c>
      <c r="F1640" t="s">
        <v>1002</v>
      </c>
      <c r="G1640" t="s">
        <v>1003</v>
      </c>
      <c r="H1640" t="s">
        <v>239</v>
      </c>
      <c r="I1640" t="s">
        <v>23</v>
      </c>
      <c r="J1640">
        <v>200.12</v>
      </c>
      <c r="K1640" s="1">
        <v>45882</v>
      </c>
      <c r="L1640" t="s">
        <v>34</v>
      </c>
      <c r="M1640">
        <v>13</v>
      </c>
      <c r="N1640">
        <v>8</v>
      </c>
      <c r="O1640">
        <v>3</v>
      </c>
      <c r="P1640">
        <v>2025</v>
      </c>
    </row>
    <row r="1641" spans="1:16">
      <c r="A1641">
        <v>647.67999999999995</v>
      </c>
      <c r="B1641">
        <v>4</v>
      </c>
      <c r="C1641" t="s">
        <v>971</v>
      </c>
      <c r="D1641" t="s">
        <v>972</v>
      </c>
      <c r="E1641" t="s">
        <v>973</v>
      </c>
      <c r="F1641" t="s">
        <v>562</v>
      </c>
      <c r="G1641" t="s">
        <v>753</v>
      </c>
      <c r="H1641" t="s">
        <v>546</v>
      </c>
      <c r="I1641" t="s">
        <v>25</v>
      </c>
      <c r="J1641">
        <v>161.91999999999999</v>
      </c>
      <c r="K1641" s="1">
        <v>45676</v>
      </c>
      <c r="L1641" t="s">
        <v>28</v>
      </c>
      <c r="M1641">
        <v>19</v>
      </c>
      <c r="N1641">
        <v>1</v>
      </c>
      <c r="O1641">
        <v>1</v>
      </c>
      <c r="P1641">
        <v>2025</v>
      </c>
    </row>
    <row r="1642" spans="1:16">
      <c r="A1642">
        <v>492.52</v>
      </c>
      <c r="B1642">
        <v>4</v>
      </c>
      <c r="C1642" t="s">
        <v>1478</v>
      </c>
      <c r="D1642" t="s">
        <v>1479</v>
      </c>
      <c r="E1642" t="s">
        <v>1263</v>
      </c>
      <c r="F1642" t="s">
        <v>1395</v>
      </c>
      <c r="G1642" t="s">
        <v>776</v>
      </c>
      <c r="H1642" t="s">
        <v>66</v>
      </c>
      <c r="I1642" t="s">
        <v>46</v>
      </c>
      <c r="J1642">
        <v>123.13</v>
      </c>
      <c r="K1642" s="1">
        <v>46064</v>
      </c>
      <c r="L1642" t="s">
        <v>34</v>
      </c>
      <c r="M1642">
        <v>11</v>
      </c>
      <c r="N1642">
        <v>2</v>
      </c>
      <c r="O1642">
        <v>1</v>
      </c>
      <c r="P1642">
        <v>2026</v>
      </c>
    </row>
    <row r="1643" spans="1:16">
      <c r="A1643">
        <v>245.37</v>
      </c>
      <c r="B1643">
        <v>3</v>
      </c>
      <c r="C1643" t="s">
        <v>1860</v>
      </c>
      <c r="D1643" t="s">
        <v>1861</v>
      </c>
      <c r="E1643" t="s">
        <v>1862</v>
      </c>
      <c r="F1643" t="s">
        <v>879</v>
      </c>
      <c r="G1643" t="s">
        <v>748</v>
      </c>
      <c r="H1643" t="s">
        <v>155</v>
      </c>
      <c r="I1643" t="s">
        <v>19</v>
      </c>
      <c r="J1643">
        <v>81.790000000000006</v>
      </c>
      <c r="K1643" s="1">
        <v>46214</v>
      </c>
      <c r="L1643" t="s">
        <v>14</v>
      </c>
      <c r="M1643">
        <v>11</v>
      </c>
      <c r="N1643">
        <v>7</v>
      </c>
      <c r="O1643">
        <v>3</v>
      </c>
      <c r="P1643">
        <v>2026</v>
      </c>
    </row>
    <row r="1644" spans="1:16">
      <c r="A1644">
        <v>98.42</v>
      </c>
      <c r="B1644">
        <v>2</v>
      </c>
      <c r="C1644" t="s">
        <v>1131</v>
      </c>
      <c r="D1644" t="s">
        <v>1132</v>
      </c>
      <c r="E1644" t="s">
        <v>1133</v>
      </c>
      <c r="F1644" t="s">
        <v>1107</v>
      </c>
      <c r="G1644" t="s">
        <v>763</v>
      </c>
      <c r="H1644" t="s">
        <v>717</v>
      </c>
      <c r="I1644" t="s">
        <v>17</v>
      </c>
      <c r="J1644">
        <v>49.21</v>
      </c>
      <c r="K1644" s="1">
        <v>45725</v>
      </c>
      <c r="L1644" t="s">
        <v>28</v>
      </c>
      <c r="M1644">
        <v>9</v>
      </c>
      <c r="N1644">
        <v>3</v>
      </c>
      <c r="O1644">
        <v>1</v>
      </c>
      <c r="P1644">
        <v>2025</v>
      </c>
    </row>
    <row r="1645" spans="1:16">
      <c r="A1645">
        <v>399.56</v>
      </c>
      <c r="B1645">
        <v>2</v>
      </c>
      <c r="C1645" t="s">
        <v>2256</v>
      </c>
      <c r="D1645" t="s">
        <v>2257</v>
      </c>
      <c r="E1645" t="s">
        <v>2232</v>
      </c>
      <c r="F1645" t="s">
        <v>1649</v>
      </c>
      <c r="G1645" t="s">
        <v>790</v>
      </c>
      <c r="H1645" t="s">
        <v>520</v>
      </c>
      <c r="I1645" t="s">
        <v>122</v>
      </c>
      <c r="J1645">
        <v>199.78</v>
      </c>
      <c r="K1645" s="1">
        <v>45680</v>
      </c>
      <c r="L1645" t="s">
        <v>105</v>
      </c>
      <c r="M1645">
        <v>23</v>
      </c>
      <c r="N1645">
        <v>1</v>
      </c>
      <c r="O1645">
        <v>1</v>
      </c>
      <c r="P1645">
        <v>2025</v>
      </c>
    </row>
    <row r="1646" spans="1:16">
      <c r="A1646">
        <v>254.76</v>
      </c>
      <c r="B1646">
        <v>2</v>
      </c>
      <c r="C1646" t="s">
        <v>2923</v>
      </c>
      <c r="D1646" t="s">
        <v>2924</v>
      </c>
      <c r="E1646" t="s">
        <v>1585</v>
      </c>
      <c r="F1646" t="s">
        <v>1111</v>
      </c>
      <c r="G1646" t="s">
        <v>981</v>
      </c>
      <c r="H1646" t="s">
        <v>1217</v>
      </c>
      <c r="I1646" t="s">
        <v>122</v>
      </c>
      <c r="J1646">
        <v>127.38</v>
      </c>
      <c r="K1646" s="1">
        <v>45758</v>
      </c>
      <c r="L1646" t="s">
        <v>79</v>
      </c>
      <c r="M1646">
        <v>11</v>
      </c>
      <c r="N1646">
        <v>4</v>
      </c>
      <c r="O1646">
        <v>2</v>
      </c>
      <c r="P1646">
        <v>2025</v>
      </c>
    </row>
    <row r="1647" spans="1:16">
      <c r="A1647">
        <v>720.48</v>
      </c>
      <c r="B1647">
        <v>4</v>
      </c>
      <c r="C1647" t="s">
        <v>3036</v>
      </c>
      <c r="D1647" t="s">
        <v>3037</v>
      </c>
      <c r="E1647" t="s">
        <v>1110</v>
      </c>
      <c r="F1647" t="s">
        <v>1061</v>
      </c>
      <c r="G1647" t="s">
        <v>834</v>
      </c>
      <c r="H1647" t="s">
        <v>618</v>
      </c>
      <c r="I1647" t="s">
        <v>100</v>
      </c>
      <c r="J1647">
        <v>180.12</v>
      </c>
      <c r="K1647" s="1">
        <v>46046</v>
      </c>
      <c r="L1647" t="s">
        <v>14</v>
      </c>
      <c r="M1647">
        <v>24</v>
      </c>
      <c r="N1647">
        <v>1</v>
      </c>
      <c r="O1647">
        <v>1</v>
      </c>
      <c r="P1647">
        <v>2026</v>
      </c>
    </row>
    <row r="1648" spans="1:16">
      <c r="A1648">
        <v>398.40000000000003</v>
      </c>
      <c r="B1648">
        <v>5</v>
      </c>
      <c r="C1648" t="s">
        <v>1018</v>
      </c>
      <c r="D1648" t="s">
        <v>1019</v>
      </c>
      <c r="E1648" t="s">
        <v>1020</v>
      </c>
      <c r="F1648" t="s">
        <v>995</v>
      </c>
      <c r="G1648" t="s">
        <v>781</v>
      </c>
      <c r="H1648" t="s">
        <v>565</v>
      </c>
      <c r="I1648" t="s">
        <v>17</v>
      </c>
      <c r="J1648">
        <v>79.680000000000007</v>
      </c>
      <c r="K1648" s="1">
        <v>45880</v>
      </c>
      <c r="L1648" t="s">
        <v>93</v>
      </c>
      <c r="M1648">
        <v>11</v>
      </c>
      <c r="N1648">
        <v>8</v>
      </c>
      <c r="O1648">
        <v>3</v>
      </c>
      <c r="P1648">
        <v>2025</v>
      </c>
    </row>
    <row r="1649" spans="1:16">
      <c r="A1649">
        <v>148.56</v>
      </c>
      <c r="B1649">
        <v>2</v>
      </c>
      <c r="C1649" t="s">
        <v>1299</v>
      </c>
      <c r="D1649" t="s">
        <v>1300</v>
      </c>
      <c r="E1649" t="s">
        <v>1301</v>
      </c>
      <c r="F1649" t="s">
        <v>1302</v>
      </c>
      <c r="G1649" t="s">
        <v>786</v>
      </c>
      <c r="H1649" t="s">
        <v>54</v>
      </c>
      <c r="I1649" t="s">
        <v>55</v>
      </c>
      <c r="J1649">
        <v>74.28</v>
      </c>
      <c r="K1649" s="1">
        <v>45764</v>
      </c>
      <c r="L1649" t="s">
        <v>105</v>
      </c>
      <c r="M1649">
        <v>17</v>
      </c>
      <c r="N1649">
        <v>4</v>
      </c>
      <c r="O1649">
        <v>2</v>
      </c>
      <c r="P1649">
        <v>2025</v>
      </c>
    </row>
    <row r="1650" spans="1:16">
      <c r="A1650">
        <v>454.94</v>
      </c>
      <c r="B1650">
        <v>2</v>
      </c>
      <c r="C1650" t="s">
        <v>3280</v>
      </c>
      <c r="D1650" t="s">
        <v>3281</v>
      </c>
      <c r="E1650" t="s">
        <v>2615</v>
      </c>
      <c r="F1650" t="s">
        <v>387</v>
      </c>
      <c r="G1650" t="s">
        <v>821</v>
      </c>
      <c r="H1650" t="s">
        <v>116</v>
      </c>
      <c r="I1650" t="s">
        <v>57</v>
      </c>
      <c r="J1650">
        <v>227.47</v>
      </c>
      <c r="K1650" s="1">
        <v>46208</v>
      </c>
      <c r="L1650" t="s">
        <v>28</v>
      </c>
      <c r="M1650">
        <v>5</v>
      </c>
      <c r="N1650">
        <v>7</v>
      </c>
      <c r="O1650">
        <v>3</v>
      </c>
      <c r="P1650">
        <v>2026</v>
      </c>
    </row>
    <row r="1651" spans="1:16">
      <c r="A1651">
        <v>869.44</v>
      </c>
      <c r="B1651">
        <v>4</v>
      </c>
      <c r="C1651" t="s">
        <v>1272</v>
      </c>
      <c r="D1651" t="s">
        <v>1273</v>
      </c>
      <c r="E1651" t="s">
        <v>1274</v>
      </c>
      <c r="F1651" t="s">
        <v>380</v>
      </c>
      <c r="G1651" t="s">
        <v>954</v>
      </c>
      <c r="H1651" t="s">
        <v>103</v>
      </c>
      <c r="I1651" t="s">
        <v>46</v>
      </c>
      <c r="J1651">
        <v>217.36</v>
      </c>
      <c r="K1651" s="1">
        <v>46154</v>
      </c>
      <c r="L1651" t="s">
        <v>48</v>
      </c>
      <c r="M1651">
        <v>12</v>
      </c>
      <c r="N1651">
        <v>5</v>
      </c>
      <c r="O1651">
        <v>2</v>
      </c>
      <c r="P1651">
        <v>2026</v>
      </c>
    </row>
    <row r="1652" spans="1:16">
      <c r="A1652">
        <v>5.16</v>
      </c>
      <c r="B1652">
        <v>4</v>
      </c>
      <c r="C1652" t="s">
        <v>3078</v>
      </c>
      <c r="D1652" t="s">
        <v>3079</v>
      </c>
      <c r="E1652" t="s">
        <v>798</v>
      </c>
      <c r="F1652" t="s">
        <v>196</v>
      </c>
      <c r="G1652" t="s">
        <v>830</v>
      </c>
      <c r="H1652" t="s">
        <v>563</v>
      </c>
      <c r="I1652" t="s">
        <v>46</v>
      </c>
      <c r="J1652">
        <v>1.29</v>
      </c>
      <c r="K1652" s="1">
        <v>46148</v>
      </c>
      <c r="L1652" t="s">
        <v>34</v>
      </c>
      <c r="M1652">
        <v>6</v>
      </c>
      <c r="N1652">
        <v>5</v>
      </c>
      <c r="O1652">
        <v>2</v>
      </c>
      <c r="P1652">
        <v>2026</v>
      </c>
    </row>
    <row r="1653" spans="1:16">
      <c r="A1653">
        <v>173.32</v>
      </c>
      <c r="B1653">
        <v>1</v>
      </c>
      <c r="C1653" t="s">
        <v>3021</v>
      </c>
      <c r="D1653" t="s">
        <v>3022</v>
      </c>
      <c r="E1653" t="s">
        <v>2078</v>
      </c>
      <c r="F1653" t="s">
        <v>915</v>
      </c>
      <c r="G1653" t="s">
        <v>908</v>
      </c>
      <c r="H1653" t="s">
        <v>303</v>
      </c>
      <c r="I1653" t="s">
        <v>19</v>
      </c>
      <c r="J1653">
        <v>173.32</v>
      </c>
      <c r="K1653" s="1">
        <v>46274</v>
      </c>
      <c r="L1653" t="s">
        <v>34</v>
      </c>
      <c r="M1653">
        <v>9</v>
      </c>
      <c r="N1653">
        <v>9</v>
      </c>
      <c r="O1653">
        <v>3</v>
      </c>
      <c r="P1653">
        <v>2026</v>
      </c>
    </row>
    <row r="1654" spans="1:16">
      <c r="A1654">
        <v>551.79</v>
      </c>
      <c r="B1654">
        <v>3</v>
      </c>
      <c r="C1654" t="s">
        <v>2146</v>
      </c>
      <c r="D1654" t="s">
        <v>2147</v>
      </c>
      <c r="E1654" t="s">
        <v>2148</v>
      </c>
      <c r="F1654" t="s">
        <v>1525</v>
      </c>
      <c r="G1654" t="s">
        <v>763</v>
      </c>
      <c r="H1654" t="s">
        <v>359</v>
      </c>
      <c r="I1654" t="s">
        <v>23</v>
      </c>
      <c r="J1654">
        <v>183.93</v>
      </c>
      <c r="K1654" s="1">
        <v>45919</v>
      </c>
      <c r="L1654" t="s">
        <v>79</v>
      </c>
      <c r="M1654">
        <v>19</v>
      </c>
      <c r="N1654">
        <v>9</v>
      </c>
      <c r="O1654">
        <v>3</v>
      </c>
      <c r="P1654">
        <v>2025</v>
      </c>
    </row>
    <row r="1655" spans="1:16">
      <c r="A1655">
        <v>772.12</v>
      </c>
      <c r="B1655">
        <v>4</v>
      </c>
      <c r="C1655" t="s">
        <v>1396</v>
      </c>
      <c r="D1655" t="s">
        <v>1397</v>
      </c>
      <c r="E1655" t="s">
        <v>1398</v>
      </c>
      <c r="F1655" t="s">
        <v>903</v>
      </c>
      <c r="G1655" t="s">
        <v>786</v>
      </c>
      <c r="H1655" t="s">
        <v>420</v>
      </c>
      <c r="I1655" t="s">
        <v>25</v>
      </c>
      <c r="J1655">
        <v>193.03</v>
      </c>
      <c r="K1655" s="1">
        <v>45987</v>
      </c>
      <c r="L1655" t="s">
        <v>34</v>
      </c>
      <c r="M1655">
        <v>26</v>
      </c>
      <c r="N1655">
        <v>11</v>
      </c>
      <c r="O1655">
        <v>4</v>
      </c>
      <c r="P1655">
        <v>2025</v>
      </c>
    </row>
    <row r="1656" spans="1:16">
      <c r="A1656">
        <v>105</v>
      </c>
      <c r="B1656">
        <v>4</v>
      </c>
      <c r="C1656" t="s">
        <v>844</v>
      </c>
      <c r="D1656" t="s">
        <v>845</v>
      </c>
      <c r="E1656" t="s">
        <v>846</v>
      </c>
      <c r="F1656" t="s">
        <v>106</v>
      </c>
      <c r="G1656" t="s">
        <v>748</v>
      </c>
      <c r="H1656" t="s">
        <v>493</v>
      </c>
      <c r="I1656" t="s">
        <v>46</v>
      </c>
      <c r="J1656">
        <v>26.25</v>
      </c>
      <c r="K1656" s="1">
        <v>45843</v>
      </c>
      <c r="L1656" t="s">
        <v>14</v>
      </c>
      <c r="M1656">
        <v>5</v>
      </c>
      <c r="N1656">
        <v>7</v>
      </c>
      <c r="O1656">
        <v>3</v>
      </c>
      <c r="P1656">
        <v>2025</v>
      </c>
    </row>
    <row r="1657" spans="1:16">
      <c r="A1657">
        <v>42.36</v>
      </c>
      <c r="B1657">
        <v>2</v>
      </c>
      <c r="C1657" t="s">
        <v>1912</v>
      </c>
      <c r="D1657" t="s">
        <v>1913</v>
      </c>
      <c r="E1657" t="s">
        <v>1565</v>
      </c>
      <c r="F1657" t="s">
        <v>806</v>
      </c>
      <c r="G1657" t="s">
        <v>807</v>
      </c>
      <c r="H1657" t="s">
        <v>530</v>
      </c>
      <c r="I1657" t="s">
        <v>37</v>
      </c>
      <c r="J1657">
        <v>21.18</v>
      </c>
      <c r="K1657" s="1">
        <v>45662</v>
      </c>
      <c r="L1657" t="s">
        <v>28</v>
      </c>
      <c r="M1657">
        <v>5</v>
      </c>
      <c r="N1657">
        <v>1</v>
      </c>
      <c r="O1657">
        <v>1</v>
      </c>
      <c r="P1657">
        <v>2025</v>
      </c>
    </row>
    <row r="1658" spans="1:16">
      <c r="A1658">
        <v>105.33</v>
      </c>
      <c r="B1658">
        <v>3</v>
      </c>
      <c r="C1658" t="s">
        <v>3078</v>
      </c>
      <c r="D1658" t="s">
        <v>3079</v>
      </c>
      <c r="E1658" t="s">
        <v>798</v>
      </c>
      <c r="F1658" t="s">
        <v>196</v>
      </c>
      <c r="G1658" t="s">
        <v>830</v>
      </c>
      <c r="H1658" t="s">
        <v>400</v>
      </c>
      <c r="I1658" t="s">
        <v>57</v>
      </c>
      <c r="J1658">
        <v>35.11</v>
      </c>
      <c r="K1658" s="1">
        <v>45591</v>
      </c>
      <c r="L1658" t="s">
        <v>14</v>
      </c>
      <c r="M1658">
        <v>26</v>
      </c>
      <c r="N1658">
        <v>10</v>
      </c>
      <c r="O1658">
        <v>4</v>
      </c>
      <c r="P1658">
        <v>2024</v>
      </c>
    </row>
    <row r="1659" spans="1:16">
      <c r="A1659">
        <v>137.47</v>
      </c>
      <c r="B1659">
        <v>1</v>
      </c>
      <c r="C1659" t="s">
        <v>3175</v>
      </c>
      <c r="D1659" t="s">
        <v>3176</v>
      </c>
      <c r="E1659" t="s">
        <v>882</v>
      </c>
      <c r="F1659" t="s">
        <v>392</v>
      </c>
      <c r="G1659" t="s">
        <v>834</v>
      </c>
      <c r="H1659" t="s">
        <v>379</v>
      </c>
      <c r="I1659" t="s">
        <v>69</v>
      </c>
      <c r="J1659">
        <v>137.47</v>
      </c>
      <c r="K1659" s="1">
        <v>46044</v>
      </c>
      <c r="L1659" t="s">
        <v>105</v>
      </c>
      <c r="M1659">
        <v>22</v>
      </c>
      <c r="N1659">
        <v>1</v>
      </c>
      <c r="O1659">
        <v>1</v>
      </c>
      <c r="P1659">
        <v>2026</v>
      </c>
    </row>
    <row r="1660" spans="1:16">
      <c r="A1660">
        <v>2.74</v>
      </c>
      <c r="B1660">
        <v>2</v>
      </c>
      <c r="C1660" t="s">
        <v>791</v>
      </c>
      <c r="D1660" t="s">
        <v>792</v>
      </c>
      <c r="E1660" t="s">
        <v>793</v>
      </c>
      <c r="F1660" t="s">
        <v>794</v>
      </c>
      <c r="G1660" t="s">
        <v>795</v>
      </c>
      <c r="H1660" t="s">
        <v>85</v>
      </c>
      <c r="I1660" t="s">
        <v>37</v>
      </c>
      <c r="J1660">
        <v>1.37</v>
      </c>
      <c r="K1660" s="1">
        <v>45813</v>
      </c>
      <c r="L1660" t="s">
        <v>105</v>
      </c>
      <c r="M1660">
        <v>5</v>
      </c>
      <c r="N1660">
        <v>6</v>
      </c>
      <c r="O1660">
        <v>2</v>
      </c>
      <c r="P1660">
        <v>2025</v>
      </c>
    </row>
    <row r="1661" spans="1:16">
      <c r="A1661">
        <v>940.44</v>
      </c>
      <c r="B1661">
        <v>4</v>
      </c>
      <c r="C1661" t="s">
        <v>3112</v>
      </c>
      <c r="D1661" t="s">
        <v>3113</v>
      </c>
      <c r="E1661" t="s">
        <v>3114</v>
      </c>
      <c r="F1661" t="s">
        <v>1107</v>
      </c>
      <c r="G1661" t="s">
        <v>763</v>
      </c>
      <c r="H1661" t="s">
        <v>337</v>
      </c>
      <c r="I1661" t="s">
        <v>37</v>
      </c>
      <c r="J1661">
        <v>235.11</v>
      </c>
      <c r="K1661" s="1">
        <v>45857</v>
      </c>
      <c r="L1661" t="s">
        <v>14</v>
      </c>
      <c r="M1661">
        <v>19</v>
      </c>
      <c r="N1661">
        <v>7</v>
      </c>
      <c r="O1661">
        <v>3</v>
      </c>
      <c r="P1661">
        <v>2025</v>
      </c>
    </row>
    <row r="1662" spans="1:16">
      <c r="A1662">
        <v>52.400000000000006</v>
      </c>
      <c r="B1662">
        <v>5</v>
      </c>
      <c r="C1662" t="s">
        <v>3212</v>
      </c>
      <c r="D1662" t="s">
        <v>3213</v>
      </c>
      <c r="E1662" t="s">
        <v>2013</v>
      </c>
      <c r="F1662" t="s">
        <v>1111</v>
      </c>
      <c r="G1662" t="s">
        <v>981</v>
      </c>
      <c r="H1662" t="s">
        <v>578</v>
      </c>
      <c r="I1662" t="s">
        <v>82</v>
      </c>
      <c r="J1662">
        <v>10.48</v>
      </c>
      <c r="K1662" s="1">
        <v>45946</v>
      </c>
      <c r="L1662" t="s">
        <v>105</v>
      </c>
      <c r="M1662">
        <v>16</v>
      </c>
      <c r="N1662">
        <v>10</v>
      </c>
      <c r="O1662">
        <v>4</v>
      </c>
      <c r="P1662">
        <v>2025</v>
      </c>
    </row>
    <row r="1663" spans="1:16">
      <c r="A1663">
        <v>103.44</v>
      </c>
      <c r="B1663">
        <v>4</v>
      </c>
      <c r="C1663" t="s">
        <v>2123</v>
      </c>
      <c r="D1663" t="s">
        <v>2124</v>
      </c>
      <c r="E1663" t="s">
        <v>1291</v>
      </c>
      <c r="F1663" t="s">
        <v>106</v>
      </c>
      <c r="G1663" t="s">
        <v>748</v>
      </c>
      <c r="H1663" t="s">
        <v>282</v>
      </c>
      <c r="I1663" t="s">
        <v>21</v>
      </c>
      <c r="J1663">
        <v>25.86</v>
      </c>
      <c r="K1663" s="1">
        <v>46078</v>
      </c>
      <c r="L1663" t="s">
        <v>34</v>
      </c>
      <c r="M1663">
        <v>25</v>
      </c>
      <c r="N1663">
        <v>2</v>
      </c>
      <c r="O1663">
        <v>1</v>
      </c>
      <c r="P1663">
        <v>2026</v>
      </c>
    </row>
    <row r="1664" spans="1:16">
      <c r="A1664">
        <v>613.45000000000005</v>
      </c>
      <c r="B1664">
        <v>5</v>
      </c>
      <c r="C1664" t="s">
        <v>1196</v>
      </c>
      <c r="D1664" t="s">
        <v>1197</v>
      </c>
      <c r="E1664" t="s">
        <v>1198</v>
      </c>
      <c r="F1664" t="s">
        <v>1199</v>
      </c>
      <c r="G1664" t="s">
        <v>839</v>
      </c>
      <c r="H1664" t="s">
        <v>134</v>
      </c>
      <c r="I1664" t="s">
        <v>100</v>
      </c>
      <c r="J1664">
        <v>122.69</v>
      </c>
      <c r="K1664" s="1">
        <v>45981</v>
      </c>
      <c r="L1664" t="s">
        <v>105</v>
      </c>
      <c r="M1664">
        <v>20</v>
      </c>
      <c r="N1664">
        <v>11</v>
      </c>
      <c r="O1664">
        <v>4</v>
      </c>
      <c r="P1664">
        <v>2025</v>
      </c>
    </row>
    <row r="1665" spans="1:16">
      <c r="A1665">
        <v>251.4</v>
      </c>
      <c r="B1665">
        <v>5</v>
      </c>
      <c r="C1665" t="s">
        <v>1900</v>
      </c>
      <c r="D1665" t="s">
        <v>1901</v>
      </c>
      <c r="E1665" t="s">
        <v>1477</v>
      </c>
      <c r="F1665" t="s">
        <v>961</v>
      </c>
      <c r="G1665" t="s">
        <v>753</v>
      </c>
      <c r="H1665" t="s">
        <v>519</v>
      </c>
      <c r="I1665" t="s">
        <v>51</v>
      </c>
      <c r="J1665">
        <v>50.28</v>
      </c>
      <c r="K1665" s="1">
        <v>45578</v>
      </c>
      <c r="L1665" t="s">
        <v>28</v>
      </c>
      <c r="M1665">
        <v>13</v>
      </c>
      <c r="N1665">
        <v>10</v>
      </c>
      <c r="O1665">
        <v>4</v>
      </c>
      <c r="P1665">
        <v>2024</v>
      </c>
    </row>
    <row r="1666" spans="1:16">
      <c r="A1666">
        <v>104.96</v>
      </c>
      <c r="B1666">
        <v>1</v>
      </c>
      <c r="C1666" t="s">
        <v>2159</v>
      </c>
      <c r="D1666" t="s">
        <v>2160</v>
      </c>
      <c r="E1666" t="s">
        <v>1559</v>
      </c>
      <c r="F1666" t="s">
        <v>919</v>
      </c>
      <c r="G1666" t="s">
        <v>786</v>
      </c>
      <c r="H1666" t="s">
        <v>225</v>
      </c>
      <c r="I1666" t="s">
        <v>21</v>
      </c>
      <c r="J1666">
        <v>104.96</v>
      </c>
      <c r="K1666" s="1">
        <v>45705</v>
      </c>
      <c r="L1666" t="s">
        <v>93</v>
      </c>
      <c r="M1666">
        <v>17</v>
      </c>
      <c r="N1666">
        <v>2</v>
      </c>
      <c r="O1666">
        <v>1</v>
      </c>
      <c r="P1666">
        <v>2025</v>
      </c>
    </row>
    <row r="1667" spans="1:16">
      <c r="A1667">
        <v>319.32</v>
      </c>
      <c r="B1667">
        <v>4</v>
      </c>
      <c r="C1667" t="s">
        <v>3173</v>
      </c>
      <c r="D1667" t="s">
        <v>3174</v>
      </c>
      <c r="E1667" t="s">
        <v>1906</v>
      </c>
      <c r="F1667" t="s">
        <v>113</v>
      </c>
      <c r="G1667" t="s">
        <v>854</v>
      </c>
      <c r="H1667" t="s">
        <v>234</v>
      </c>
      <c r="I1667" t="s">
        <v>82</v>
      </c>
      <c r="J1667">
        <v>79.83</v>
      </c>
      <c r="K1667" s="1">
        <v>46186</v>
      </c>
      <c r="L1667" t="s">
        <v>14</v>
      </c>
      <c r="M1667">
        <v>13</v>
      </c>
      <c r="N1667">
        <v>6</v>
      </c>
      <c r="O1667">
        <v>2</v>
      </c>
      <c r="P1667">
        <v>2026</v>
      </c>
    </row>
    <row r="1668" spans="1:16">
      <c r="A1668">
        <v>14.62</v>
      </c>
      <c r="B1668">
        <v>1</v>
      </c>
      <c r="C1668" t="s">
        <v>1891</v>
      </c>
      <c r="D1668" t="s">
        <v>1892</v>
      </c>
      <c r="E1668" t="s">
        <v>1893</v>
      </c>
      <c r="F1668" t="s">
        <v>806</v>
      </c>
      <c r="G1668" t="s">
        <v>807</v>
      </c>
      <c r="H1668" t="s">
        <v>102</v>
      </c>
      <c r="I1668" t="s">
        <v>51</v>
      </c>
      <c r="J1668">
        <v>14.62</v>
      </c>
      <c r="K1668" s="1">
        <v>45998</v>
      </c>
      <c r="L1668" t="s">
        <v>28</v>
      </c>
      <c r="M1668">
        <v>7</v>
      </c>
      <c r="N1668">
        <v>12</v>
      </c>
      <c r="O1668">
        <v>4</v>
      </c>
      <c r="P1668">
        <v>2025</v>
      </c>
    </row>
    <row r="1669" spans="1:16">
      <c r="A1669">
        <v>191.24</v>
      </c>
      <c r="B1669">
        <v>2</v>
      </c>
      <c r="C1669" t="s">
        <v>2959</v>
      </c>
      <c r="D1669" t="s">
        <v>2960</v>
      </c>
      <c r="E1669" t="s">
        <v>1559</v>
      </c>
      <c r="F1669" t="s">
        <v>1239</v>
      </c>
      <c r="G1669" t="s">
        <v>795</v>
      </c>
      <c r="H1669" t="s">
        <v>153</v>
      </c>
      <c r="I1669" t="s">
        <v>37</v>
      </c>
      <c r="J1669">
        <v>95.62</v>
      </c>
      <c r="K1669" s="1">
        <v>45839</v>
      </c>
      <c r="L1669" t="s">
        <v>48</v>
      </c>
      <c r="M1669">
        <v>1</v>
      </c>
      <c r="N1669">
        <v>7</v>
      </c>
      <c r="O1669">
        <v>3</v>
      </c>
      <c r="P1669">
        <v>2025</v>
      </c>
    </row>
    <row r="1670" spans="1:16">
      <c r="A1670">
        <v>929.75</v>
      </c>
      <c r="B1670">
        <v>5</v>
      </c>
      <c r="C1670" t="s">
        <v>2905</v>
      </c>
      <c r="D1670" t="s">
        <v>2906</v>
      </c>
      <c r="E1670" t="s">
        <v>1338</v>
      </c>
      <c r="F1670" t="s">
        <v>1550</v>
      </c>
      <c r="G1670" t="s">
        <v>776</v>
      </c>
      <c r="H1670" t="s">
        <v>556</v>
      </c>
      <c r="I1670" t="s">
        <v>55</v>
      </c>
      <c r="J1670">
        <v>185.95</v>
      </c>
      <c r="K1670" s="1">
        <v>46233</v>
      </c>
      <c r="L1670" t="s">
        <v>105</v>
      </c>
      <c r="M1670">
        <v>30</v>
      </c>
      <c r="N1670">
        <v>7</v>
      </c>
      <c r="O1670">
        <v>3</v>
      </c>
      <c r="P1670">
        <v>2026</v>
      </c>
    </row>
    <row r="1671" spans="1:16">
      <c r="A1671">
        <v>735.66</v>
      </c>
      <c r="B1671">
        <v>3</v>
      </c>
      <c r="C1671" t="s">
        <v>2638</v>
      </c>
      <c r="D1671" t="s">
        <v>2639</v>
      </c>
      <c r="E1671" t="s">
        <v>2640</v>
      </c>
      <c r="F1671" t="s">
        <v>328</v>
      </c>
      <c r="G1671" t="s">
        <v>1247</v>
      </c>
      <c r="H1671" t="s">
        <v>168</v>
      </c>
      <c r="I1671" t="s">
        <v>46</v>
      </c>
      <c r="J1671">
        <v>245.22</v>
      </c>
      <c r="K1671" s="1">
        <v>45703</v>
      </c>
      <c r="L1671" t="s">
        <v>14</v>
      </c>
      <c r="M1671">
        <v>15</v>
      </c>
      <c r="N1671">
        <v>2</v>
      </c>
      <c r="O1671">
        <v>1</v>
      </c>
      <c r="P1671">
        <v>2025</v>
      </c>
    </row>
    <row r="1672" spans="1:16">
      <c r="A1672">
        <v>444.04</v>
      </c>
      <c r="B1672">
        <v>2</v>
      </c>
      <c r="C1672" t="s">
        <v>1530</v>
      </c>
      <c r="D1672" t="s">
        <v>1902</v>
      </c>
      <c r="E1672" t="s">
        <v>1903</v>
      </c>
      <c r="F1672" t="s">
        <v>49</v>
      </c>
      <c r="G1672" t="s">
        <v>892</v>
      </c>
      <c r="H1672" t="s">
        <v>501</v>
      </c>
      <c r="I1672" t="s">
        <v>25</v>
      </c>
      <c r="J1672">
        <v>222.02</v>
      </c>
      <c r="K1672" s="1">
        <v>46212</v>
      </c>
      <c r="L1672" t="s">
        <v>105</v>
      </c>
      <c r="M1672">
        <v>9</v>
      </c>
      <c r="N1672">
        <v>7</v>
      </c>
      <c r="O1672">
        <v>3</v>
      </c>
      <c r="P1672">
        <v>2026</v>
      </c>
    </row>
    <row r="1673" spans="1:16">
      <c r="A1673">
        <v>574.28</v>
      </c>
      <c r="B1673">
        <v>4</v>
      </c>
      <c r="C1673" t="s">
        <v>2724</v>
      </c>
      <c r="D1673" t="s">
        <v>2860</v>
      </c>
      <c r="E1673" t="s">
        <v>1698</v>
      </c>
      <c r="F1673" t="s">
        <v>1984</v>
      </c>
      <c r="G1673" t="s">
        <v>768</v>
      </c>
      <c r="H1673" t="s">
        <v>514</v>
      </c>
      <c r="I1673" t="s">
        <v>23</v>
      </c>
      <c r="J1673">
        <v>143.57</v>
      </c>
      <c r="K1673" s="1">
        <v>46263</v>
      </c>
      <c r="L1673" t="s">
        <v>14</v>
      </c>
      <c r="M1673">
        <v>29</v>
      </c>
      <c r="N1673">
        <v>8</v>
      </c>
      <c r="O1673">
        <v>3</v>
      </c>
      <c r="P1673">
        <v>2026</v>
      </c>
    </row>
    <row r="1674" spans="1:16">
      <c r="A1674">
        <v>701.46</v>
      </c>
      <c r="B1674">
        <v>3</v>
      </c>
      <c r="C1674" t="s">
        <v>1200</v>
      </c>
      <c r="D1674" t="s">
        <v>1201</v>
      </c>
      <c r="E1674" t="s">
        <v>1202</v>
      </c>
      <c r="F1674" t="s">
        <v>1137</v>
      </c>
      <c r="G1674" t="s">
        <v>748</v>
      </c>
      <c r="H1674" t="s">
        <v>390</v>
      </c>
      <c r="I1674" t="s">
        <v>82</v>
      </c>
      <c r="J1674">
        <v>233.82</v>
      </c>
      <c r="K1674" s="1">
        <v>46269</v>
      </c>
      <c r="L1674" t="s">
        <v>79</v>
      </c>
      <c r="M1674">
        <v>4</v>
      </c>
      <c r="N1674">
        <v>9</v>
      </c>
      <c r="O1674">
        <v>3</v>
      </c>
      <c r="P1674">
        <v>2026</v>
      </c>
    </row>
    <row r="1675" spans="1:16">
      <c r="A1675">
        <v>512.25</v>
      </c>
      <c r="B1675">
        <v>3</v>
      </c>
      <c r="C1675" t="s">
        <v>2472</v>
      </c>
      <c r="D1675" t="s">
        <v>2473</v>
      </c>
      <c r="E1675" t="s">
        <v>2253</v>
      </c>
      <c r="F1675" t="s">
        <v>767</v>
      </c>
      <c r="G1675" t="s">
        <v>768</v>
      </c>
      <c r="H1675" t="s">
        <v>652</v>
      </c>
      <c r="I1675" t="s">
        <v>37</v>
      </c>
      <c r="J1675">
        <v>170.75</v>
      </c>
      <c r="K1675" s="1">
        <v>45875</v>
      </c>
      <c r="L1675" t="s">
        <v>34</v>
      </c>
      <c r="M1675">
        <v>6</v>
      </c>
      <c r="N1675">
        <v>8</v>
      </c>
      <c r="O1675">
        <v>3</v>
      </c>
      <c r="P1675">
        <v>2025</v>
      </c>
    </row>
    <row r="1676" spans="1:16">
      <c r="A1676">
        <v>888.08</v>
      </c>
      <c r="B1676">
        <v>4</v>
      </c>
      <c r="C1676" t="s">
        <v>1354</v>
      </c>
      <c r="D1676" t="s">
        <v>1355</v>
      </c>
      <c r="E1676" t="s">
        <v>1324</v>
      </c>
      <c r="F1676" t="s">
        <v>196</v>
      </c>
      <c r="G1676" t="s">
        <v>1247</v>
      </c>
      <c r="H1676" t="s">
        <v>501</v>
      </c>
      <c r="I1676" t="s">
        <v>25</v>
      </c>
      <c r="J1676">
        <v>222.02</v>
      </c>
      <c r="K1676" s="1">
        <v>45989</v>
      </c>
      <c r="L1676" t="s">
        <v>79</v>
      </c>
      <c r="M1676">
        <v>28</v>
      </c>
      <c r="N1676">
        <v>11</v>
      </c>
      <c r="O1676">
        <v>4</v>
      </c>
      <c r="P1676">
        <v>2025</v>
      </c>
    </row>
    <row r="1677" spans="1:16">
      <c r="A1677">
        <v>560.93999999999994</v>
      </c>
      <c r="B1677">
        <v>3</v>
      </c>
      <c r="C1677" t="s">
        <v>1871</v>
      </c>
      <c r="D1677" t="s">
        <v>1872</v>
      </c>
      <c r="E1677" t="s">
        <v>1873</v>
      </c>
      <c r="F1677" t="s">
        <v>747</v>
      </c>
      <c r="G1677" t="s">
        <v>748</v>
      </c>
      <c r="H1677" t="s">
        <v>139</v>
      </c>
      <c r="I1677" t="s">
        <v>122</v>
      </c>
      <c r="J1677">
        <v>186.98</v>
      </c>
      <c r="K1677" s="1">
        <v>46157</v>
      </c>
      <c r="L1677" t="s">
        <v>79</v>
      </c>
      <c r="M1677">
        <v>15</v>
      </c>
      <c r="N1677">
        <v>5</v>
      </c>
      <c r="O1677">
        <v>2</v>
      </c>
      <c r="P1677">
        <v>2026</v>
      </c>
    </row>
    <row r="1678" spans="1:16">
      <c r="A1678">
        <v>612.44999999999993</v>
      </c>
      <c r="B1678">
        <v>5</v>
      </c>
      <c r="C1678" t="s">
        <v>3385</v>
      </c>
      <c r="D1678" t="s">
        <v>3386</v>
      </c>
      <c r="E1678" t="s">
        <v>2020</v>
      </c>
      <c r="F1678" t="s">
        <v>644</v>
      </c>
      <c r="G1678" t="s">
        <v>748</v>
      </c>
      <c r="H1678" t="s">
        <v>449</v>
      </c>
      <c r="I1678" t="s">
        <v>82</v>
      </c>
      <c r="J1678">
        <v>122.49</v>
      </c>
      <c r="K1678" s="1">
        <v>45993</v>
      </c>
      <c r="L1678" t="s">
        <v>48</v>
      </c>
      <c r="M1678">
        <v>2</v>
      </c>
      <c r="N1678">
        <v>12</v>
      </c>
      <c r="O1678">
        <v>4</v>
      </c>
      <c r="P1678">
        <v>2025</v>
      </c>
    </row>
    <row r="1679" spans="1:16">
      <c r="A1679">
        <v>188.35</v>
      </c>
      <c r="B1679">
        <v>1</v>
      </c>
      <c r="C1679" t="s">
        <v>2602</v>
      </c>
      <c r="D1679" t="s">
        <v>2603</v>
      </c>
      <c r="E1679" t="s">
        <v>932</v>
      </c>
      <c r="F1679" t="s">
        <v>1199</v>
      </c>
      <c r="G1679" t="s">
        <v>839</v>
      </c>
      <c r="H1679" t="s">
        <v>699</v>
      </c>
      <c r="I1679" t="s">
        <v>100</v>
      </c>
      <c r="J1679">
        <v>188.35</v>
      </c>
      <c r="K1679" s="1">
        <v>45998</v>
      </c>
      <c r="L1679" t="s">
        <v>28</v>
      </c>
      <c r="M1679">
        <v>7</v>
      </c>
      <c r="N1679">
        <v>12</v>
      </c>
      <c r="O1679">
        <v>4</v>
      </c>
      <c r="P1679">
        <v>2025</v>
      </c>
    </row>
    <row r="1680" spans="1:16">
      <c r="A1680">
        <v>652.55999999999995</v>
      </c>
      <c r="B1680">
        <v>4</v>
      </c>
      <c r="C1680" t="s">
        <v>3027</v>
      </c>
      <c r="D1680" t="s">
        <v>3028</v>
      </c>
      <c r="E1680" t="s">
        <v>2098</v>
      </c>
      <c r="F1680" t="s">
        <v>843</v>
      </c>
      <c r="G1680" t="s">
        <v>753</v>
      </c>
      <c r="H1680" t="s">
        <v>183</v>
      </c>
      <c r="I1680" t="s">
        <v>19</v>
      </c>
      <c r="J1680">
        <v>163.13999999999999</v>
      </c>
      <c r="K1680" s="1">
        <v>45791</v>
      </c>
      <c r="L1680" t="s">
        <v>34</v>
      </c>
      <c r="M1680">
        <v>14</v>
      </c>
      <c r="N1680">
        <v>5</v>
      </c>
      <c r="O1680">
        <v>2</v>
      </c>
      <c r="P1680">
        <v>2025</v>
      </c>
    </row>
    <row r="1681" spans="1:16">
      <c r="A1681">
        <v>23.66</v>
      </c>
      <c r="B1681">
        <v>2</v>
      </c>
      <c r="C1681" t="s">
        <v>1499</v>
      </c>
      <c r="D1681" t="s">
        <v>1500</v>
      </c>
      <c r="E1681" t="s">
        <v>1501</v>
      </c>
      <c r="F1681" t="s">
        <v>1502</v>
      </c>
      <c r="G1681" t="s">
        <v>817</v>
      </c>
      <c r="H1681" t="s">
        <v>220</v>
      </c>
      <c r="I1681" t="s">
        <v>97</v>
      </c>
      <c r="J1681">
        <v>11.83</v>
      </c>
      <c r="K1681" s="1">
        <v>45912</v>
      </c>
      <c r="L1681" t="s">
        <v>79</v>
      </c>
      <c r="M1681">
        <v>12</v>
      </c>
      <c r="N1681">
        <v>9</v>
      </c>
      <c r="O1681">
        <v>3</v>
      </c>
      <c r="P1681">
        <v>2025</v>
      </c>
    </row>
    <row r="1682" spans="1:16">
      <c r="A1682">
        <v>727.34999999999991</v>
      </c>
      <c r="B1682">
        <v>3</v>
      </c>
      <c r="C1682" t="s">
        <v>1896</v>
      </c>
      <c r="D1682" t="s">
        <v>1897</v>
      </c>
      <c r="E1682" t="s">
        <v>1114</v>
      </c>
      <c r="F1682" t="s">
        <v>1026</v>
      </c>
      <c r="G1682" t="s">
        <v>896</v>
      </c>
      <c r="H1682" t="s">
        <v>214</v>
      </c>
      <c r="I1682" t="s">
        <v>69</v>
      </c>
      <c r="J1682">
        <v>242.45</v>
      </c>
      <c r="K1682" s="1">
        <v>45750</v>
      </c>
      <c r="L1682" t="s">
        <v>105</v>
      </c>
      <c r="M1682">
        <v>3</v>
      </c>
      <c r="N1682">
        <v>4</v>
      </c>
      <c r="O1682">
        <v>2</v>
      </c>
      <c r="P1682">
        <v>2025</v>
      </c>
    </row>
    <row r="1683" spans="1:16">
      <c r="A1683">
        <v>627.06000000000006</v>
      </c>
      <c r="B1683">
        <v>3</v>
      </c>
      <c r="C1683" t="s">
        <v>1422</v>
      </c>
      <c r="D1683" t="s">
        <v>1423</v>
      </c>
      <c r="E1683" t="s">
        <v>1424</v>
      </c>
      <c r="F1683" t="s">
        <v>1039</v>
      </c>
      <c r="G1683" t="s">
        <v>758</v>
      </c>
      <c r="H1683" t="s">
        <v>62</v>
      </c>
      <c r="I1683" t="s">
        <v>17</v>
      </c>
      <c r="J1683">
        <v>209.02</v>
      </c>
      <c r="K1683" s="1">
        <v>46090</v>
      </c>
      <c r="L1683" t="s">
        <v>93</v>
      </c>
      <c r="M1683">
        <v>9</v>
      </c>
      <c r="N1683">
        <v>3</v>
      </c>
      <c r="O1683">
        <v>1</v>
      </c>
      <c r="P1683">
        <v>2026</v>
      </c>
    </row>
    <row r="1684" spans="1:16">
      <c r="A1684">
        <v>1072.8499999999999</v>
      </c>
      <c r="B1684">
        <v>5</v>
      </c>
      <c r="C1684" t="s">
        <v>3238</v>
      </c>
      <c r="D1684" t="s">
        <v>3239</v>
      </c>
      <c r="E1684" t="s">
        <v>820</v>
      </c>
      <c r="F1684" t="s">
        <v>328</v>
      </c>
      <c r="G1684" t="s">
        <v>1247</v>
      </c>
      <c r="H1684" t="s">
        <v>383</v>
      </c>
      <c r="I1684" t="s">
        <v>39</v>
      </c>
      <c r="J1684">
        <v>214.57</v>
      </c>
      <c r="K1684" s="1">
        <v>45670</v>
      </c>
      <c r="L1684" t="s">
        <v>93</v>
      </c>
      <c r="M1684">
        <v>13</v>
      </c>
      <c r="N1684">
        <v>1</v>
      </c>
      <c r="O1684">
        <v>1</v>
      </c>
      <c r="P1684">
        <v>2025</v>
      </c>
    </row>
    <row r="1685" spans="1:16">
      <c r="A1685">
        <v>53.87</v>
      </c>
      <c r="B1685">
        <v>1</v>
      </c>
      <c r="C1685" t="s">
        <v>1186</v>
      </c>
      <c r="D1685" t="s">
        <v>1187</v>
      </c>
      <c r="E1685" t="s">
        <v>1188</v>
      </c>
      <c r="F1685" t="s">
        <v>1189</v>
      </c>
      <c r="G1685" t="s">
        <v>892</v>
      </c>
      <c r="H1685" t="s">
        <v>2034</v>
      </c>
      <c r="I1685" t="s">
        <v>100</v>
      </c>
      <c r="J1685">
        <v>53.87</v>
      </c>
      <c r="K1685" s="1">
        <v>45585</v>
      </c>
      <c r="L1685" t="s">
        <v>28</v>
      </c>
      <c r="M1685">
        <v>20</v>
      </c>
      <c r="N1685">
        <v>10</v>
      </c>
      <c r="O1685">
        <v>4</v>
      </c>
      <c r="P1685">
        <v>2024</v>
      </c>
    </row>
    <row r="1686" spans="1:16">
      <c r="A1686">
        <v>486.27</v>
      </c>
      <c r="B1686">
        <v>3</v>
      </c>
      <c r="C1686" t="s">
        <v>2313</v>
      </c>
      <c r="D1686" t="s">
        <v>2314</v>
      </c>
      <c r="E1686" t="s">
        <v>2315</v>
      </c>
      <c r="F1686" t="s">
        <v>199</v>
      </c>
      <c r="G1686" t="s">
        <v>781</v>
      </c>
      <c r="H1686" t="s">
        <v>124</v>
      </c>
      <c r="I1686" t="s">
        <v>82</v>
      </c>
      <c r="J1686">
        <v>162.09</v>
      </c>
      <c r="K1686" s="1">
        <v>46263</v>
      </c>
      <c r="L1686" t="s">
        <v>14</v>
      </c>
      <c r="M1686">
        <v>29</v>
      </c>
      <c r="N1686">
        <v>8</v>
      </c>
      <c r="O1686">
        <v>3</v>
      </c>
      <c r="P1686">
        <v>2026</v>
      </c>
    </row>
    <row r="1687" spans="1:16">
      <c r="A1687">
        <v>545.64</v>
      </c>
      <c r="B1687">
        <v>3</v>
      </c>
      <c r="C1687" t="s">
        <v>1974</v>
      </c>
      <c r="D1687" t="s">
        <v>1975</v>
      </c>
      <c r="E1687" t="s">
        <v>1976</v>
      </c>
      <c r="F1687" t="s">
        <v>806</v>
      </c>
      <c r="G1687" t="s">
        <v>807</v>
      </c>
      <c r="H1687" t="s">
        <v>549</v>
      </c>
      <c r="I1687" t="s">
        <v>82</v>
      </c>
      <c r="J1687">
        <v>181.88</v>
      </c>
      <c r="K1687" s="1">
        <v>46261</v>
      </c>
      <c r="L1687" t="s">
        <v>105</v>
      </c>
      <c r="M1687">
        <v>27</v>
      </c>
      <c r="N1687">
        <v>8</v>
      </c>
      <c r="O1687">
        <v>3</v>
      </c>
      <c r="P1687">
        <v>2026</v>
      </c>
    </row>
    <row r="1688" spans="1:16">
      <c r="A1688">
        <v>12.56</v>
      </c>
      <c r="B1688">
        <v>2</v>
      </c>
      <c r="C1688" t="s">
        <v>1391</v>
      </c>
      <c r="D1688" t="s">
        <v>1392</v>
      </c>
      <c r="E1688" t="s">
        <v>1231</v>
      </c>
      <c r="F1688" t="s">
        <v>757</v>
      </c>
      <c r="G1688" t="s">
        <v>758</v>
      </c>
      <c r="H1688" t="s">
        <v>274</v>
      </c>
      <c r="I1688" t="s">
        <v>19</v>
      </c>
      <c r="J1688">
        <v>6.28</v>
      </c>
      <c r="K1688" s="1">
        <v>46266</v>
      </c>
      <c r="L1688" t="s">
        <v>48</v>
      </c>
      <c r="M1688">
        <v>1</v>
      </c>
      <c r="N1688">
        <v>9</v>
      </c>
      <c r="O1688">
        <v>3</v>
      </c>
      <c r="P1688">
        <v>2026</v>
      </c>
    </row>
    <row r="1689" spans="1:16">
      <c r="A1689">
        <v>473.22</v>
      </c>
      <c r="B1689">
        <v>2</v>
      </c>
      <c r="C1689" t="s">
        <v>2814</v>
      </c>
      <c r="D1689" t="s">
        <v>3231</v>
      </c>
      <c r="E1689" t="s">
        <v>902</v>
      </c>
      <c r="F1689" t="s">
        <v>1280</v>
      </c>
      <c r="G1689" t="s">
        <v>908</v>
      </c>
      <c r="H1689" t="s">
        <v>235</v>
      </c>
      <c r="I1689" t="s">
        <v>19</v>
      </c>
      <c r="J1689">
        <v>236.61</v>
      </c>
      <c r="K1689" s="1">
        <v>45607</v>
      </c>
      <c r="L1689" t="s">
        <v>93</v>
      </c>
      <c r="M1689">
        <v>11</v>
      </c>
      <c r="N1689">
        <v>11</v>
      </c>
      <c r="O1689">
        <v>4</v>
      </c>
      <c r="P1689">
        <v>2024</v>
      </c>
    </row>
    <row r="1690" spans="1:16">
      <c r="A1690">
        <v>1034.2</v>
      </c>
      <c r="B1690">
        <v>5</v>
      </c>
      <c r="C1690" t="s">
        <v>2228</v>
      </c>
      <c r="D1690" t="s">
        <v>2229</v>
      </c>
      <c r="E1690" t="s">
        <v>1192</v>
      </c>
      <c r="F1690" t="s">
        <v>64</v>
      </c>
      <c r="G1690" t="s">
        <v>892</v>
      </c>
      <c r="H1690" t="s">
        <v>192</v>
      </c>
      <c r="I1690" t="s">
        <v>46</v>
      </c>
      <c r="J1690">
        <v>206.84</v>
      </c>
      <c r="K1690" s="1">
        <v>45955</v>
      </c>
      <c r="L1690" t="s">
        <v>14</v>
      </c>
      <c r="M1690">
        <v>25</v>
      </c>
      <c r="N1690">
        <v>10</v>
      </c>
      <c r="O1690">
        <v>4</v>
      </c>
      <c r="P1690">
        <v>2025</v>
      </c>
    </row>
    <row r="1691" spans="1:16">
      <c r="A1691">
        <v>183.22</v>
      </c>
      <c r="B1691">
        <v>1</v>
      </c>
      <c r="C1691" t="s">
        <v>2384</v>
      </c>
      <c r="D1691" t="s">
        <v>2385</v>
      </c>
      <c r="E1691" t="s">
        <v>2386</v>
      </c>
      <c r="F1691" t="s">
        <v>1469</v>
      </c>
      <c r="G1691" t="s">
        <v>908</v>
      </c>
      <c r="H1691" t="s">
        <v>491</v>
      </c>
      <c r="I1691" t="s">
        <v>25</v>
      </c>
      <c r="J1691">
        <v>183.22</v>
      </c>
      <c r="K1691" s="1">
        <v>45888</v>
      </c>
      <c r="L1691" t="s">
        <v>48</v>
      </c>
      <c r="M1691">
        <v>19</v>
      </c>
      <c r="N1691">
        <v>8</v>
      </c>
      <c r="O1691">
        <v>3</v>
      </c>
      <c r="P1691">
        <v>2025</v>
      </c>
    </row>
    <row r="1692" spans="1:16">
      <c r="A1692">
        <v>205.83</v>
      </c>
      <c r="B1692">
        <v>1</v>
      </c>
      <c r="C1692" t="s">
        <v>2200</v>
      </c>
      <c r="D1692" t="s">
        <v>2201</v>
      </c>
      <c r="E1692" t="s">
        <v>1140</v>
      </c>
      <c r="F1692" t="s">
        <v>1811</v>
      </c>
      <c r="G1692" t="s">
        <v>892</v>
      </c>
      <c r="H1692" t="s">
        <v>246</v>
      </c>
      <c r="I1692" t="s">
        <v>23</v>
      </c>
      <c r="J1692">
        <v>205.83</v>
      </c>
      <c r="K1692" s="1">
        <v>46141</v>
      </c>
      <c r="L1692" t="s">
        <v>34</v>
      </c>
      <c r="M1692">
        <v>29</v>
      </c>
      <c r="N1692">
        <v>4</v>
      </c>
      <c r="O1692">
        <v>2</v>
      </c>
      <c r="P1692">
        <v>2026</v>
      </c>
    </row>
    <row r="1693" spans="1:16">
      <c r="A1693">
        <v>729.04</v>
      </c>
      <c r="B1693">
        <v>4</v>
      </c>
      <c r="C1693" t="s">
        <v>2673</v>
      </c>
      <c r="D1693" t="s">
        <v>2674</v>
      </c>
      <c r="E1693" t="s">
        <v>1121</v>
      </c>
      <c r="F1693" t="s">
        <v>2574</v>
      </c>
      <c r="G1693" t="s">
        <v>839</v>
      </c>
      <c r="H1693" t="s">
        <v>378</v>
      </c>
      <c r="I1693" t="s">
        <v>57</v>
      </c>
      <c r="J1693">
        <v>182.26</v>
      </c>
      <c r="K1693" s="1">
        <v>46217</v>
      </c>
      <c r="L1693" t="s">
        <v>48</v>
      </c>
      <c r="M1693">
        <v>14</v>
      </c>
      <c r="N1693">
        <v>7</v>
      </c>
      <c r="O1693">
        <v>3</v>
      </c>
      <c r="P1693">
        <v>2026</v>
      </c>
    </row>
    <row r="1694" spans="1:16">
      <c r="A1694">
        <v>34.47</v>
      </c>
      <c r="B1694">
        <v>3</v>
      </c>
      <c r="C1694" t="s">
        <v>2783</v>
      </c>
      <c r="D1694" t="s">
        <v>2784</v>
      </c>
      <c r="E1694" t="s">
        <v>1050</v>
      </c>
      <c r="F1694" t="s">
        <v>1107</v>
      </c>
      <c r="G1694" t="s">
        <v>763</v>
      </c>
      <c r="H1694" t="s">
        <v>736</v>
      </c>
      <c r="I1694" t="s">
        <v>122</v>
      </c>
      <c r="J1694">
        <v>11.49</v>
      </c>
      <c r="K1694" s="1">
        <v>46198</v>
      </c>
      <c r="L1694" t="s">
        <v>105</v>
      </c>
      <c r="M1694">
        <v>25</v>
      </c>
      <c r="N1694">
        <v>6</v>
      </c>
      <c r="O1694">
        <v>2</v>
      </c>
      <c r="P1694">
        <v>2026</v>
      </c>
    </row>
    <row r="1695" spans="1:16">
      <c r="A1695">
        <v>254.54999999999998</v>
      </c>
      <c r="B1695">
        <v>5</v>
      </c>
      <c r="C1695" t="s">
        <v>1307</v>
      </c>
      <c r="D1695" t="s">
        <v>1308</v>
      </c>
      <c r="E1695" t="s">
        <v>1212</v>
      </c>
      <c r="F1695" t="s">
        <v>151</v>
      </c>
      <c r="G1695" t="s">
        <v>1003</v>
      </c>
      <c r="H1695" t="s">
        <v>197</v>
      </c>
      <c r="I1695" t="s">
        <v>19</v>
      </c>
      <c r="J1695">
        <v>50.91</v>
      </c>
      <c r="K1695" s="1">
        <v>46002</v>
      </c>
      <c r="L1695" t="s">
        <v>105</v>
      </c>
      <c r="M1695">
        <v>11</v>
      </c>
      <c r="N1695">
        <v>12</v>
      </c>
      <c r="O1695">
        <v>4</v>
      </c>
      <c r="P1695">
        <v>2025</v>
      </c>
    </row>
    <row r="1696" spans="1:16">
      <c r="A1696">
        <v>39.450000000000003</v>
      </c>
      <c r="B1696">
        <v>1</v>
      </c>
      <c r="C1696" t="s">
        <v>1299</v>
      </c>
      <c r="D1696" t="s">
        <v>1300</v>
      </c>
      <c r="E1696" t="s">
        <v>1301</v>
      </c>
      <c r="F1696" t="s">
        <v>1302</v>
      </c>
      <c r="G1696" t="s">
        <v>786</v>
      </c>
      <c r="H1696" t="s">
        <v>668</v>
      </c>
      <c r="I1696" t="s">
        <v>46</v>
      </c>
      <c r="J1696">
        <v>39.450000000000003</v>
      </c>
      <c r="K1696" s="1">
        <v>45766</v>
      </c>
      <c r="L1696" t="s">
        <v>14</v>
      </c>
      <c r="M1696">
        <v>19</v>
      </c>
      <c r="N1696">
        <v>4</v>
      </c>
      <c r="O1696">
        <v>2</v>
      </c>
      <c r="P1696">
        <v>2025</v>
      </c>
    </row>
    <row r="1697" spans="1:16">
      <c r="A1697">
        <v>521.44000000000005</v>
      </c>
      <c r="B1697">
        <v>4</v>
      </c>
      <c r="C1697" t="s">
        <v>2189</v>
      </c>
      <c r="D1697" t="s">
        <v>2190</v>
      </c>
      <c r="E1697" t="s">
        <v>2191</v>
      </c>
      <c r="F1697" t="s">
        <v>1410</v>
      </c>
      <c r="G1697" t="s">
        <v>812</v>
      </c>
      <c r="H1697" t="s">
        <v>118</v>
      </c>
      <c r="I1697" t="s">
        <v>31</v>
      </c>
      <c r="J1697">
        <v>130.36000000000001</v>
      </c>
      <c r="K1697" s="1">
        <v>46014</v>
      </c>
      <c r="L1697" t="s">
        <v>48</v>
      </c>
      <c r="M1697">
        <v>23</v>
      </c>
      <c r="N1697">
        <v>12</v>
      </c>
      <c r="O1697">
        <v>4</v>
      </c>
      <c r="P1697">
        <v>2025</v>
      </c>
    </row>
    <row r="1698" spans="1:16">
      <c r="A1698">
        <v>140.91999999999999</v>
      </c>
      <c r="B1698">
        <v>4</v>
      </c>
      <c r="C1698" t="s">
        <v>1914</v>
      </c>
      <c r="D1698" t="s">
        <v>1915</v>
      </c>
      <c r="E1698" t="s">
        <v>976</v>
      </c>
      <c r="F1698" t="s">
        <v>1199</v>
      </c>
      <c r="G1698" t="s">
        <v>839</v>
      </c>
      <c r="H1698" t="s">
        <v>261</v>
      </c>
      <c r="I1698" t="s">
        <v>31</v>
      </c>
      <c r="J1698">
        <v>35.229999999999997</v>
      </c>
      <c r="K1698" s="1">
        <v>46097</v>
      </c>
      <c r="L1698" t="s">
        <v>93</v>
      </c>
      <c r="M1698">
        <v>16</v>
      </c>
      <c r="N1698">
        <v>3</v>
      </c>
      <c r="O1698">
        <v>1</v>
      </c>
      <c r="P1698">
        <v>2026</v>
      </c>
    </row>
    <row r="1699" spans="1:16">
      <c r="A1699">
        <v>14.29</v>
      </c>
      <c r="B1699">
        <v>1</v>
      </c>
      <c r="C1699" t="s">
        <v>1240</v>
      </c>
      <c r="D1699" t="s">
        <v>1241</v>
      </c>
      <c r="E1699" t="s">
        <v>1242</v>
      </c>
      <c r="F1699" t="s">
        <v>1092</v>
      </c>
      <c r="G1699" t="s">
        <v>763</v>
      </c>
      <c r="H1699" t="s">
        <v>685</v>
      </c>
      <c r="I1699" t="s">
        <v>69</v>
      </c>
      <c r="J1699">
        <v>14.29</v>
      </c>
      <c r="K1699" s="1">
        <v>46238</v>
      </c>
      <c r="L1699" t="s">
        <v>48</v>
      </c>
      <c r="M1699">
        <v>4</v>
      </c>
      <c r="N1699">
        <v>8</v>
      </c>
      <c r="O1699">
        <v>3</v>
      </c>
      <c r="P1699">
        <v>2026</v>
      </c>
    </row>
    <row r="1700" spans="1:16">
      <c r="A1700">
        <v>34.47</v>
      </c>
      <c r="B1700">
        <v>3</v>
      </c>
      <c r="C1700" t="s">
        <v>3165</v>
      </c>
      <c r="D1700" t="s">
        <v>3166</v>
      </c>
      <c r="E1700" t="s">
        <v>1633</v>
      </c>
      <c r="F1700" t="s">
        <v>1673</v>
      </c>
      <c r="G1700" t="s">
        <v>821</v>
      </c>
      <c r="H1700" t="s">
        <v>736</v>
      </c>
      <c r="I1700" t="s">
        <v>122</v>
      </c>
      <c r="J1700">
        <v>11.49</v>
      </c>
      <c r="K1700" s="1">
        <v>45777</v>
      </c>
      <c r="L1700" t="s">
        <v>34</v>
      </c>
      <c r="M1700">
        <v>30</v>
      </c>
      <c r="N1700">
        <v>4</v>
      </c>
      <c r="O1700">
        <v>2</v>
      </c>
      <c r="P1700">
        <v>2025</v>
      </c>
    </row>
    <row r="1701" spans="1:16">
      <c r="A1701">
        <v>574.48</v>
      </c>
      <c r="B1701">
        <v>4</v>
      </c>
      <c r="C1701" t="s">
        <v>944</v>
      </c>
      <c r="D1701" t="s">
        <v>945</v>
      </c>
      <c r="E1701" t="s">
        <v>946</v>
      </c>
      <c r="F1701" t="s">
        <v>199</v>
      </c>
      <c r="G1701" t="s">
        <v>781</v>
      </c>
      <c r="H1701" t="s">
        <v>326</v>
      </c>
      <c r="I1701" t="s">
        <v>97</v>
      </c>
      <c r="J1701">
        <v>143.62</v>
      </c>
      <c r="K1701" s="1">
        <v>45951</v>
      </c>
      <c r="L1701" t="s">
        <v>48</v>
      </c>
      <c r="M1701">
        <v>21</v>
      </c>
      <c r="N1701">
        <v>10</v>
      </c>
      <c r="O1701">
        <v>4</v>
      </c>
      <c r="P1701">
        <v>2025</v>
      </c>
    </row>
    <row r="1702" spans="1:16">
      <c r="A1702">
        <v>1170.1500000000001</v>
      </c>
      <c r="B1702">
        <v>5</v>
      </c>
      <c r="C1702" t="s">
        <v>1333</v>
      </c>
      <c r="D1702" t="s">
        <v>1334</v>
      </c>
      <c r="E1702" t="s">
        <v>1335</v>
      </c>
      <c r="F1702" t="s">
        <v>1302</v>
      </c>
      <c r="G1702" t="s">
        <v>786</v>
      </c>
      <c r="H1702" t="s">
        <v>215</v>
      </c>
      <c r="I1702" t="s">
        <v>51</v>
      </c>
      <c r="J1702">
        <v>234.03</v>
      </c>
      <c r="K1702" s="1">
        <v>46178</v>
      </c>
      <c r="L1702" t="s">
        <v>79</v>
      </c>
      <c r="M1702">
        <v>5</v>
      </c>
      <c r="N1702">
        <v>6</v>
      </c>
      <c r="O1702">
        <v>2</v>
      </c>
      <c r="P1702">
        <v>2026</v>
      </c>
    </row>
    <row r="1703" spans="1:16">
      <c r="A1703">
        <v>1137.3499999999999</v>
      </c>
      <c r="B1703">
        <v>5</v>
      </c>
      <c r="C1703" t="s">
        <v>873</v>
      </c>
      <c r="D1703" t="s">
        <v>874</v>
      </c>
      <c r="E1703" t="s">
        <v>875</v>
      </c>
      <c r="F1703" t="s">
        <v>387</v>
      </c>
      <c r="G1703" t="s">
        <v>821</v>
      </c>
      <c r="H1703" t="s">
        <v>116</v>
      </c>
      <c r="I1703" t="s">
        <v>57</v>
      </c>
      <c r="J1703">
        <v>227.47</v>
      </c>
      <c r="K1703" s="1">
        <v>46145</v>
      </c>
      <c r="L1703" t="s">
        <v>28</v>
      </c>
      <c r="M1703">
        <v>3</v>
      </c>
      <c r="N1703">
        <v>5</v>
      </c>
      <c r="O1703">
        <v>2</v>
      </c>
      <c r="P1703">
        <v>2026</v>
      </c>
    </row>
    <row r="1704" spans="1:16">
      <c r="A1704">
        <v>694.24</v>
      </c>
      <c r="B1704">
        <v>4</v>
      </c>
      <c r="C1704" t="s">
        <v>1221</v>
      </c>
      <c r="D1704" t="s">
        <v>1222</v>
      </c>
      <c r="E1704" t="s">
        <v>1098</v>
      </c>
      <c r="F1704" t="s">
        <v>802</v>
      </c>
      <c r="G1704" t="s">
        <v>748</v>
      </c>
      <c r="H1704" t="s">
        <v>706</v>
      </c>
      <c r="I1704" t="s">
        <v>39</v>
      </c>
      <c r="J1704">
        <v>173.56</v>
      </c>
      <c r="K1704" s="1">
        <v>45931</v>
      </c>
      <c r="L1704" t="s">
        <v>34</v>
      </c>
      <c r="M1704">
        <v>1</v>
      </c>
      <c r="N1704">
        <v>10</v>
      </c>
      <c r="O1704">
        <v>4</v>
      </c>
      <c r="P1704">
        <v>2025</v>
      </c>
    </row>
    <row r="1705" spans="1:16">
      <c r="A1705">
        <v>393.88</v>
      </c>
      <c r="B1705">
        <v>2</v>
      </c>
      <c r="C1705" t="s">
        <v>831</v>
      </c>
      <c r="D1705" t="s">
        <v>832</v>
      </c>
      <c r="E1705" t="s">
        <v>833</v>
      </c>
      <c r="F1705" t="s">
        <v>392</v>
      </c>
      <c r="G1705" t="s">
        <v>834</v>
      </c>
      <c r="H1705" t="s">
        <v>695</v>
      </c>
      <c r="I1705" t="s">
        <v>19</v>
      </c>
      <c r="J1705">
        <v>196.94</v>
      </c>
      <c r="K1705" s="1">
        <v>45958</v>
      </c>
      <c r="L1705" t="s">
        <v>48</v>
      </c>
      <c r="M1705">
        <v>28</v>
      </c>
      <c r="N1705">
        <v>10</v>
      </c>
      <c r="O1705">
        <v>4</v>
      </c>
      <c r="P1705">
        <v>2025</v>
      </c>
    </row>
    <row r="1706" spans="1:16">
      <c r="A1706">
        <v>131.43</v>
      </c>
      <c r="B1706">
        <v>3</v>
      </c>
      <c r="C1706" t="s">
        <v>831</v>
      </c>
      <c r="D1706" t="s">
        <v>832</v>
      </c>
      <c r="E1706" t="s">
        <v>833</v>
      </c>
      <c r="F1706" t="s">
        <v>392</v>
      </c>
      <c r="G1706" t="s">
        <v>834</v>
      </c>
      <c r="H1706" t="s">
        <v>354</v>
      </c>
      <c r="I1706" t="s">
        <v>31</v>
      </c>
      <c r="J1706">
        <v>43.81</v>
      </c>
      <c r="K1706" s="1">
        <v>45824</v>
      </c>
      <c r="L1706" t="s">
        <v>93</v>
      </c>
      <c r="M1706">
        <v>16</v>
      </c>
      <c r="N1706">
        <v>6</v>
      </c>
      <c r="O1706">
        <v>2</v>
      </c>
      <c r="P1706">
        <v>2025</v>
      </c>
    </row>
    <row r="1707" spans="1:16">
      <c r="A1707">
        <v>414.14</v>
      </c>
      <c r="B1707">
        <v>2</v>
      </c>
      <c r="C1707" t="s">
        <v>2652</v>
      </c>
      <c r="D1707" t="s">
        <v>2486</v>
      </c>
      <c r="E1707" t="s">
        <v>1271</v>
      </c>
      <c r="F1707" t="s">
        <v>328</v>
      </c>
      <c r="G1707" t="s">
        <v>1003</v>
      </c>
      <c r="H1707" t="s">
        <v>201</v>
      </c>
      <c r="I1707" t="s">
        <v>37</v>
      </c>
      <c r="J1707">
        <v>207.07</v>
      </c>
      <c r="K1707" s="1">
        <v>45905</v>
      </c>
      <c r="L1707" t="s">
        <v>79</v>
      </c>
      <c r="M1707">
        <v>5</v>
      </c>
      <c r="N1707">
        <v>9</v>
      </c>
      <c r="O1707">
        <v>3</v>
      </c>
      <c r="P1707">
        <v>2025</v>
      </c>
    </row>
    <row r="1708" spans="1:16">
      <c r="A1708">
        <v>7.42</v>
      </c>
      <c r="B1708">
        <v>1</v>
      </c>
      <c r="C1708" t="s">
        <v>2322</v>
      </c>
      <c r="D1708" t="s">
        <v>2323</v>
      </c>
      <c r="E1708" t="s">
        <v>2324</v>
      </c>
      <c r="F1708" t="s">
        <v>862</v>
      </c>
      <c r="G1708" t="s">
        <v>981</v>
      </c>
      <c r="H1708" t="s">
        <v>194</v>
      </c>
      <c r="I1708" t="s">
        <v>39</v>
      </c>
      <c r="J1708">
        <v>7.42</v>
      </c>
      <c r="K1708" s="1">
        <v>45817</v>
      </c>
      <c r="L1708" t="s">
        <v>93</v>
      </c>
      <c r="M1708">
        <v>9</v>
      </c>
      <c r="N1708">
        <v>6</v>
      </c>
      <c r="O1708">
        <v>2</v>
      </c>
      <c r="P1708">
        <v>2025</v>
      </c>
    </row>
    <row r="1709" spans="1:16">
      <c r="A1709">
        <v>434.72</v>
      </c>
      <c r="B1709">
        <v>2</v>
      </c>
      <c r="C1709" t="s">
        <v>1940</v>
      </c>
      <c r="D1709" t="s">
        <v>1941</v>
      </c>
      <c r="E1709" t="s">
        <v>1370</v>
      </c>
      <c r="F1709" t="s">
        <v>1061</v>
      </c>
      <c r="G1709" t="s">
        <v>812</v>
      </c>
      <c r="H1709" t="s">
        <v>582</v>
      </c>
      <c r="I1709" t="s">
        <v>97</v>
      </c>
      <c r="J1709">
        <v>217.36</v>
      </c>
      <c r="K1709" s="1">
        <v>45748</v>
      </c>
      <c r="L1709" t="s">
        <v>48</v>
      </c>
      <c r="M1709">
        <v>1</v>
      </c>
      <c r="N1709">
        <v>4</v>
      </c>
      <c r="O1709">
        <v>2</v>
      </c>
      <c r="P1709">
        <v>2025</v>
      </c>
    </row>
    <row r="1710" spans="1:16">
      <c r="A1710">
        <v>505.56000000000006</v>
      </c>
      <c r="B1710">
        <v>3</v>
      </c>
      <c r="C1710" t="s">
        <v>1267</v>
      </c>
      <c r="D1710" t="s">
        <v>1268</v>
      </c>
      <c r="E1710" t="s">
        <v>935</v>
      </c>
      <c r="F1710" t="s">
        <v>380</v>
      </c>
      <c r="G1710" t="s">
        <v>896</v>
      </c>
      <c r="H1710" t="s">
        <v>311</v>
      </c>
      <c r="I1710" t="s">
        <v>46</v>
      </c>
      <c r="J1710">
        <v>168.52</v>
      </c>
      <c r="K1710" s="1">
        <v>45655</v>
      </c>
      <c r="L1710" t="s">
        <v>28</v>
      </c>
      <c r="M1710">
        <v>29</v>
      </c>
      <c r="N1710">
        <v>12</v>
      </c>
      <c r="O1710">
        <v>4</v>
      </c>
      <c r="P1710">
        <v>2024</v>
      </c>
    </row>
    <row r="1711" spans="1:16">
      <c r="A1711">
        <v>97.52</v>
      </c>
      <c r="B1711">
        <v>2</v>
      </c>
      <c r="C1711" t="s">
        <v>2925</v>
      </c>
      <c r="D1711" t="s">
        <v>2926</v>
      </c>
      <c r="E1711" t="s">
        <v>2927</v>
      </c>
      <c r="F1711" t="s">
        <v>1107</v>
      </c>
      <c r="G1711" t="s">
        <v>892</v>
      </c>
      <c r="H1711" t="s">
        <v>567</v>
      </c>
      <c r="I1711" t="s">
        <v>100</v>
      </c>
      <c r="J1711">
        <v>48.76</v>
      </c>
      <c r="K1711" s="1">
        <v>46242</v>
      </c>
      <c r="L1711" t="s">
        <v>14</v>
      </c>
      <c r="M1711">
        <v>8</v>
      </c>
      <c r="N1711">
        <v>8</v>
      </c>
      <c r="O1711">
        <v>3</v>
      </c>
      <c r="P1711">
        <v>2026</v>
      </c>
    </row>
    <row r="1712" spans="1:16">
      <c r="A1712">
        <v>105</v>
      </c>
      <c r="B1712">
        <v>4</v>
      </c>
      <c r="C1712" t="s">
        <v>1322</v>
      </c>
      <c r="D1712" t="s">
        <v>1323</v>
      </c>
      <c r="E1712" t="s">
        <v>1324</v>
      </c>
      <c r="F1712" t="s">
        <v>29</v>
      </c>
      <c r="G1712" t="s">
        <v>821</v>
      </c>
      <c r="H1712" t="s">
        <v>493</v>
      </c>
      <c r="I1712" t="s">
        <v>46</v>
      </c>
      <c r="J1712">
        <v>26.25</v>
      </c>
      <c r="K1712" s="1">
        <v>46032</v>
      </c>
      <c r="L1712" t="s">
        <v>14</v>
      </c>
      <c r="M1712">
        <v>10</v>
      </c>
      <c r="N1712">
        <v>1</v>
      </c>
      <c r="O1712">
        <v>1</v>
      </c>
      <c r="P1712">
        <v>2026</v>
      </c>
    </row>
    <row r="1713" spans="1:16">
      <c r="A1713">
        <v>165.57</v>
      </c>
      <c r="B1713">
        <v>1</v>
      </c>
      <c r="C1713" t="s">
        <v>2518</v>
      </c>
      <c r="D1713" t="s">
        <v>2519</v>
      </c>
      <c r="E1713" t="s">
        <v>1973</v>
      </c>
      <c r="F1713" t="s">
        <v>29</v>
      </c>
      <c r="G1713" t="s">
        <v>821</v>
      </c>
      <c r="H1713" t="s">
        <v>355</v>
      </c>
      <c r="I1713" t="s">
        <v>39</v>
      </c>
      <c r="J1713">
        <v>165.57</v>
      </c>
      <c r="K1713" s="1">
        <v>46193</v>
      </c>
      <c r="L1713" t="s">
        <v>14</v>
      </c>
      <c r="M1713">
        <v>20</v>
      </c>
      <c r="N1713">
        <v>6</v>
      </c>
      <c r="O1713">
        <v>2</v>
      </c>
      <c r="P1713">
        <v>2026</v>
      </c>
    </row>
    <row r="1714" spans="1:16">
      <c r="A1714">
        <v>1.22</v>
      </c>
      <c r="B1714">
        <v>1</v>
      </c>
      <c r="C1714" t="s">
        <v>2821</v>
      </c>
      <c r="D1714" t="s">
        <v>2822</v>
      </c>
      <c r="E1714" t="s">
        <v>2823</v>
      </c>
      <c r="F1714" t="s">
        <v>136</v>
      </c>
      <c r="G1714" t="s">
        <v>954</v>
      </c>
      <c r="H1714" t="s">
        <v>242</v>
      </c>
      <c r="I1714" t="s">
        <v>19</v>
      </c>
      <c r="J1714">
        <v>1.22</v>
      </c>
      <c r="K1714" s="1">
        <v>45897</v>
      </c>
      <c r="L1714" t="s">
        <v>105</v>
      </c>
      <c r="M1714">
        <v>28</v>
      </c>
      <c r="N1714">
        <v>8</v>
      </c>
      <c r="O1714">
        <v>3</v>
      </c>
      <c r="P1714">
        <v>2025</v>
      </c>
    </row>
    <row r="1715" spans="1:16">
      <c r="A1715">
        <v>224.2</v>
      </c>
      <c r="B1715">
        <v>4</v>
      </c>
      <c r="C1715" t="s">
        <v>876</v>
      </c>
      <c r="D1715" t="s">
        <v>877</v>
      </c>
      <c r="E1715" t="s">
        <v>878</v>
      </c>
      <c r="F1715" t="s">
        <v>879</v>
      </c>
      <c r="G1715" t="s">
        <v>748</v>
      </c>
      <c r="H1715" t="s">
        <v>32</v>
      </c>
      <c r="I1715" t="s">
        <v>19</v>
      </c>
      <c r="J1715">
        <v>56.05</v>
      </c>
      <c r="K1715" s="1">
        <v>45982</v>
      </c>
      <c r="L1715" t="s">
        <v>79</v>
      </c>
      <c r="M1715">
        <v>21</v>
      </c>
      <c r="N1715">
        <v>11</v>
      </c>
      <c r="O1715">
        <v>4</v>
      </c>
      <c r="P1715">
        <v>2025</v>
      </c>
    </row>
    <row r="1716" spans="1:16">
      <c r="A1716">
        <v>48.51</v>
      </c>
      <c r="B1716">
        <v>1</v>
      </c>
      <c r="C1716" t="s">
        <v>1883</v>
      </c>
      <c r="D1716" t="s">
        <v>1884</v>
      </c>
      <c r="E1716" t="s">
        <v>1885</v>
      </c>
      <c r="F1716" t="s">
        <v>1886</v>
      </c>
      <c r="G1716" t="s">
        <v>753</v>
      </c>
      <c r="H1716" t="s">
        <v>243</v>
      </c>
      <c r="I1716" t="s">
        <v>57</v>
      </c>
      <c r="J1716">
        <v>48.51</v>
      </c>
      <c r="K1716" s="1">
        <v>45564</v>
      </c>
      <c r="L1716" t="s">
        <v>28</v>
      </c>
      <c r="M1716">
        <v>29</v>
      </c>
      <c r="N1716">
        <v>9</v>
      </c>
      <c r="O1716">
        <v>3</v>
      </c>
      <c r="P1716">
        <v>2024</v>
      </c>
    </row>
    <row r="1717" spans="1:16">
      <c r="A1717">
        <v>946.1</v>
      </c>
      <c r="B1717">
        <v>5</v>
      </c>
      <c r="C1717" t="s">
        <v>1350</v>
      </c>
      <c r="D1717" t="s">
        <v>1351</v>
      </c>
      <c r="E1717" t="s">
        <v>1031</v>
      </c>
      <c r="F1717" t="s">
        <v>1156</v>
      </c>
      <c r="G1717" t="s">
        <v>821</v>
      </c>
      <c r="H1717" t="s">
        <v>634</v>
      </c>
      <c r="I1717" t="s">
        <v>46</v>
      </c>
      <c r="J1717">
        <v>189.22</v>
      </c>
      <c r="K1717" s="1">
        <v>46057</v>
      </c>
      <c r="L1717" t="s">
        <v>34</v>
      </c>
      <c r="M1717">
        <v>4</v>
      </c>
      <c r="N1717">
        <v>2</v>
      </c>
      <c r="O1717">
        <v>1</v>
      </c>
      <c r="P1717">
        <v>2026</v>
      </c>
    </row>
    <row r="1718" spans="1:16">
      <c r="A1718">
        <v>84.76</v>
      </c>
      <c r="B1718">
        <v>1</v>
      </c>
      <c r="C1718" t="s">
        <v>2217</v>
      </c>
      <c r="D1718" t="s">
        <v>2218</v>
      </c>
      <c r="E1718" t="s">
        <v>1771</v>
      </c>
      <c r="F1718" t="s">
        <v>380</v>
      </c>
      <c r="G1718" t="s">
        <v>954</v>
      </c>
      <c r="H1718" t="s">
        <v>363</v>
      </c>
      <c r="I1718" t="s">
        <v>100</v>
      </c>
      <c r="J1718">
        <v>84.76</v>
      </c>
      <c r="K1718" s="1">
        <v>45917</v>
      </c>
      <c r="L1718" t="s">
        <v>34</v>
      </c>
      <c r="M1718">
        <v>17</v>
      </c>
      <c r="N1718">
        <v>9</v>
      </c>
      <c r="O1718">
        <v>3</v>
      </c>
      <c r="P1718">
        <v>2025</v>
      </c>
    </row>
    <row r="1719" spans="1:16">
      <c r="A1719">
        <v>69.89</v>
      </c>
      <c r="B1719">
        <v>1</v>
      </c>
      <c r="C1719" t="s">
        <v>3283</v>
      </c>
      <c r="D1719" t="s">
        <v>3284</v>
      </c>
      <c r="E1719" t="s">
        <v>1038</v>
      </c>
      <c r="F1719" t="s">
        <v>915</v>
      </c>
      <c r="G1719" t="s">
        <v>768</v>
      </c>
      <c r="H1719" t="s">
        <v>366</v>
      </c>
      <c r="I1719" t="s">
        <v>19</v>
      </c>
      <c r="J1719">
        <v>69.89</v>
      </c>
      <c r="K1719" s="1">
        <v>45675</v>
      </c>
      <c r="L1719" t="s">
        <v>14</v>
      </c>
      <c r="M1719">
        <v>18</v>
      </c>
      <c r="N1719">
        <v>1</v>
      </c>
      <c r="O1719">
        <v>1</v>
      </c>
      <c r="P1719">
        <v>2025</v>
      </c>
    </row>
    <row r="1720" spans="1:16">
      <c r="A1720">
        <v>108.05</v>
      </c>
      <c r="B1720">
        <v>1</v>
      </c>
      <c r="C1720" t="s">
        <v>2266</v>
      </c>
      <c r="D1720" t="s">
        <v>2267</v>
      </c>
      <c r="E1720" t="s">
        <v>1440</v>
      </c>
      <c r="F1720" t="s">
        <v>1469</v>
      </c>
      <c r="G1720" t="s">
        <v>908</v>
      </c>
      <c r="H1720" t="s">
        <v>682</v>
      </c>
      <c r="I1720" t="s">
        <v>23</v>
      </c>
      <c r="J1720">
        <v>108.05</v>
      </c>
      <c r="K1720" s="1">
        <v>45587</v>
      </c>
      <c r="L1720" t="s">
        <v>48</v>
      </c>
      <c r="M1720">
        <v>22</v>
      </c>
      <c r="N1720">
        <v>10</v>
      </c>
      <c r="O1720">
        <v>4</v>
      </c>
      <c r="P1720">
        <v>2024</v>
      </c>
    </row>
    <row r="1721" spans="1:16">
      <c r="A1721">
        <v>309.48</v>
      </c>
      <c r="B1721">
        <v>2</v>
      </c>
      <c r="C1721" t="s">
        <v>1990</v>
      </c>
      <c r="D1721" t="s">
        <v>1991</v>
      </c>
      <c r="E1721" t="s">
        <v>779</v>
      </c>
      <c r="F1721" t="s">
        <v>562</v>
      </c>
      <c r="G1721" t="s">
        <v>753</v>
      </c>
      <c r="H1721" t="s">
        <v>547</v>
      </c>
      <c r="I1721" t="s">
        <v>97</v>
      </c>
      <c r="J1721">
        <v>154.74</v>
      </c>
      <c r="K1721" s="1">
        <v>45584</v>
      </c>
      <c r="L1721" t="s">
        <v>14</v>
      </c>
      <c r="M1721">
        <v>19</v>
      </c>
      <c r="N1721">
        <v>10</v>
      </c>
      <c r="O1721">
        <v>4</v>
      </c>
      <c r="P1721">
        <v>2024</v>
      </c>
    </row>
    <row r="1722" spans="1:16">
      <c r="A1722">
        <v>557.55000000000007</v>
      </c>
      <c r="B1722">
        <v>5</v>
      </c>
      <c r="C1722" t="s">
        <v>3234</v>
      </c>
      <c r="D1722" t="s">
        <v>3235</v>
      </c>
      <c r="E1722" t="s">
        <v>1317</v>
      </c>
      <c r="F1722" t="s">
        <v>919</v>
      </c>
      <c r="G1722" t="s">
        <v>786</v>
      </c>
      <c r="H1722" t="s">
        <v>416</v>
      </c>
      <c r="I1722" t="s">
        <v>57</v>
      </c>
      <c r="J1722">
        <v>111.51</v>
      </c>
      <c r="K1722" s="1">
        <v>45996</v>
      </c>
      <c r="L1722" t="s">
        <v>79</v>
      </c>
      <c r="M1722">
        <v>5</v>
      </c>
      <c r="N1722">
        <v>12</v>
      </c>
      <c r="O1722">
        <v>4</v>
      </c>
      <c r="P1722">
        <v>2025</v>
      </c>
    </row>
    <row r="1723" spans="1:16">
      <c r="A1723">
        <v>67.66</v>
      </c>
      <c r="B1723">
        <v>1</v>
      </c>
      <c r="C1723" t="s">
        <v>3137</v>
      </c>
      <c r="D1723" t="s">
        <v>3138</v>
      </c>
      <c r="E1723" t="s">
        <v>2383</v>
      </c>
      <c r="F1723" t="s">
        <v>3139</v>
      </c>
      <c r="G1723" t="s">
        <v>908</v>
      </c>
      <c r="H1723" t="s">
        <v>2624</v>
      </c>
      <c r="I1723" t="s">
        <v>82</v>
      </c>
      <c r="J1723">
        <v>67.66</v>
      </c>
      <c r="K1723" s="1">
        <v>45880</v>
      </c>
      <c r="L1723" t="s">
        <v>93</v>
      </c>
      <c r="M1723">
        <v>11</v>
      </c>
      <c r="N1723">
        <v>8</v>
      </c>
      <c r="O1723">
        <v>3</v>
      </c>
      <c r="P1723">
        <v>2025</v>
      </c>
    </row>
    <row r="1724" spans="1:16">
      <c r="A1724">
        <v>233.08</v>
      </c>
      <c r="B1724">
        <v>1</v>
      </c>
      <c r="C1724" t="s">
        <v>1822</v>
      </c>
      <c r="D1724" t="s">
        <v>1823</v>
      </c>
      <c r="E1724" t="s">
        <v>1824</v>
      </c>
      <c r="F1724" t="s">
        <v>1540</v>
      </c>
      <c r="G1724" t="s">
        <v>768</v>
      </c>
      <c r="H1724" t="s">
        <v>213</v>
      </c>
      <c r="I1724" t="s">
        <v>69</v>
      </c>
      <c r="J1724">
        <v>233.08</v>
      </c>
      <c r="K1724" s="1">
        <v>46148</v>
      </c>
      <c r="L1724" t="s">
        <v>34</v>
      </c>
      <c r="M1724">
        <v>6</v>
      </c>
      <c r="N1724">
        <v>5</v>
      </c>
      <c r="O1724">
        <v>2</v>
      </c>
      <c r="P1724">
        <v>2026</v>
      </c>
    </row>
    <row r="1725" spans="1:16">
      <c r="A1725">
        <v>1167.6000000000001</v>
      </c>
      <c r="B1725">
        <v>5</v>
      </c>
      <c r="C1725" t="s">
        <v>2819</v>
      </c>
      <c r="D1725" t="s">
        <v>2820</v>
      </c>
      <c r="E1725" t="s">
        <v>1619</v>
      </c>
      <c r="F1725" t="s">
        <v>1032</v>
      </c>
      <c r="G1725" t="s">
        <v>839</v>
      </c>
      <c r="H1725" t="s">
        <v>676</v>
      </c>
      <c r="I1725" t="s">
        <v>69</v>
      </c>
      <c r="J1725">
        <v>233.52</v>
      </c>
      <c r="K1725" s="1">
        <v>45754</v>
      </c>
      <c r="L1725" t="s">
        <v>93</v>
      </c>
      <c r="M1725">
        <v>7</v>
      </c>
      <c r="N1725">
        <v>4</v>
      </c>
      <c r="O1725">
        <v>2</v>
      </c>
      <c r="P1725">
        <v>2025</v>
      </c>
    </row>
    <row r="1726" spans="1:16">
      <c r="A1726">
        <v>315.69</v>
      </c>
      <c r="B1726">
        <v>3</v>
      </c>
      <c r="C1726" t="s">
        <v>1360</v>
      </c>
      <c r="D1726" t="s">
        <v>1361</v>
      </c>
      <c r="E1726" t="s">
        <v>932</v>
      </c>
      <c r="F1726" t="s">
        <v>1362</v>
      </c>
      <c r="G1726" t="s">
        <v>896</v>
      </c>
      <c r="H1726" t="s">
        <v>175</v>
      </c>
      <c r="I1726" t="s">
        <v>21</v>
      </c>
      <c r="J1726">
        <v>105.23</v>
      </c>
      <c r="K1726" s="1">
        <v>46186</v>
      </c>
      <c r="L1726" t="s">
        <v>14</v>
      </c>
      <c r="M1726">
        <v>13</v>
      </c>
      <c r="N1726">
        <v>6</v>
      </c>
      <c r="O1726">
        <v>2</v>
      </c>
      <c r="P1726">
        <v>2026</v>
      </c>
    </row>
    <row r="1727" spans="1:16">
      <c r="A1727">
        <v>12.56</v>
      </c>
      <c r="B1727">
        <v>2</v>
      </c>
      <c r="C1727" t="s">
        <v>1218</v>
      </c>
      <c r="D1727" t="s">
        <v>1219</v>
      </c>
      <c r="E1727" t="s">
        <v>1220</v>
      </c>
      <c r="F1727" t="s">
        <v>1206</v>
      </c>
      <c r="G1727" t="s">
        <v>943</v>
      </c>
      <c r="H1727" t="s">
        <v>601</v>
      </c>
      <c r="I1727" t="s">
        <v>19</v>
      </c>
      <c r="J1727">
        <v>6.28</v>
      </c>
      <c r="K1727" s="1">
        <v>45906</v>
      </c>
      <c r="L1727" t="s">
        <v>14</v>
      </c>
      <c r="M1727">
        <v>6</v>
      </c>
      <c r="N1727">
        <v>9</v>
      </c>
      <c r="O1727">
        <v>3</v>
      </c>
      <c r="P1727">
        <v>2025</v>
      </c>
    </row>
    <row r="1728" spans="1:16">
      <c r="A1728">
        <v>813.9</v>
      </c>
      <c r="B1728">
        <v>5</v>
      </c>
      <c r="C1728" t="s">
        <v>2983</v>
      </c>
      <c r="D1728" t="s">
        <v>2570</v>
      </c>
      <c r="E1728" t="s">
        <v>1965</v>
      </c>
      <c r="F1728" t="s">
        <v>869</v>
      </c>
      <c r="G1728" t="s">
        <v>812</v>
      </c>
      <c r="H1728" t="s">
        <v>229</v>
      </c>
      <c r="I1728" t="s">
        <v>97</v>
      </c>
      <c r="J1728">
        <v>162.78</v>
      </c>
      <c r="K1728" s="1">
        <v>45640</v>
      </c>
      <c r="L1728" t="s">
        <v>14</v>
      </c>
      <c r="M1728">
        <v>14</v>
      </c>
      <c r="N1728">
        <v>12</v>
      </c>
      <c r="O1728">
        <v>4</v>
      </c>
      <c r="P1728">
        <v>2024</v>
      </c>
    </row>
    <row r="1729" spans="1:16">
      <c r="A1729">
        <v>244.32</v>
      </c>
      <c r="B1729">
        <v>1</v>
      </c>
      <c r="C1729" t="s">
        <v>1093</v>
      </c>
      <c r="D1729" t="s">
        <v>1094</v>
      </c>
      <c r="E1729" t="s">
        <v>1095</v>
      </c>
      <c r="F1729" t="s">
        <v>862</v>
      </c>
      <c r="G1729" t="s">
        <v>758</v>
      </c>
      <c r="H1729" t="s">
        <v>613</v>
      </c>
      <c r="I1729" t="s">
        <v>21</v>
      </c>
      <c r="J1729">
        <v>244.32</v>
      </c>
      <c r="K1729" s="1">
        <v>46097</v>
      </c>
      <c r="L1729" t="s">
        <v>93</v>
      </c>
      <c r="M1729">
        <v>16</v>
      </c>
      <c r="N1729">
        <v>3</v>
      </c>
      <c r="O1729">
        <v>1</v>
      </c>
      <c r="P1729">
        <v>2026</v>
      </c>
    </row>
    <row r="1730" spans="1:16">
      <c r="A1730">
        <v>6.42</v>
      </c>
      <c r="B1730">
        <v>1</v>
      </c>
      <c r="C1730" t="s">
        <v>3173</v>
      </c>
      <c r="D1730" t="s">
        <v>3174</v>
      </c>
      <c r="E1730" t="s">
        <v>1906</v>
      </c>
      <c r="F1730" t="s">
        <v>113</v>
      </c>
      <c r="G1730" t="s">
        <v>854</v>
      </c>
      <c r="H1730" t="s">
        <v>316</v>
      </c>
      <c r="I1730" t="s">
        <v>97</v>
      </c>
      <c r="J1730">
        <v>6.42</v>
      </c>
      <c r="K1730" s="1">
        <v>45586</v>
      </c>
      <c r="L1730" t="s">
        <v>93</v>
      </c>
      <c r="M1730">
        <v>21</v>
      </c>
      <c r="N1730">
        <v>10</v>
      </c>
      <c r="O1730">
        <v>4</v>
      </c>
      <c r="P1730">
        <v>2024</v>
      </c>
    </row>
    <row r="1731" spans="1:16">
      <c r="A1731">
        <v>470.15</v>
      </c>
      <c r="B1731">
        <v>5</v>
      </c>
      <c r="C1731" t="s">
        <v>1029</v>
      </c>
      <c r="D1731" t="s">
        <v>1030</v>
      </c>
      <c r="E1731" t="s">
        <v>1031</v>
      </c>
      <c r="F1731" t="s">
        <v>1032</v>
      </c>
      <c r="G1731" t="s">
        <v>839</v>
      </c>
      <c r="H1731" t="s">
        <v>364</v>
      </c>
      <c r="I1731" t="s">
        <v>21</v>
      </c>
      <c r="J1731">
        <v>94.03</v>
      </c>
      <c r="K1731" s="1">
        <v>45609</v>
      </c>
      <c r="L1731" t="s">
        <v>34</v>
      </c>
      <c r="M1731">
        <v>13</v>
      </c>
      <c r="N1731">
        <v>11</v>
      </c>
      <c r="O1731">
        <v>4</v>
      </c>
      <c r="P1731">
        <v>2024</v>
      </c>
    </row>
    <row r="1732" spans="1:16">
      <c r="A1732">
        <v>461.06</v>
      </c>
      <c r="B1732">
        <v>2</v>
      </c>
      <c r="C1732" t="s">
        <v>3253</v>
      </c>
      <c r="D1732" t="s">
        <v>3254</v>
      </c>
      <c r="E1732" t="s">
        <v>2108</v>
      </c>
      <c r="F1732" t="s">
        <v>932</v>
      </c>
      <c r="G1732" t="s">
        <v>776</v>
      </c>
      <c r="H1732" t="s">
        <v>389</v>
      </c>
      <c r="I1732" t="s">
        <v>82</v>
      </c>
      <c r="J1732">
        <v>230.53</v>
      </c>
      <c r="K1732" s="1">
        <v>45983</v>
      </c>
      <c r="L1732" t="s">
        <v>14</v>
      </c>
      <c r="M1732">
        <v>22</v>
      </c>
      <c r="N1732">
        <v>11</v>
      </c>
      <c r="O1732">
        <v>4</v>
      </c>
      <c r="P1732">
        <v>2025</v>
      </c>
    </row>
    <row r="1733" spans="1:16">
      <c r="A1733">
        <v>71.400000000000006</v>
      </c>
      <c r="B1733">
        <v>4</v>
      </c>
      <c r="C1733" t="s">
        <v>3227</v>
      </c>
      <c r="D1733" t="s">
        <v>3228</v>
      </c>
      <c r="E1733" t="s">
        <v>865</v>
      </c>
      <c r="F1733" t="s">
        <v>802</v>
      </c>
      <c r="G1733" t="s">
        <v>748</v>
      </c>
      <c r="H1733" t="s">
        <v>605</v>
      </c>
      <c r="I1733" t="s">
        <v>39</v>
      </c>
      <c r="J1733">
        <v>17.850000000000001</v>
      </c>
      <c r="K1733" s="1">
        <v>45589</v>
      </c>
      <c r="L1733" t="s">
        <v>105</v>
      </c>
      <c r="M1733">
        <v>24</v>
      </c>
      <c r="N1733">
        <v>10</v>
      </c>
      <c r="O1733">
        <v>4</v>
      </c>
      <c r="P1733">
        <v>2024</v>
      </c>
    </row>
    <row r="1734" spans="1:16">
      <c r="A1734">
        <v>244.16</v>
      </c>
      <c r="B1734">
        <v>2</v>
      </c>
      <c r="C1734" t="s">
        <v>1699</v>
      </c>
      <c r="D1734" t="s">
        <v>1700</v>
      </c>
      <c r="E1734" t="s">
        <v>1701</v>
      </c>
      <c r="F1734" t="s">
        <v>929</v>
      </c>
      <c r="G1734" t="s">
        <v>1247</v>
      </c>
      <c r="H1734" t="s">
        <v>646</v>
      </c>
      <c r="I1734" t="s">
        <v>21</v>
      </c>
      <c r="J1734">
        <v>122.08</v>
      </c>
      <c r="K1734" s="1">
        <v>46191</v>
      </c>
      <c r="L1734" t="s">
        <v>105</v>
      </c>
      <c r="M1734">
        <v>18</v>
      </c>
      <c r="N1734">
        <v>6</v>
      </c>
      <c r="O1734">
        <v>2</v>
      </c>
      <c r="P1734">
        <v>2026</v>
      </c>
    </row>
    <row r="1735" spans="1:16">
      <c r="A1735">
        <v>178.68</v>
      </c>
      <c r="B1735">
        <v>3</v>
      </c>
      <c r="C1735" t="s">
        <v>2967</v>
      </c>
      <c r="D1735" t="s">
        <v>2968</v>
      </c>
      <c r="E1735" t="s">
        <v>2297</v>
      </c>
      <c r="F1735" t="s">
        <v>1280</v>
      </c>
      <c r="G1735" t="s">
        <v>908</v>
      </c>
      <c r="H1735" t="s">
        <v>573</v>
      </c>
      <c r="I1735" t="s">
        <v>55</v>
      </c>
      <c r="J1735">
        <v>59.56</v>
      </c>
      <c r="K1735" s="1">
        <v>45621</v>
      </c>
      <c r="L1735" t="s">
        <v>93</v>
      </c>
      <c r="M1735">
        <v>25</v>
      </c>
      <c r="N1735">
        <v>11</v>
      </c>
      <c r="O1735">
        <v>4</v>
      </c>
      <c r="P1735">
        <v>2024</v>
      </c>
    </row>
    <row r="1736" spans="1:16">
      <c r="A1736">
        <v>29.14</v>
      </c>
      <c r="B1736">
        <v>2</v>
      </c>
      <c r="C1736" t="s">
        <v>1186</v>
      </c>
      <c r="D1736" t="s">
        <v>1187</v>
      </c>
      <c r="E1736" t="s">
        <v>1188</v>
      </c>
      <c r="F1736" t="s">
        <v>1189</v>
      </c>
      <c r="G1736" t="s">
        <v>892</v>
      </c>
      <c r="H1736" t="s">
        <v>166</v>
      </c>
      <c r="I1736" t="s">
        <v>23</v>
      </c>
      <c r="J1736">
        <v>14.57</v>
      </c>
      <c r="K1736" s="1">
        <v>46269</v>
      </c>
      <c r="L1736" t="s">
        <v>79</v>
      </c>
      <c r="M1736">
        <v>4</v>
      </c>
      <c r="N1736">
        <v>9</v>
      </c>
      <c r="O1736">
        <v>3</v>
      </c>
      <c r="P1736">
        <v>2026</v>
      </c>
    </row>
    <row r="1737" spans="1:16">
      <c r="A1737">
        <v>786.6</v>
      </c>
      <c r="B1737">
        <v>4</v>
      </c>
      <c r="C1737" t="s">
        <v>3453</v>
      </c>
      <c r="D1737" t="s">
        <v>3454</v>
      </c>
      <c r="E1737" t="s">
        <v>1152</v>
      </c>
      <c r="F1737" t="s">
        <v>106</v>
      </c>
      <c r="G1737" t="s">
        <v>748</v>
      </c>
      <c r="H1737" t="s">
        <v>226</v>
      </c>
      <c r="I1737" t="s">
        <v>97</v>
      </c>
      <c r="J1737">
        <v>196.65</v>
      </c>
      <c r="K1737" s="1">
        <v>46099</v>
      </c>
      <c r="L1737" t="s">
        <v>34</v>
      </c>
      <c r="M1737">
        <v>18</v>
      </c>
      <c r="N1737">
        <v>3</v>
      </c>
      <c r="O1737">
        <v>1</v>
      </c>
      <c r="P1737">
        <v>2026</v>
      </c>
    </row>
    <row r="1738" spans="1:16">
      <c r="A1738">
        <v>113.85</v>
      </c>
      <c r="B1738">
        <v>5</v>
      </c>
      <c r="C1738" t="s">
        <v>1407</v>
      </c>
      <c r="D1738" t="s">
        <v>1408</v>
      </c>
      <c r="E1738" t="s">
        <v>1409</v>
      </c>
      <c r="F1738" t="s">
        <v>1410</v>
      </c>
      <c r="G1738" t="s">
        <v>812</v>
      </c>
      <c r="H1738" t="s">
        <v>1250</v>
      </c>
      <c r="I1738" t="s">
        <v>23</v>
      </c>
      <c r="J1738">
        <v>22.77</v>
      </c>
      <c r="K1738" s="1">
        <v>46168</v>
      </c>
      <c r="L1738" t="s">
        <v>48</v>
      </c>
      <c r="M1738">
        <v>26</v>
      </c>
      <c r="N1738">
        <v>5</v>
      </c>
      <c r="O1738">
        <v>2</v>
      </c>
      <c r="P1738">
        <v>2026</v>
      </c>
    </row>
    <row r="1739" spans="1:16">
      <c r="A1739">
        <v>469.78</v>
      </c>
      <c r="B1739">
        <v>2</v>
      </c>
      <c r="C1739" t="s">
        <v>3140</v>
      </c>
      <c r="D1739" t="s">
        <v>3141</v>
      </c>
      <c r="E1739" t="s">
        <v>2904</v>
      </c>
      <c r="F1739" t="s">
        <v>562</v>
      </c>
      <c r="G1739" t="s">
        <v>753</v>
      </c>
      <c r="H1739" t="s">
        <v>255</v>
      </c>
      <c r="I1739" t="s">
        <v>39</v>
      </c>
      <c r="J1739">
        <v>234.89</v>
      </c>
      <c r="K1739" s="1">
        <v>45801</v>
      </c>
      <c r="L1739" t="s">
        <v>14</v>
      </c>
      <c r="M1739">
        <v>24</v>
      </c>
      <c r="N1739">
        <v>5</v>
      </c>
      <c r="O1739">
        <v>2</v>
      </c>
      <c r="P1739">
        <v>2025</v>
      </c>
    </row>
    <row r="1740" spans="1:16">
      <c r="A1740">
        <v>475.26</v>
      </c>
      <c r="B1740">
        <v>2</v>
      </c>
      <c r="C1740" t="s">
        <v>1775</v>
      </c>
      <c r="D1740" t="s">
        <v>1776</v>
      </c>
      <c r="E1740" t="s">
        <v>1777</v>
      </c>
      <c r="F1740" t="s">
        <v>1525</v>
      </c>
      <c r="G1740" t="s">
        <v>763</v>
      </c>
      <c r="H1740" t="s">
        <v>375</v>
      </c>
      <c r="I1740" t="s">
        <v>31</v>
      </c>
      <c r="J1740">
        <v>237.63</v>
      </c>
      <c r="K1740" s="1">
        <v>45866</v>
      </c>
      <c r="L1740" t="s">
        <v>93</v>
      </c>
      <c r="M1740">
        <v>28</v>
      </c>
      <c r="N1740">
        <v>7</v>
      </c>
      <c r="O1740">
        <v>3</v>
      </c>
      <c r="P1740">
        <v>2025</v>
      </c>
    </row>
    <row r="1741" spans="1:16">
      <c r="A1741">
        <v>59.52</v>
      </c>
      <c r="B1741">
        <v>4</v>
      </c>
      <c r="C1741" t="s">
        <v>3398</v>
      </c>
      <c r="D1741" t="s">
        <v>3399</v>
      </c>
      <c r="E1741" t="s">
        <v>2306</v>
      </c>
      <c r="F1741" t="s">
        <v>211</v>
      </c>
      <c r="G1741" t="s">
        <v>966</v>
      </c>
      <c r="H1741" t="s">
        <v>349</v>
      </c>
      <c r="I1741" t="s">
        <v>51</v>
      </c>
      <c r="J1741">
        <v>14.88</v>
      </c>
      <c r="K1741" s="1">
        <v>46082</v>
      </c>
      <c r="L1741" t="s">
        <v>28</v>
      </c>
      <c r="M1741">
        <v>1</v>
      </c>
      <c r="N1741">
        <v>3</v>
      </c>
      <c r="O1741">
        <v>1</v>
      </c>
      <c r="P1741">
        <v>2026</v>
      </c>
    </row>
    <row r="1742" spans="1:16">
      <c r="A1742">
        <v>22.84</v>
      </c>
      <c r="B1742">
        <v>4</v>
      </c>
      <c r="C1742" t="s">
        <v>2417</v>
      </c>
      <c r="D1742" t="s">
        <v>2418</v>
      </c>
      <c r="E1742" t="s">
        <v>2419</v>
      </c>
      <c r="F1742" t="s">
        <v>995</v>
      </c>
      <c r="G1742" t="s">
        <v>781</v>
      </c>
      <c r="H1742" t="s">
        <v>669</v>
      </c>
      <c r="I1742" t="s">
        <v>97</v>
      </c>
      <c r="J1742">
        <v>5.71</v>
      </c>
      <c r="K1742" s="1">
        <v>45591</v>
      </c>
      <c r="L1742" t="s">
        <v>14</v>
      </c>
      <c r="M1742">
        <v>26</v>
      </c>
      <c r="N1742">
        <v>10</v>
      </c>
      <c r="O1742">
        <v>4</v>
      </c>
      <c r="P1742">
        <v>2024</v>
      </c>
    </row>
    <row r="1743" spans="1:16">
      <c r="A1743">
        <v>79.62</v>
      </c>
      <c r="B1743">
        <v>2</v>
      </c>
      <c r="C1743" t="s">
        <v>939</v>
      </c>
      <c r="D1743" t="s">
        <v>940</v>
      </c>
      <c r="E1743" t="s">
        <v>941</v>
      </c>
      <c r="F1743" t="s">
        <v>942</v>
      </c>
      <c r="G1743" t="s">
        <v>943</v>
      </c>
      <c r="H1743" t="s">
        <v>154</v>
      </c>
      <c r="I1743" t="s">
        <v>37</v>
      </c>
      <c r="J1743">
        <v>39.81</v>
      </c>
      <c r="K1743" s="1">
        <v>46032</v>
      </c>
      <c r="L1743" t="s">
        <v>14</v>
      </c>
      <c r="M1743">
        <v>10</v>
      </c>
      <c r="N1743">
        <v>1</v>
      </c>
      <c r="O1743">
        <v>1</v>
      </c>
      <c r="P1743">
        <v>2026</v>
      </c>
    </row>
    <row r="1744" spans="1:16">
      <c r="A1744">
        <v>66.55</v>
      </c>
      <c r="B1744">
        <v>1</v>
      </c>
      <c r="C1744" t="s">
        <v>2439</v>
      </c>
      <c r="D1744" t="s">
        <v>2440</v>
      </c>
      <c r="E1744" t="s">
        <v>1716</v>
      </c>
      <c r="F1744" t="s">
        <v>2441</v>
      </c>
      <c r="G1744" t="s">
        <v>834</v>
      </c>
      <c r="H1744" t="s">
        <v>452</v>
      </c>
      <c r="I1744" t="s">
        <v>69</v>
      </c>
      <c r="J1744">
        <v>66.55</v>
      </c>
      <c r="K1744" s="1">
        <v>46008</v>
      </c>
      <c r="L1744" t="s">
        <v>34</v>
      </c>
      <c r="M1744">
        <v>17</v>
      </c>
      <c r="N1744">
        <v>12</v>
      </c>
      <c r="O1744">
        <v>4</v>
      </c>
      <c r="P1744">
        <v>2025</v>
      </c>
    </row>
    <row r="1745" spans="1:16">
      <c r="A1745">
        <v>161.56</v>
      </c>
      <c r="B1745">
        <v>1</v>
      </c>
      <c r="C1745" t="s">
        <v>933</v>
      </c>
      <c r="D1745" t="s">
        <v>934</v>
      </c>
      <c r="E1745" t="s">
        <v>935</v>
      </c>
      <c r="F1745" t="s">
        <v>322</v>
      </c>
      <c r="G1745" t="s">
        <v>795</v>
      </c>
      <c r="H1745" t="s">
        <v>422</v>
      </c>
      <c r="I1745" t="s">
        <v>122</v>
      </c>
      <c r="J1745">
        <v>161.56</v>
      </c>
      <c r="K1745" s="1">
        <v>46065</v>
      </c>
      <c r="L1745" t="s">
        <v>105</v>
      </c>
      <c r="M1745">
        <v>12</v>
      </c>
      <c r="N1745">
        <v>2</v>
      </c>
      <c r="O1745">
        <v>1</v>
      </c>
      <c r="P1745">
        <v>2026</v>
      </c>
    </row>
    <row r="1746" spans="1:16">
      <c r="A1746">
        <v>19.259999999999998</v>
      </c>
      <c r="B1746">
        <v>3</v>
      </c>
      <c r="C1746" t="s">
        <v>2951</v>
      </c>
      <c r="D1746" t="s">
        <v>2952</v>
      </c>
      <c r="E1746" t="s">
        <v>969</v>
      </c>
      <c r="F1746" t="s">
        <v>853</v>
      </c>
      <c r="G1746" t="s">
        <v>854</v>
      </c>
      <c r="H1746" t="s">
        <v>316</v>
      </c>
      <c r="I1746" t="s">
        <v>97</v>
      </c>
      <c r="J1746">
        <v>6.42</v>
      </c>
      <c r="K1746" s="1">
        <v>46135</v>
      </c>
      <c r="L1746" t="s">
        <v>105</v>
      </c>
      <c r="M1746">
        <v>23</v>
      </c>
      <c r="N1746">
        <v>4</v>
      </c>
      <c r="O1746">
        <v>2</v>
      </c>
      <c r="P1746">
        <v>2026</v>
      </c>
    </row>
    <row r="1747" spans="1:16">
      <c r="A1747">
        <v>5.77</v>
      </c>
      <c r="B1747">
        <v>1</v>
      </c>
      <c r="C1747" t="s">
        <v>2768</v>
      </c>
      <c r="D1747" t="s">
        <v>2769</v>
      </c>
      <c r="E1747" t="s">
        <v>857</v>
      </c>
      <c r="F1747" t="s">
        <v>1209</v>
      </c>
      <c r="G1747" t="s">
        <v>776</v>
      </c>
      <c r="H1747" t="s">
        <v>140</v>
      </c>
      <c r="I1747" t="s">
        <v>17</v>
      </c>
      <c r="J1747">
        <v>5.77</v>
      </c>
      <c r="K1747" s="1">
        <v>46083</v>
      </c>
      <c r="L1747" t="s">
        <v>93</v>
      </c>
      <c r="M1747">
        <v>2</v>
      </c>
      <c r="N1747">
        <v>3</v>
      </c>
      <c r="O1747">
        <v>1</v>
      </c>
      <c r="P1747">
        <v>2026</v>
      </c>
    </row>
    <row r="1748" spans="1:16">
      <c r="A1748">
        <v>173.48</v>
      </c>
      <c r="B1748">
        <v>1</v>
      </c>
      <c r="C1748" t="s">
        <v>1760</v>
      </c>
      <c r="D1748" t="s">
        <v>1761</v>
      </c>
      <c r="E1748" t="s">
        <v>1603</v>
      </c>
      <c r="F1748" t="s">
        <v>380</v>
      </c>
      <c r="G1748" t="s">
        <v>896</v>
      </c>
      <c r="H1748" t="s">
        <v>728</v>
      </c>
      <c r="I1748" t="s">
        <v>46</v>
      </c>
      <c r="J1748">
        <v>173.48</v>
      </c>
      <c r="K1748" s="1">
        <v>45866</v>
      </c>
      <c r="L1748" t="s">
        <v>93</v>
      </c>
      <c r="M1748">
        <v>28</v>
      </c>
      <c r="N1748">
        <v>7</v>
      </c>
      <c r="O1748">
        <v>3</v>
      </c>
      <c r="P1748">
        <v>2025</v>
      </c>
    </row>
    <row r="1749" spans="1:16">
      <c r="A1749">
        <v>953.8</v>
      </c>
      <c r="B1749">
        <v>5</v>
      </c>
      <c r="C1749" t="s">
        <v>2350</v>
      </c>
      <c r="D1749" t="s">
        <v>2351</v>
      </c>
      <c r="E1749" t="s">
        <v>2346</v>
      </c>
      <c r="F1749" t="s">
        <v>1306</v>
      </c>
      <c r="G1749" t="s">
        <v>966</v>
      </c>
      <c r="H1749" t="s">
        <v>1430</v>
      </c>
      <c r="I1749" t="s">
        <v>60</v>
      </c>
      <c r="J1749">
        <v>190.76</v>
      </c>
      <c r="K1749" s="1">
        <v>45691</v>
      </c>
      <c r="L1749" t="s">
        <v>93</v>
      </c>
      <c r="M1749">
        <v>3</v>
      </c>
      <c r="N1749">
        <v>2</v>
      </c>
      <c r="O1749">
        <v>1</v>
      </c>
      <c r="P1749">
        <v>2025</v>
      </c>
    </row>
    <row r="1750" spans="1:16">
      <c r="A1750">
        <v>400.96</v>
      </c>
      <c r="B1750">
        <v>2</v>
      </c>
      <c r="C1750" t="s">
        <v>2185</v>
      </c>
      <c r="D1750" t="s">
        <v>2186</v>
      </c>
      <c r="E1750" t="s">
        <v>1429</v>
      </c>
      <c r="F1750" t="s">
        <v>1395</v>
      </c>
      <c r="G1750" t="s">
        <v>776</v>
      </c>
      <c r="H1750" t="s">
        <v>2254</v>
      </c>
      <c r="I1750" t="s">
        <v>43</v>
      </c>
      <c r="J1750">
        <v>200.48</v>
      </c>
      <c r="K1750" s="1">
        <v>45705</v>
      </c>
      <c r="L1750" t="s">
        <v>93</v>
      </c>
      <c r="M1750">
        <v>17</v>
      </c>
      <c r="N1750">
        <v>2</v>
      </c>
      <c r="O1750">
        <v>1</v>
      </c>
      <c r="P1750">
        <v>2025</v>
      </c>
    </row>
    <row r="1751" spans="1:16">
      <c r="A1751">
        <v>202.53</v>
      </c>
      <c r="B1751">
        <v>1</v>
      </c>
      <c r="C1751" t="s">
        <v>1735</v>
      </c>
      <c r="D1751" t="s">
        <v>1736</v>
      </c>
      <c r="E1751" t="s">
        <v>857</v>
      </c>
      <c r="F1751" t="s">
        <v>980</v>
      </c>
      <c r="G1751" t="s">
        <v>981</v>
      </c>
      <c r="H1751" t="s">
        <v>251</v>
      </c>
      <c r="I1751" t="s">
        <v>122</v>
      </c>
      <c r="J1751">
        <v>202.53</v>
      </c>
      <c r="K1751" s="1">
        <v>46170</v>
      </c>
      <c r="L1751" t="s">
        <v>105</v>
      </c>
      <c r="M1751">
        <v>28</v>
      </c>
      <c r="N1751">
        <v>5</v>
      </c>
      <c r="O1751">
        <v>2</v>
      </c>
      <c r="P1751">
        <v>2026</v>
      </c>
    </row>
    <row r="1752" spans="1:16">
      <c r="A1752">
        <v>489.15</v>
      </c>
      <c r="B1752">
        <v>5</v>
      </c>
      <c r="C1752" t="s">
        <v>1360</v>
      </c>
      <c r="D1752" t="s">
        <v>1361</v>
      </c>
      <c r="E1752" t="s">
        <v>932</v>
      </c>
      <c r="F1752" t="s">
        <v>1362</v>
      </c>
      <c r="G1752" t="s">
        <v>896</v>
      </c>
      <c r="H1752" t="s">
        <v>135</v>
      </c>
      <c r="I1752" t="s">
        <v>122</v>
      </c>
      <c r="J1752">
        <v>97.83</v>
      </c>
      <c r="K1752" s="1">
        <v>45831</v>
      </c>
      <c r="L1752" t="s">
        <v>93</v>
      </c>
      <c r="M1752">
        <v>23</v>
      </c>
      <c r="N1752">
        <v>6</v>
      </c>
      <c r="O1752">
        <v>2</v>
      </c>
      <c r="P1752">
        <v>2025</v>
      </c>
    </row>
    <row r="1753" spans="1:16">
      <c r="A1753">
        <v>719.35</v>
      </c>
      <c r="B1753">
        <v>5</v>
      </c>
      <c r="C1753" t="s">
        <v>2157</v>
      </c>
      <c r="D1753" t="s">
        <v>2158</v>
      </c>
      <c r="E1753" t="s">
        <v>849</v>
      </c>
      <c r="F1753" t="s">
        <v>1339</v>
      </c>
      <c r="G1753" t="s">
        <v>1247</v>
      </c>
      <c r="H1753" t="s">
        <v>587</v>
      </c>
      <c r="I1753" t="s">
        <v>27</v>
      </c>
      <c r="J1753">
        <v>143.87</v>
      </c>
      <c r="K1753" s="1">
        <v>45982</v>
      </c>
      <c r="L1753" t="s">
        <v>79</v>
      </c>
      <c r="M1753">
        <v>21</v>
      </c>
      <c r="N1753">
        <v>11</v>
      </c>
      <c r="O1753">
        <v>4</v>
      </c>
      <c r="P1753">
        <v>2025</v>
      </c>
    </row>
    <row r="1754" spans="1:16">
      <c r="A1754">
        <v>20.420000000000002</v>
      </c>
      <c r="B1754">
        <v>1</v>
      </c>
      <c r="C1754" t="s">
        <v>1588</v>
      </c>
      <c r="D1754" t="s">
        <v>1589</v>
      </c>
      <c r="E1754" t="s">
        <v>1590</v>
      </c>
      <c r="F1754" t="s">
        <v>1591</v>
      </c>
      <c r="G1754" t="s">
        <v>966</v>
      </c>
      <c r="H1754" t="s">
        <v>698</v>
      </c>
      <c r="I1754" t="s">
        <v>69</v>
      </c>
      <c r="J1754">
        <v>20.420000000000002</v>
      </c>
      <c r="K1754" s="1">
        <v>45985</v>
      </c>
      <c r="L1754" t="s">
        <v>93</v>
      </c>
      <c r="M1754">
        <v>24</v>
      </c>
      <c r="N1754">
        <v>11</v>
      </c>
      <c r="O1754">
        <v>4</v>
      </c>
      <c r="P1754">
        <v>2025</v>
      </c>
    </row>
    <row r="1755" spans="1:16">
      <c r="A1755">
        <v>241.48</v>
      </c>
      <c r="B1755">
        <v>4</v>
      </c>
      <c r="C1755" t="s">
        <v>782</v>
      </c>
      <c r="D1755" t="s">
        <v>783</v>
      </c>
      <c r="E1755" t="s">
        <v>784</v>
      </c>
      <c r="F1755" t="s">
        <v>785</v>
      </c>
      <c r="G1755" t="s">
        <v>786</v>
      </c>
      <c r="H1755" t="s">
        <v>681</v>
      </c>
      <c r="I1755" t="s">
        <v>43</v>
      </c>
      <c r="J1755">
        <v>60.37</v>
      </c>
      <c r="K1755" s="1">
        <v>45673</v>
      </c>
      <c r="L1755" t="s">
        <v>105</v>
      </c>
      <c r="M1755">
        <v>16</v>
      </c>
      <c r="N1755">
        <v>1</v>
      </c>
      <c r="O1755">
        <v>1</v>
      </c>
      <c r="P1755">
        <v>2025</v>
      </c>
    </row>
    <row r="1756" spans="1:16">
      <c r="A1756">
        <v>147</v>
      </c>
      <c r="B1756">
        <v>4</v>
      </c>
      <c r="C1756" t="s">
        <v>2101</v>
      </c>
      <c r="D1756" t="s">
        <v>2102</v>
      </c>
      <c r="E1756" t="s">
        <v>2103</v>
      </c>
      <c r="F1756" t="s">
        <v>1089</v>
      </c>
      <c r="G1756" t="s">
        <v>812</v>
      </c>
      <c r="H1756" t="s">
        <v>637</v>
      </c>
      <c r="I1756" t="s">
        <v>100</v>
      </c>
      <c r="J1756">
        <v>36.75</v>
      </c>
      <c r="K1756" s="1">
        <v>46259</v>
      </c>
      <c r="L1756" t="s">
        <v>48</v>
      </c>
      <c r="M1756">
        <v>25</v>
      </c>
      <c r="N1756">
        <v>8</v>
      </c>
      <c r="O1756">
        <v>3</v>
      </c>
      <c r="P1756">
        <v>2026</v>
      </c>
    </row>
    <row r="1757" spans="1:16">
      <c r="A1757">
        <v>28.55</v>
      </c>
      <c r="B1757">
        <v>5</v>
      </c>
      <c r="C1757" t="s">
        <v>3152</v>
      </c>
      <c r="D1757" t="s">
        <v>3153</v>
      </c>
      <c r="E1757" t="s">
        <v>1121</v>
      </c>
      <c r="F1757" t="s">
        <v>869</v>
      </c>
      <c r="G1757" t="s">
        <v>812</v>
      </c>
      <c r="H1757" t="s">
        <v>669</v>
      </c>
      <c r="I1757" t="s">
        <v>97</v>
      </c>
      <c r="J1757">
        <v>5.71</v>
      </c>
      <c r="K1757" s="1">
        <v>45903</v>
      </c>
      <c r="L1757" t="s">
        <v>34</v>
      </c>
      <c r="M1757">
        <v>3</v>
      </c>
      <c r="N1757">
        <v>9</v>
      </c>
      <c r="O1757">
        <v>3</v>
      </c>
      <c r="P1757">
        <v>2025</v>
      </c>
    </row>
    <row r="1758" spans="1:16">
      <c r="A1758">
        <v>474.06000000000006</v>
      </c>
      <c r="B1758">
        <v>3</v>
      </c>
      <c r="C1758" t="s">
        <v>2307</v>
      </c>
      <c r="D1758" t="s">
        <v>2308</v>
      </c>
      <c r="E1758" t="s">
        <v>761</v>
      </c>
      <c r="F1758" t="s">
        <v>1032</v>
      </c>
      <c r="G1758" t="s">
        <v>839</v>
      </c>
      <c r="H1758" t="s">
        <v>406</v>
      </c>
      <c r="I1758" t="s">
        <v>17</v>
      </c>
      <c r="J1758">
        <v>158.02000000000001</v>
      </c>
      <c r="K1758" s="1">
        <v>45794</v>
      </c>
      <c r="L1758" t="s">
        <v>14</v>
      </c>
      <c r="M1758">
        <v>17</v>
      </c>
      <c r="N1758">
        <v>5</v>
      </c>
      <c r="O1758">
        <v>2</v>
      </c>
      <c r="P1758">
        <v>2025</v>
      </c>
    </row>
    <row r="1759" spans="1:16">
      <c r="A1759">
        <v>308.2</v>
      </c>
      <c r="B1759">
        <v>4</v>
      </c>
      <c r="C1759" t="s">
        <v>2074</v>
      </c>
      <c r="D1759" t="s">
        <v>2075</v>
      </c>
      <c r="E1759" t="s">
        <v>1532</v>
      </c>
      <c r="F1759" t="s">
        <v>113</v>
      </c>
      <c r="G1759" t="s">
        <v>854</v>
      </c>
      <c r="H1759" t="s">
        <v>509</v>
      </c>
      <c r="I1759" t="s">
        <v>19</v>
      </c>
      <c r="J1759">
        <v>77.05</v>
      </c>
      <c r="K1759" s="1">
        <v>45784</v>
      </c>
      <c r="L1759" t="s">
        <v>34</v>
      </c>
      <c r="M1759">
        <v>7</v>
      </c>
      <c r="N1759">
        <v>5</v>
      </c>
      <c r="O1759">
        <v>2</v>
      </c>
      <c r="P1759">
        <v>2025</v>
      </c>
    </row>
    <row r="1760" spans="1:16">
      <c r="A1760">
        <v>35.159999999999997</v>
      </c>
      <c r="B1760">
        <v>2</v>
      </c>
      <c r="C1760" t="s">
        <v>1043</v>
      </c>
      <c r="D1760" t="s">
        <v>1044</v>
      </c>
      <c r="E1760" t="s">
        <v>1045</v>
      </c>
      <c r="F1760" t="s">
        <v>747</v>
      </c>
      <c r="G1760" t="s">
        <v>748</v>
      </c>
      <c r="H1760" t="s">
        <v>469</v>
      </c>
      <c r="I1760" t="s">
        <v>46</v>
      </c>
      <c r="J1760">
        <v>17.579999999999998</v>
      </c>
      <c r="K1760" s="1">
        <v>45568</v>
      </c>
      <c r="L1760" t="s">
        <v>105</v>
      </c>
      <c r="M1760">
        <v>3</v>
      </c>
      <c r="N1760">
        <v>10</v>
      </c>
      <c r="O1760">
        <v>4</v>
      </c>
      <c r="P1760">
        <v>2024</v>
      </c>
    </row>
    <row r="1761" spans="1:16">
      <c r="A1761">
        <v>507.8</v>
      </c>
      <c r="B1761">
        <v>5</v>
      </c>
      <c r="C1761" t="s">
        <v>2159</v>
      </c>
      <c r="D1761" t="s">
        <v>2160</v>
      </c>
      <c r="E1761" t="s">
        <v>1559</v>
      </c>
      <c r="F1761" t="s">
        <v>919</v>
      </c>
      <c r="G1761" t="s">
        <v>786</v>
      </c>
      <c r="H1761" t="s">
        <v>426</v>
      </c>
      <c r="I1761" t="s">
        <v>37</v>
      </c>
      <c r="J1761">
        <v>101.56</v>
      </c>
      <c r="K1761" s="1">
        <v>45892</v>
      </c>
      <c r="L1761" t="s">
        <v>14</v>
      </c>
      <c r="M1761">
        <v>23</v>
      </c>
      <c r="N1761">
        <v>8</v>
      </c>
      <c r="O1761">
        <v>3</v>
      </c>
      <c r="P1761">
        <v>2025</v>
      </c>
    </row>
    <row r="1762" spans="1:16">
      <c r="A1762">
        <v>125.4</v>
      </c>
      <c r="B1762">
        <v>4</v>
      </c>
      <c r="C1762" t="s">
        <v>2161</v>
      </c>
      <c r="D1762" t="s">
        <v>2162</v>
      </c>
      <c r="E1762" t="s">
        <v>824</v>
      </c>
      <c r="F1762" t="s">
        <v>1882</v>
      </c>
      <c r="G1762" t="s">
        <v>795</v>
      </c>
      <c r="H1762" t="s">
        <v>557</v>
      </c>
      <c r="I1762" t="s">
        <v>46</v>
      </c>
      <c r="J1762">
        <v>31.35</v>
      </c>
      <c r="K1762" s="1">
        <v>46019</v>
      </c>
      <c r="L1762" t="s">
        <v>28</v>
      </c>
      <c r="M1762">
        <v>28</v>
      </c>
      <c r="N1762">
        <v>12</v>
      </c>
      <c r="O1762">
        <v>4</v>
      </c>
      <c r="P1762">
        <v>2025</v>
      </c>
    </row>
    <row r="1763" spans="1:16">
      <c r="A1763">
        <v>980.04</v>
      </c>
      <c r="B1763">
        <v>4</v>
      </c>
      <c r="C1763" t="s">
        <v>1378</v>
      </c>
      <c r="D1763" t="s">
        <v>1379</v>
      </c>
      <c r="E1763" t="s">
        <v>1380</v>
      </c>
      <c r="F1763" t="s">
        <v>757</v>
      </c>
      <c r="G1763" t="s">
        <v>758</v>
      </c>
      <c r="H1763" t="s">
        <v>53</v>
      </c>
      <c r="I1763" t="s">
        <v>43</v>
      </c>
      <c r="J1763">
        <v>245.01</v>
      </c>
      <c r="K1763" s="1">
        <v>45882</v>
      </c>
      <c r="L1763" t="s">
        <v>34</v>
      </c>
      <c r="M1763">
        <v>13</v>
      </c>
      <c r="N1763">
        <v>8</v>
      </c>
      <c r="O1763">
        <v>3</v>
      </c>
      <c r="P1763">
        <v>2025</v>
      </c>
    </row>
    <row r="1764" spans="1:16">
      <c r="A1764">
        <v>117.35</v>
      </c>
      <c r="B1764">
        <v>5</v>
      </c>
      <c r="C1764" t="s">
        <v>3084</v>
      </c>
      <c r="D1764" t="s">
        <v>3085</v>
      </c>
      <c r="E1764" t="s">
        <v>3086</v>
      </c>
      <c r="F1764" t="s">
        <v>562</v>
      </c>
      <c r="G1764" t="s">
        <v>753</v>
      </c>
      <c r="H1764" t="s">
        <v>492</v>
      </c>
      <c r="I1764" t="s">
        <v>21</v>
      </c>
      <c r="J1764">
        <v>23.47</v>
      </c>
      <c r="K1764" s="1">
        <v>45744</v>
      </c>
      <c r="L1764" t="s">
        <v>79</v>
      </c>
      <c r="M1764">
        <v>28</v>
      </c>
      <c r="N1764">
        <v>3</v>
      </c>
      <c r="O1764">
        <v>1</v>
      </c>
      <c r="P1764">
        <v>2025</v>
      </c>
    </row>
    <row r="1765" spans="1:16">
      <c r="A1765">
        <v>242.54999999999998</v>
      </c>
      <c r="B1765">
        <v>5</v>
      </c>
      <c r="C1765" t="s">
        <v>1413</v>
      </c>
      <c r="D1765" t="s">
        <v>1414</v>
      </c>
      <c r="E1765" t="s">
        <v>761</v>
      </c>
      <c r="F1765" t="s">
        <v>1415</v>
      </c>
      <c r="G1765" t="s">
        <v>812</v>
      </c>
      <c r="H1765" t="s">
        <v>243</v>
      </c>
      <c r="I1765" t="s">
        <v>57</v>
      </c>
      <c r="J1765">
        <v>48.51</v>
      </c>
      <c r="K1765" s="1">
        <v>45824</v>
      </c>
      <c r="L1765" t="s">
        <v>93</v>
      </c>
      <c r="M1765">
        <v>16</v>
      </c>
      <c r="N1765">
        <v>6</v>
      </c>
      <c r="O1765">
        <v>2</v>
      </c>
      <c r="P1765">
        <v>2025</v>
      </c>
    </row>
    <row r="1766" spans="1:16">
      <c r="A1766">
        <v>115.42</v>
      </c>
      <c r="B1766">
        <v>1</v>
      </c>
      <c r="C1766" t="s">
        <v>2496</v>
      </c>
      <c r="D1766" t="s">
        <v>2497</v>
      </c>
      <c r="E1766" t="s">
        <v>2498</v>
      </c>
      <c r="F1766" t="s">
        <v>1302</v>
      </c>
      <c r="G1766" t="s">
        <v>786</v>
      </c>
      <c r="H1766" t="s">
        <v>598</v>
      </c>
      <c r="I1766" t="s">
        <v>31</v>
      </c>
      <c r="J1766">
        <v>115.42</v>
      </c>
      <c r="K1766" s="1">
        <v>45955</v>
      </c>
      <c r="L1766" t="s">
        <v>14</v>
      </c>
      <c r="M1766">
        <v>25</v>
      </c>
      <c r="N1766">
        <v>10</v>
      </c>
      <c r="O1766">
        <v>4</v>
      </c>
      <c r="P1766">
        <v>2025</v>
      </c>
    </row>
    <row r="1767" spans="1:16">
      <c r="A1767">
        <v>243.93</v>
      </c>
      <c r="B1767">
        <v>1</v>
      </c>
      <c r="C1767" t="s">
        <v>2412</v>
      </c>
      <c r="D1767" t="s">
        <v>2413</v>
      </c>
      <c r="E1767" t="s">
        <v>875</v>
      </c>
      <c r="F1767" t="s">
        <v>825</v>
      </c>
      <c r="G1767" t="s">
        <v>781</v>
      </c>
      <c r="H1767" t="s">
        <v>564</v>
      </c>
      <c r="I1767" t="s">
        <v>17</v>
      </c>
      <c r="J1767">
        <v>243.93</v>
      </c>
      <c r="K1767" s="1">
        <v>45803</v>
      </c>
      <c r="L1767" t="s">
        <v>93</v>
      </c>
      <c r="M1767">
        <v>26</v>
      </c>
      <c r="N1767">
        <v>5</v>
      </c>
      <c r="O1767">
        <v>2</v>
      </c>
      <c r="P1767">
        <v>2025</v>
      </c>
    </row>
    <row r="1768" spans="1:16">
      <c r="A1768">
        <v>227.47</v>
      </c>
      <c r="B1768">
        <v>1</v>
      </c>
      <c r="C1768" t="s">
        <v>1743</v>
      </c>
      <c r="D1768" t="s">
        <v>1744</v>
      </c>
      <c r="E1768" t="s">
        <v>1745</v>
      </c>
      <c r="F1768" t="s">
        <v>666</v>
      </c>
      <c r="G1768" t="s">
        <v>954</v>
      </c>
      <c r="H1768" t="s">
        <v>116</v>
      </c>
      <c r="I1768" t="s">
        <v>57</v>
      </c>
      <c r="J1768">
        <v>227.47</v>
      </c>
      <c r="K1768" s="1">
        <v>45981</v>
      </c>
      <c r="L1768" t="s">
        <v>105</v>
      </c>
      <c r="M1768">
        <v>20</v>
      </c>
      <c r="N1768">
        <v>11</v>
      </c>
      <c r="O1768">
        <v>4</v>
      </c>
      <c r="P1768">
        <v>2025</v>
      </c>
    </row>
    <row r="1769" spans="1:16">
      <c r="A1769">
        <v>79.25</v>
      </c>
      <c r="B1769">
        <v>1</v>
      </c>
      <c r="C1769" t="s">
        <v>2139</v>
      </c>
      <c r="D1769" t="s">
        <v>2140</v>
      </c>
      <c r="E1769" t="s">
        <v>2141</v>
      </c>
      <c r="F1769" t="s">
        <v>464</v>
      </c>
      <c r="G1769" t="s">
        <v>896</v>
      </c>
      <c r="H1769" t="s">
        <v>253</v>
      </c>
      <c r="I1769" t="s">
        <v>23</v>
      </c>
      <c r="J1769">
        <v>79.25</v>
      </c>
      <c r="K1769" s="1">
        <v>45982</v>
      </c>
      <c r="L1769" t="s">
        <v>79</v>
      </c>
      <c r="M1769">
        <v>21</v>
      </c>
      <c r="N1769">
        <v>11</v>
      </c>
      <c r="O1769">
        <v>4</v>
      </c>
      <c r="P1769">
        <v>2025</v>
      </c>
    </row>
    <row r="1770" spans="1:16">
      <c r="A1770">
        <v>602.13</v>
      </c>
      <c r="B1770">
        <v>3</v>
      </c>
      <c r="C1770" t="s">
        <v>2149</v>
      </c>
      <c r="D1770" t="s">
        <v>2150</v>
      </c>
      <c r="E1770" t="s">
        <v>1645</v>
      </c>
      <c r="F1770" t="s">
        <v>64</v>
      </c>
      <c r="G1770" t="s">
        <v>892</v>
      </c>
      <c r="H1770" t="s">
        <v>298</v>
      </c>
      <c r="I1770" t="s">
        <v>31</v>
      </c>
      <c r="J1770">
        <v>200.71</v>
      </c>
      <c r="K1770" s="1">
        <v>46188</v>
      </c>
      <c r="L1770" t="s">
        <v>93</v>
      </c>
      <c r="M1770">
        <v>15</v>
      </c>
      <c r="N1770">
        <v>6</v>
      </c>
      <c r="O1770">
        <v>2</v>
      </c>
      <c r="P1770">
        <v>2026</v>
      </c>
    </row>
    <row r="1771" spans="1:16">
      <c r="A1771">
        <v>939.12</v>
      </c>
      <c r="B1771">
        <v>4</v>
      </c>
      <c r="C1771" t="s">
        <v>2063</v>
      </c>
      <c r="D1771" t="s">
        <v>2064</v>
      </c>
      <c r="E1771" t="s">
        <v>2065</v>
      </c>
      <c r="F1771" t="s">
        <v>1156</v>
      </c>
      <c r="G1771" t="s">
        <v>821</v>
      </c>
      <c r="H1771" t="s">
        <v>45</v>
      </c>
      <c r="I1771" t="s">
        <v>46</v>
      </c>
      <c r="J1771">
        <v>234.78</v>
      </c>
      <c r="K1771" s="1">
        <v>46274</v>
      </c>
      <c r="L1771" t="s">
        <v>34</v>
      </c>
      <c r="M1771">
        <v>9</v>
      </c>
      <c r="N1771">
        <v>9</v>
      </c>
      <c r="O1771">
        <v>3</v>
      </c>
      <c r="P1771">
        <v>2026</v>
      </c>
    </row>
    <row r="1772" spans="1:16">
      <c r="A1772">
        <v>14.84</v>
      </c>
      <c r="B1772">
        <v>2</v>
      </c>
      <c r="C1772" t="s">
        <v>2230</v>
      </c>
      <c r="D1772" t="s">
        <v>2231</v>
      </c>
      <c r="E1772" t="s">
        <v>2232</v>
      </c>
      <c r="F1772" t="s">
        <v>1002</v>
      </c>
      <c r="G1772" t="s">
        <v>892</v>
      </c>
      <c r="H1772" t="s">
        <v>194</v>
      </c>
      <c r="I1772" t="s">
        <v>39</v>
      </c>
      <c r="J1772">
        <v>7.42</v>
      </c>
      <c r="K1772" s="1">
        <v>45958</v>
      </c>
      <c r="L1772" t="s">
        <v>48</v>
      </c>
      <c r="M1772">
        <v>28</v>
      </c>
      <c r="N1772">
        <v>10</v>
      </c>
      <c r="O1772">
        <v>4</v>
      </c>
      <c r="P1772">
        <v>2025</v>
      </c>
    </row>
    <row r="1773" spans="1:16">
      <c r="A1773">
        <v>1114.8</v>
      </c>
      <c r="B1773">
        <v>5</v>
      </c>
      <c r="C1773" t="s">
        <v>2464</v>
      </c>
      <c r="D1773" t="s">
        <v>2465</v>
      </c>
      <c r="E1773" t="s">
        <v>1660</v>
      </c>
      <c r="F1773" t="s">
        <v>513</v>
      </c>
      <c r="G1773" t="s">
        <v>786</v>
      </c>
      <c r="H1773" t="s">
        <v>715</v>
      </c>
      <c r="I1773" t="s">
        <v>55</v>
      </c>
      <c r="J1773">
        <v>222.96</v>
      </c>
      <c r="K1773" s="1">
        <v>45686</v>
      </c>
      <c r="L1773" t="s">
        <v>34</v>
      </c>
      <c r="M1773">
        <v>29</v>
      </c>
      <c r="N1773">
        <v>1</v>
      </c>
      <c r="O1773">
        <v>1</v>
      </c>
      <c r="P1773">
        <v>2025</v>
      </c>
    </row>
    <row r="1774" spans="1:16">
      <c r="A1774">
        <v>287.14999999999998</v>
      </c>
      <c r="B1774">
        <v>5</v>
      </c>
      <c r="C1774" t="s">
        <v>2882</v>
      </c>
      <c r="D1774" t="s">
        <v>2883</v>
      </c>
      <c r="E1774" t="s">
        <v>2881</v>
      </c>
      <c r="F1774" t="s">
        <v>1502</v>
      </c>
      <c r="G1774" t="s">
        <v>817</v>
      </c>
      <c r="H1774" t="s">
        <v>730</v>
      </c>
      <c r="I1774" t="s">
        <v>51</v>
      </c>
      <c r="J1774">
        <v>57.43</v>
      </c>
      <c r="K1774" s="1">
        <v>46004</v>
      </c>
      <c r="L1774" t="s">
        <v>14</v>
      </c>
      <c r="M1774">
        <v>13</v>
      </c>
      <c r="N1774">
        <v>12</v>
      </c>
      <c r="O1774">
        <v>4</v>
      </c>
      <c r="P1774">
        <v>2025</v>
      </c>
    </row>
    <row r="1775" spans="1:16">
      <c r="A1775">
        <v>357.40000000000003</v>
      </c>
      <c r="B1775">
        <v>5</v>
      </c>
      <c r="C1775" t="s">
        <v>3460</v>
      </c>
      <c r="D1775" t="s">
        <v>3461</v>
      </c>
      <c r="E1775" t="s">
        <v>3257</v>
      </c>
      <c r="F1775" t="s">
        <v>862</v>
      </c>
      <c r="G1775" t="s">
        <v>981</v>
      </c>
      <c r="H1775" t="s">
        <v>610</v>
      </c>
      <c r="I1775" t="s">
        <v>69</v>
      </c>
      <c r="J1775">
        <v>71.48</v>
      </c>
      <c r="K1775" s="1">
        <v>46088</v>
      </c>
      <c r="L1775" t="s">
        <v>14</v>
      </c>
      <c r="M1775">
        <v>7</v>
      </c>
      <c r="N1775">
        <v>3</v>
      </c>
      <c r="O1775">
        <v>1</v>
      </c>
      <c r="P1775">
        <v>2026</v>
      </c>
    </row>
    <row r="1776" spans="1:16">
      <c r="A1776">
        <v>113.82</v>
      </c>
      <c r="B1776">
        <v>3</v>
      </c>
      <c r="C1776" t="s">
        <v>2644</v>
      </c>
      <c r="D1776" t="s">
        <v>2645</v>
      </c>
      <c r="E1776" t="s">
        <v>2383</v>
      </c>
      <c r="F1776" t="s">
        <v>862</v>
      </c>
      <c r="G1776" t="s">
        <v>981</v>
      </c>
      <c r="H1776" t="s">
        <v>73</v>
      </c>
      <c r="I1776" t="s">
        <v>39</v>
      </c>
      <c r="J1776">
        <v>37.94</v>
      </c>
      <c r="K1776" s="1">
        <v>45921</v>
      </c>
      <c r="L1776" t="s">
        <v>28</v>
      </c>
      <c r="M1776">
        <v>21</v>
      </c>
      <c r="N1776">
        <v>9</v>
      </c>
      <c r="O1776">
        <v>3</v>
      </c>
      <c r="P1776">
        <v>2025</v>
      </c>
    </row>
    <row r="1777" spans="1:16">
      <c r="A1777">
        <v>122.89</v>
      </c>
      <c r="B1777">
        <v>1</v>
      </c>
      <c r="C1777" t="s">
        <v>2045</v>
      </c>
      <c r="D1777" t="s">
        <v>2046</v>
      </c>
      <c r="E1777" t="s">
        <v>833</v>
      </c>
      <c r="F1777" t="s">
        <v>1061</v>
      </c>
      <c r="G1777" t="s">
        <v>812</v>
      </c>
      <c r="H1777" t="s">
        <v>665</v>
      </c>
      <c r="I1777" t="s">
        <v>17</v>
      </c>
      <c r="J1777">
        <v>122.89</v>
      </c>
      <c r="K1777" s="1">
        <v>45920</v>
      </c>
      <c r="L1777" t="s">
        <v>14</v>
      </c>
      <c r="M1777">
        <v>20</v>
      </c>
      <c r="N1777">
        <v>9</v>
      </c>
      <c r="O1777">
        <v>3</v>
      </c>
      <c r="P1777">
        <v>2025</v>
      </c>
    </row>
    <row r="1778" spans="1:16">
      <c r="A1778">
        <v>64.14</v>
      </c>
      <c r="B1778">
        <v>3</v>
      </c>
      <c r="C1778" t="s">
        <v>2983</v>
      </c>
      <c r="D1778" t="s">
        <v>2570</v>
      </c>
      <c r="E1778" t="s">
        <v>1965</v>
      </c>
      <c r="F1778" t="s">
        <v>869</v>
      </c>
      <c r="G1778" t="s">
        <v>812</v>
      </c>
      <c r="H1778" t="s">
        <v>600</v>
      </c>
      <c r="I1778" t="s">
        <v>69</v>
      </c>
      <c r="J1778">
        <v>21.38</v>
      </c>
      <c r="K1778" s="1">
        <v>45622</v>
      </c>
      <c r="L1778" t="s">
        <v>48</v>
      </c>
      <c r="M1778">
        <v>26</v>
      </c>
      <c r="N1778">
        <v>11</v>
      </c>
      <c r="O1778">
        <v>4</v>
      </c>
      <c r="P1778">
        <v>2024</v>
      </c>
    </row>
    <row r="1779" spans="1:16">
      <c r="A1779">
        <v>877.24</v>
      </c>
      <c r="B1779">
        <v>4</v>
      </c>
      <c r="C1779" t="s">
        <v>1992</v>
      </c>
      <c r="D1779" t="s">
        <v>1993</v>
      </c>
      <c r="E1779" t="s">
        <v>1968</v>
      </c>
      <c r="F1779" t="s">
        <v>1257</v>
      </c>
      <c r="G1779" t="s">
        <v>839</v>
      </c>
      <c r="H1779" t="s">
        <v>594</v>
      </c>
      <c r="I1779" t="s">
        <v>43</v>
      </c>
      <c r="J1779">
        <v>219.31</v>
      </c>
      <c r="K1779" s="1">
        <v>46189</v>
      </c>
      <c r="L1779" t="s">
        <v>48</v>
      </c>
      <c r="M1779">
        <v>16</v>
      </c>
      <c r="N1779">
        <v>6</v>
      </c>
      <c r="O1779">
        <v>2</v>
      </c>
      <c r="P1779">
        <v>2026</v>
      </c>
    </row>
    <row r="1780" spans="1:16">
      <c r="A1780">
        <v>913.04</v>
      </c>
      <c r="B1780">
        <v>4</v>
      </c>
      <c r="C1780" t="s">
        <v>2376</v>
      </c>
      <c r="D1780" t="s">
        <v>2377</v>
      </c>
      <c r="E1780" t="s">
        <v>2378</v>
      </c>
      <c r="F1780" t="s">
        <v>151</v>
      </c>
      <c r="G1780" t="s">
        <v>1003</v>
      </c>
      <c r="H1780" t="s">
        <v>268</v>
      </c>
      <c r="I1780" t="s">
        <v>97</v>
      </c>
      <c r="J1780">
        <v>228.26</v>
      </c>
      <c r="K1780" s="1">
        <v>45873</v>
      </c>
      <c r="L1780" t="s">
        <v>93</v>
      </c>
      <c r="M1780">
        <v>4</v>
      </c>
      <c r="N1780">
        <v>8</v>
      </c>
      <c r="O1780">
        <v>3</v>
      </c>
      <c r="P1780">
        <v>2025</v>
      </c>
    </row>
    <row r="1781" spans="1:16">
      <c r="A1781">
        <v>33.869999999999997</v>
      </c>
      <c r="B1781">
        <v>3</v>
      </c>
      <c r="C1781" t="s">
        <v>1065</v>
      </c>
      <c r="D1781" t="s">
        <v>1066</v>
      </c>
      <c r="E1781" t="s">
        <v>984</v>
      </c>
      <c r="F1781" t="s">
        <v>1067</v>
      </c>
      <c r="G1781" t="s">
        <v>854</v>
      </c>
      <c r="H1781" t="s">
        <v>596</v>
      </c>
      <c r="I1781" t="s">
        <v>39</v>
      </c>
      <c r="J1781">
        <v>11.29</v>
      </c>
      <c r="K1781" s="1">
        <v>46247</v>
      </c>
      <c r="L1781" t="s">
        <v>105</v>
      </c>
      <c r="M1781">
        <v>13</v>
      </c>
      <c r="N1781">
        <v>8</v>
      </c>
      <c r="O1781">
        <v>3</v>
      </c>
      <c r="P1781">
        <v>2026</v>
      </c>
    </row>
    <row r="1782" spans="1:16">
      <c r="A1782">
        <v>1174.8999999999999</v>
      </c>
      <c r="B1782">
        <v>5</v>
      </c>
      <c r="C1782" t="s">
        <v>2217</v>
      </c>
      <c r="D1782" t="s">
        <v>2218</v>
      </c>
      <c r="E1782" t="s">
        <v>1771</v>
      </c>
      <c r="F1782" t="s">
        <v>380</v>
      </c>
      <c r="G1782" t="s">
        <v>954</v>
      </c>
      <c r="H1782" t="s">
        <v>333</v>
      </c>
      <c r="I1782" t="s">
        <v>37</v>
      </c>
      <c r="J1782">
        <v>234.98</v>
      </c>
      <c r="K1782" s="1">
        <v>45818</v>
      </c>
      <c r="L1782" t="s">
        <v>48</v>
      </c>
      <c r="M1782">
        <v>10</v>
      </c>
      <c r="N1782">
        <v>6</v>
      </c>
      <c r="O1782">
        <v>2</v>
      </c>
      <c r="P1782">
        <v>2025</v>
      </c>
    </row>
    <row r="1783" spans="1:16">
      <c r="A1783">
        <v>361.15000000000003</v>
      </c>
      <c r="B1783">
        <v>5</v>
      </c>
      <c r="C1783" t="s">
        <v>1945</v>
      </c>
      <c r="D1783" t="s">
        <v>1946</v>
      </c>
      <c r="E1783" t="s">
        <v>1556</v>
      </c>
      <c r="F1783" t="s">
        <v>1061</v>
      </c>
      <c r="G1783" t="s">
        <v>834</v>
      </c>
      <c r="H1783" t="s">
        <v>616</v>
      </c>
      <c r="I1783" t="s">
        <v>37</v>
      </c>
      <c r="J1783">
        <v>72.23</v>
      </c>
      <c r="K1783" s="1">
        <v>45798</v>
      </c>
      <c r="L1783" t="s">
        <v>34</v>
      </c>
      <c r="M1783">
        <v>21</v>
      </c>
      <c r="N1783">
        <v>5</v>
      </c>
      <c r="O1783">
        <v>2</v>
      </c>
      <c r="P1783">
        <v>2025</v>
      </c>
    </row>
    <row r="1784" spans="1:16">
      <c r="A1784">
        <v>207.07</v>
      </c>
      <c r="B1784">
        <v>1</v>
      </c>
      <c r="C1784" t="s">
        <v>2028</v>
      </c>
      <c r="D1784" t="s">
        <v>2029</v>
      </c>
      <c r="E1784" t="s">
        <v>2030</v>
      </c>
      <c r="F1784" t="s">
        <v>1002</v>
      </c>
      <c r="G1784" t="s">
        <v>892</v>
      </c>
      <c r="H1784" t="s">
        <v>201</v>
      </c>
      <c r="I1784" t="s">
        <v>37</v>
      </c>
      <c r="J1784">
        <v>207.07</v>
      </c>
      <c r="K1784" s="1">
        <v>45933</v>
      </c>
      <c r="L1784" t="s">
        <v>79</v>
      </c>
      <c r="M1784">
        <v>3</v>
      </c>
      <c r="N1784">
        <v>10</v>
      </c>
      <c r="O1784">
        <v>4</v>
      </c>
      <c r="P1784">
        <v>2025</v>
      </c>
    </row>
    <row r="1785" spans="1:16">
      <c r="A1785">
        <v>675.15000000000009</v>
      </c>
      <c r="B1785">
        <v>3</v>
      </c>
      <c r="C1785" t="s">
        <v>2669</v>
      </c>
      <c r="D1785" t="s">
        <v>2670</v>
      </c>
      <c r="E1785" t="s">
        <v>1025</v>
      </c>
      <c r="F1785" t="s">
        <v>942</v>
      </c>
      <c r="G1785" t="s">
        <v>943</v>
      </c>
      <c r="H1785" t="s">
        <v>320</v>
      </c>
      <c r="I1785" t="s">
        <v>21</v>
      </c>
      <c r="J1785">
        <v>225.05</v>
      </c>
      <c r="K1785" s="1">
        <v>45855</v>
      </c>
      <c r="L1785" t="s">
        <v>105</v>
      </c>
      <c r="M1785">
        <v>17</v>
      </c>
      <c r="N1785">
        <v>7</v>
      </c>
      <c r="O1785">
        <v>3</v>
      </c>
      <c r="P1785">
        <v>2025</v>
      </c>
    </row>
    <row r="1786" spans="1:16">
      <c r="A1786">
        <v>267.06</v>
      </c>
      <c r="B1786">
        <v>3</v>
      </c>
      <c r="C1786" t="s">
        <v>2662</v>
      </c>
      <c r="D1786" t="s">
        <v>2663</v>
      </c>
      <c r="E1786" t="s">
        <v>2416</v>
      </c>
      <c r="F1786" t="s">
        <v>825</v>
      </c>
      <c r="G1786" t="s">
        <v>781</v>
      </c>
      <c r="H1786" t="s">
        <v>399</v>
      </c>
      <c r="I1786" t="s">
        <v>55</v>
      </c>
      <c r="J1786">
        <v>89.02</v>
      </c>
      <c r="K1786" s="1">
        <v>45703</v>
      </c>
      <c r="L1786" t="s">
        <v>14</v>
      </c>
      <c r="M1786">
        <v>15</v>
      </c>
      <c r="N1786">
        <v>2</v>
      </c>
      <c r="O1786">
        <v>1</v>
      </c>
      <c r="P1786">
        <v>2025</v>
      </c>
    </row>
    <row r="1787" spans="1:16">
      <c r="A1787">
        <v>423.8</v>
      </c>
      <c r="B1787">
        <v>5</v>
      </c>
      <c r="C1787" t="s">
        <v>974</v>
      </c>
      <c r="D1787" t="s">
        <v>975</v>
      </c>
      <c r="E1787" t="s">
        <v>976</v>
      </c>
      <c r="F1787" t="s">
        <v>106</v>
      </c>
      <c r="G1787" t="s">
        <v>748</v>
      </c>
      <c r="H1787" t="s">
        <v>363</v>
      </c>
      <c r="I1787" t="s">
        <v>100</v>
      </c>
      <c r="J1787">
        <v>84.76</v>
      </c>
      <c r="K1787" s="1">
        <v>45721</v>
      </c>
      <c r="L1787" t="s">
        <v>34</v>
      </c>
      <c r="M1787">
        <v>5</v>
      </c>
      <c r="N1787">
        <v>3</v>
      </c>
      <c r="O1787">
        <v>1</v>
      </c>
      <c r="P1787">
        <v>2025</v>
      </c>
    </row>
    <row r="1788" spans="1:16">
      <c r="A1788">
        <v>400.96</v>
      </c>
      <c r="B1788">
        <v>2</v>
      </c>
      <c r="C1788" t="s">
        <v>1312</v>
      </c>
      <c r="D1788" t="s">
        <v>1313</v>
      </c>
      <c r="E1788" t="s">
        <v>820</v>
      </c>
      <c r="F1788" t="s">
        <v>1061</v>
      </c>
      <c r="G1788" t="s">
        <v>834</v>
      </c>
      <c r="H1788" t="s">
        <v>2254</v>
      </c>
      <c r="I1788" t="s">
        <v>43</v>
      </c>
      <c r="J1788">
        <v>200.48</v>
      </c>
      <c r="K1788" s="1">
        <v>45958</v>
      </c>
      <c r="L1788" t="s">
        <v>48</v>
      </c>
      <c r="M1788">
        <v>28</v>
      </c>
      <c r="N1788">
        <v>10</v>
      </c>
      <c r="O1788">
        <v>4</v>
      </c>
      <c r="P1788">
        <v>2025</v>
      </c>
    </row>
    <row r="1789" spans="1:16">
      <c r="A1789">
        <v>155.13</v>
      </c>
      <c r="B1789">
        <v>3</v>
      </c>
      <c r="C1789" t="s">
        <v>1752</v>
      </c>
      <c r="D1789" t="s">
        <v>1753</v>
      </c>
      <c r="E1789" t="s">
        <v>1754</v>
      </c>
      <c r="F1789" t="s">
        <v>1755</v>
      </c>
      <c r="G1789" t="s">
        <v>786</v>
      </c>
      <c r="H1789" t="s">
        <v>26</v>
      </c>
      <c r="I1789" t="s">
        <v>27</v>
      </c>
      <c r="J1789">
        <v>51.71</v>
      </c>
      <c r="K1789" s="1">
        <v>46101</v>
      </c>
      <c r="L1789" t="s">
        <v>79</v>
      </c>
      <c r="M1789">
        <v>20</v>
      </c>
      <c r="N1789">
        <v>3</v>
      </c>
      <c r="O1789">
        <v>1</v>
      </c>
      <c r="P1789">
        <v>2026</v>
      </c>
    </row>
    <row r="1790" spans="1:16">
      <c r="A1790">
        <v>172.67</v>
      </c>
      <c r="B1790">
        <v>1</v>
      </c>
      <c r="C1790" t="s">
        <v>2686</v>
      </c>
      <c r="D1790" t="s">
        <v>2687</v>
      </c>
      <c r="E1790" t="s">
        <v>952</v>
      </c>
      <c r="F1790" t="s">
        <v>280</v>
      </c>
      <c r="G1790" t="s">
        <v>812</v>
      </c>
      <c r="H1790" t="s">
        <v>551</v>
      </c>
      <c r="I1790" t="s">
        <v>122</v>
      </c>
      <c r="J1790">
        <v>172.67</v>
      </c>
      <c r="K1790" s="1">
        <v>45890</v>
      </c>
      <c r="L1790" t="s">
        <v>105</v>
      </c>
      <c r="M1790">
        <v>21</v>
      </c>
      <c r="N1790">
        <v>8</v>
      </c>
      <c r="O1790">
        <v>3</v>
      </c>
      <c r="P1790">
        <v>2025</v>
      </c>
    </row>
    <row r="1791" spans="1:16">
      <c r="A1791">
        <v>209.96</v>
      </c>
      <c r="B1791">
        <v>2</v>
      </c>
      <c r="C1791" t="s">
        <v>2381</v>
      </c>
      <c r="D1791" t="s">
        <v>2382</v>
      </c>
      <c r="E1791" t="s">
        <v>2383</v>
      </c>
      <c r="F1791" t="s">
        <v>1359</v>
      </c>
      <c r="G1791" t="s">
        <v>768</v>
      </c>
      <c r="H1791" t="s">
        <v>690</v>
      </c>
      <c r="I1791" t="s">
        <v>46</v>
      </c>
      <c r="J1791">
        <v>104.98</v>
      </c>
      <c r="K1791" s="1">
        <v>45758</v>
      </c>
      <c r="L1791" t="s">
        <v>79</v>
      </c>
      <c r="M1791">
        <v>11</v>
      </c>
      <c r="N1791">
        <v>4</v>
      </c>
      <c r="O1791">
        <v>2</v>
      </c>
      <c r="P1791">
        <v>2025</v>
      </c>
    </row>
    <row r="1792" spans="1:16">
      <c r="A1792">
        <v>30.41</v>
      </c>
      <c r="B1792">
        <v>1</v>
      </c>
      <c r="C1792" t="s">
        <v>2953</v>
      </c>
      <c r="D1792" t="s">
        <v>2954</v>
      </c>
      <c r="E1792" t="s">
        <v>1698</v>
      </c>
      <c r="F1792" t="s">
        <v>1395</v>
      </c>
      <c r="G1792" t="s">
        <v>776</v>
      </c>
      <c r="H1792" t="s">
        <v>718</v>
      </c>
      <c r="I1792" t="s">
        <v>21</v>
      </c>
      <c r="J1792">
        <v>30.41</v>
      </c>
      <c r="K1792" s="1">
        <v>45962</v>
      </c>
      <c r="L1792" t="s">
        <v>14</v>
      </c>
      <c r="M1792">
        <v>1</v>
      </c>
      <c r="N1792">
        <v>11</v>
      </c>
      <c r="O1792">
        <v>4</v>
      </c>
      <c r="P1792">
        <v>2025</v>
      </c>
    </row>
    <row r="1793" spans="1:16">
      <c r="A1793">
        <v>193.42</v>
      </c>
      <c r="B1793">
        <v>1</v>
      </c>
      <c r="C1793" t="s">
        <v>1796</v>
      </c>
      <c r="D1793" t="s">
        <v>1797</v>
      </c>
      <c r="E1793" t="s">
        <v>1798</v>
      </c>
      <c r="F1793" t="s">
        <v>806</v>
      </c>
      <c r="G1793" t="s">
        <v>807</v>
      </c>
      <c r="H1793" t="s">
        <v>294</v>
      </c>
      <c r="I1793" t="s">
        <v>51</v>
      </c>
      <c r="J1793">
        <v>193.42</v>
      </c>
      <c r="K1793" s="1">
        <v>46021</v>
      </c>
      <c r="L1793" t="s">
        <v>48</v>
      </c>
      <c r="M1793">
        <v>30</v>
      </c>
      <c r="N1793">
        <v>12</v>
      </c>
      <c r="O1793">
        <v>4</v>
      </c>
      <c r="P1793">
        <v>2025</v>
      </c>
    </row>
    <row r="1794" spans="1:16">
      <c r="A1794">
        <v>297.12</v>
      </c>
      <c r="B1794">
        <v>4</v>
      </c>
      <c r="C1794" t="s">
        <v>2884</v>
      </c>
      <c r="D1794" t="s">
        <v>2885</v>
      </c>
      <c r="E1794" t="s">
        <v>1152</v>
      </c>
      <c r="F1794" t="s">
        <v>965</v>
      </c>
      <c r="G1794" t="s">
        <v>966</v>
      </c>
      <c r="H1794" t="s">
        <v>54</v>
      </c>
      <c r="I1794" t="s">
        <v>55</v>
      </c>
      <c r="J1794">
        <v>74.28</v>
      </c>
      <c r="K1794" s="1">
        <v>45786</v>
      </c>
      <c r="L1794" t="s">
        <v>79</v>
      </c>
      <c r="M1794">
        <v>9</v>
      </c>
      <c r="N1794">
        <v>5</v>
      </c>
      <c r="O1794">
        <v>2</v>
      </c>
      <c r="P1794">
        <v>2025</v>
      </c>
    </row>
    <row r="1795" spans="1:16">
      <c r="A1795">
        <v>743.68</v>
      </c>
      <c r="B1795">
        <v>4</v>
      </c>
      <c r="C1795" t="s">
        <v>2025</v>
      </c>
      <c r="D1795" t="s">
        <v>2026</v>
      </c>
      <c r="E1795" t="s">
        <v>842</v>
      </c>
      <c r="F1795" t="s">
        <v>49</v>
      </c>
      <c r="G1795" t="s">
        <v>807</v>
      </c>
      <c r="H1795" t="s">
        <v>683</v>
      </c>
      <c r="I1795" t="s">
        <v>55</v>
      </c>
      <c r="J1795">
        <v>185.92</v>
      </c>
      <c r="K1795" s="1">
        <v>45828</v>
      </c>
      <c r="L1795" t="s">
        <v>79</v>
      </c>
      <c r="M1795">
        <v>20</v>
      </c>
      <c r="N1795">
        <v>6</v>
      </c>
      <c r="O1795">
        <v>2</v>
      </c>
      <c r="P1795">
        <v>2025</v>
      </c>
    </row>
    <row r="1796" spans="1:16">
      <c r="A1796">
        <v>51.71</v>
      </c>
      <c r="B1796">
        <v>1</v>
      </c>
      <c r="C1796" t="s">
        <v>1634</v>
      </c>
      <c r="D1796" t="s">
        <v>1635</v>
      </c>
      <c r="E1796" t="s">
        <v>952</v>
      </c>
      <c r="F1796" t="s">
        <v>1026</v>
      </c>
      <c r="G1796" t="s">
        <v>896</v>
      </c>
      <c r="H1796" t="s">
        <v>26</v>
      </c>
      <c r="I1796" t="s">
        <v>27</v>
      </c>
      <c r="J1796">
        <v>51.71</v>
      </c>
      <c r="K1796" s="1">
        <v>46258</v>
      </c>
      <c r="L1796" t="s">
        <v>93</v>
      </c>
      <c r="M1796">
        <v>24</v>
      </c>
      <c r="N1796">
        <v>8</v>
      </c>
      <c r="O1796">
        <v>3</v>
      </c>
      <c r="P1796">
        <v>2026</v>
      </c>
    </row>
    <row r="1797" spans="1:16">
      <c r="A1797">
        <v>104.56</v>
      </c>
      <c r="B1797">
        <v>2</v>
      </c>
      <c r="C1797" t="s">
        <v>2912</v>
      </c>
      <c r="D1797" t="s">
        <v>2913</v>
      </c>
      <c r="E1797" t="s">
        <v>1657</v>
      </c>
      <c r="F1797" t="s">
        <v>907</v>
      </c>
      <c r="G1797" t="s">
        <v>908</v>
      </c>
      <c r="H1797" t="s">
        <v>412</v>
      </c>
      <c r="I1797" t="s">
        <v>27</v>
      </c>
      <c r="J1797">
        <v>52.28</v>
      </c>
      <c r="K1797" s="1">
        <v>46139</v>
      </c>
      <c r="L1797" t="s">
        <v>93</v>
      </c>
      <c r="M1797">
        <v>27</v>
      </c>
      <c r="N1797">
        <v>4</v>
      </c>
      <c r="O1797">
        <v>2</v>
      </c>
      <c r="P1797">
        <v>2026</v>
      </c>
    </row>
    <row r="1798" spans="1:16">
      <c r="A1798">
        <v>143.5</v>
      </c>
      <c r="B1798">
        <v>2</v>
      </c>
      <c r="C1798" t="s">
        <v>2545</v>
      </c>
      <c r="D1798" t="s">
        <v>2546</v>
      </c>
      <c r="E1798" t="s">
        <v>1590</v>
      </c>
      <c r="F1798" t="s">
        <v>1469</v>
      </c>
      <c r="G1798" t="s">
        <v>908</v>
      </c>
      <c r="H1798" t="s">
        <v>133</v>
      </c>
      <c r="I1798" t="s">
        <v>97</v>
      </c>
      <c r="J1798">
        <v>71.75</v>
      </c>
      <c r="K1798" s="1">
        <v>45566</v>
      </c>
      <c r="L1798" t="s">
        <v>48</v>
      </c>
      <c r="M1798">
        <v>1</v>
      </c>
      <c r="N1798">
        <v>10</v>
      </c>
      <c r="O1798">
        <v>4</v>
      </c>
      <c r="P1798">
        <v>2024</v>
      </c>
    </row>
    <row r="1799" spans="1:16">
      <c r="A1799">
        <v>940.76</v>
      </c>
      <c r="B1799">
        <v>4</v>
      </c>
      <c r="C1799" t="s">
        <v>1366</v>
      </c>
      <c r="D1799" t="s">
        <v>1367</v>
      </c>
      <c r="E1799" t="s">
        <v>1020</v>
      </c>
      <c r="F1799" t="s">
        <v>136</v>
      </c>
      <c r="G1799" t="s">
        <v>954</v>
      </c>
      <c r="H1799" t="s">
        <v>396</v>
      </c>
      <c r="I1799" t="s">
        <v>122</v>
      </c>
      <c r="J1799">
        <v>235.19</v>
      </c>
      <c r="K1799" s="1">
        <v>45990</v>
      </c>
      <c r="L1799" t="s">
        <v>14</v>
      </c>
      <c r="M1799">
        <v>29</v>
      </c>
      <c r="N1799">
        <v>11</v>
      </c>
      <c r="O1799">
        <v>4</v>
      </c>
      <c r="P1799">
        <v>2025</v>
      </c>
    </row>
    <row r="1800" spans="1:16">
      <c r="A1800">
        <v>440.94</v>
      </c>
      <c r="B1800">
        <v>2</v>
      </c>
      <c r="C1800" t="s">
        <v>3329</v>
      </c>
      <c r="D1800" t="s">
        <v>3330</v>
      </c>
      <c r="E1800" t="s">
        <v>1038</v>
      </c>
      <c r="F1800" t="s">
        <v>513</v>
      </c>
      <c r="G1800" t="s">
        <v>786</v>
      </c>
      <c r="H1800" t="s">
        <v>496</v>
      </c>
      <c r="I1800" t="s">
        <v>17</v>
      </c>
      <c r="J1800">
        <v>220.47</v>
      </c>
      <c r="K1800" s="1">
        <v>46200</v>
      </c>
      <c r="L1800" t="s">
        <v>14</v>
      </c>
      <c r="M1800">
        <v>27</v>
      </c>
      <c r="N1800">
        <v>6</v>
      </c>
      <c r="O1800">
        <v>2</v>
      </c>
      <c r="P1800">
        <v>2026</v>
      </c>
    </row>
    <row r="1801" spans="1:16">
      <c r="A1801">
        <v>162.46</v>
      </c>
      <c r="B1801">
        <v>1</v>
      </c>
      <c r="C1801" t="s">
        <v>2558</v>
      </c>
      <c r="D1801" t="s">
        <v>2559</v>
      </c>
      <c r="E1801" t="s">
        <v>2560</v>
      </c>
      <c r="F1801" t="s">
        <v>1302</v>
      </c>
      <c r="G1801" t="s">
        <v>786</v>
      </c>
      <c r="H1801" t="s">
        <v>218</v>
      </c>
      <c r="I1801" t="s">
        <v>97</v>
      </c>
      <c r="J1801">
        <v>162.46</v>
      </c>
      <c r="K1801" s="1">
        <v>46027</v>
      </c>
      <c r="L1801" t="s">
        <v>93</v>
      </c>
      <c r="M1801">
        <v>5</v>
      </c>
      <c r="N1801">
        <v>1</v>
      </c>
      <c r="O1801">
        <v>1</v>
      </c>
      <c r="P1801">
        <v>2026</v>
      </c>
    </row>
    <row r="1802" spans="1:16">
      <c r="A1802">
        <v>7.42</v>
      </c>
      <c r="B1802">
        <v>1</v>
      </c>
      <c r="C1802" t="s">
        <v>884</v>
      </c>
      <c r="D1802" t="s">
        <v>885</v>
      </c>
      <c r="E1802" t="s">
        <v>837</v>
      </c>
      <c r="F1802" t="s">
        <v>762</v>
      </c>
      <c r="G1802" t="s">
        <v>763</v>
      </c>
      <c r="H1802" t="s">
        <v>194</v>
      </c>
      <c r="I1802" t="s">
        <v>39</v>
      </c>
      <c r="J1802">
        <v>7.42</v>
      </c>
      <c r="K1802" s="1">
        <v>46103</v>
      </c>
      <c r="L1802" t="s">
        <v>28</v>
      </c>
      <c r="M1802">
        <v>22</v>
      </c>
      <c r="N1802">
        <v>3</v>
      </c>
      <c r="O1802">
        <v>1</v>
      </c>
      <c r="P1802">
        <v>2026</v>
      </c>
    </row>
    <row r="1803" spans="1:16">
      <c r="A1803">
        <v>208.91</v>
      </c>
      <c r="B1803">
        <v>1</v>
      </c>
      <c r="C1803" t="s">
        <v>2223</v>
      </c>
      <c r="D1803" t="s">
        <v>2224</v>
      </c>
      <c r="E1803" t="s">
        <v>1274</v>
      </c>
      <c r="F1803" t="s">
        <v>2225</v>
      </c>
      <c r="G1803" t="s">
        <v>786</v>
      </c>
      <c r="H1803" t="s">
        <v>723</v>
      </c>
      <c r="I1803" t="s">
        <v>46</v>
      </c>
      <c r="J1803">
        <v>208.91</v>
      </c>
      <c r="K1803" s="1">
        <v>45869</v>
      </c>
      <c r="L1803" t="s">
        <v>105</v>
      </c>
      <c r="M1803">
        <v>31</v>
      </c>
      <c r="N1803">
        <v>7</v>
      </c>
      <c r="O1803">
        <v>3</v>
      </c>
      <c r="P1803">
        <v>2025</v>
      </c>
    </row>
    <row r="1804" spans="1:16">
      <c r="A1804">
        <v>248.72</v>
      </c>
      <c r="B1804">
        <v>4</v>
      </c>
      <c r="C1804" t="s">
        <v>1756</v>
      </c>
      <c r="D1804" t="s">
        <v>1757</v>
      </c>
      <c r="E1804" t="s">
        <v>1679</v>
      </c>
      <c r="F1804" t="s">
        <v>802</v>
      </c>
      <c r="G1804" t="s">
        <v>748</v>
      </c>
      <c r="H1804" t="s">
        <v>276</v>
      </c>
      <c r="I1804" t="s">
        <v>57</v>
      </c>
      <c r="J1804">
        <v>62.18</v>
      </c>
      <c r="K1804" s="1">
        <v>46072</v>
      </c>
      <c r="L1804" t="s">
        <v>105</v>
      </c>
      <c r="M1804">
        <v>19</v>
      </c>
      <c r="N1804">
        <v>2</v>
      </c>
      <c r="O1804">
        <v>1</v>
      </c>
      <c r="P1804">
        <v>2026</v>
      </c>
    </row>
    <row r="1805" spans="1:16">
      <c r="A1805">
        <v>27.4</v>
      </c>
      <c r="B1805">
        <v>4</v>
      </c>
      <c r="C1805" t="s">
        <v>3455</v>
      </c>
      <c r="D1805" t="s">
        <v>3456</v>
      </c>
      <c r="E1805" t="s">
        <v>2173</v>
      </c>
      <c r="F1805" t="s">
        <v>1002</v>
      </c>
      <c r="G1805" t="s">
        <v>1003</v>
      </c>
      <c r="H1805" t="s">
        <v>673</v>
      </c>
      <c r="I1805" t="s">
        <v>100</v>
      </c>
      <c r="J1805">
        <v>6.85</v>
      </c>
      <c r="K1805" s="1">
        <v>46150</v>
      </c>
      <c r="L1805" t="s">
        <v>79</v>
      </c>
      <c r="M1805">
        <v>8</v>
      </c>
      <c r="N1805">
        <v>5</v>
      </c>
      <c r="O1805">
        <v>2</v>
      </c>
      <c r="P1805">
        <v>2026</v>
      </c>
    </row>
    <row r="1806" spans="1:16">
      <c r="A1806">
        <v>109.22999999999999</v>
      </c>
      <c r="B1806">
        <v>3</v>
      </c>
      <c r="C1806" t="s">
        <v>2121</v>
      </c>
      <c r="D1806" t="s">
        <v>2122</v>
      </c>
      <c r="E1806" t="s">
        <v>1077</v>
      </c>
      <c r="F1806" t="s">
        <v>929</v>
      </c>
      <c r="G1806" t="s">
        <v>786</v>
      </c>
      <c r="H1806" t="s">
        <v>607</v>
      </c>
      <c r="I1806" t="s">
        <v>43</v>
      </c>
      <c r="J1806">
        <v>36.409999999999997</v>
      </c>
      <c r="K1806" s="1">
        <v>45984</v>
      </c>
      <c r="L1806" t="s">
        <v>28</v>
      </c>
      <c r="M1806">
        <v>23</v>
      </c>
      <c r="N1806">
        <v>11</v>
      </c>
      <c r="O1806">
        <v>4</v>
      </c>
      <c r="P1806">
        <v>2025</v>
      </c>
    </row>
    <row r="1807" spans="1:16">
      <c r="A1807">
        <v>453.39</v>
      </c>
      <c r="B1807">
        <v>3</v>
      </c>
      <c r="C1807" t="s">
        <v>2381</v>
      </c>
      <c r="D1807" t="s">
        <v>2382</v>
      </c>
      <c r="E1807" t="s">
        <v>2383</v>
      </c>
      <c r="F1807" t="s">
        <v>1359</v>
      </c>
      <c r="G1807" t="s">
        <v>768</v>
      </c>
      <c r="H1807" t="s">
        <v>655</v>
      </c>
      <c r="I1807" t="s">
        <v>82</v>
      </c>
      <c r="J1807">
        <v>151.13</v>
      </c>
      <c r="K1807" s="1">
        <v>45746</v>
      </c>
      <c r="L1807" t="s">
        <v>28</v>
      </c>
      <c r="M1807">
        <v>30</v>
      </c>
      <c r="N1807">
        <v>3</v>
      </c>
      <c r="O1807">
        <v>1</v>
      </c>
      <c r="P1807">
        <v>2025</v>
      </c>
    </row>
    <row r="1808" spans="1:16">
      <c r="A1808">
        <v>152.89999999999998</v>
      </c>
      <c r="B1808">
        <v>5</v>
      </c>
      <c r="C1808" t="s">
        <v>1119</v>
      </c>
      <c r="D1808" t="s">
        <v>1120</v>
      </c>
      <c r="E1808" t="s">
        <v>1121</v>
      </c>
      <c r="F1808" t="s">
        <v>211</v>
      </c>
      <c r="G1808" t="s">
        <v>812</v>
      </c>
      <c r="H1808" t="s">
        <v>574</v>
      </c>
      <c r="I1808" t="s">
        <v>19</v>
      </c>
      <c r="J1808">
        <v>30.58</v>
      </c>
      <c r="K1808" s="1">
        <v>45554</v>
      </c>
      <c r="L1808" t="s">
        <v>105</v>
      </c>
      <c r="M1808">
        <v>19</v>
      </c>
      <c r="N1808">
        <v>9</v>
      </c>
      <c r="O1808">
        <v>3</v>
      </c>
      <c r="P1808">
        <v>2024</v>
      </c>
    </row>
    <row r="1809" spans="1:16">
      <c r="A1809">
        <v>18.18</v>
      </c>
      <c r="B1809">
        <v>1</v>
      </c>
      <c r="C1809" t="s">
        <v>926</v>
      </c>
      <c r="D1809" t="s">
        <v>927</v>
      </c>
      <c r="E1809" t="s">
        <v>928</v>
      </c>
      <c r="F1809" t="s">
        <v>929</v>
      </c>
      <c r="G1809" t="s">
        <v>830</v>
      </c>
      <c r="H1809" t="s">
        <v>284</v>
      </c>
      <c r="I1809" t="s">
        <v>97</v>
      </c>
      <c r="J1809">
        <v>18.18</v>
      </c>
      <c r="K1809" s="1">
        <v>46096</v>
      </c>
      <c r="L1809" t="s">
        <v>28</v>
      </c>
      <c r="M1809">
        <v>15</v>
      </c>
      <c r="N1809">
        <v>3</v>
      </c>
      <c r="O1809">
        <v>1</v>
      </c>
      <c r="P1809">
        <v>2026</v>
      </c>
    </row>
    <row r="1810" spans="1:16">
      <c r="A1810">
        <v>470.58000000000004</v>
      </c>
      <c r="B1810">
        <v>3</v>
      </c>
      <c r="C1810" t="s">
        <v>3061</v>
      </c>
      <c r="D1810" t="s">
        <v>3062</v>
      </c>
      <c r="E1810" t="s">
        <v>2629</v>
      </c>
      <c r="F1810" t="s">
        <v>1168</v>
      </c>
      <c r="G1810" t="s">
        <v>758</v>
      </c>
      <c r="H1810" t="s">
        <v>602</v>
      </c>
      <c r="I1810" t="s">
        <v>17</v>
      </c>
      <c r="J1810">
        <v>156.86000000000001</v>
      </c>
      <c r="K1810" s="1">
        <v>46188</v>
      </c>
      <c r="L1810" t="s">
        <v>93</v>
      </c>
      <c r="M1810">
        <v>15</v>
      </c>
      <c r="N1810">
        <v>6</v>
      </c>
      <c r="O1810">
        <v>2</v>
      </c>
      <c r="P1810">
        <v>2026</v>
      </c>
    </row>
    <row r="1811" spans="1:16">
      <c r="A1811">
        <v>90.87</v>
      </c>
      <c r="B1811">
        <v>1</v>
      </c>
      <c r="C1811" t="s">
        <v>962</v>
      </c>
      <c r="D1811" t="s">
        <v>963</v>
      </c>
      <c r="E1811" t="s">
        <v>964</v>
      </c>
      <c r="F1811" t="s">
        <v>965</v>
      </c>
      <c r="G1811" t="s">
        <v>966</v>
      </c>
      <c r="H1811" t="s">
        <v>470</v>
      </c>
      <c r="I1811" t="s">
        <v>39</v>
      </c>
      <c r="J1811">
        <v>90.87</v>
      </c>
      <c r="K1811" s="1">
        <v>46161</v>
      </c>
      <c r="L1811" t="s">
        <v>48</v>
      </c>
      <c r="M1811">
        <v>19</v>
      </c>
      <c r="N1811">
        <v>5</v>
      </c>
      <c r="O1811">
        <v>2</v>
      </c>
      <c r="P1811">
        <v>2026</v>
      </c>
    </row>
    <row r="1812" spans="1:16">
      <c r="A1812">
        <v>652.55999999999995</v>
      </c>
      <c r="B1812">
        <v>4</v>
      </c>
      <c r="C1812" t="s">
        <v>813</v>
      </c>
      <c r="D1812" t="s">
        <v>814</v>
      </c>
      <c r="E1812" t="s">
        <v>815</v>
      </c>
      <c r="F1812" t="s">
        <v>816</v>
      </c>
      <c r="G1812" t="s">
        <v>817</v>
      </c>
      <c r="H1812" t="s">
        <v>183</v>
      </c>
      <c r="I1812" t="s">
        <v>19</v>
      </c>
      <c r="J1812">
        <v>163.13999999999999</v>
      </c>
      <c r="K1812" s="1">
        <v>45915</v>
      </c>
      <c r="L1812" t="s">
        <v>93</v>
      </c>
      <c r="M1812">
        <v>15</v>
      </c>
      <c r="N1812">
        <v>9</v>
      </c>
      <c r="O1812">
        <v>3</v>
      </c>
      <c r="P1812">
        <v>2025</v>
      </c>
    </row>
    <row r="1813" spans="1:16">
      <c r="A1813">
        <v>529.38</v>
      </c>
      <c r="B1813">
        <v>3</v>
      </c>
      <c r="C1813" t="s">
        <v>3260</v>
      </c>
      <c r="D1813" t="s">
        <v>3261</v>
      </c>
      <c r="E1813" t="s">
        <v>766</v>
      </c>
      <c r="F1813" t="s">
        <v>380</v>
      </c>
      <c r="G1813" t="s">
        <v>896</v>
      </c>
      <c r="H1813" t="s">
        <v>647</v>
      </c>
      <c r="I1813" t="s">
        <v>57</v>
      </c>
      <c r="J1813">
        <v>176.46</v>
      </c>
      <c r="K1813" s="1">
        <v>45902</v>
      </c>
      <c r="L1813" t="s">
        <v>48</v>
      </c>
      <c r="M1813">
        <v>2</v>
      </c>
      <c r="N1813">
        <v>9</v>
      </c>
      <c r="O1813">
        <v>3</v>
      </c>
      <c r="P1813">
        <v>2025</v>
      </c>
    </row>
    <row r="1814" spans="1:16">
      <c r="A1814">
        <v>823.8</v>
      </c>
      <c r="B1814">
        <v>4</v>
      </c>
      <c r="C1814" t="s">
        <v>2223</v>
      </c>
      <c r="D1814" t="s">
        <v>2224</v>
      </c>
      <c r="E1814" t="s">
        <v>1274</v>
      </c>
      <c r="F1814" t="s">
        <v>2225</v>
      </c>
      <c r="G1814" t="s">
        <v>786</v>
      </c>
      <c r="H1814" t="s">
        <v>705</v>
      </c>
      <c r="I1814" t="s">
        <v>60</v>
      </c>
      <c r="J1814">
        <v>205.95</v>
      </c>
      <c r="K1814" s="1">
        <v>45835</v>
      </c>
      <c r="L1814" t="s">
        <v>79</v>
      </c>
      <c r="M1814">
        <v>27</v>
      </c>
      <c r="N1814">
        <v>6</v>
      </c>
      <c r="O1814">
        <v>2</v>
      </c>
      <c r="P1814">
        <v>2025</v>
      </c>
    </row>
    <row r="1815" spans="1:16">
      <c r="A1815">
        <v>583.6</v>
      </c>
      <c r="B1815">
        <v>5</v>
      </c>
      <c r="C1815" t="s">
        <v>777</v>
      </c>
      <c r="D1815" t="s">
        <v>778</v>
      </c>
      <c r="E1815" t="s">
        <v>779</v>
      </c>
      <c r="F1815" t="s">
        <v>780</v>
      </c>
      <c r="G1815" t="s">
        <v>781</v>
      </c>
      <c r="H1815" t="s">
        <v>500</v>
      </c>
      <c r="I1815" t="s">
        <v>27</v>
      </c>
      <c r="J1815">
        <v>116.72</v>
      </c>
      <c r="K1815" s="1">
        <v>45707</v>
      </c>
      <c r="L1815" t="s">
        <v>34</v>
      </c>
      <c r="M1815">
        <v>19</v>
      </c>
      <c r="N1815">
        <v>2</v>
      </c>
      <c r="O1815">
        <v>1</v>
      </c>
      <c r="P1815">
        <v>2025</v>
      </c>
    </row>
    <row r="1816" spans="1:16">
      <c r="A1816">
        <v>169.26</v>
      </c>
      <c r="B1816">
        <v>2</v>
      </c>
      <c r="C1816" t="s">
        <v>1051</v>
      </c>
      <c r="D1816" t="s">
        <v>1052</v>
      </c>
      <c r="E1816" t="s">
        <v>1053</v>
      </c>
      <c r="F1816" t="s">
        <v>1054</v>
      </c>
      <c r="G1816" t="s">
        <v>892</v>
      </c>
      <c r="H1816" t="s">
        <v>528</v>
      </c>
      <c r="I1816" t="s">
        <v>69</v>
      </c>
      <c r="J1816">
        <v>84.63</v>
      </c>
      <c r="K1816" s="1">
        <v>45584</v>
      </c>
      <c r="L1816" t="s">
        <v>14</v>
      </c>
      <c r="M1816">
        <v>19</v>
      </c>
      <c r="N1816">
        <v>10</v>
      </c>
      <c r="O1816">
        <v>4</v>
      </c>
      <c r="P1816">
        <v>2024</v>
      </c>
    </row>
    <row r="1817" spans="1:16">
      <c r="A1817">
        <v>214.95</v>
      </c>
      <c r="B1817">
        <v>1</v>
      </c>
      <c r="C1817" t="s">
        <v>2005</v>
      </c>
      <c r="D1817" t="s">
        <v>2006</v>
      </c>
      <c r="E1817" t="s">
        <v>2007</v>
      </c>
      <c r="F1817" t="s">
        <v>1156</v>
      </c>
      <c r="G1817" t="s">
        <v>821</v>
      </c>
      <c r="H1817" t="s">
        <v>195</v>
      </c>
      <c r="I1817" t="s">
        <v>31</v>
      </c>
      <c r="J1817">
        <v>214.95</v>
      </c>
      <c r="K1817" s="1">
        <v>46160</v>
      </c>
      <c r="L1817" t="s">
        <v>93</v>
      </c>
      <c r="M1817">
        <v>18</v>
      </c>
      <c r="N1817">
        <v>5</v>
      </c>
      <c r="O1817">
        <v>2</v>
      </c>
      <c r="P1817">
        <v>2026</v>
      </c>
    </row>
    <row r="1818" spans="1:16">
      <c r="A1818">
        <v>695.52</v>
      </c>
      <c r="B1818">
        <v>3</v>
      </c>
      <c r="C1818" t="s">
        <v>3496</v>
      </c>
      <c r="D1818" t="s">
        <v>3497</v>
      </c>
      <c r="E1818" t="s">
        <v>969</v>
      </c>
      <c r="F1818" t="s">
        <v>1673</v>
      </c>
      <c r="G1818" t="s">
        <v>821</v>
      </c>
      <c r="H1818" t="s">
        <v>626</v>
      </c>
      <c r="I1818" t="s">
        <v>17</v>
      </c>
      <c r="J1818">
        <v>231.84</v>
      </c>
      <c r="K1818" s="1">
        <v>46063</v>
      </c>
      <c r="L1818" t="s">
        <v>48</v>
      </c>
      <c r="M1818">
        <v>10</v>
      </c>
      <c r="N1818">
        <v>2</v>
      </c>
      <c r="O1818">
        <v>1</v>
      </c>
      <c r="P1818">
        <v>2026</v>
      </c>
    </row>
    <row r="1819" spans="1:16">
      <c r="A1819">
        <v>216.06</v>
      </c>
      <c r="B1819">
        <v>3</v>
      </c>
      <c r="C1819" t="s">
        <v>2456</v>
      </c>
      <c r="D1819" t="s">
        <v>2457</v>
      </c>
      <c r="E1819" t="s">
        <v>882</v>
      </c>
      <c r="F1819" t="s">
        <v>1280</v>
      </c>
      <c r="G1819" t="s">
        <v>908</v>
      </c>
      <c r="H1819" t="s">
        <v>108</v>
      </c>
      <c r="I1819" t="s">
        <v>51</v>
      </c>
      <c r="J1819">
        <v>72.02</v>
      </c>
      <c r="K1819" s="1">
        <v>46188</v>
      </c>
      <c r="L1819" t="s">
        <v>93</v>
      </c>
      <c r="M1819">
        <v>15</v>
      </c>
      <c r="N1819">
        <v>6</v>
      </c>
      <c r="O1819">
        <v>2</v>
      </c>
      <c r="P1819">
        <v>2026</v>
      </c>
    </row>
    <row r="1820" spans="1:16">
      <c r="A1820">
        <v>334.53000000000003</v>
      </c>
      <c r="B1820">
        <v>3</v>
      </c>
      <c r="C1820" t="s">
        <v>2389</v>
      </c>
      <c r="D1820" t="s">
        <v>2390</v>
      </c>
      <c r="E1820" t="s">
        <v>1925</v>
      </c>
      <c r="F1820" t="s">
        <v>816</v>
      </c>
      <c r="G1820" t="s">
        <v>817</v>
      </c>
      <c r="H1820" t="s">
        <v>416</v>
      </c>
      <c r="I1820" t="s">
        <v>57</v>
      </c>
      <c r="J1820">
        <v>111.51</v>
      </c>
      <c r="K1820" s="1">
        <v>45674</v>
      </c>
      <c r="L1820" t="s">
        <v>79</v>
      </c>
      <c r="M1820">
        <v>17</v>
      </c>
      <c r="N1820">
        <v>1</v>
      </c>
      <c r="O1820">
        <v>1</v>
      </c>
      <c r="P1820">
        <v>2025</v>
      </c>
    </row>
    <row r="1821" spans="1:16">
      <c r="A1821">
        <v>236.61</v>
      </c>
      <c r="B1821">
        <v>1</v>
      </c>
      <c r="C1821" t="s">
        <v>2959</v>
      </c>
      <c r="D1821" t="s">
        <v>2960</v>
      </c>
      <c r="E1821" t="s">
        <v>1559</v>
      </c>
      <c r="F1821" t="s">
        <v>1239</v>
      </c>
      <c r="G1821" t="s">
        <v>795</v>
      </c>
      <c r="H1821" t="s">
        <v>235</v>
      </c>
      <c r="I1821" t="s">
        <v>19</v>
      </c>
      <c r="J1821">
        <v>236.61</v>
      </c>
      <c r="K1821" s="1">
        <v>45629</v>
      </c>
      <c r="L1821" t="s">
        <v>48</v>
      </c>
      <c r="M1821">
        <v>3</v>
      </c>
      <c r="N1821">
        <v>12</v>
      </c>
      <c r="O1821">
        <v>4</v>
      </c>
      <c r="P1821">
        <v>2024</v>
      </c>
    </row>
    <row r="1822" spans="1:16">
      <c r="A1822">
        <v>1219.6500000000001</v>
      </c>
      <c r="B1822">
        <v>5</v>
      </c>
      <c r="C1822" t="s">
        <v>3121</v>
      </c>
      <c r="D1822" t="s">
        <v>3122</v>
      </c>
      <c r="E1822" t="s">
        <v>1676</v>
      </c>
      <c r="F1822" t="s">
        <v>211</v>
      </c>
      <c r="G1822" t="s">
        <v>966</v>
      </c>
      <c r="H1822" t="s">
        <v>564</v>
      </c>
      <c r="I1822" t="s">
        <v>17</v>
      </c>
      <c r="J1822">
        <v>243.93</v>
      </c>
      <c r="K1822" s="1">
        <v>45946</v>
      </c>
      <c r="L1822" t="s">
        <v>105</v>
      </c>
      <c r="M1822">
        <v>16</v>
      </c>
      <c r="N1822">
        <v>10</v>
      </c>
      <c r="O1822">
        <v>4</v>
      </c>
      <c r="P1822">
        <v>2025</v>
      </c>
    </row>
    <row r="1823" spans="1:16">
      <c r="A1823">
        <v>5.73</v>
      </c>
      <c r="B1823">
        <v>1</v>
      </c>
      <c r="C1823" t="s">
        <v>1746</v>
      </c>
      <c r="D1823" t="s">
        <v>1747</v>
      </c>
      <c r="E1823" t="s">
        <v>1050</v>
      </c>
      <c r="F1823" t="s">
        <v>1469</v>
      </c>
      <c r="G1823" t="s">
        <v>908</v>
      </c>
      <c r="H1823" t="s">
        <v>407</v>
      </c>
      <c r="I1823" t="s">
        <v>21</v>
      </c>
      <c r="J1823">
        <v>5.73</v>
      </c>
      <c r="K1823" s="1">
        <v>46236</v>
      </c>
      <c r="L1823" t="s">
        <v>28</v>
      </c>
      <c r="M1823">
        <v>2</v>
      </c>
      <c r="N1823">
        <v>8</v>
      </c>
      <c r="O1823">
        <v>3</v>
      </c>
      <c r="P1823">
        <v>2026</v>
      </c>
    </row>
    <row r="1824" spans="1:16">
      <c r="A1824">
        <v>456.52</v>
      </c>
      <c r="B1824">
        <v>2</v>
      </c>
      <c r="C1824" t="s">
        <v>1027</v>
      </c>
      <c r="D1824" t="s">
        <v>1028</v>
      </c>
      <c r="E1824" t="s">
        <v>805</v>
      </c>
      <c r="F1824" t="s">
        <v>825</v>
      </c>
      <c r="G1824" t="s">
        <v>781</v>
      </c>
      <c r="H1824" t="s">
        <v>268</v>
      </c>
      <c r="I1824" t="s">
        <v>97</v>
      </c>
      <c r="J1824">
        <v>228.26</v>
      </c>
      <c r="K1824" s="1">
        <v>45739</v>
      </c>
      <c r="L1824" t="s">
        <v>28</v>
      </c>
      <c r="M1824">
        <v>23</v>
      </c>
      <c r="N1824">
        <v>3</v>
      </c>
      <c r="O1824">
        <v>1</v>
      </c>
      <c r="P1824">
        <v>2025</v>
      </c>
    </row>
    <row r="1825" spans="1:16">
      <c r="A1825">
        <v>176.14999999999998</v>
      </c>
      <c r="B1825">
        <v>5</v>
      </c>
      <c r="C1825" t="s">
        <v>1850</v>
      </c>
      <c r="D1825" t="s">
        <v>1851</v>
      </c>
      <c r="E1825" t="s">
        <v>833</v>
      </c>
      <c r="F1825" t="s">
        <v>49</v>
      </c>
      <c r="G1825" t="s">
        <v>807</v>
      </c>
      <c r="H1825" t="s">
        <v>261</v>
      </c>
      <c r="I1825" t="s">
        <v>31</v>
      </c>
      <c r="J1825">
        <v>35.229999999999997</v>
      </c>
      <c r="K1825" s="1">
        <v>45707</v>
      </c>
      <c r="L1825" t="s">
        <v>34</v>
      </c>
      <c r="M1825">
        <v>19</v>
      </c>
      <c r="N1825">
        <v>2</v>
      </c>
      <c r="O1825">
        <v>1</v>
      </c>
      <c r="P1825">
        <v>2025</v>
      </c>
    </row>
    <row r="1826" spans="1:16">
      <c r="A1826">
        <v>308.2</v>
      </c>
      <c r="B1826">
        <v>4</v>
      </c>
      <c r="C1826" t="s">
        <v>3435</v>
      </c>
      <c r="D1826" t="s">
        <v>3436</v>
      </c>
      <c r="E1826" t="s">
        <v>1216</v>
      </c>
      <c r="F1826" t="s">
        <v>942</v>
      </c>
      <c r="G1826" t="s">
        <v>943</v>
      </c>
      <c r="H1826" t="s">
        <v>509</v>
      </c>
      <c r="I1826" t="s">
        <v>19</v>
      </c>
      <c r="J1826">
        <v>77.05</v>
      </c>
      <c r="K1826" s="1">
        <v>45670</v>
      </c>
      <c r="L1826" t="s">
        <v>93</v>
      </c>
      <c r="M1826">
        <v>13</v>
      </c>
      <c r="N1826">
        <v>1</v>
      </c>
      <c r="O1826">
        <v>1</v>
      </c>
      <c r="P1826">
        <v>2025</v>
      </c>
    </row>
    <row r="1827" spans="1:16">
      <c r="A1827">
        <v>218.75</v>
      </c>
      <c r="B1827">
        <v>5</v>
      </c>
      <c r="C1827" t="s">
        <v>1267</v>
      </c>
      <c r="D1827" t="s">
        <v>1268</v>
      </c>
      <c r="E1827" t="s">
        <v>935</v>
      </c>
      <c r="F1827" t="s">
        <v>380</v>
      </c>
      <c r="G1827" t="s">
        <v>896</v>
      </c>
      <c r="H1827" t="s">
        <v>386</v>
      </c>
      <c r="I1827" t="s">
        <v>21</v>
      </c>
      <c r="J1827">
        <v>43.75</v>
      </c>
      <c r="K1827" s="1">
        <v>45720</v>
      </c>
      <c r="L1827" t="s">
        <v>48</v>
      </c>
      <c r="M1827">
        <v>4</v>
      </c>
      <c r="N1827">
        <v>3</v>
      </c>
      <c r="O1827">
        <v>1</v>
      </c>
      <c r="P1827">
        <v>2025</v>
      </c>
    </row>
    <row r="1828" spans="1:16">
      <c r="A1828">
        <v>21.87</v>
      </c>
      <c r="B1828">
        <v>1</v>
      </c>
      <c r="C1828" t="s">
        <v>1869</v>
      </c>
      <c r="D1828" t="s">
        <v>1870</v>
      </c>
      <c r="E1828" t="s">
        <v>1501</v>
      </c>
      <c r="F1828" t="s">
        <v>869</v>
      </c>
      <c r="G1828" t="s">
        <v>1247</v>
      </c>
      <c r="H1828" t="s">
        <v>462</v>
      </c>
      <c r="I1828" t="s">
        <v>100</v>
      </c>
      <c r="J1828">
        <v>21.87</v>
      </c>
      <c r="K1828" s="1">
        <v>45617</v>
      </c>
      <c r="L1828" t="s">
        <v>105</v>
      </c>
      <c r="M1828">
        <v>21</v>
      </c>
      <c r="N1828">
        <v>11</v>
      </c>
      <c r="O1828">
        <v>4</v>
      </c>
      <c r="P1828">
        <v>2024</v>
      </c>
    </row>
    <row r="1829" spans="1:16">
      <c r="A1829">
        <v>487.38</v>
      </c>
      <c r="B1829">
        <v>3</v>
      </c>
      <c r="C1829" t="s">
        <v>1567</v>
      </c>
      <c r="D1829" t="s">
        <v>1568</v>
      </c>
      <c r="E1829" t="s">
        <v>1569</v>
      </c>
      <c r="F1829" t="s">
        <v>322</v>
      </c>
      <c r="G1829" t="s">
        <v>795</v>
      </c>
      <c r="H1829" t="s">
        <v>218</v>
      </c>
      <c r="I1829" t="s">
        <v>97</v>
      </c>
      <c r="J1829">
        <v>162.46</v>
      </c>
      <c r="K1829" s="1">
        <v>46173</v>
      </c>
      <c r="L1829" t="s">
        <v>28</v>
      </c>
      <c r="M1829">
        <v>31</v>
      </c>
      <c r="N1829">
        <v>5</v>
      </c>
      <c r="O1829">
        <v>2</v>
      </c>
      <c r="P1829">
        <v>2026</v>
      </c>
    </row>
    <row r="1830" spans="1:16">
      <c r="A1830">
        <v>90.87</v>
      </c>
      <c r="B1830">
        <v>1</v>
      </c>
      <c r="C1830" t="s">
        <v>3389</v>
      </c>
      <c r="D1830" t="s">
        <v>3390</v>
      </c>
      <c r="E1830" t="s">
        <v>3391</v>
      </c>
      <c r="F1830" t="s">
        <v>794</v>
      </c>
      <c r="G1830" t="s">
        <v>821</v>
      </c>
      <c r="H1830" t="s">
        <v>470</v>
      </c>
      <c r="I1830" t="s">
        <v>39</v>
      </c>
      <c r="J1830">
        <v>90.87</v>
      </c>
      <c r="K1830" s="1">
        <v>45859</v>
      </c>
      <c r="L1830" t="s">
        <v>93</v>
      </c>
      <c r="M1830">
        <v>21</v>
      </c>
      <c r="N1830">
        <v>7</v>
      </c>
      <c r="O1830">
        <v>3</v>
      </c>
      <c r="P1830">
        <v>2025</v>
      </c>
    </row>
    <row r="1831" spans="1:16">
      <c r="A1831">
        <v>293.85000000000002</v>
      </c>
      <c r="B1831">
        <v>5</v>
      </c>
      <c r="C1831" t="s">
        <v>1510</v>
      </c>
      <c r="D1831" t="s">
        <v>1511</v>
      </c>
      <c r="E1831" t="s">
        <v>1512</v>
      </c>
      <c r="F1831" t="s">
        <v>1395</v>
      </c>
      <c r="G1831" t="s">
        <v>776</v>
      </c>
      <c r="H1831" t="s">
        <v>262</v>
      </c>
      <c r="I1831" t="s">
        <v>21</v>
      </c>
      <c r="J1831">
        <v>58.77</v>
      </c>
      <c r="K1831" s="1">
        <v>46107</v>
      </c>
      <c r="L1831" t="s">
        <v>105</v>
      </c>
      <c r="M1831">
        <v>26</v>
      </c>
      <c r="N1831">
        <v>3</v>
      </c>
      <c r="O1831">
        <v>1</v>
      </c>
      <c r="P1831">
        <v>2026</v>
      </c>
    </row>
    <row r="1832" spans="1:16">
      <c r="A1832">
        <v>693.28</v>
      </c>
      <c r="B1832">
        <v>4</v>
      </c>
      <c r="C1832" t="s">
        <v>2589</v>
      </c>
      <c r="D1832" t="s">
        <v>2590</v>
      </c>
      <c r="E1832" t="s">
        <v>1220</v>
      </c>
      <c r="F1832" t="s">
        <v>1434</v>
      </c>
      <c r="G1832" t="s">
        <v>786</v>
      </c>
      <c r="H1832" t="s">
        <v>303</v>
      </c>
      <c r="I1832" t="s">
        <v>19</v>
      </c>
      <c r="J1832">
        <v>173.32</v>
      </c>
      <c r="K1832" s="1">
        <v>45581</v>
      </c>
      <c r="L1832" t="s">
        <v>34</v>
      </c>
      <c r="M1832">
        <v>16</v>
      </c>
      <c r="N1832">
        <v>10</v>
      </c>
      <c r="O1832">
        <v>4</v>
      </c>
      <c r="P1832">
        <v>2024</v>
      </c>
    </row>
    <row r="1833" spans="1:16">
      <c r="A1833">
        <v>969.44</v>
      </c>
      <c r="B1833">
        <v>4</v>
      </c>
      <c r="C1833" t="s">
        <v>2079</v>
      </c>
      <c r="D1833" t="s">
        <v>2080</v>
      </c>
      <c r="E1833" t="s">
        <v>1698</v>
      </c>
      <c r="F1833" t="s">
        <v>1673</v>
      </c>
      <c r="G1833" t="s">
        <v>821</v>
      </c>
      <c r="H1833" t="s">
        <v>115</v>
      </c>
      <c r="I1833" t="s">
        <v>55</v>
      </c>
      <c r="J1833">
        <v>242.36</v>
      </c>
      <c r="K1833" s="1">
        <v>45719</v>
      </c>
      <c r="L1833" t="s">
        <v>93</v>
      </c>
      <c r="M1833">
        <v>3</v>
      </c>
      <c r="N1833">
        <v>3</v>
      </c>
      <c r="O1833">
        <v>1</v>
      </c>
      <c r="P1833">
        <v>2025</v>
      </c>
    </row>
    <row r="1834" spans="1:16">
      <c r="A1834">
        <v>668.88</v>
      </c>
      <c r="B1834">
        <v>3</v>
      </c>
      <c r="C1834" t="s">
        <v>2680</v>
      </c>
      <c r="D1834" t="s">
        <v>2681</v>
      </c>
      <c r="E1834" t="s">
        <v>1260</v>
      </c>
      <c r="F1834" t="s">
        <v>825</v>
      </c>
      <c r="G1834" t="s">
        <v>781</v>
      </c>
      <c r="H1834" t="s">
        <v>715</v>
      </c>
      <c r="I1834" t="s">
        <v>55</v>
      </c>
      <c r="J1834">
        <v>222.96</v>
      </c>
      <c r="K1834" s="1">
        <v>46069</v>
      </c>
      <c r="L1834" t="s">
        <v>93</v>
      </c>
      <c r="M1834">
        <v>16</v>
      </c>
      <c r="N1834">
        <v>2</v>
      </c>
      <c r="O1834">
        <v>1</v>
      </c>
      <c r="P1834">
        <v>2026</v>
      </c>
    </row>
    <row r="1835" spans="1:16">
      <c r="A1835">
        <v>947.8</v>
      </c>
      <c r="B1835">
        <v>4</v>
      </c>
      <c r="C1835" t="s">
        <v>1407</v>
      </c>
      <c r="D1835" t="s">
        <v>1408</v>
      </c>
      <c r="E1835" t="s">
        <v>1409</v>
      </c>
      <c r="F1835" t="s">
        <v>1410</v>
      </c>
      <c r="G1835" t="s">
        <v>812</v>
      </c>
      <c r="H1835" t="s">
        <v>50</v>
      </c>
      <c r="I1835" t="s">
        <v>51</v>
      </c>
      <c r="J1835">
        <v>236.95</v>
      </c>
      <c r="K1835" s="1">
        <v>46002</v>
      </c>
      <c r="L1835" t="s">
        <v>105</v>
      </c>
      <c r="M1835">
        <v>11</v>
      </c>
      <c r="N1835">
        <v>12</v>
      </c>
      <c r="O1835">
        <v>4</v>
      </c>
      <c r="P1835">
        <v>2025</v>
      </c>
    </row>
    <row r="1836" spans="1:16">
      <c r="A1836">
        <v>115.27</v>
      </c>
      <c r="B1836">
        <v>1</v>
      </c>
      <c r="C1836" t="s">
        <v>2595</v>
      </c>
      <c r="D1836" t="s">
        <v>2596</v>
      </c>
      <c r="E1836" t="s">
        <v>1556</v>
      </c>
      <c r="F1836" t="s">
        <v>1199</v>
      </c>
      <c r="G1836" t="s">
        <v>839</v>
      </c>
      <c r="H1836" t="s">
        <v>198</v>
      </c>
      <c r="I1836" t="s">
        <v>43</v>
      </c>
      <c r="J1836">
        <v>115.27</v>
      </c>
      <c r="K1836" s="1">
        <v>45850</v>
      </c>
      <c r="L1836" t="s">
        <v>14</v>
      </c>
      <c r="M1836">
        <v>12</v>
      </c>
      <c r="N1836">
        <v>7</v>
      </c>
      <c r="O1836">
        <v>3</v>
      </c>
      <c r="P1836">
        <v>2025</v>
      </c>
    </row>
    <row r="1837" spans="1:16">
      <c r="A1837">
        <v>219.26</v>
      </c>
      <c r="B1837">
        <v>1</v>
      </c>
      <c r="C1837" t="s">
        <v>2932</v>
      </c>
      <c r="D1837" t="s">
        <v>2933</v>
      </c>
      <c r="E1837" t="s">
        <v>2538</v>
      </c>
      <c r="F1837" t="s">
        <v>113</v>
      </c>
      <c r="G1837" t="s">
        <v>854</v>
      </c>
      <c r="H1837" t="s">
        <v>162</v>
      </c>
      <c r="I1837" t="s">
        <v>51</v>
      </c>
      <c r="J1837">
        <v>219.26</v>
      </c>
      <c r="K1837" s="1">
        <v>45966</v>
      </c>
      <c r="L1837" t="s">
        <v>34</v>
      </c>
      <c r="M1837">
        <v>5</v>
      </c>
      <c r="N1837">
        <v>11</v>
      </c>
      <c r="O1837">
        <v>4</v>
      </c>
      <c r="P1837">
        <v>2025</v>
      </c>
    </row>
    <row r="1838" spans="1:16">
      <c r="A1838">
        <v>861.8</v>
      </c>
      <c r="B1838">
        <v>4</v>
      </c>
      <c r="C1838" t="s">
        <v>2094</v>
      </c>
      <c r="D1838" t="s">
        <v>2095</v>
      </c>
      <c r="E1838" t="s">
        <v>1038</v>
      </c>
      <c r="F1838" t="s">
        <v>1107</v>
      </c>
      <c r="G1838" t="s">
        <v>892</v>
      </c>
      <c r="H1838" t="s">
        <v>395</v>
      </c>
      <c r="I1838" t="s">
        <v>19</v>
      </c>
      <c r="J1838">
        <v>215.45</v>
      </c>
      <c r="K1838" s="1">
        <v>45790</v>
      </c>
      <c r="L1838" t="s">
        <v>48</v>
      </c>
      <c r="M1838">
        <v>13</v>
      </c>
      <c r="N1838">
        <v>5</v>
      </c>
      <c r="O1838">
        <v>2</v>
      </c>
      <c r="P1838">
        <v>2025</v>
      </c>
    </row>
    <row r="1839" spans="1:16">
      <c r="A1839">
        <v>468.06</v>
      </c>
      <c r="B1839">
        <v>2</v>
      </c>
      <c r="C1839" t="s">
        <v>1203</v>
      </c>
      <c r="D1839" t="s">
        <v>1204</v>
      </c>
      <c r="E1839" t="s">
        <v>1205</v>
      </c>
      <c r="F1839" t="s">
        <v>1206</v>
      </c>
      <c r="G1839" t="s">
        <v>943</v>
      </c>
      <c r="H1839" t="s">
        <v>215</v>
      </c>
      <c r="I1839" t="s">
        <v>51</v>
      </c>
      <c r="J1839">
        <v>234.03</v>
      </c>
      <c r="K1839" s="1">
        <v>45581</v>
      </c>
      <c r="L1839" t="s">
        <v>34</v>
      </c>
      <c r="M1839">
        <v>16</v>
      </c>
      <c r="N1839">
        <v>10</v>
      </c>
      <c r="O1839">
        <v>4</v>
      </c>
      <c r="P1839">
        <v>2024</v>
      </c>
    </row>
    <row r="1840" spans="1:16">
      <c r="A1840">
        <v>67.56</v>
      </c>
      <c r="B1840">
        <v>2</v>
      </c>
      <c r="C1840" t="s">
        <v>2995</v>
      </c>
      <c r="D1840" t="s">
        <v>2996</v>
      </c>
      <c r="E1840" t="s">
        <v>2108</v>
      </c>
      <c r="F1840" t="s">
        <v>1039</v>
      </c>
      <c r="G1840" t="s">
        <v>758</v>
      </c>
      <c r="H1840" t="s">
        <v>625</v>
      </c>
      <c r="I1840" t="s">
        <v>43</v>
      </c>
      <c r="J1840">
        <v>33.78</v>
      </c>
      <c r="K1840" s="1">
        <v>45786</v>
      </c>
      <c r="L1840" t="s">
        <v>79</v>
      </c>
      <c r="M1840">
        <v>9</v>
      </c>
      <c r="N1840">
        <v>5</v>
      </c>
      <c r="O1840">
        <v>2</v>
      </c>
      <c r="P1840">
        <v>2025</v>
      </c>
    </row>
    <row r="1841" spans="1:16">
      <c r="A1841">
        <v>247.04999999999998</v>
      </c>
      <c r="B1841">
        <v>5</v>
      </c>
      <c r="C1841" t="s">
        <v>1982</v>
      </c>
      <c r="D1841" t="s">
        <v>1983</v>
      </c>
      <c r="E1841" t="s">
        <v>1429</v>
      </c>
      <c r="F1841" t="s">
        <v>1984</v>
      </c>
      <c r="G1841" t="s">
        <v>768</v>
      </c>
      <c r="H1841" t="s">
        <v>144</v>
      </c>
      <c r="I1841" t="s">
        <v>97</v>
      </c>
      <c r="J1841">
        <v>49.41</v>
      </c>
      <c r="K1841" s="1">
        <v>45741</v>
      </c>
      <c r="L1841" t="s">
        <v>48</v>
      </c>
      <c r="M1841">
        <v>25</v>
      </c>
      <c r="N1841">
        <v>3</v>
      </c>
      <c r="O1841">
        <v>1</v>
      </c>
      <c r="P1841">
        <v>2025</v>
      </c>
    </row>
    <row r="1842" spans="1:16">
      <c r="A1842">
        <v>343.62</v>
      </c>
      <c r="B1842">
        <v>2</v>
      </c>
      <c r="C1842" t="s">
        <v>1522</v>
      </c>
      <c r="D1842" t="s">
        <v>1523</v>
      </c>
      <c r="E1842" t="s">
        <v>1524</v>
      </c>
      <c r="F1842" t="s">
        <v>1525</v>
      </c>
      <c r="G1842" t="s">
        <v>763</v>
      </c>
      <c r="H1842" t="s">
        <v>129</v>
      </c>
      <c r="I1842" t="s">
        <v>25</v>
      </c>
      <c r="J1842">
        <v>171.81</v>
      </c>
      <c r="K1842" s="1">
        <v>45737</v>
      </c>
      <c r="L1842" t="s">
        <v>79</v>
      </c>
      <c r="M1842">
        <v>21</v>
      </c>
      <c r="N1842">
        <v>3</v>
      </c>
      <c r="O1842">
        <v>1</v>
      </c>
      <c r="P1842">
        <v>2025</v>
      </c>
    </row>
    <row r="1843" spans="1:16">
      <c r="A1843">
        <v>227.22</v>
      </c>
      <c r="B1843">
        <v>1</v>
      </c>
      <c r="C1843" t="s">
        <v>2131</v>
      </c>
      <c r="D1843" t="s">
        <v>2132</v>
      </c>
      <c r="E1843" t="s">
        <v>2133</v>
      </c>
      <c r="F1843" t="s">
        <v>929</v>
      </c>
      <c r="G1843" t="s">
        <v>830</v>
      </c>
      <c r="H1843" t="s">
        <v>1314</v>
      </c>
      <c r="I1843" t="s">
        <v>55</v>
      </c>
      <c r="J1843">
        <v>227.22</v>
      </c>
      <c r="K1843" s="1">
        <v>45815</v>
      </c>
      <c r="L1843" t="s">
        <v>14</v>
      </c>
      <c r="M1843">
        <v>7</v>
      </c>
      <c r="N1843">
        <v>6</v>
      </c>
      <c r="O1843">
        <v>2</v>
      </c>
      <c r="P1843">
        <v>2025</v>
      </c>
    </row>
    <row r="1844" spans="1:16">
      <c r="A1844">
        <v>1151.3500000000001</v>
      </c>
      <c r="B1844">
        <v>5</v>
      </c>
      <c r="C1844" t="s">
        <v>1898</v>
      </c>
      <c r="D1844" t="s">
        <v>1899</v>
      </c>
      <c r="E1844" t="s">
        <v>824</v>
      </c>
      <c r="F1844" t="s">
        <v>762</v>
      </c>
      <c r="G1844" t="s">
        <v>763</v>
      </c>
      <c r="H1844" t="s">
        <v>200</v>
      </c>
      <c r="I1844" t="s">
        <v>17</v>
      </c>
      <c r="J1844">
        <v>230.27</v>
      </c>
      <c r="K1844" s="1">
        <v>45573</v>
      </c>
      <c r="L1844" t="s">
        <v>48</v>
      </c>
      <c r="M1844">
        <v>8</v>
      </c>
      <c r="N1844">
        <v>10</v>
      </c>
      <c r="O1844">
        <v>4</v>
      </c>
      <c r="P1844">
        <v>2024</v>
      </c>
    </row>
    <row r="1845" spans="1:16">
      <c r="A1845">
        <v>312.82</v>
      </c>
      <c r="B1845">
        <v>2</v>
      </c>
      <c r="C1845" t="s">
        <v>1914</v>
      </c>
      <c r="D1845" t="s">
        <v>1915</v>
      </c>
      <c r="E1845" t="s">
        <v>976</v>
      </c>
      <c r="F1845" t="s">
        <v>1199</v>
      </c>
      <c r="G1845" t="s">
        <v>839</v>
      </c>
      <c r="H1845" t="s">
        <v>238</v>
      </c>
      <c r="I1845" t="s">
        <v>97</v>
      </c>
      <c r="J1845">
        <v>156.41</v>
      </c>
      <c r="K1845" s="1">
        <v>46027</v>
      </c>
      <c r="L1845" t="s">
        <v>93</v>
      </c>
      <c r="M1845">
        <v>5</v>
      </c>
      <c r="N1845">
        <v>1</v>
      </c>
      <c r="O1845">
        <v>1</v>
      </c>
      <c r="P1845">
        <v>2026</v>
      </c>
    </row>
    <row r="1846" spans="1:16">
      <c r="A1846">
        <v>715.59</v>
      </c>
      <c r="B1846">
        <v>3</v>
      </c>
      <c r="C1846" t="s">
        <v>1583</v>
      </c>
      <c r="D1846" t="s">
        <v>1584</v>
      </c>
      <c r="E1846" t="s">
        <v>1585</v>
      </c>
      <c r="F1846" t="s">
        <v>113</v>
      </c>
      <c r="G1846" t="s">
        <v>1247</v>
      </c>
      <c r="H1846" t="s">
        <v>660</v>
      </c>
      <c r="I1846" t="s">
        <v>25</v>
      </c>
      <c r="J1846">
        <v>238.53</v>
      </c>
      <c r="K1846" s="1">
        <v>45870</v>
      </c>
      <c r="L1846" t="s">
        <v>79</v>
      </c>
      <c r="M1846">
        <v>1</v>
      </c>
      <c r="N1846">
        <v>8</v>
      </c>
      <c r="O1846">
        <v>3</v>
      </c>
      <c r="P1846">
        <v>2025</v>
      </c>
    </row>
    <row r="1847" spans="1:16">
      <c r="A1847">
        <v>606.1</v>
      </c>
      <c r="B1847">
        <v>5</v>
      </c>
      <c r="C1847" t="s">
        <v>1530</v>
      </c>
      <c r="D1847" t="s">
        <v>1902</v>
      </c>
      <c r="E1847" t="s">
        <v>1903</v>
      </c>
      <c r="F1847" t="s">
        <v>49</v>
      </c>
      <c r="G1847" t="s">
        <v>892</v>
      </c>
      <c r="H1847" t="s">
        <v>47</v>
      </c>
      <c r="I1847" t="s">
        <v>46</v>
      </c>
      <c r="J1847">
        <v>121.22</v>
      </c>
      <c r="K1847" s="1">
        <v>46116</v>
      </c>
      <c r="L1847" t="s">
        <v>14</v>
      </c>
      <c r="M1847">
        <v>4</v>
      </c>
      <c r="N1847">
        <v>4</v>
      </c>
      <c r="O1847">
        <v>2</v>
      </c>
      <c r="P1847">
        <v>2026</v>
      </c>
    </row>
    <row r="1848" spans="1:16">
      <c r="A1848">
        <v>467.12</v>
      </c>
      <c r="B1848">
        <v>2</v>
      </c>
      <c r="C1848" t="s">
        <v>3214</v>
      </c>
      <c r="D1848" t="s">
        <v>3215</v>
      </c>
      <c r="E1848" t="s">
        <v>1182</v>
      </c>
      <c r="F1848" t="s">
        <v>29</v>
      </c>
      <c r="G1848" t="s">
        <v>763</v>
      </c>
      <c r="H1848" t="s">
        <v>247</v>
      </c>
      <c r="I1848" t="s">
        <v>55</v>
      </c>
      <c r="J1848">
        <v>233.56</v>
      </c>
      <c r="K1848" s="1">
        <v>45737</v>
      </c>
      <c r="L1848" t="s">
        <v>79</v>
      </c>
      <c r="M1848">
        <v>21</v>
      </c>
      <c r="N1848">
        <v>3</v>
      </c>
      <c r="O1848">
        <v>1</v>
      </c>
      <c r="P1848">
        <v>2025</v>
      </c>
    </row>
    <row r="1849" spans="1:16">
      <c r="A1849">
        <v>450.15</v>
      </c>
      <c r="B1849">
        <v>5</v>
      </c>
      <c r="C1849" t="s">
        <v>3290</v>
      </c>
      <c r="D1849" t="s">
        <v>3291</v>
      </c>
      <c r="E1849" t="s">
        <v>1965</v>
      </c>
      <c r="F1849" t="s">
        <v>1533</v>
      </c>
      <c r="G1849" t="s">
        <v>781</v>
      </c>
      <c r="H1849" t="s">
        <v>442</v>
      </c>
      <c r="I1849" t="s">
        <v>100</v>
      </c>
      <c r="J1849">
        <v>90.03</v>
      </c>
      <c r="K1849" s="1">
        <v>45790</v>
      </c>
      <c r="L1849" t="s">
        <v>48</v>
      </c>
      <c r="M1849">
        <v>13</v>
      </c>
      <c r="N1849">
        <v>5</v>
      </c>
      <c r="O1849">
        <v>2</v>
      </c>
      <c r="P1849">
        <v>2025</v>
      </c>
    </row>
    <row r="1850" spans="1:16">
      <c r="A1850">
        <v>31.24</v>
      </c>
      <c r="B1850">
        <v>2</v>
      </c>
      <c r="C1850" t="s">
        <v>3429</v>
      </c>
      <c r="D1850" t="s">
        <v>3430</v>
      </c>
      <c r="E1850" t="s">
        <v>2615</v>
      </c>
      <c r="F1850" t="s">
        <v>780</v>
      </c>
      <c r="G1850" t="s">
        <v>781</v>
      </c>
      <c r="H1850" t="s">
        <v>248</v>
      </c>
      <c r="I1850" t="s">
        <v>100</v>
      </c>
      <c r="J1850">
        <v>15.62</v>
      </c>
      <c r="K1850" s="1">
        <v>45679</v>
      </c>
      <c r="L1850" t="s">
        <v>34</v>
      </c>
      <c r="M1850">
        <v>22</v>
      </c>
      <c r="N1850">
        <v>1</v>
      </c>
      <c r="O1850">
        <v>1</v>
      </c>
      <c r="P1850">
        <v>2025</v>
      </c>
    </row>
    <row r="1851" spans="1:16">
      <c r="A1851">
        <v>67.44</v>
      </c>
      <c r="B1851">
        <v>3</v>
      </c>
      <c r="C1851" t="s">
        <v>1229</v>
      </c>
      <c r="D1851" t="s">
        <v>1230</v>
      </c>
      <c r="E1851" t="s">
        <v>1231</v>
      </c>
      <c r="F1851" t="s">
        <v>1232</v>
      </c>
      <c r="G1851" t="s">
        <v>817</v>
      </c>
      <c r="H1851" t="s">
        <v>41</v>
      </c>
      <c r="I1851" t="s">
        <v>39</v>
      </c>
      <c r="J1851">
        <v>22.48</v>
      </c>
      <c r="K1851" s="1">
        <v>46076</v>
      </c>
      <c r="L1851" t="s">
        <v>93</v>
      </c>
      <c r="M1851">
        <v>23</v>
      </c>
      <c r="N1851">
        <v>2</v>
      </c>
      <c r="O1851">
        <v>1</v>
      </c>
      <c r="P1851">
        <v>2026</v>
      </c>
    </row>
    <row r="1852" spans="1:16">
      <c r="A1852">
        <v>37.94</v>
      </c>
      <c r="B1852">
        <v>1</v>
      </c>
      <c r="C1852" t="s">
        <v>3163</v>
      </c>
      <c r="D1852" t="s">
        <v>3164</v>
      </c>
      <c r="E1852" t="s">
        <v>2530</v>
      </c>
      <c r="F1852" t="s">
        <v>879</v>
      </c>
      <c r="G1852" t="s">
        <v>748</v>
      </c>
      <c r="H1852" t="s">
        <v>73</v>
      </c>
      <c r="I1852" t="s">
        <v>39</v>
      </c>
      <c r="J1852">
        <v>37.94</v>
      </c>
      <c r="K1852" s="1">
        <v>45691</v>
      </c>
      <c r="L1852" t="s">
        <v>93</v>
      </c>
      <c r="M1852">
        <v>3</v>
      </c>
      <c r="N1852">
        <v>2</v>
      </c>
      <c r="O1852">
        <v>1</v>
      </c>
      <c r="P1852">
        <v>2025</v>
      </c>
    </row>
    <row r="1853" spans="1:16">
      <c r="A1853">
        <v>349.92</v>
      </c>
      <c r="B1853">
        <v>4</v>
      </c>
      <c r="C1853" t="s">
        <v>1079</v>
      </c>
      <c r="D1853" t="s">
        <v>1080</v>
      </c>
      <c r="E1853" t="s">
        <v>1081</v>
      </c>
      <c r="F1853" t="s">
        <v>772</v>
      </c>
      <c r="G1853" t="s">
        <v>758</v>
      </c>
      <c r="H1853" t="s">
        <v>604</v>
      </c>
      <c r="I1853" t="s">
        <v>69</v>
      </c>
      <c r="J1853">
        <v>87.48</v>
      </c>
      <c r="K1853" s="1">
        <v>45834</v>
      </c>
      <c r="L1853" t="s">
        <v>105</v>
      </c>
      <c r="M1853">
        <v>26</v>
      </c>
      <c r="N1853">
        <v>6</v>
      </c>
      <c r="O1853">
        <v>2</v>
      </c>
      <c r="P1853">
        <v>2025</v>
      </c>
    </row>
    <row r="1854" spans="1:16">
      <c r="A1854">
        <v>386.15999999999997</v>
      </c>
      <c r="B1854">
        <v>3</v>
      </c>
      <c r="C1854" t="s">
        <v>1663</v>
      </c>
      <c r="D1854" t="s">
        <v>1664</v>
      </c>
      <c r="E1854" t="s">
        <v>1665</v>
      </c>
      <c r="F1854" t="s">
        <v>1666</v>
      </c>
      <c r="G1854" t="s">
        <v>830</v>
      </c>
      <c r="H1854" t="s">
        <v>693</v>
      </c>
      <c r="I1854" t="s">
        <v>46</v>
      </c>
      <c r="J1854">
        <v>128.72</v>
      </c>
      <c r="K1854" s="1">
        <v>45735</v>
      </c>
      <c r="L1854" t="s">
        <v>34</v>
      </c>
      <c r="M1854">
        <v>19</v>
      </c>
      <c r="N1854">
        <v>3</v>
      </c>
      <c r="O1854">
        <v>1</v>
      </c>
      <c r="P1854">
        <v>2025</v>
      </c>
    </row>
    <row r="1855" spans="1:16">
      <c r="A1855">
        <v>532.65</v>
      </c>
      <c r="B1855">
        <v>5</v>
      </c>
      <c r="C1855" t="s">
        <v>2322</v>
      </c>
      <c r="D1855" t="s">
        <v>2323</v>
      </c>
      <c r="E1855" t="s">
        <v>2324</v>
      </c>
      <c r="F1855" t="s">
        <v>862</v>
      </c>
      <c r="G1855" t="s">
        <v>981</v>
      </c>
      <c r="H1855" t="s">
        <v>377</v>
      </c>
      <c r="I1855" t="s">
        <v>27</v>
      </c>
      <c r="J1855">
        <v>106.53</v>
      </c>
      <c r="K1855" s="1">
        <v>45782</v>
      </c>
      <c r="L1855" t="s">
        <v>93</v>
      </c>
      <c r="M1855">
        <v>5</v>
      </c>
      <c r="N1855">
        <v>5</v>
      </c>
      <c r="O1855">
        <v>2</v>
      </c>
      <c r="P1855">
        <v>2025</v>
      </c>
    </row>
    <row r="1856" spans="1:16">
      <c r="A1856">
        <v>152.72999999999999</v>
      </c>
      <c r="B1856">
        <v>3</v>
      </c>
      <c r="C1856" t="s">
        <v>2717</v>
      </c>
      <c r="D1856" t="s">
        <v>2718</v>
      </c>
      <c r="E1856" t="s">
        <v>941</v>
      </c>
      <c r="F1856" t="s">
        <v>1434</v>
      </c>
      <c r="G1856" t="s">
        <v>786</v>
      </c>
      <c r="H1856" t="s">
        <v>197</v>
      </c>
      <c r="I1856" t="s">
        <v>19</v>
      </c>
      <c r="J1856">
        <v>50.91</v>
      </c>
      <c r="K1856" s="1">
        <v>45622</v>
      </c>
      <c r="L1856" t="s">
        <v>48</v>
      </c>
      <c r="M1856">
        <v>26</v>
      </c>
      <c r="N1856">
        <v>11</v>
      </c>
      <c r="O1856">
        <v>4</v>
      </c>
      <c r="P1856">
        <v>2024</v>
      </c>
    </row>
    <row r="1857" spans="1:16">
      <c r="A1857">
        <v>141.08000000000001</v>
      </c>
      <c r="B1857">
        <v>4</v>
      </c>
      <c r="C1857" t="s">
        <v>1396</v>
      </c>
      <c r="D1857" t="s">
        <v>1397</v>
      </c>
      <c r="E1857" t="s">
        <v>1398</v>
      </c>
      <c r="F1857" t="s">
        <v>903</v>
      </c>
      <c r="G1857" t="s">
        <v>786</v>
      </c>
      <c r="H1857" t="s">
        <v>33</v>
      </c>
      <c r="I1857" t="s">
        <v>19</v>
      </c>
      <c r="J1857">
        <v>35.270000000000003</v>
      </c>
      <c r="K1857" s="1">
        <v>46149</v>
      </c>
      <c r="L1857" t="s">
        <v>105</v>
      </c>
      <c r="M1857">
        <v>7</v>
      </c>
      <c r="N1857">
        <v>5</v>
      </c>
      <c r="O1857">
        <v>2</v>
      </c>
      <c r="P1857">
        <v>2026</v>
      </c>
    </row>
    <row r="1858" spans="1:16">
      <c r="A1858">
        <v>11.82</v>
      </c>
      <c r="B1858">
        <v>2</v>
      </c>
      <c r="C1858" t="s">
        <v>3030</v>
      </c>
      <c r="D1858" t="s">
        <v>3031</v>
      </c>
      <c r="E1858" t="s">
        <v>2341</v>
      </c>
      <c r="F1858" t="s">
        <v>1092</v>
      </c>
      <c r="G1858" t="s">
        <v>763</v>
      </c>
      <c r="H1858" t="s">
        <v>590</v>
      </c>
      <c r="I1858" t="s">
        <v>51</v>
      </c>
      <c r="J1858">
        <v>5.91</v>
      </c>
      <c r="K1858" s="1">
        <v>45826</v>
      </c>
      <c r="L1858" t="s">
        <v>34</v>
      </c>
      <c r="M1858">
        <v>18</v>
      </c>
      <c r="N1858">
        <v>6</v>
      </c>
      <c r="O1858">
        <v>2</v>
      </c>
      <c r="P1858">
        <v>2025</v>
      </c>
    </row>
    <row r="1859" spans="1:16">
      <c r="A1859">
        <v>50.91</v>
      </c>
      <c r="B1859">
        <v>1</v>
      </c>
      <c r="C1859" t="s">
        <v>2053</v>
      </c>
      <c r="D1859" t="s">
        <v>2054</v>
      </c>
      <c r="E1859" t="s">
        <v>1140</v>
      </c>
      <c r="F1859" t="s">
        <v>1540</v>
      </c>
      <c r="G1859" t="s">
        <v>768</v>
      </c>
      <c r="H1859" t="s">
        <v>197</v>
      </c>
      <c r="I1859" t="s">
        <v>19</v>
      </c>
      <c r="J1859">
        <v>50.91</v>
      </c>
      <c r="K1859" s="1">
        <v>46226</v>
      </c>
      <c r="L1859" t="s">
        <v>105</v>
      </c>
      <c r="M1859">
        <v>23</v>
      </c>
      <c r="N1859">
        <v>7</v>
      </c>
      <c r="O1859">
        <v>3</v>
      </c>
      <c r="P1859">
        <v>2026</v>
      </c>
    </row>
    <row r="1860" spans="1:16">
      <c r="A1860">
        <v>123.48</v>
      </c>
      <c r="B1860">
        <v>1</v>
      </c>
      <c r="C1860" t="s">
        <v>3030</v>
      </c>
      <c r="D1860" t="s">
        <v>3031</v>
      </c>
      <c r="E1860" t="s">
        <v>2341</v>
      </c>
      <c r="F1860" t="s">
        <v>1092</v>
      </c>
      <c r="G1860" t="s">
        <v>763</v>
      </c>
      <c r="H1860" t="s">
        <v>575</v>
      </c>
      <c r="I1860" t="s">
        <v>37</v>
      </c>
      <c r="J1860">
        <v>123.48</v>
      </c>
      <c r="K1860" s="1">
        <v>46044</v>
      </c>
      <c r="L1860" t="s">
        <v>105</v>
      </c>
      <c r="M1860">
        <v>22</v>
      </c>
      <c r="N1860">
        <v>1</v>
      </c>
      <c r="O1860">
        <v>1</v>
      </c>
      <c r="P1860">
        <v>2026</v>
      </c>
    </row>
    <row r="1861" spans="1:16">
      <c r="A1861">
        <v>102.09</v>
      </c>
      <c r="B1861">
        <v>3</v>
      </c>
      <c r="C1861" t="s">
        <v>2861</v>
      </c>
      <c r="D1861" t="s">
        <v>2862</v>
      </c>
      <c r="E1861" t="s">
        <v>1642</v>
      </c>
      <c r="F1861" t="s">
        <v>2468</v>
      </c>
      <c r="G1861" t="s">
        <v>763</v>
      </c>
      <c r="H1861" t="s">
        <v>678</v>
      </c>
      <c r="I1861" t="s">
        <v>100</v>
      </c>
      <c r="J1861">
        <v>34.03</v>
      </c>
      <c r="K1861" s="1">
        <v>46046</v>
      </c>
      <c r="L1861" t="s">
        <v>14</v>
      </c>
      <c r="M1861">
        <v>24</v>
      </c>
      <c r="N1861">
        <v>1</v>
      </c>
      <c r="O1861">
        <v>1</v>
      </c>
      <c r="P1861">
        <v>2026</v>
      </c>
    </row>
    <row r="1862" spans="1:16">
      <c r="A1862">
        <v>550.74</v>
      </c>
      <c r="B1862">
        <v>3</v>
      </c>
      <c r="C1862" t="s">
        <v>1898</v>
      </c>
      <c r="D1862" t="s">
        <v>1899</v>
      </c>
      <c r="E1862" t="s">
        <v>824</v>
      </c>
      <c r="F1862" t="s">
        <v>762</v>
      </c>
      <c r="G1862" t="s">
        <v>763</v>
      </c>
      <c r="H1862" t="s">
        <v>641</v>
      </c>
      <c r="I1862" t="s">
        <v>46</v>
      </c>
      <c r="J1862">
        <v>183.58</v>
      </c>
      <c r="K1862" s="1">
        <v>45830</v>
      </c>
      <c r="L1862" t="s">
        <v>28</v>
      </c>
      <c r="M1862">
        <v>22</v>
      </c>
      <c r="N1862">
        <v>6</v>
      </c>
      <c r="O1862">
        <v>2</v>
      </c>
      <c r="P1862">
        <v>2025</v>
      </c>
    </row>
    <row r="1863" spans="1:16">
      <c r="A1863">
        <v>70.41</v>
      </c>
      <c r="B1863">
        <v>3</v>
      </c>
      <c r="C1863" t="s">
        <v>1723</v>
      </c>
      <c r="D1863" t="s">
        <v>1724</v>
      </c>
      <c r="E1863" t="s">
        <v>1725</v>
      </c>
      <c r="F1863" t="s">
        <v>915</v>
      </c>
      <c r="G1863" t="s">
        <v>908</v>
      </c>
      <c r="H1863" t="s">
        <v>492</v>
      </c>
      <c r="I1863" t="s">
        <v>21</v>
      </c>
      <c r="J1863">
        <v>23.47</v>
      </c>
      <c r="K1863" s="1">
        <v>46170</v>
      </c>
      <c r="L1863" t="s">
        <v>105</v>
      </c>
      <c r="M1863">
        <v>28</v>
      </c>
      <c r="N1863">
        <v>5</v>
      </c>
      <c r="O1863">
        <v>2</v>
      </c>
      <c r="P1863">
        <v>2026</v>
      </c>
    </row>
    <row r="1864" spans="1:16">
      <c r="A1864">
        <v>1041.8000000000002</v>
      </c>
      <c r="B1864">
        <v>5</v>
      </c>
      <c r="C1864" t="s">
        <v>3205</v>
      </c>
      <c r="D1864" t="s">
        <v>3206</v>
      </c>
      <c r="E1864" t="s">
        <v>1192</v>
      </c>
      <c r="F1864" t="s">
        <v>1206</v>
      </c>
      <c r="G1864" t="s">
        <v>943</v>
      </c>
      <c r="H1864" t="s">
        <v>545</v>
      </c>
      <c r="I1864" t="s">
        <v>60</v>
      </c>
      <c r="J1864">
        <v>208.36</v>
      </c>
      <c r="K1864" s="1">
        <v>46011</v>
      </c>
      <c r="L1864" t="s">
        <v>14</v>
      </c>
      <c r="M1864">
        <v>20</v>
      </c>
      <c r="N1864">
        <v>12</v>
      </c>
      <c r="O1864">
        <v>4</v>
      </c>
      <c r="P1864">
        <v>2025</v>
      </c>
    </row>
    <row r="1865" spans="1:16">
      <c r="A1865">
        <v>728.43000000000006</v>
      </c>
      <c r="B1865">
        <v>3</v>
      </c>
      <c r="C1865" t="s">
        <v>1819</v>
      </c>
      <c r="D1865" t="s">
        <v>1820</v>
      </c>
      <c r="E1865" t="s">
        <v>1821</v>
      </c>
      <c r="F1865" t="s">
        <v>1199</v>
      </c>
      <c r="G1865" t="s">
        <v>839</v>
      </c>
      <c r="H1865" t="s">
        <v>329</v>
      </c>
      <c r="I1865" t="s">
        <v>82</v>
      </c>
      <c r="J1865">
        <v>242.81</v>
      </c>
      <c r="K1865" s="1">
        <v>46041</v>
      </c>
      <c r="L1865" t="s">
        <v>93</v>
      </c>
      <c r="M1865">
        <v>19</v>
      </c>
      <c r="N1865">
        <v>1</v>
      </c>
      <c r="O1865">
        <v>1</v>
      </c>
      <c r="P1865">
        <v>2026</v>
      </c>
    </row>
    <row r="1866" spans="1:16">
      <c r="A1866">
        <v>105.39999999999999</v>
      </c>
      <c r="B1866">
        <v>5</v>
      </c>
      <c r="C1866" t="s">
        <v>3104</v>
      </c>
      <c r="D1866" t="s">
        <v>3105</v>
      </c>
      <c r="E1866" t="s">
        <v>1791</v>
      </c>
      <c r="F1866" t="s">
        <v>1342</v>
      </c>
      <c r="G1866" t="s">
        <v>776</v>
      </c>
      <c r="H1866" t="s">
        <v>223</v>
      </c>
      <c r="I1866" t="s">
        <v>19</v>
      </c>
      <c r="J1866">
        <v>21.08</v>
      </c>
      <c r="K1866" s="1">
        <v>45801</v>
      </c>
      <c r="L1866" t="s">
        <v>14</v>
      </c>
      <c r="M1866">
        <v>24</v>
      </c>
      <c r="N1866">
        <v>5</v>
      </c>
      <c r="O1866">
        <v>2</v>
      </c>
      <c r="P1866">
        <v>2025</v>
      </c>
    </row>
    <row r="1867" spans="1:16">
      <c r="A1867">
        <v>459.7</v>
      </c>
      <c r="B1867">
        <v>2</v>
      </c>
      <c r="C1867" t="s">
        <v>1346</v>
      </c>
      <c r="D1867" t="s">
        <v>1347</v>
      </c>
      <c r="E1867" t="s">
        <v>1348</v>
      </c>
      <c r="F1867" t="s">
        <v>548</v>
      </c>
      <c r="G1867" t="s">
        <v>790</v>
      </c>
      <c r="H1867" t="s">
        <v>63</v>
      </c>
      <c r="I1867" t="s">
        <v>25</v>
      </c>
      <c r="J1867">
        <v>229.85</v>
      </c>
      <c r="K1867" s="1">
        <v>45589</v>
      </c>
      <c r="L1867" t="s">
        <v>105</v>
      </c>
      <c r="M1867">
        <v>24</v>
      </c>
      <c r="N1867">
        <v>10</v>
      </c>
      <c r="O1867">
        <v>4</v>
      </c>
      <c r="P1867">
        <v>2024</v>
      </c>
    </row>
    <row r="1868" spans="1:16">
      <c r="A1868">
        <v>371.34</v>
      </c>
      <c r="B1868">
        <v>2</v>
      </c>
      <c r="C1868" t="s">
        <v>1299</v>
      </c>
      <c r="D1868" t="s">
        <v>3250</v>
      </c>
      <c r="E1868" t="s">
        <v>1010</v>
      </c>
      <c r="F1868" t="s">
        <v>862</v>
      </c>
      <c r="G1868" t="s">
        <v>758</v>
      </c>
      <c r="H1868" t="s">
        <v>720</v>
      </c>
      <c r="I1868" t="s">
        <v>100</v>
      </c>
      <c r="J1868">
        <v>185.67</v>
      </c>
      <c r="K1868" s="1">
        <v>45670</v>
      </c>
      <c r="L1868" t="s">
        <v>93</v>
      </c>
      <c r="M1868">
        <v>13</v>
      </c>
      <c r="N1868">
        <v>1</v>
      </c>
      <c r="O1868">
        <v>1</v>
      </c>
      <c r="P1868">
        <v>2025</v>
      </c>
    </row>
    <row r="1869" spans="1:16">
      <c r="A1869">
        <v>1122.95</v>
      </c>
      <c r="B1869">
        <v>5</v>
      </c>
      <c r="C1869" t="s">
        <v>2309</v>
      </c>
      <c r="D1869" t="s">
        <v>2310</v>
      </c>
      <c r="E1869" t="s">
        <v>1660</v>
      </c>
      <c r="F1869" t="s">
        <v>1421</v>
      </c>
      <c r="G1869" t="s">
        <v>776</v>
      </c>
      <c r="H1869" t="s">
        <v>121</v>
      </c>
      <c r="I1869" t="s">
        <v>122</v>
      </c>
      <c r="J1869">
        <v>224.59</v>
      </c>
      <c r="K1869" s="1">
        <v>46175</v>
      </c>
      <c r="L1869" t="s">
        <v>48</v>
      </c>
      <c r="M1869">
        <v>2</v>
      </c>
      <c r="N1869">
        <v>6</v>
      </c>
      <c r="O1869">
        <v>2</v>
      </c>
      <c r="P1869">
        <v>2026</v>
      </c>
    </row>
    <row r="1870" spans="1:16">
      <c r="A1870">
        <v>123.13</v>
      </c>
      <c r="B1870">
        <v>1</v>
      </c>
      <c r="C1870" t="s">
        <v>2577</v>
      </c>
      <c r="D1870" t="s">
        <v>2578</v>
      </c>
      <c r="E1870" t="s">
        <v>1508</v>
      </c>
      <c r="F1870" t="s">
        <v>1600</v>
      </c>
      <c r="G1870" t="s">
        <v>768</v>
      </c>
      <c r="H1870" t="s">
        <v>66</v>
      </c>
      <c r="I1870" t="s">
        <v>46</v>
      </c>
      <c r="J1870">
        <v>123.13</v>
      </c>
      <c r="K1870" s="1">
        <v>45589</v>
      </c>
      <c r="L1870" t="s">
        <v>105</v>
      </c>
      <c r="M1870">
        <v>24</v>
      </c>
      <c r="N1870">
        <v>10</v>
      </c>
      <c r="O1870">
        <v>4</v>
      </c>
      <c r="P1870">
        <v>2024</v>
      </c>
    </row>
    <row r="1871" spans="1:16">
      <c r="A1871">
        <v>110.25</v>
      </c>
      <c r="B1871">
        <v>3</v>
      </c>
      <c r="C1871" t="s">
        <v>3498</v>
      </c>
      <c r="D1871" t="s">
        <v>3499</v>
      </c>
      <c r="E1871" t="s">
        <v>2362</v>
      </c>
      <c r="F1871" t="s">
        <v>1410</v>
      </c>
      <c r="G1871" t="s">
        <v>812</v>
      </c>
      <c r="H1871" t="s">
        <v>637</v>
      </c>
      <c r="I1871" t="s">
        <v>100</v>
      </c>
      <c r="J1871">
        <v>36.75</v>
      </c>
      <c r="K1871" s="1">
        <v>45745</v>
      </c>
      <c r="L1871" t="s">
        <v>14</v>
      </c>
      <c r="M1871">
        <v>29</v>
      </c>
      <c r="N1871">
        <v>3</v>
      </c>
      <c r="O1871">
        <v>1</v>
      </c>
      <c r="P1871">
        <v>2025</v>
      </c>
    </row>
    <row r="1872" spans="1:16">
      <c r="A1872">
        <v>947.8</v>
      </c>
      <c r="B1872">
        <v>4</v>
      </c>
      <c r="C1872" t="s">
        <v>1079</v>
      </c>
      <c r="D1872" t="s">
        <v>1080</v>
      </c>
      <c r="E1872" t="s">
        <v>1081</v>
      </c>
      <c r="F1872" t="s">
        <v>772</v>
      </c>
      <c r="G1872" t="s">
        <v>758</v>
      </c>
      <c r="H1872" t="s">
        <v>50</v>
      </c>
      <c r="I1872" t="s">
        <v>51</v>
      </c>
      <c r="J1872">
        <v>236.95</v>
      </c>
      <c r="K1872" s="1">
        <v>46251</v>
      </c>
      <c r="L1872" t="s">
        <v>93</v>
      </c>
      <c r="M1872">
        <v>17</v>
      </c>
      <c r="N1872">
        <v>8</v>
      </c>
      <c r="O1872">
        <v>3</v>
      </c>
      <c r="P1872">
        <v>2026</v>
      </c>
    </row>
    <row r="1873" spans="1:16">
      <c r="A1873">
        <v>207.32</v>
      </c>
      <c r="B1873">
        <v>2</v>
      </c>
      <c r="C1873" t="s">
        <v>1177</v>
      </c>
      <c r="D1873" t="s">
        <v>1178</v>
      </c>
      <c r="E1873" t="s">
        <v>1179</v>
      </c>
      <c r="F1873" t="s">
        <v>879</v>
      </c>
      <c r="G1873" t="s">
        <v>748</v>
      </c>
      <c r="H1873" t="s">
        <v>193</v>
      </c>
      <c r="I1873" t="s">
        <v>55</v>
      </c>
      <c r="J1873">
        <v>103.66</v>
      </c>
      <c r="K1873" s="1">
        <v>45631</v>
      </c>
      <c r="L1873" t="s">
        <v>105</v>
      </c>
      <c r="M1873">
        <v>5</v>
      </c>
      <c r="N1873">
        <v>12</v>
      </c>
      <c r="O1873">
        <v>4</v>
      </c>
      <c r="P1873">
        <v>2024</v>
      </c>
    </row>
    <row r="1874" spans="1:16">
      <c r="A1874">
        <v>913.04</v>
      </c>
      <c r="B1874">
        <v>4</v>
      </c>
      <c r="C1874" t="s">
        <v>2715</v>
      </c>
      <c r="D1874" t="s">
        <v>2716</v>
      </c>
      <c r="E1874" t="s">
        <v>2338</v>
      </c>
      <c r="F1874" t="s">
        <v>869</v>
      </c>
      <c r="G1874" t="s">
        <v>1247</v>
      </c>
      <c r="H1874" t="s">
        <v>268</v>
      </c>
      <c r="I1874" t="s">
        <v>97</v>
      </c>
      <c r="J1874">
        <v>228.26</v>
      </c>
      <c r="K1874" s="1">
        <v>46110</v>
      </c>
      <c r="L1874" t="s">
        <v>28</v>
      </c>
      <c r="M1874">
        <v>29</v>
      </c>
      <c r="N1874">
        <v>3</v>
      </c>
      <c r="O1874">
        <v>1</v>
      </c>
      <c r="P1874">
        <v>2026</v>
      </c>
    </row>
    <row r="1875" spans="1:16">
      <c r="A1875">
        <v>109.35000000000001</v>
      </c>
      <c r="B1875">
        <v>5</v>
      </c>
      <c r="C1875" t="s">
        <v>1883</v>
      </c>
      <c r="D1875" t="s">
        <v>1884</v>
      </c>
      <c r="E1875" t="s">
        <v>1885</v>
      </c>
      <c r="F1875" t="s">
        <v>1886</v>
      </c>
      <c r="G1875" t="s">
        <v>753</v>
      </c>
      <c r="H1875" t="s">
        <v>462</v>
      </c>
      <c r="I1875" t="s">
        <v>100</v>
      </c>
      <c r="J1875">
        <v>21.87</v>
      </c>
      <c r="K1875" s="1">
        <v>46130</v>
      </c>
      <c r="L1875" t="s">
        <v>14</v>
      </c>
      <c r="M1875">
        <v>18</v>
      </c>
      <c r="N1875">
        <v>4</v>
      </c>
      <c r="O1875">
        <v>2</v>
      </c>
      <c r="P1875">
        <v>2026</v>
      </c>
    </row>
    <row r="1876" spans="1:16">
      <c r="A1876">
        <v>483.06000000000006</v>
      </c>
      <c r="B1876">
        <v>3</v>
      </c>
      <c r="C1876" t="s">
        <v>2230</v>
      </c>
      <c r="D1876" t="s">
        <v>2231</v>
      </c>
      <c r="E1876" t="s">
        <v>2232</v>
      </c>
      <c r="F1876" t="s">
        <v>1002</v>
      </c>
      <c r="G1876" t="s">
        <v>892</v>
      </c>
      <c r="H1876" t="s">
        <v>544</v>
      </c>
      <c r="I1876" t="s">
        <v>46</v>
      </c>
      <c r="J1876">
        <v>161.02000000000001</v>
      </c>
      <c r="K1876" s="1">
        <v>45587</v>
      </c>
      <c r="L1876" t="s">
        <v>48</v>
      </c>
      <c r="M1876">
        <v>22</v>
      </c>
      <c r="N1876">
        <v>10</v>
      </c>
      <c r="O1876">
        <v>4</v>
      </c>
      <c r="P1876">
        <v>2024</v>
      </c>
    </row>
    <row r="1877" spans="1:16">
      <c r="A1877">
        <v>1044.55</v>
      </c>
      <c r="B1877">
        <v>5</v>
      </c>
      <c r="C1877" t="s">
        <v>3367</v>
      </c>
      <c r="D1877" t="s">
        <v>3368</v>
      </c>
      <c r="E1877" t="s">
        <v>1271</v>
      </c>
      <c r="F1877" t="s">
        <v>862</v>
      </c>
      <c r="G1877" t="s">
        <v>981</v>
      </c>
      <c r="H1877" t="s">
        <v>723</v>
      </c>
      <c r="I1877" t="s">
        <v>46</v>
      </c>
      <c r="J1877">
        <v>208.91</v>
      </c>
      <c r="K1877" s="1">
        <v>45975</v>
      </c>
      <c r="L1877" t="s">
        <v>79</v>
      </c>
      <c r="M1877">
        <v>14</v>
      </c>
      <c r="N1877">
        <v>11</v>
      </c>
      <c r="O1877">
        <v>4</v>
      </c>
      <c r="P1877">
        <v>2025</v>
      </c>
    </row>
    <row r="1878" spans="1:16">
      <c r="A1878">
        <v>104.12</v>
      </c>
      <c r="B1878">
        <v>1</v>
      </c>
      <c r="C1878" t="s">
        <v>1583</v>
      </c>
      <c r="D1878" t="s">
        <v>1584</v>
      </c>
      <c r="E1878" t="s">
        <v>1585</v>
      </c>
      <c r="F1878" t="s">
        <v>113</v>
      </c>
      <c r="G1878" t="s">
        <v>1247</v>
      </c>
      <c r="H1878" t="s">
        <v>620</v>
      </c>
      <c r="I1878" t="s">
        <v>21</v>
      </c>
      <c r="J1878">
        <v>104.12</v>
      </c>
      <c r="K1878" s="1">
        <v>46250</v>
      </c>
      <c r="L1878" t="s">
        <v>28</v>
      </c>
      <c r="M1878">
        <v>16</v>
      </c>
      <c r="N1878">
        <v>8</v>
      </c>
      <c r="O1878">
        <v>3</v>
      </c>
      <c r="P1878">
        <v>2026</v>
      </c>
    </row>
    <row r="1879" spans="1:16">
      <c r="A1879">
        <v>31.35</v>
      </c>
      <c r="B1879">
        <v>1</v>
      </c>
      <c r="C1879" t="s">
        <v>1974</v>
      </c>
      <c r="D1879" t="s">
        <v>1975</v>
      </c>
      <c r="E1879" t="s">
        <v>1976</v>
      </c>
      <c r="F1879" t="s">
        <v>806</v>
      </c>
      <c r="G1879" t="s">
        <v>807</v>
      </c>
      <c r="H1879" t="s">
        <v>557</v>
      </c>
      <c r="I1879" t="s">
        <v>46</v>
      </c>
      <c r="J1879">
        <v>31.35</v>
      </c>
      <c r="K1879" s="1">
        <v>46068</v>
      </c>
      <c r="L1879" t="s">
        <v>28</v>
      </c>
      <c r="M1879">
        <v>15</v>
      </c>
      <c r="N1879">
        <v>2</v>
      </c>
      <c r="O1879">
        <v>1</v>
      </c>
      <c r="P1879">
        <v>2026</v>
      </c>
    </row>
    <row r="1880" spans="1:16">
      <c r="A1880">
        <v>154.15</v>
      </c>
      <c r="B1880">
        <v>1</v>
      </c>
      <c r="C1880" t="s">
        <v>989</v>
      </c>
      <c r="D1880" t="s">
        <v>990</v>
      </c>
      <c r="E1880" t="s">
        <v>991</v>
      </c>
      <c r="F1880" t="s">
        <v>915</v>
      </c>
      <c r="G1880" t="s">
        <v>768</v>
      </c>
      <c r="H1880" t="s">
        <v>599</v>
      </c>
      <c r="I1880" t="s">
        <v>27</v>
      </c>
      <c r="J1880">
        <v>154.15</v>
      </c>
      <c r="K1880" s="1">
        <v>46146</v>
      </c>
      <c r="L1880" t="s">
        <v>93</v>
      </c>
      <c r="M1880">
        <v>4</v>
      </c>
      <c r="N1880">
        <v>5</v>
      </c>
      <c r="O1880">
        <v>2</v>
      </c>
      <c r="P1880">
        <v>2026</v>
      </c>
    </row>
    <row r="1881" spans="1:16">
      <c r="A1881">
        <v>465.25</v>
      </c>
      <c r="B1881">
        <v>5</v>
      </c>
      <c r="C1881" t="s">
        <v>1309</v>
      </c>
      <c r="D1881" t="s">
        <v>1310</v>
      </c>
      <c r="E1881" t="s">
        <v>1311</v>
      </c>
      <c r="F1881" t="s">
        <v>49</v>
      </c>
      <c r="G1881" t="s">
        <v>807</v>
      </c>
      <c r="H1881" t="s">
        <v>350</v>
      </c>
      <c r="I1881" t="s">
        <v>60</v>
      </c>
      <c r="J1881">
        <v>93.05</v>
      </c>
      <c r="K1881" s="1">
        <v>46026</v>
      </c>
      <c r="L1881" t="s">
        <v>28</v>
      </c>
      <c r="M1881">
        <v>4</v>
      </c>
      <c r="N1881">
        <v>1</v>
      </c>
      <c r="O1881">
        <v>1</v>
      </c>
      <c r="P1881">
        <v>2026</v>
      </c>
    </row>
    <row r="1882" spans="1:16">
      <c r="A1882">
        <v>188.35</v>
      </c>
      <c r="B1882">
        <v>1</v>
      </c>
      <c r="C1882" t="s">
        <v>1144</v>
      </c>
      <c r="D1882" t="s">
        <v>1145</v>
      </c>
      <c r="E1882" t="s">
        <v>1146</v>
      </c>
      <c r="F1882" t="s">
        <v>1128</v>
      </c>
      <c r="G1882" t="s">
        <v>954</v>
      </c>
      <c r="H1882" t="s">
        <v>699</v>
      </c>
      <c r="I1882" t="s">
        <v>100</v>
      </c>
      <c r="J1882">
        <v>188.35</v>
      </c>
      <c r="K1882" s="1">
        <v>45639</v>
      </c>
      <c r="L1882" t="s">
        <v>79</v>
      </c>
      <c r="M1882">
        <v>13</v>
      </c>
      <c r="N1882">
        <v>12</v>
      </c>
      <c r="O1882">
        <v>4</v>
      </c>
      <c r="P1882">
        <v>2024</v>
      </c>
    </row>
    <row r="1883" spans="1:16">
      <c r="A1883">
        <v>774.4</v>
      </c>
      <c r="B1883">
        <v>5</v>
      </c>
      <c r="C1883" t="s">
        <v>920</v>
      </c>
      <c r="D1883" t="s">
        <v>921</v>
      </c>
      <c r="E1883" t="s">
        <v>922</v>
      </c>
      <c r="F1883" t="s">
        <v>380</v>
      </c>
      <c r="G1883" t="s">
        <v>776</v>
      </c>
      <c r="H1883" t="s">
        <v>704</v>
      </c>
      <c r="I1883" t="s">
        <v>51</v>
      </c>
      <c r="J1883">
        <v>154.88</v>
      </c>
      <c r="K1883" s="1">
        <v>46084</v>
      </c>
      <c r="L1883" t="s">
        <v>48</v>
      </c>
      <c r="M1883">
        <v>3</v>
      </c>
      <c r="N1883">
        <v>3</v>
      </c>
      <c r="O1883">
        <v>1</v>
      </c>
      <c r="P1883">
        <v>2026</v>
      </c>
    </row>
    <row r="1884" spans="1:16">
      <c r="A1884">
        <v>259.77999999999997</v>
      </c>
      <c r="B1884">
        <v>2</v>
      </c>
      <c r="C1884" t="s">
        <v>3165</v>
      </c>
      <c r="D1884" t="s">
        <v>3166</v>
      </c>
      <c r="E1884" t="s">
        <v>1633</v>
      </c>
      <c r="F1884" t="s">
        <v>1673</v>
      </c>
      <c r="G1884" t="s">
        <v>821</v>
      </c>
      <c r="H1884" t="s">
        <v>271</v>
      </c>
      <c r="I1884" t="s">
        <v>25</v>
      </c>
      <c r="J1884">
        <v>129.88999999999999</v>
      </c>
      <c r="K1884" s="1">
        <v>46223</v>
      </c>
      <c r="L1884" t="s">
        <v>93</v>
      </c>
      <c r="M1884">
        <v>20</v>
      </c>
      <c r="N1884">
        <v>7</v>
      </c>
      <c r="O1884">
        <v>3</v>
      </c>
      <c r="P1884">
        <v>2026</v>
      </c>
    </row>
    <row r="1885" spans="1:16">
      <c r="A1885">
        <v>90.07</v>
      </c>
      <c r="B1885">
        <v>1</v>
      </c>
      <c r="C1885" t="s">
        <v>1448</v>
      </c>
      <c r="D1885" t="s">
        <v>1449</v>
      </c>
      <c r="E1885" t="s">
        <v>1050</v>
      </c>
      <c r="F1885" t="s">
        <v>806</v>
      </c>
      <c r="G1885" t="s">
        <v>807</v>
      </c>
      <c r="H1885" t="s">
        <v>707</v>
      </c>
      <c r="I1885" t="s">
        <v>23</v>
      </c>
      <c r="J1885">
        <v>90.07</v>
      </c>
      <c r="K1885" s="1">
        <v>45674</v>
      </c>
      <c r="L1885" t="s">
        <v>79</v>
      </c>
      <c r="M1885">
        <v>17</v>
      </c>
      <c r="N1885">
        <v>1</v>
      </c>
      <c r="O1885">
        <v>1</v>
      </c>
      <c r="P1885">
        <v>2025</v>
      </c>
    </row>
    <row r="1886" spans="1:16">
      <c r="A1886">
        <v>31.44</v>
      </c>
      <c r="B1886">
        <v>3</v>
      </c>
      <c r="C1886" t="s">
        <v>1129</v>
      </c>
      <c r="D1886" t="s">
        <v>1130</v>
      </c>
      <c r="E1886" t="s">
        <v>949</v>
      </c>
      <c r="F1886" t="s">
        <v>903</v>
      </c>
      <c r="G1886" t="s">
        <v>834</v>
      </c>
      <c r="H1886" t="s">
        <v>578</v>
      </c>
      <c r="I1886" t="s">
        <v>82</v>
      </c>
      <c r="J1886">
        <v>10.48</v>
      </c>
      <c r="K1886" s="1">
        <v>45819</v>
      </c>
      <c r="L1886" t="s">
        <v>34</v>
      </c>
      <c r="M1886">
        <v>11</v>
      </c>
      <c r="N1886">
        <v>6</v>
      </c>
      <c r="O1886">
        <v>2</v>
      </c>
      <c r="P1886">
        <v>2025</v>
      </c>
    </row>
    <row r="1887" spans="1:16">
      <c r="A1887">
        <v>124.36</v>
      </c>
      <c r="B1887">
        <v>2</v>
      </c>
      <c r="C1887" t="s">
        <v>1877</v>
      </c>
      <c r="D1887" t="s">
        <v>1878</v>
      </c>
      <c r="E1887" t="s">
        <v>1380</v>
      </c>
      <c r="F1887" t="s">
        <v>932</v>
      </c>
      <c r="G1887" t="s">
        <v>776</v>
      </c>
      <c r="H1887" t="s">
        <v>276</v>
      </c>
      <c r="I1887" t="s">
        <v>57</v>
      </c>
      <c r="J1887">
        <v>62.18</v>
      </c>
      <c r="K1887" s="1">
        <v>46096</v>
      </c>
      <c r="L1887" t="s">
        <v>28</v>
      </c>
      <c r="M1887">
        <v>15</v>
      </c>
      <c r="N1887">
        <v>3</v>
      </c>
      <c r="O1887">
        <v>1</v>
      </c>
      <c r="P1887">
        <v>2026</v>
      </c>
    </row>
    <row r="1888" spans="1:16">
      <c r="A1888">
        <v>1237.6000000000001</v>
      </c>
      <c r="B1888">
        <v>5</v>
      </c>
      <c r="C1888" t="s">
        <v>2458</v>
      </c>
      <c r="D1888" t="s">
        <v>2459</v>
      </c>
      <c r="E1888" t="s">
        <v>1801</v>
      </c>
      <c r="F1888" t="s">
        <v>713</v>
      </c>
      <c r="G1888" t="s">
        <v>908</v>
      </c>
      <c r="H1888" t="s">
        <v>372</v>
      </c>
      <c r="I1888" t="s">
        <v>23</v>
      </c>
      <c r="J1888">
        <v>247.52</v>
      </c>
      <c r="K1888" s="1">
        <v>45721</v>
      </c>
      <c r="L1888" t="s">
        <v>34</v>
      </c>
      <c r="M1888">
        <v>5</v>
      </c>
      <c r="N1888">
        <v>3</v>
      </c>
      <c r="O1888">
        <v>1</v>
      </c>
      <c r="P1888">
        <v>2025</v>
      </c>
    </row>
    <row r="1889" spans="1:16">
      <c r="A1889">
        <v>44.64</v>
      </c>
      <c r="B1889">
        <v>3</v>
      </c>
      <c r="C1889" t="s">
        <v>2307</v>
      </c>
      <c r="D1889" t="s">
        <v>3282</v>
      </c>
      <c r="E1889" t="s">
        <v>1171</v>
      </c>
      <c r="F1889" t="s">
        <v>1566</v>
      </c>
      <c r="G1889" t="s">
        <v>763</v>
      </c>
      <c r="H1889" t="s">
        <v>349</v>
      </c>
      <c r="I1889" t="s">
        <v>51</v>
      </c>
      <c r="J1889">
        <v>14.88</v>
      </c>
      <c r="K1889" s="1">
        <v>46061</v>
      </c>
      <c r="L1889" t="s">
        <v>28</v>
      </c>
      <c r="M1889">
        <v>8</v>
      </c>
      <c r="N1889">
        <v>2</v>
      </c>
      <c r="O1889">
        <v>1</v>
      </c>
      <c r="P1889">
        <v>2026</v>
      </c>
    </row>
    <row r="1890" spans="1:16">
      <c r="A1890">
        <v>676.92</v>
      </c>
      <c r="B1890">
        <v>4</v>
      </c>
      <c r="C1890" t="s">
        <v>2963</v>
      </c>
      <c r="D1890" t="s">
        <v>2964</v>
      </c>
      <c r="E1890" t="s">
        <v>1286</v>
      </c>
      <c r="F1890" t="s">
        <v>1199</v>
      </c>
      <c r="G1890" t="s">
        <v>839</v>
      </c>
      <c r="H1890" t="s">
        <v>3427</v>
      </c>
      <c r="I1890" t="s">
        <v>39</v>
      </c>
      <c r="J1890">
        <v>169.23</v>
      </c>
      <c r="K1890" s="1">
        <v>46114</v>
      </c>
      <c r="L1890" t="s">
        <v>105</v>
      </c>
      <c r="M1890">
        <v>2</v>
      </c>
      <c r="N1890">
        <v>4</v>
      </c>
      <c r="O1890">
        <v>2</v>
      </c>
      <c r="P1890">
        <v>2026</v>
      </c>
    </row>
    <row r="1891" spans="1:16">
      <c r="A1891">
        <v>84.03</v>
      </c>
      <c r="B1891">
        <v>3</v>
      </c>
      <c r="C1891" t="s">
        <v>3481</v>
      </c>
      <c r="D1891" t="s">
        <v>3482</v>
      </c>
      <c r="E1891" t="s">
        <v>2103</v>
      </c>
      <c r="F1891" t="s">
        <v>1591</v>
      </c>
      <c r="G1891" t="s">
        <v>966</v>
      </c>
      <c r="H1891" t="s">
        <v>463</v>
      </c>
      <c r="I1891" t="s">
        <v>43</v>
      </c>
      <c r="J1891">
        <v>28.01</v>
      </c>
      <c r="K1891" s="1">
        <v>45900</v>
      </c>
      <c r="L1891" t="s">
        <v>28</v>
      </c>
      <c r="M1891">
        <v>31</v>
      </c>
      <c r="N1891">
        <v>8</v>
      </c>
      <c r="O1891">
        <v>3</v>
      </c>
      <c r="P1891">
        <v>2025</v>
      </c>
    </row>
    <row r="1892" spans="1:16">
      <c r="A1892">
        <v>699.24</v>
      </c>
      <c r="B1892">
        <v>3</v>
      </c>
      <c r="C1892" t="s">
        <v>2149</v>
      </c>
      <c r="D1892" t="s">
        <v>2150</v>
      </c>
      <c r="E1892" t="s">
        <v>1645</v>
      </c>
      <c r="F1892" t="s">
        <v>64</v>
      </c>
      <c r="G1892" t="s">
        <v>892</v>
      </c>
      <c r="H1892" t="s">
        <v>213</v>
      </c>
      <c r="I1892" t="s">
        <v>69</v>
      </c>
      <c r="J1892">
        <v>233.08</v>
      </c>
      <c r="K1892" s="1">
        <v>45746</v>
      </c>
      <c r="L1892" t="s">
        <v>28</v>
      </c>
      <c r="M1892">
        <v>30</v>
      </c>
      <c r="N1892">
        <v>3</v>
      </c>
      <c r="O1892">
        <v>1</v>
      </c>
      <c r="P1892">
        <v>2025</v>
      </c>
    </row>
    <row r="1893" spans="1:16">
      <c r="A1893">
        <v>423.15</v>
      </c>
      <c r="B1893">
        <v>5</v>
      </c>
      <c r="C1893" t="s">
        <v>1608</v>
      </c>
      <c r="D1893" t="s">
        <v>1609</v>
      </c>
      <c r="E1893" t="s">
        <v>998</v>
      </c>
      <c r="F1893" t="s">
        <v>1502</v>
      </c>
      <c r="G1893" t="s">
        <v>817</v>
      </c>
      <c r="H1893" t="s">
        <v>495</v>
      </c>
      <c r="I1893" t="s">
        <v>39</v>
      </c>
      <c r="J1893">
        <v>84.63</v>
      </c>
      <c r="K1893" s="1">
        <v>45680</v>
      </c>
      <c r="L1893" t="s">
        <v>105</v>
      </c>
      <c r="M1893">
        <v>23</v>
      </c>
      <c r="N1893">
        <v>1</v>
      </c>
      <c r="O1893">
        <v>1</v>
      </c>
      <c r="P1893">
        <v>2025</v>
      </c>
    </row>
    <row r="1894" spans="1:16">
      <c r="A1894">
        <v>1137.3499999999999</v>
      </c>
      <c r="B1894">
        <v>5</v>
      </c>
      <c r="C1894" t="s">
        <v>2374</v>
      </c>
      <c r="D1894" t="s">
        <v>2375</v>
      </c>
      <c r="E1894" t="s">
        <v>2120</v>
      </c>
      <c r="F1894" t="s">
        <v>1740</v>
      </c>
      <c r="G1894" t="s">
        <v>954</v>
      </c>
      <c r="H1894" t="s">
        <v>116</v>
      </c>
      <c r="I1894" t="s">
        <v>57</v>
      </c>
      <c r="J1894">
        <v>227.47</v>
      </c>
      <c r="K1894" s="1">
        <v>45779</v>
      </c>
      <c r="L1894" t="s">
        <v>79</v>
      </c>
      <c r="M1894">
        <v>2</v>
      </c>
      <c r="N1894">
        <v>5</v>
      </c>
      <c r="O1894">
        <v>2</v>
      </c>
      <c r="P1894">
        <v>2025</v>
      </c>
    </row>
    <row r="1895" spans="1:16">
      <c r="A1895">
        <v>176.38</v>
      </c>
      <c r="B1895">
        <v>1</v>
      </c>
      <c r="C1895" t="s">
        <v>850</v>
      </c>
      <c r="D1895" t="s">
        <v>851</v>
      </c>
      <c r="E1895" t="s">
        <v>852</v>
      </c>
      <c r="F1895" t="s">
        <v>853</v>
      </c>
      <c r="G1895" t="s">
        <v>854</v>
      </c>
      <c r="H1895" t="s">
        <v>384</v>
      </c>
      <c r="I1895" t="s">
        <v>37</v>
      </c>
      <c r="J1895">
        <v>176.38</v>
      </c>
      <c r="K1895" s="1">
        <v>45597</v>
      </c>
      <c r="L1895" t="s">
        <v>79</v>
      </c>
      <c r="M1895">
        <v>1</v>
      </c>
      <c r="N1895">
        <v>11</v>
      </c>
      <c r="O1895">
        <v>4</v>
      </c>
      <c r="P1895">
        <v>2024</v>
      </c>
    </row>
    <row r="1896" spans="1:16">
      <c r="A1896">
        <v>92.96</v>
      </c>
      <c r="B1896">
        <v>4</v>
      </c>
      <c r="C1896" t="s">
        <v>3098</v>
      </c>
      <c r="D1896" t="s">
        <v>3099</v>
      </c>
      <c r="E1896" t="s">
        <v>1585</v>
      </c>
      <c r="F1896" t="s">
        <v>2247</v>
      </c>
      <c r="G1896" t="s">
        <v>781</v>
      </c>
      <c r="H1896" t="s">
        <v>738</v>
      </c>
      <c r="I1896" t="s">
        <v>27</v>
      </c>
      <c r="J1896">
        <v>23.24</v>
      </c>
      <c r="K1896" s="1">
        <v>46015</v>
      </c>
      <c r="L1896" t="s">
        <v>34</v>
      </c>
      <c r="M1896">
        <v>24</v>
      </c>
      <c r="N1896">
        <v>12</v>
      </c>
      <c r="O1896">
        <v>4</v>
      </c>
      <c r="P1896">
        <v>2025</v>
      </c>
    </row>
    <row r="1897" spans="1:16">
      <c r="A1897">
        <v>610.4</v>
      </c>
      <c r="B1897">
        <v>5</v>
      </c>
      <c r="C1897" t="s">
        <v>2242</v>
      </c>
      <c r="D1897" t="s">
        <v>2243</v>
      </c>
      <c r="E1897" t="s">
        <v>1124</v>
      </c>
      <c r="F1897" t="s">
        <v>1626</v>
      </c>
      <c r="G1897" t="s">
        <v>812</v>
      </c>
      <c r="H1897" t="s">
        <v>646</v>
      </c>
      <c r="I1897" t="s">
        <v>21</v>
      </c>
      <c r="J1897">
        <v>122.08</v>
      </c>
      <c r="K1897" s="1">
        <v>45776</v>
      </c>
      <c r="L1897" t="s">
        <v>48</v>
      </c>
      <c r="M1897">
        <v>29</v>
      </c>
      <c r="N1897">
        <v>4</v>
      </c>
      <c r="O1897">
        <v>2</v>
      </c>
      <c r="P1897">
        <v>2025</v>
      </c>
    </row>
    <row r="1898" spans="1:16">
      <c r="A1898">
        <v>496.16</v>
      </c>
      <c r="B1898">
        <v>4</v>
      </c>
      <c r="C1898" t="s">
        <v>1789</v>
      </c>
      <c r="D1898" t="s">
        <v>1790</v>
      </c>
      <c r="E1898" t="s">
        <v>1791</v>
      </c>
      <c r="F1898" t="s">
        <v>1630</v>
      </c>
      <c r="G1898" t="s">
        <v>763</v>
      </c>
      <c r="H1898" t="s">
        <v>543</v>
      </c>
      <c r="I1898" t="s">
        <v>37</v>
      </c>
      <c r="J1898">
        <v>124.04</v>
      </c>
      <c r="K1898" s="1">
        <v>45999</v>
      </c>
      <c r="L1898" t="s">
        <v>93</v>
      </c>
      <c r="M1898">
        <v>8</v>
      </c>
      <c r="N1898">
        <v>12</v>
      </c>
      <c r="O1898">
        <v>4</v>
      </c>
      <c r="P1898">
        <v>2025</v>
      </c>
    </row>
    <row r="1899" spans="1:16">
      <c r="A1899">
        <v>236.95</v>
      </c>
      <c r="B1899">
        <v>1</v>
      </c>
      <c r="C1899" t="s">
        <v>1730</v>
      </c>
      <c r="D1899" t="s">
        <v>1731</v>
      </c>
      <c r="E1899" t="s">
        <v>1143</v>
      </c>
      <c r="F1899" t="s">
        <v>1327</v>
      </c>
      <c r="G1899" t="s">
        <v>795</v>
      </c>
      <c r="H1899" t="s">
        <v>50</v>
      </c>
      <c r="I1899" t="s">
        <v>51</v>
      </c>
      <c r="J1899">
        <v>236.95</v>
      </c>
      <c r="K1899" s="1">
        <v>45595</v>
      </c>
      <c r="L1899" t="s">
        <v>34</v>
      </c>
      <c r="M1899">
        <v>30</v>
      </c>
      <c r="N1899">
        <v>10</v>
      </c>
      <c r="O1899">
        <v>4</v>
      </c>
      <c r="P1899">
        <v>2024</v>
      </c>
    </row>
    <row r="1900" spans="1:16">
      <c r="A1900">
        <v>323.83999999999997</v>
      </c>
      <c r="B1900">
        <v>2</v>
      </c>
      <c r="C1900" t="s">
        <v>2577</v>
      </c>
      <c r="D1900" t="s">
        <v>2578</v>
      </c>
      <c r="E1900" t="s">
        <v>1508</v>
      </c>
      <c r="F1900" t="s">
        <v>1600</v>
      </c>
      <c r="G1900" t="s">
        <v>768</v>
      </c>
      <c r="H1900" t="s">
        <v>546</v>
      </c>
      <c r="I1900" t="s">
        <v>25</v>
      </c>
      <c r="J1900">
        <v>161.91999999999999</v>
      </c>
      <c r="K1900" s="1">
        <v>45694</v>
      </c>
      <c r="L1900" t="s">
        <v>105</v>
      </c>
      <c r="M1900">
        <v>6</v>
      </c>
      <c r="N1900">
        <v>2</v>
      </c>
      <c r="O1900">
        <v>1</v>
      </c>
      <c r="P1900">
        <v>2025</v>
      </c>
    </row>
    <row r="1901" spans="1:16">
      <c r="A1901">
        <v>223.72</v>
      </c>
      <c r="B1901">
        <v>2</v>
      </c>
      <c r="C1901" t="s">
        <v>3278</v>
      </c>
      <c r="D1901" t="s">
        <v>3279</v>
      </c>
      <c r="E1901" t="s">
        <v>1725</v>
      </c>
      <c r="F1901" t="s">
        <v>929</v>
      </c>
      <c r="G1901" t="s">
        <v>786</v>
      </c>
      <c r="H1901" t="s">
        <v>432</v>
      </c>
      <c r="I1901" t="s">
        <v>46</v>
      </c>
      <c r="J1901">
        <v>111.86</v>
      </c>
      <c r="K1901" s="1">
        <v>45825</v>
      </c>
      <c r="L1901" t="s">
        <v>48</v>
      </c>
      <c r="M1901">
        <v>17</v>
      </c>
      <c r="N1901">
        <v>6</v>
      </c>
      <c r="O1901">
        <v>2</v>
      </c>
      <c r="P1901">
        <v>2025</v>
      </c>
    </row>
    <row r="1902" spans="1:16">
      <c r="A1902">
        <v>202.6</v>
      </c>
      <c r="B1902">
        <v>4</v>
      </c>
      <c r="C1902" t="s">
        <v>3091</v>
      </c>
      <c r="D1902" t="s">
        <v>3092</v>
      </c>
      <c r="E1902" t="s">
        <v>1064</v>
      </c>
      <c r="F1902" t="s">
        <v>757</v>
      </c>
      <c r="G1902" t="s">
        <v>758</v>
      </c>
      <c r="H1902" t="s">
        <v>403</v>
      </c>
      <c r="I1902" t="s">
        <v>23</v>
      </c>
      <c r="J1902">
        <v>50.65</v>
      </c>
      <c r="K1902" s="1">
        <v>45836</v>
      </c>
      <c r="L1902" t="s">
        <v>14</v>
      </c>
      <c r="M1902">
        <v>28</v>
      </c>
      <c r="N1902">
        <v>6</v>
      </c>
      <c r="O1902">
        <v>2</v>
      </c>
      <c r="P1902">
        <v>2025</v>
      </c>
    </row>
    <row r="1903" spans="1:16">
      <c r="A1903">
        <v>199.66</v>
      </c>
      <c r="B1903">
        <v>2</v>
      </c>
      <c r="C1903" t="s">
        <v>2146</v>
      </c>
      <c r="D1903" t="s">
        <v>2147</v>
      </c>
      <c r="E1903" t="s">
        <v>2148</v>
      </c>
      <c r="F1903" t="s">
        <v>1525</v>
      </c>
      <c r="G1903" t="s">
        <v>763</v>
      </c>
      <c r="H1903" t="s">
        <v>467</v>
      </c>
      <c r="I1903" t="s">
        <v>19</v>
      </c>
      <c r="J1903">
        <v>99.83</v>
      </c>
      <c r="K1903" s="1">
        <v>45627</v>
      </c>
      <c r="L1903" t="s">
        <v>28</v>
      </c>
      <c r="M1903">
        <v>1</v>
      </c>
      <c r="N1903">
        <v>12</v>
      </c>
      <c r="O1903">
        <v>4</v>
      </c>
      <c r="P1903">
        <v>2024</v>
      </c>
    </row>
    <row r="1904" spans="1:16">
      <c r="A1904">
        <v>181.24</v>
      </c>
      <c r="B1904">
        <v>4</v>
      </c>
      <c r="C1904" t="s">
        <v>2430</v>
      </c>
      <c r="D1904" t="s">
        <v>2431</v>
      </c>
      <c r="E1904" t="s">
        <v>1893</v>
      </c>
      <c r="F1904" t="s">
        <v>762</v>
      </c>
      <c r="G1904" t="s">
        <v>763</v>
      </c>
      <c r="H1904" t="s">
        <v>537</v>
      </c>
      <c r="I1904" t="s">
        <v>31</v>
      </c>
      <c r="J1904">
        <v>45.31</v>
      </c>
      <c r="K1904" s="1">
        <v>45795</v>
      </c>
      <c r="L1904" t="s">
        <v>28</v>
      </c>
      <c r="M1904">
        <v>18</v>
      </c>
      <c r="N1904">
        <v>5</v>
      </c>
      <c r="O1904">
        <v>2</v>
      </c>
      <c r="P1904">
        <v>2025</v>
      </c>
    </row>
    <row r="1905" spans="1:16">
      <c r="A1905">
        <v>343.76</v>
      </c>
      <c r="B1905">
        <v>2</v>
      </c>
      <c r="C1905" t="s">
        <v>1506</v>
      </c>
      <c r="D1905" t="s">
        <v>1507</v>
      </c>
      <c r="E1905" t="s">
        <v>1508</v>
      </c>
      <c r="F1905" t="s">
        <v>1509</v>
      </c>
      <c r="G1905" t="s">
        <v>821</v>
      </c>
      <c r="H1905" t="s">
        <v>525</v>
      </c>
      <c r="I1905" t="s">
        <v>17</v>
      </c>
      <c r="J1905">
        <v>171.88</v>
      </c>
      <c r="K1905" s="1">
        <v>46044</v>
      </c>
      <c r="L1905" t="s">
        <v>105</v>
      </c>
      <c r="M1905">
        <v>22</v>
      </c>
      <c r="N1905">
        <v>1</v>
      </c>
      <c r="O1905">
        <v>1</v>
      </c>
      <c r="P1905">
        <v>2026</v>
      </c>
    </row>
    <row r="1906" spans="1:16">
      <c r="A1906">
        <v>23.58</v>
      </c>
      <c r="B1906">
        <v>1</v>
      </c>
      <c r="C1906" t="s">
        <v>1822</v>
      </c>
      <c r="D1906" t="s">
        <v>1823</v>
      </c>
      <c r="E1906" t="s">
        <v>1824</v>
      </c>
      <c r="F1906" t="s">
        <v>1540</v>
      </c>
      <c r="G1906" t="s">
        <v>768</v>
      </c>
      <c r="H1906" t="s">
        <v>466</v>
      </c>
      <c r="I1906" t="s">
        <v>46</v>
      </c>
      <c r="J1906">
        <v>23.58</v>
      </c>
      <c r="K1906" s="1">
        <v>45764</v>
      </c>
      <c r="L1906" t="s">
        <v>105</v>
      </c>
      <c r="M1906">
        <v>17</v>
      </c>
      <c r="N1906">
        <v>4</v>
      </c>
      <c r="O1906">
        <v>2</v>
      </c>
      <c r="P1906">
        <v>2025</v>
      </c>
    </row>
    <row r="1907" spans="1:16">
      <c r="A1907">
        <v>459.7</v>
      </c>
      <c r="B1907">
        <v>2</v>
      </c>
      <c r="C1907" t="s">
        <v>1346</v>
      </c>
      <c r="D1907" t="s">
        <v>1347</v>
      </c>
      <c r="E1907" t="s">
        <v>1348</v>
      </c>
      <c r="F1907" t="s">
        <v>548</v>
      </c>
      <c r="G1907" t="s">
        <v>790</v>
      </c>
      <c r="H1907" t="s">
        <v>63</v>
      </c>
      <c r="I1907" t="s">
        <v>25</v>
      </c>
      <c r="J1907">
        <v>229.85</v>
      </c>
      <c r="K1907" s="1">
        <v>46051</v>
      </c>
      <c r="L1907" t="s">
        <v>105</v>
      </c>
      <c r="M1907">
        <v>29</v>
      </c>
      <c r="N1907">
        <v>1</v>
      </c>
      <c r="O1907">
        <v>1</v>
      </c>
      <c r="P1907">
        <v>2026</v>
      </c>
    </row>
    <row r="1908" spans="1:16">
      <c r="A1908">
        <v>131.25</v>
      </c>
      <c r="B1908">
        <v>5</v>
      </c>
      <c r="C1908" t="s">
        <v>1898</v>
      </c>
      <c r="D1908" t="s">
        <v>1899</v>
      </c>
      <c r="E1908" t="s">
        <v>824</v>
      </c>
      <c r="F1908" t="s">
        <v>762</v>
      </c>
      <c r="G1908" t="s">
        <v>763</v>
      </c>
      <c r="H1908" t="s">
        <v>493</v>
      </c>
      <c r="I1908" t="s">
        <v>46</v>
      </c>
      <c r="J1908">
        <v>26.25</v>
      </c>
      <c r="K1908" s="1">
        <v>45921</v>
      </c>
      <c r="L1908" t="s">
        <v>28</v>
      </c>
      <c r="M1908">
        <v>21</v>
      </c>
      <c r="N1908">
        <v>9</v>
      </c>
      <c r="O1908">
        <v>3</v>
      </c>
      <c r="P1908">
        <v>2025</v>
      </c>
    </row>
    <row r="1909" spans="1:16">
      <c r="A1909">
        <v>370.04999999999995</v>
      </c>
      <c r="B1909">
        <v>3</v>
      </c>
      <c r="C1909" t="s">
        <v>1021</v>
      </c>
      <c r="D1909" t="s">
        <v>1022</v>
      </c>
      <c r="E1909" t="s">
        <v>984</v>
      </c>
      <c r="F1909" t="s">
        <v>929</v>
      </c>
      <c r="G1909" t="s">
        <v>830</v>
      </c>
      <c r="H1909" t="s">
        <v>630</v>
      </c>
      <c r="I1909" t="s">
        <v>69</v>
      </c>
      <c r="J1909">
        <v>123.35</v>
      </c>
      <c r="K1909" s="1">
        <v>46127</v>
      </c>
      <c r="L1909" t="s">
        <v>34</v>
      </c>
      <c r="M1909">
        <v>15</v>
      </c>
      <c r="N1909">
        <v>4</v>
      </c>
      <c r="O1909">
        <v>2</v>
      </c>
      <c r="P1909">
        <v>2026</v>
      </c>
    </row>
    <row r="1910" spans="1:16">
      <c r="A1910">
        <v>200.92</v>
      </c>
      <c r="B1910">
        <v>2</v>
      </c>
      <c r="C1910" t="s">
        <v>2545</v>
      </c>
      <c r="D1910" t="s">
        <v>2546</v>
      </c>
      <c r="E1910" t="s">
        <v>1590</v>
      </c>
      <c r="F1910" t="s">
        <v>1469</v>
      </c>
      <c r="G1910" t="s">
        <v>908</v>
      </c>
      <c r="H1910" t="s">
        <v>703</v>
      </c>
      <c r="I1910" t="s">
        <v>60</v>
      </c>
      <c r="J1910">
        <v>100.46</v>
      </c>
      <c r="K1910" s="1">
        <v>45823</v>
      </c>
      <c r="L1910" t="s">
        <v>28</v>
      </c>
      <c r="M1910">
        <v>15</v>
      </c>
      <c r="N1910">
        <v>6</v>
      </c>
      <c r="O1910">
        <v>2</v>
      </c>
      <c r="P1910">
        <v>2025</v>
      </c>
    </row>
    <row r="1911" spans="1:16">
      <c r="A1911">
        <v>396.88</v>
      </c>
      <c r="B1911">
        <v>2</v>
      </c>
      <c r="C1911" t="s">
        <v>1388</v>
      </c>
      <c r="D1911" t="s">
        <v>1389</v>
      </c>
      <c r="E1911" t="s">
        <v>1390</v>
      </c>
      <c r="F1911" t="s">
        <v>322</v>
      </c>
      <c r="G1911" t="s">
        <v>795</v>
      </c>
      <c r="H1911" t="s">
        <v>40</v>
      </c>
      <c r="I1911" t="s">
        <v>37</v>
      </c>
      <c r="J1911">
        <v>198.44</v>
      </c>
      <c r="K1911" s="1">
        <v>45939</v>
      </c>
      <c r="L1911" t="s">
        <v>105</v>
      </c>
      <c r="M1911">
        <v>9</v>
      </c>
      <c r="N1911">
        <v>10</v>
      </c>
      <c r="O1911">
        <v>4</v>
      </c>
      <c r="P1911">
        <v>2025</v>
      </c>
    </row>
    <row r="1912" spans="1:16">
      <c r="A1912">
        <v>234.89</v>
      </c>
      <c r="B1912">
        <v>1</v>
      </c>
      <c r="C1912" t="s">
        <v>2428</v>
      </c>
      <c r="D1912" t="s">
        <v>2429</v>
      </c>
      <c r="E1912" t="s">
        <v>1016</v>
      </c>
      <c r="F1912" t="s">
        <v>136</v>
      </c>
      <c r="G1912" t="s">
        <v>954</v>
      </c>
      <c r="H1912" t="s">
        <v>255</v>
      </c>
      <c r="I1912" t="s">
        <v>39</v>
      </c>
      <c r="J1912">
        <v>234.89</v>
      </c>
      <c r="K1912" s="1">
        <v>45549</v>
      </c>
      <c r="L1912" t="s">
        <v>14</v>
      </c>
      <c r="M1912">
        <v>14</v>
      </c>
      <c r="N1912">
        <v>9</v>
      </c>
      <c r="O1912">
        <v>3</v>
      </c>
      <c r="P1912">
        <v>2024</v>
      </c>
    </row>
    <row r="1913" spans="1:16">
      <c r="A1913">
        <v>111.06</v>
      </c>
      <c r="B1913">
        <v>1</v>
      </c>
      <c r="C1913" t="s">
        <v>782</v>
      </c>
      <c r="D1913" t="s">
        <v>783</v>
      </c>
      <c r="E1913" t="s">
        <v>784</v>
      </c>
      <c r="F1913" t="s">
        <v>785</v>
      </c>
      <c r="G1913" t="s">
        <v>786</v>
      </c>
      <c r="H1913" t="s">
        <v>89</v>
      </c>
      <c r="I1913" t="s">
        <v>69</v>
      </c>
      <c r="J1913">
        <v>111.06</v>
      </c>
      <c r="K1913" s="1">
        <v>46053</v>
      </c>
      <c r="L1913" t="s">
        <v>14</v>
      </c>
      <c r="M1913">
        <v>31</v>
      </c>
      <c r="N1913">
        <v>1</v>
      </c>
      <c r="O1913">
        <v>1</v>
      </c>
      <c r="P1913">
        <v>2026</v>
      </c>
    </row>
    <row r="1914" spans="1:16">
      <c r="A1914">
        <v>457.48</v>
      </c>
      <c r="B1914">
        <v>2</v>
      </c>
      <c r="C1914" t="s">
        <v>2541</v>
      </c>
      <c r="D1914" t="s">
        <v>2542</v>
      </c>
      <c r="E1914" t="s">
        <v>1545</v>
      </c>
      <c r="F1914" t="s">
        <v>1199</v>
      </c>
      <c r="G1914" t="s">
        <v>839</v>
      </c>
      <c r="H1914" t="s">
        <v>566</v>
      </c>
      <c r="I1914" t="s">
        <v>69</v>
      </c>
      <c r="J1914">
        <v>228.74</v>
      </c>
      <c r="K1914" s="1">
        <v>45851</v>
      </c>
      <c r="L1914" t="s">
        <v>28</v>
      </c>
      <c r="M1914">
        <v>13</v>
      </c>
      <c r="N1914">
        <v>7</v>
      </c>
      <c r="O1914">
        <v>3</v>
      </c>
      <c r="P1914">
        <v>2025</v>
      </c>
    </row>
    <row r="1915" spans="1:16">
      <c r="A1915">
        <v>95.24</v>
      </c>
      <c r="B1915">
        <v>2</v>
      </c>
      <c r="C1915" t="s">
        <v>1792</v>
      </c>
      <c r="D1915" t="s">
        <v>1178</v>
      </c>
      <c r="E1915" t="s">
        <v>1793</v>
      </c>
      <c r="F1915" t="s">
        <v>862</v>
      </c>
      <c r="G1915" t="s">
        <v>908</v>
      </c>
      <c r="H1915" t="s">
        <v>508</v>
      </c>
      <c r="I1915" t="s">
        <v>43</v>
      </c>
      <c r="J1915">
        <v>47.62</v>
      </c>
      <c r="K1915" s="1">
        <v>46070</v>
      </c>
      <c r="L1915" t="s">
        <v>48</v>
      </c>
      <c r="M1915">
        <v>17</v>
      </c>
      <c r="N1915">
        <v>2</v>
      </c>
      <c r="O1915">
        <v>1</v>
      </c>
      <c r="P1915">
        <v>2026</v>
      </c>
    </row>
    <row r="1916" spans="1:16">
      <c r="A1916">
        <v>424.08000000000004</v>
      </c>
      <c r="B1916">
        <v>3</v>
      </c>
      <c r="C1916" t="s">
        <v>1528</v>
      </c>
      <c r="D1916" t="s">
        <v>1529</v>
      </c>
      <c r="E1916" t="s">
        <v>998</v>
      </c>
      <c r="F1916" t="s">
        <v>1465</v>
      </c>
      <c r="G1916" t="s">
        <v>817</v>
      </c>
      <c r="H1916" t="s">
        <v>181</v>
      </c>
      <c r="I1916" t="s">
        <v>82</v>
      </c>
      <c r="J1916">
        <v>141.36000000000001</v>
      </c>
      <c r="K1916" s="1">
        <v>45954</v>
      </c>
      <c r="L1916" t="s">
        <v>79</v>
      </c>
      <c r="M1916">
        <v>24</v>
      </c>
      <c r="N1916">
        <v>10</v>
      </c>
      <c r="O1916">
        <v>4</v>
      </c>
      <c r="P1916">
        <v>2025</v>
      </c>
    </row>
    <row r="1917" spans="1:16">
      <c r="A1917">
        <v>787.76</v>
      </c>
      <c r="B1917">
        <v>4</v>
      </c>
      <c r="C1917" t="s">
        <v>1942</v>
      </c>
      <c r="D1917" t="s">
        <v>1943</v>
      </c>
      <c r="E1917" t="s">
        <v>1195</v>
      </c>
      <c r="F1917" t="s">
        <v>1944</v>
      </c>
      <c r="G1917" t="s">
        <v>1003</v>
      </c>
      <c r="H1917" t="s">
        <v>695</v>
      </c>
      <c r="I1917" t="s">
        <v>19</v>
      </c>
      <c r="J1917">
        <v>196.94</v>
      </c>
      <c r="K1917" s="1">
        <v>45717</v>
      </c>
      <c r="L1917" t="s">
        <v>14</v>
      </c>
      <c r="M1917">
        <v>1</v>
      </c>
      <c r="N1917">
        <v>3</v>
      </c>
      <c r="O1917">
        <v>1</v>
      </c>
      <c r="P1917">
        <v>2025</v>
      </c>
    </row>
    <row r="1918" spans="1:16">
      <c r="A1918">
        <v>189.7</v>
      </c>
      <c r="B1918">
        <v>5</v>
      </c>
      <c r="C1918" t="s">
        <v>2949</v>
      </c>
      <c r="D1918" t="s">
        <v>2950</v>
      </c>
      <c r="E1918" t="s">
        <v>1562</v>
      </c>
      <c r="F1918" t="s">
        <v>862</v>
      </c>
      <c r="G1918" t="s">
        <v>758</v>
      </c>
      <c r="H1918" t="s">
        <v>73</v>
      </c>
      <c r="I1918" t="s">
        <v>39</v>
      </c>
      <c r="J1918">
        <v>37.94</v>
      </c>
      <c r="K1918" s="1">
        <v>45849</v>
      </c>
      <c r="L1918" t="s">
        <v>79</v>
      </c>
      <c r="M1918">
        <v>11</v>
      </c>
      <c r="N1918">
        <v>7</v>
      </c>
      <c r="O1918">
        <v>3</v>
      </c>
      <c r="P1918">
        <v>2025</v>
      </c>
    </row>
    <row r="1919" spans="1:16">
      <c r="A1919">
        <v>190.61</v>
      </c>
      <c r="B1919">
        <v>1</v>
      </c>
      <c r="C1919" t="s">
        <v>1778</v>
      </c>
      <c r="D1919" t="s">
        <v>1779</v>
      </c>
      <c r="E1919" t="s">
        <v>1220</v>
      </c>
      <c r="F1919" t="s">
        <v>919</v>
      </c>
      <c r="G1919" t="s">
        <v>786</v>
      </c>
      <c r="H1919" t="s">
        <v>156</v>
      </c>
      <c r="I1919" t="s">
        <v>57</v>
      </c>
      <c r="J1919">
        <v>190.61</v>
      </c>
      <c r="K1919" s="1">
        <v>45936</v>
      </c>
      <c r="L1919" t="s">
        <v>93</v>
      </c>
      <c r="M1919">
        <v>6</v>
      </c>
      <c r="N1919">
        <v>10</v>
      </c>
      <c r="O1919">
        <v>4</v>
      </c>
      <c r="P1919">
        <v>2025</v>
      </c>
    </row>
    <row r="1920" spans="1:16">
      <c r="A1920">
        <v>91.68</v>
      </c>
      <c r="B1920">
        <v>4</v>
      </c>
      <c r="C1920" t="s">
        <v>900</v>
      </c>
      <c r="D1920" t="s">
        <v>901</v>
      </c>
      <c r="E1920" t="s">
        <v>902</v>
      </c>
      <c r="F1920" t="s">
        <v>903</v>
      </c>
      <c r="G1920" t="s">
        <v>786</v>
      </c>
      <c r="H1920" t="s">
        <v>167</v>
      </c>
      <c r="I1920" t="s">
        <v>23</v>
      </c>
      <c r="J1920">
        <v>22.92</v>
      </c>
      <c r="K1920" s="1">
        <v>45666</v>
      </c>
      <c r="L1920" t="s">
        <v>105</v>
      </c>
      <c r="M1920">
        <v>9</v>
      </c>
      <c r="N1920">
        <v>1</v>
      </c>
      <c r="O1920">
        <v>1</v>
      </c>
      <c r="P1920">
        <v>2025</v>
      </c>
    </row>
    <row r="1921" spans="1:16">
      <c r="A1921">
        <v>275.56</v>
      </c>
      <c r="B1921">
        <v>4</v>
      </c>
      <c r="C1921" t="s">
        <v>1896</v>
      </c>
      <c r="D1921" t="s">
        <v>1897</v>
      </c>
      <c r="E1921" t="s">
        <v>1114</v>
      </c>
      <c r="F1921" t="s">
        <v>1026</v>
      </c>
      <c r="G1921" t="s">
        <v>896</v>
      </c>
      <c r="H1921" t="s">
        <v>606</v>
      </c>
      <c r="I1921" t="s">
        <v>82</v>
      </c>
      <c r="J1921">
        <v>68.89</v>
      </c>
      <c r="K1921" s="1">
        <v>45750</v>
      </c>
      <c r="L1921" t="s">
        <v>105</v>
      </c>
      <c r="M1921">
        <v>3</v>
      </c>
      <c r="N1921">
        <v>4</v>
      </c>
      <c r="O1921">
        <v>2</v>
      </c>
      <c r="P1921">
        <v>2025</v>
      </c>
    </row>
    <row r="1922" spans="1:16">
      <c r="A1922">
        <v>977.48</v>
      </c>
      <c r="B1922">
        <v>4</v>
      </c>
      <c r="C1922" t="s">
        <v>2554</v>
      </c>
      <c r="D1922" t="s">
        <v>2555</v>
      </c>
      <c r="E1922" t="s">
        <v>2004</v>
      </c>
      <c r="F1922" t="s">
        <v>1172</v>
      </c>
      <c r="G1922" t="s">
        <v>830</v>
      </c>
      <c r="H1922" t="s">
        <v>327</v>
      </c>
      <c r="I1922" t="s">
        <v>51</v>
      </c>
      <c r="J1922">
        <v>244.37</v>
      </c>
      <c r="K1922" s="1">
        <v>46069</v>
      </c>
      <c r="L1922" t="s">
        <v>93</v>
      </c>
      <c r="M1922">
        <v>16</v>
      </c>
      <c r="N1922">
        <v>2</v>
      </c>
      <c r="O1922">
        <v>1</v>
      </c>
      <c r="P1922">
        <v>2026</v>
      </c>
    </row>
    <row r="1923" spans="1:16">
      <c r="A1923">
        <v>228.26</v>
      </c>
      <c r="B1923">
        <v>1</v>
      </c>
      <c r="C1923" t="s">
        <v>2031</v>
      </c>
      <c r="D1923" t="s">
        <v>2032</v>
      </c>
      <c r="E1923" t="s">
        <v>2033</v>
      </c>
      <c r="F1923" t="s">
        <v>929</v>
      </c>
      <c r="G1923" t="s">
        <v>830</v>
      </c>
      <c r="H1923" t="s">
        <v>268</v>
      </c>
      <c r="I1923" t="s">
        <v>97</v>
      </c>
      <c r="J1923">
        <v>228.26</v>
      </c>
      <c r="K1923" s="1">
        <v>46005</v>
      </c>
      <c r="L1923" t="s">
        <v>28</v>
      </c>
      <c r="M1923">
        <v>14</v>
      </c>
      <c r="N1923">
        <v>12</v>
      </c>
      <c r="O1923">
        <v>4</v>
      </c>
      <c r="P1923">
        <v>2025</v>
      </c>
    </row>
    <row r="1924" spans="1:16">
      <c r="A1924">
        <v>406.38</v>
      </c>
      <c r="B1924">
        <v>3</v>
      </c>
      <c r="C1924" t="s">
        <v>2437</v>
      </c>
      <c r="D1924" t="s">
        <v>2438</v>
      </c>
      <c r="E1924" t="s">
        <v>1025</v>
      </c>
      <c r="F1924" t="s">
        <v>1111</v>
      </c>
      <c r="G1924" t="s">
        <v>981</v>
      </c>
      <c r="H1924" t="s">
        <v>503</v>
      </c>
      <c r="I1924" t="s">
        <v>43</v>
      </c>
      <c r="J1924">
        <v>135.46</v>
      </c>
      <c r="K1924" s="1">
        <v>45833</v>
      </c>
      <c r="L1924" t="s">
        <v>34</v>
      </c>
      <c r="M1924">
        <v>25</v>
      </c>
      <c r="N1924">
        <v>6</v>
      </c>
      <c r="O1924">
        <v>2</v>
      </c>
      <c r="P1924">
        <v>2025</v>
      </c>
    </row>
    <row r="1925" spans="1:16">
      <c r="A1925">
        <v>272.61</v>
      </c>
      <c r="B1925">
        <v>3</v>
      </c>
      <c r="C1925" t="s">
        <v>1058</v>
      </c>
      <c r="D1925" t="s">
        <v>1059</v>
      </c>
      <c r="E1925" t="s">
        <v>1060</v>
      </c>
      <c r="F1925" t="s">
        <v>1061</v>
      </c>
      <c r="G1925" t="s">
        <v>821</v>
      </c>
      <c r="H1925" t="s">
        <v>470</v>
      </c>
      <c r="I1925" t="s">
        <v>39</v>
      </c>
      <c r="J1925">
        <v>90.87</v>
      </c>
      <c r="K1925" s="1">
        <v>46032</v>
      </c>
      <c r="L1925" t="s">
        <v>14</v>
      </c>
      <c r="M1925">
        <v>10</v>
      </c>
      <c r="N1925">
        <v>1</v>
      </c>
      <c r="O1925">
        <v>1</v>
      </c>
      <c r="P1925">
        <v>2026</v>
      </c>
    </row>
    <row r="1926" spans="1:16">
      <c r="A1926">
        <v>162.85</v>
      </c>
      <c r="B1926">
        <v>5</v>
      </c>
      <c r="C1926" t="s">
        <v>3453</v>
      </c>
      <c r="D1926" t="s">
        <v>3454</v>
      </c>
      <c r="E1926" t="s">
        <v>1152</v>
      </c>
      <c r="F1926" t="s">
        <v>106</v>
      </c>
      <c r="G1926" t="s">
        <v>748</v>
      </c>
      <c r="H1926" t="s">
        <v>258</v>
      </c>
      <c r="I1926" t="s">
        <v>57</v>
      </c>
      <c r="J1926">
        <v>32.57</v>
      </c>
      <c r="K1926" s="1">
        <v>45734</v>
      </c>
      <c r="L1926" t="s">
        <v>48</v>
      </c>
      <c r="M1926">
        <v>18</v>
      </c>
      <c r="N1926">
        <v>3</v>
      </c>
      <c r="O1926">
        <v>1</v>
      </c>
      <c r="P1926">
        <v>2025</v>
      </c>
    </row>
    <row r="1927" spans="1:16">
      <c r="A1927">
        <v>444.52</v>
      </c>
      <c r="B1927">
        <v>4</v>
      </c>
      <c r="C1927" t="s">
        <v>1926</v>
      </c>
      <c r="D1927" t="s">
        <v>1927</v>
      </c>
      <c r="E1927" t="s">
        <v>998</v>
      </c>
      <c r="F1927" t="s">
        <v>666</v>
      </c>
      <c r="G1927" t="s">
        <v>954</v>
      </c>
      <c r="H1927" t="s">
        <v>269</v>
      </c>
      <c r="I1927" t="s">
        <v>60</v>
      </c>
      <c r="J1927">
        <v>111.13</v>
      </c>
      <c r="K1927" s="1">
        <v>45948</v>
      </c>
      <c r="L1927" t="s">
        <v>14</v>
      </c>
      <c r="M1927">
        <v>18</v>
      </c>
      <c r="N1927">
        <v>10</v>
      </c>
      <c r="O1927">
        <v>4</v>
      </c>
      <c r="P1927">
        <v>2025</v>
      </c>
    </row>
    <row r="1928" spans="1:16">
      <c r="A1928">
        <v>473.22</v>
      </c>
      <c r="B1928">
        <v>2</v>
      </c>
      <c r="C1928" t="s">
        <v>2779</v>
      </c>
      <c r="D1928" t="s">
        <v>2780</v>
      </c>
      <c r="E1928" t="s">
        <v>1020</v>
      </c>
      <c r="F1928" t="s">
        <v>883</v>
      </c>
      <c r="G1928" t="s">
        <v>807</v>
      </c>
      <c r="H1928" t="s">
        <v>235</v>
      </c>
      <c r="I1928" t="s">
        <v>19</v>
      </c>
      <c r="J1928">
        <v>236.61</v>
      </c>
      <c r="K1928" s="1">
        <v>46257</v>
      </c>
      <c r="L1928" t="s">
        <v>28</v>
      </c>
      <c r="M1928">
        <v>23</v>
      </c>
      <c r="N1928">
        <v>8</v>
      </c>
      <c r="O1928">
        <v>3</v>
      </c>
      <c r="P1928">
        <v>2026</v>
      </c>
    </row>
    <row r="1929" spans="1:16">
      <c r="A1929">
        <v>107.92</v>
      </c>
      <c r="B1929">
        <v>4</v>
      </c>
      <c r="C1929" t="s">
        <v>1027</v>
      </c>
      <c r="D1929" t="s">
        <v>1028</v>
      </c>
      <c r="E1929" t="s">
        <v>805</v>
      </c>
      <c r="F1929" t="s">
        <v>825</v>
      </c>
      <c r="G1929" t="s">
        <v>781</v>
      </c>
      <c r="H1929" t="s">
        <v>458</v>
      </c>
      <c r="I1929" t="s">
        <v>37</v>
      </c>
      <c r="J1929">
        <v>26.98</v>
      </c>
      <c r="K1929" s="1">
        <v>45604</v>
      </c>
      <c r="L1929" t="s">
        <v>79</v>
      </c>
      <c r="M1929">
        <v>8</v>
      </c>
      <c r="N1929">
        <v>11</v>
      </c>
      <c r="O1929">
        <v>4</v>
      </c>
      <c r="P1929">
        <v>2024</v>
      </c>
    </row>
    <row r="1930" spans="1:16">
      <c r="A1930">
        <v>539.52</v>
      </c>
      <c r="B1930">
        <v>4</v>
      </c>
      <c r="C1930" t="s">
        <v>2984</v>
      </c>
      <c r="D1930" t="s">
        <v>2985</v>
      </c>
      <c r="E1930" t="s">
        <v>1338</v>
      </c>
      <c r="F1930" t="s">
        <v>965</v>
      </c>
      <c r="G1930" t="s">
        <v>966</v>
      </c>
      <c r="H1930" t="s">
        <v>595</v>
      </c>
      <c r="I1930" t="s">
        <v>27</v>
      </c>
      <c r="J1930">
        <v>134.88</v>
      </c>
      <c r="K1930" s="1">
        <v>45747</v>
      </c>
      <c r="L1930" t="s">
        <v>93</v>
      </c>
      <c r="M1930">
        <v>31</v>
      </c>
      <c r="N1930">
        <v>3</v>
      </c>
      <c r="O1930">
        <v>1</v>
      </c>
      <c r="P1930">
        <v>2025</v>
      </c>
    </row>
    <row r="1931" spans="1:16">
      <c r="A1931">
        <v>36.76</v>
      </c>
      <c r="B1931">
        <v>4</v>
      </c>
      <c r="C1931" t="s">
        <v>3312</v>
      </c>
      <c r="D1931" t="s">
        <v>3313</v>
      </c>
      <c r="E1931" t="s">
        <v>1556</v>
      </c>
      <c r="F1931" t="s">
        <v>879</v>
      </c>
      <c r="G1931" t="s">
        <v>748</v>
      </c>
      <c r="H1931" t="s">
        <v>413</v>
      </c>
      <c r="I1931" t="s">
        <v>57</v>
      </c>
      <c r="J1931">
        <v>9.19</v>
      </c>
      <c r="K1931" s="1">
        <v>46069</v>
      </c>
      <c r="L1931" t="s">
        <v>93</v>
      </c>
      <c r="M1931">
        <v>16</v>
      </c>
      <c r="N1931">
        <v>2</v>
      </c>
      <c r="O1931">
        <v>1</v>
      </c>
      <c r="P1931">
        <v>2026</v>
      </c>
    </row>
    <row r="1932" spans="1:16">
      <c r="A1932">
        <v>114.86</v>
      </c>
      <c r="B1932">
        <v>2</v>
      </c>
      <c r="C1932" t="s">
        <v>1029</v>
      </c>
      <c r="D1932" t="s">
        <v>1030</v>
      </c>
      <c r="E1932" t="s">
        <v>1031</v>
      </c>
      <c r="F1932" t="s">
        <v>1032</v>
      </c>
      <c r="G1932" t="s">
        <v>839</v>
      </c>
      <c r="H1932" t="s">
        <v>730</v>
      </c>
      <c r="I1932" t="s">
        <v>51</v>
      </c>
      <c r="J1932">
        <v>57.43</v>
      </c>
      <c r="K1932" s="1">
        <v>45858</v>
      </c>
      <c r="L1932" t="s">
        <v>28</v>
      </c>
      <c r="M1932">
        <v>20</v>
      </c>
      <c r="N1932">
        <v>7</v>
      </c>
      <c r="O1932">
        <v>3</v>
      </c>
      <c r="P1932">
        <v>2025</v>
      </c>
    </row>
    <row r="1933" spans="1:16">
      <c r="A1933">
        <v>91.42</v>
      </c>
      <c r="B1933">
        <v>1</v>
      </c>
      <c r="C1933" t="s">
        <v>876</v>
      </c>
      <c r="D1933" t="s">
        <v>877</v>
      </c>
      <c r="E1933" t="s">
        <v>878</v>
      </c>
      <c r="F1933" t="s">
        <v>879</v>
      </c>
      <c r="G1933" t="s">
        <v>748</v>
      </c>
      <c r="H1933" t="s">
        <v>479</v>
      </c>
      <c r="I1933" t="s">
        <v>17</v>
      </c>
      <c r="J1933">
        <v>91.42</v>
      </c>
      <c r="K1933" s="1">
        <v>45726</v>
      </c>
      <c r="L1933" t="s">
        <v>93</v>
      </c>
      <c r="M1933">
        <v>10</v>
      </c>
      <c r="N1933">
        <v>3</v>
      </c>
      <c r="O1933">
        <v>1</v>
      </c>
      <c r="P1933">
        <v>2025</v>
      </c>
    </row>
    <row r="1934" spans="1:16">
      <c r="A1934">
        <v>45.54</v>
      </c>
      <c r="B1934">
        <v>2</v>
      </c>
      <c r="C1934" t="s">
        <v>2205</v>
      </c>
      <c r="D1934" t="s">
        <v>2206</v>
      </c>
      <c r="E1934" t="s">
        <v>1114</v>
      </c>
      <c r="F1934" t="s">
        <v>635</v>
      </c>
      <c r="G1934" t="s">
        <v>768</v>
      </c>
      <c r="H1934" t="s">
        <v>1250</v>
      </c>
      <c r="I1934" t="s">
        <v>23</v>
      </c>
      <c r="J1934">
        <v>22.77</v>
      </c>
      <c r="K1934" s="1">
        <v>45786</v>
      </c>
      <c r="L1934" t="s">
        <v>79</v>
      </c>
      <c r="M1934">
        <v>9</v>
      </c>
      <c r="N1934">
        <v>5</v>
      </c>
      <c r="O1934">
        <v>2</v>
      </c>
      <c r="P1934">
        <v>2025</v>
      </c>
    </row>
    <row r="1935" spans="1:16">
      <c r="A1935">
        <v>438.02</v>
      </c>
      <c r="B1935">
        <v>2</v>
      </c>
      <c r="C1935" t="s">
        <v>2189</v>
      </c>
      <c r="D1935" t="s">
        <v>2190</v>
      </c>
      <c r="E1935" t="s">
        <v>2191</v>
      </c>
      <c r="F1935" t="s">
        <v>1410</v>
      </c>
      <c r="G1935" t="s">
        <v>812</v>
      </c>
      <c r="H1935" t="s">
        <v>279</v>
      </c>
      <c r="I1935" t="s">
        <v>82</v>
      </c>
      <c r="J1935">
        <v>219.01</v>
      </c>
      <c r="K1935" s="1">
        <v>45965</v>
      </c>
      <c r="L1935" t="s">
        <v>48</v>
      </c>
      <c r="M1935">
        <v>4</v>
      </c>
      <c r="N1935">
        <v>11</v>
      </c>
      <c r="O1935">
        <v>4</v>
      </c>
      <c r="P1935">
        <v>2025</v>
      </c>
    </row>
    <row r="1936" spans="1:16">
      <c r="A1936">
        <v>701.73</v>
      </c>
      <c r="B1936">
        <v>3</v>
      </c>
      <c r="C1936" t="s">
        <v>2146</v>
      </c>
      <c r="D1936" t="s">
        <v>2147</v>
      </c>
      <c r="E1936" t="s">
        <v>2148</v>
      </c>
      <c r="F1936" t="s">
        <v>1525</v>
      </c>
      <c r="G1936" t="s">
        <v>763</v>
      </c>
      <c r="H1936" t="s">
        <v>272</v>
      </c>
      <c r="I1936" t="s">
        <v>55</v>
      </c>
      <c r="J1936">
        <v>233.91</v>
      </c>
      <c r="K1936" s="1">
        <v>45971</v>
      </c>
      <c r="L1936" t="s">
        <v>93</v>
      </c>
      <c r="M1936">
        <v>10</v>
      </c>
      <c r="N1936">
        <v>11</v>
      </c>
      <c r="O1936">
        <v>4</v>
      </c>
      <c r="P1936">
        <v>2025</v>
      </c>
    </row>
    <row r="1937" spans="1:16">
      <c r="A1937">
        <v>130.28</v>
      </c>
      <c r="B1937">
        <v>4</v>
      </c>
      <c r="C1937" t="s">
        <v>1804</v>
      </c>
      <c r="D1937" t="s">
        <v>1805</v>
      </c>
      <c r="E1937" t="s">
        <v>1127</v>
      </c>
      <c r="F1937" t="s">
        <v>15</v>
      </c>
      <c r="G1937" t="s">
        <v>834</v>
      </c>
      <c r="H1937" t="s">
        <v>258</v>
      </c>
      <c r="I1937" t="s">
        <v>57</v>
      </c>
      <c r="J1937">
        <v>32.57</v>
      </c>
      <c r="K1937" s="1">
        <v>46162</v>
      </c>
      <c r="L1937" t="s">
        <v>34</v>
      </c>
      <c r="M1937">
        <v>20</v>
      </c>
      <c r="N1937">
        <v>5</v>
      </c>
      <c r="O1937">
        <v>2</v>
      </c>
      <c r="P1937">
        <v>2026</v>
      </c>
    </row>
    <row r="1938" spans="1:16">
      <c r="A1938">
        <v>226.12</v>
      </c>
      <c r="B1938">
        <v>4</v>
      </c>
      <c r="C1938" t="s">
        <v>1186</v>
      </c>
      <c r="D1938" t="s">
        <v>1187</v>
      </c>
      <c r="E1938" t="s">
        <v>1188</v>
      </c>
      <c r="F1938" t="s">
        <v>1189</v>
      </c>
      <c r="G1938" t="s">
        <v>892</v>
      </c>
      <c r="H1938" t="s">
        <v>123</v>
      </c>
      <c r="I1938" t="s">
        <v>43</v>
      </c>
      <c r="J1938">
        <v>56.53</v>
      </c>
      <c r="K1938" s="1">
        <v>45772</v>
      </c>
      <c r="L1938" t="s">
        <v>79</v>
      </c>
      <c r="M1938">
        <v>25</v>
      </c>
      <c r="N1938">
        <v>4</v>
      </c>
      <c r="O1938">
        <v>2</v>
      </c>
      <c r="P1938">
        <v>2025</v>
      </c>
    </row>
    <row r="1939" spans="1:16">
      <c r="A1939">
        <v>352.92</v>
      </c>
      <c r="B1939">
        <v>2</v>
      </c>
      <c r="C1939" t="s">
        <v>2483</v>
      </c>
      <c r="D1939" t="s">
        <v>2484</v>
      </c>
      <c r="E1939" t="s">
        <v>1155</v>
      </c>
      <c r="F1939" t="s">
        <v>106</v>
      </c>
      <c r="G1939" t="s">
        <v>790</v>
      </c>
      <c r="H1939" t="s">
        <v>647</v>
      </c>
      <c r="I1939" t="s">
        <v>57</v>
      </c>
      <c r="J1939">
        <v>176.46</v>
      </c>
      <c r="K1939" s="1">
        <v>46144</v>
      </c>
      <c r="L1939" t="s">
        <v>14</v>
      </c>
      <c r="M1939">
        <v>2</v>
      </c>
      <c r="N1939">
        <v>5</v>
      </c>
      <c r="O1939">
        <v>2</v>
      </c>
      <c r="P1939">
        <v>2026</v>
      </c>
    </row>
    <row r="1940" spans="1:16">
      <c r="A1940">
        <v>445.09999999999997</v>
      </c>
      <c r="B1940">
        <v>5</v>
      </c>
      <c r="C1940" t="s">
        <v>1233</v>
      </c>
      <c r="D1940" t="s">
        <v>1234</v>
      </c>
      <c r="E1940" t="s">
        <v>1235</v>
      </c>
      <c r="F1940" t="s">
        <v>1236</v>
      </c>
      <c r="G1940" t="s">
        <v>807</v>
      </c>
      <c r="H1940" t="s">
        <v>399</v>
      </c>
      <c r="I1940" t="s">
        <v>55</v>
      </c>
      <c r="J1940">
        <v>89.02</v>
      </c>
      <c r="K1940" s="1">
        <v>45959</v>
      </c>
      <c r="L1940" t="s">
        <v>34</v>
      </c>
      <c r="M1940">
        <v>29</v>
      </c>
      <c r="N1940">
        <v>10</v>
      </c>
      <c r="O1940">
        <v>4</v>
      </c>
      <c r="P1940">
        <v>2025</v>
      </c>
    </row>
    <row r="1941" spans="1:16">
      <c r="A1941">
        <v>25.46</v>
      </c>
      <c r="B1941">
        <v>1</v>
      </c>
      <c r="C1941" t="s">
        <v>3423</v>
      </c>
      <c r="D1941" t="s">
        <v>3424</v>
      </c>
      <c r="E1941" t="s">
        <v>1859</v>
      </c>
      <c r="F1941" t="s">
        <v>829</v>
      </c>
      <c r="G1941" t="s">
        <v>830</v>
      </c>
      <c r="H1941" t="s">
        <v>86</v>
      </c>
      <c r="I1941" t="s">
        <v>46</v>
      </c>
      <c r="J1941">
        <v>25.46</v>
      </c>
      <c r="K1941" s="1">
        <v>46013</v>
      </c>
      <c r="L1941" t="s">
        <v>93</v>
      </c>
      <c r="M1941">
        <v>22</v>
      </c>
      <c r="N1941">
        <v>12</v>
      </c>
      <c r="O1941">
        <v>4</v>
      </c>
      <c r="P1941">
        <v>2025</v>
      </c>
    </row>
    <row r="1942" spans="1:16">
      <c r="A1942">
        <v>176.85000000000002</v>
      </c>
      <c r="B1942">
        <v>3</v>
      </c>
      <c r="C1942" t="s">
        <v>2724</v>
      </c>
      <c r="D1942" t="s">
        <v>2725</v>
      </c>
      <c r="E1942" t="s">
        <v>2726</v>
      </c>
      <c r="F1942" t="s">
        <v>965</v>
      </c>
      <c r="G1942" t="s">
        <v>966</v>
      </c>
      <c r="H1942" t="s">
        <v>75</v>
      </c>
      <c r="I1942" t="s">
        <v>27</v>
      </c>
      <c r="J1942">
        <v>58.95</v>
      </c>
      <c r="K1942" s="1">
        <v>45621</v>
      </c>
      <c r="L1942" t="s">
        <v>93</v>
      </c>
      <c r="M1942">
        <v>25</v>
      </c>
      <c r="N1942">
        <v>11</v>
      </c>
      <c r="O1942">
        <v>4</v>
      </c>
      <c r="P1942">
        <v>2024</v>
      </c>
    </row>
    <row r="1943" spans="1:16">
      <c r="A1943">
        <v>110.93</v>
      </c>
      <c r="B1943">
        <v>1</v>
      </c>
      <c r="C1943" t="s">
        <v>3123</v>
      </c>
      <c r="D1943" t="s">
        <v>3124</v>
      </c>
      <c r="E1943" t="s">
        <v>3114</v>
      </c>
      <c r="F1943" t="s">
        <v>1007</v>
      </c>
      <c r="G1943" t="s">
        <v>966</v>
      </c>
      <c r="H1943" t="s">
        <v>457</v>
      </c>
      <c r="I1943" t="s">
        <v>25</v>
      </c>
      <c r="J1943">
        <v>110.93</v>
      </c>
      <c r="K1943" s="1">
        <v>45576</v>
      </c>
      <c r="L1943" t="s">
        <v>79</v>
      </c>
      <c r="M1943">
        <v>11</v>
      </c>
      <c r="N1943">
        <v>10</v>
      </c>
      <c r="O1943">
        <v>4</v>
      </c>
      <c r="P1943">
        <v>2024</v>
      </c>
    </row>
    <row r="1944" spans="1:16">
      <c r="A1944">
        <v>67.12</v>
      </c>
      <c r="B1944">
        <v>2</v>
      </c>
      <c r="C1944" t="s">
        <v>2125</v>
      </c>
      <c r="D1944" t="s">
        <v>2126</v>
      </c>
      <c r="E1944" t="s">
        <v>1562</v>
      </c>
      <c r="F1944" t="s">
        <v>1607</v>
      </c>
      <c r="G1944" t="s">
        <v>839</v>
      </c>
      <c r="H1944" t="s">
        <v>609</v>
      </c>
      <c r="I1944" t="s">
        <v>27</v>
      </c>
      <c r="J1944">
        <v>33.56</v>
      </c>
      <c r="K1944" s="1">
        <v>45691</v>
      </c>
      <c r="L1944" t="s">
        <v>93</v>
      </c>
      <c r="M1944">
        <v>3</v>
      </c>
      <c r="N1944">
        <v>2</v>
      </c>
      <c r="O1944">
        <v>1</v>
      </c>
      <c r="P1944">
        <v>2025</v>
      </c>
    </row>
    <row r="1945" spans="1:16">
      <c r="A1945">
        <v>104.04</v>
      </c>
      <c r="B1945">
        <v>1</v>
      </c>
      <c r="C1945" t="s">
        <v>1427</v>
      </c>
      <c r="D1945" t="s">
        <v>1428</v>
      </c>
      <c r="E1945" t="s">
        <v>1429</v>
      </c>
      <c r="F1945" t="s">
        <v>1168</v>
      </c>
      <c r="G1945" t="s">
        <v>758</v>
      </c>
      <c r="H1945" t="s">
        <v>507</v>
      </c>
      <c r="I1945" t="s">
        <v>55</v>
      </c>
      <c r="J1945">
        <v>104.04</v>
      </c>
      <c r="K1945" s="1">
        <v>46016</v>
      </c>
      <c r="L1945" t="s">
        <v>105</v>
      </c>
      <c r="M1945">
        <v>25</v>
      </c>
      <c r="N1945">
        <v>12</v>
      </c>
      <c r="O1945">
        <v>4</v>
      </c>
      <c r="P1945">
        <v>2025</v>
      </c>
    </row>
    <row r="1946" spans="1:16">
      <c r="A1946">
        <v>706.80000000000007</v>
      </c>
      <c r="B1946">
        <v>5</v>
      </c>
      <c r="C1946" t="s">
        <v>1794</v>
      </c>
      <c r="D1946" t="s">
        <v>1795</v>
      </c>
      <c r="E1946" t="s">
        <v>1016</v>
      </c>
      <c r="F1946" t="s">
        <v>762</v>
      </c>
      <c r="G1946" t="s">
        <v>763</v>
      </c>
      <c r="H1946" t="s">
        <v>181</v>
      </c>
      <c r="I1946" t="s">
        <v>82</v>
      </c>
      <c r="J1946">
        <v>141.36000000000001</v>
      </c>
      <c r="K1946" s="1">
        <v>45655</v>
      </c>
      <c r="L1946" t="s">
        <v>28</v>
      </c>
      <c r="M1946">
        <v>29</v>
      </c>
      <c r="N1946">
        <v>12</v>
      </c>
      <c r="O1946">
        <v>4</v>
      </c>
      <c r="P1946">
        <v>2024</v>
      </c>
    </row>
    <row r="1947" spans="1:16">
      <c r="A1947">
        <v>205.24</v>
      </c>
      <c r="B1947">
        <v>2</v>
      </c>
      <c r="C1947" t="s">
        <v>3218</v>
      </c>
      <c r="D1947" t="s">
        <v>3219</v>
      </c>
      <c r="E1947" t="s">
        <v>2845</v>
      </c>
      <c r="F1947" t="s">
        <v>829</v>
      </c>
      <c r="G1947" t="s">
        <v>830</v>
      </c>
      <c r="H1947" t="s">
        <v>348</v>
      </c>
      <c r="I1947" t="s">
        <v>60</v>
      </c>
      <c r="J1947">
        <v>102.62</v>
      </c>
      <c r="K1947" s="1">
        <v>45737</v>
      </c>
      <c r="L1947" t="s">
        <v>79</v>
      </c>
      <c r="M1947">
        <v>21</v>
      </c>
      <c r="N1947">
        <v>3</v>
      </c>
      <c r="O1947">
        <v>1</v>
      </c>
      <c r="P1947">
        <v>2025</v>
      </c>
    </row>
    <row r="1948" spans="1:16">
      <c r="A1948">
        <v>141.76</v>
      </c>
      <c r="B1948">
        <v>4</v>
      </c>
      <c r="C1948" t="s">
        <v>2746</v>
      </c>
      <c r="D1948" t="s">
        <v>2747</v>
      </c>
      <c r="E1948" t="s">
        <v>1793</v>
      </c>
      <c r="F1948" t="s">
        <v>780</v>
      </c>
      <c r="G1948" t="s">
        <v>781</v>
      </c>
      <c r="H1948" t="s">
        <v>173</v>
      </c>
      <c r="I1948" t="s">
        <v>55</v>
      </c>
      <c r="J1948">
        <v>35.44</v>
      </c>
      <c r="K1948" s="1">
        <v>45678</v>
      </c>
      <c r="L1948" t="s">
        <v>48</v>
      </c>
      <c r="M1948">
        <v>21</v>
      </c>
      <c r="N1948">
        <v>1</v>
      </c>
      <c r="O1948">
        <v>1</v>
      </c>
      <c r="P1948">
        <v>2025</v>
      </c>
    </row>
    <row r="1949" spans="1:16">
      <c r="A1949">
        <v>583.36</v>
      </c>
      <c r="B1949">
        <v>4</v>
      </c>
      <c r="C1949" t="s">
        <v>3191</v>
      </c>
      <c r="D1949" t="s">
        <v>3192</v>
      </c>
      <c r="E1949" t="s">
        <v>1862</v>
      </c>
      <c r="F1949" t="s">
        <v>1465</v>
      </c>
      <c r="G1949" t="s">
        <v>817</v>
      </c>
      <c r="H1949" t="s">
        <v>178</v>
      </c>
      <c r="I1949" t="s">
        <v>122</v>
      </c>
      <c r="J1949">
        <v>145.84</v>
      </c>
      <c r="K1949" s="1">
        <v>45606</v>
      </c>
      <c r="L1949" t="s">
        <v>28</v>
      </c>
      <c r="M1949">
        <v>10</v>
      </c>
      <c r="N1949">
        <v>11</v>
      </c>
      <c r="O1949">
        <v>4</v>
      </c>
      <c r="P1949">
        <v>2024</v>
      </c>
    </row>
    <row r="1950" spans="1:16">
      <c r="A1950">
        <v>4.1100000000000003</v>
      </c>
      <c r="B1950">
        <v>3</v>
      </c>
      <c r="C1950" t="s">
        <v>1839</v>
      </c>
      <c r="D1950" t="s">
        <v>1840</v>
      </c>
      <c r="E1950" t="s">
        <v>902</v>
      </c>
      <c r="F1950" t="s">
        <v>1841</v>
      </c>
      <c r="G1950" t="s">
        <v>753</v>
      </c>
      <c r="H1950" t="s">
        <v>85</v>
      </c>
      <c r="I1950" t="s">
        <v>37</v>
      </c>
      <c r="J1950">
        <v>1.37</v>
      </c>
      <c r="K1950" s="1">
        <v>46243</v>
      </c>
      <c r="L1950" t="s">
        <v>28</v>
      </c>
      <c r="M1950">
        <v>9</v>
      </c>
      <c r="N1950">
        <v>8</v>
      </c>
      <c r="O1950">
        <v>3</v>
      </c>
      <c r="P1950">
        <v>2026</v>
      </c>
    </row>
    <row r="1951" spans="1:16">
      <c r="A1951">
        <v>62.91</v>
      </c>
      <c r="B1951">
        <v>3</v>
      </c>
      <c r="C1951" t="s">
        <v>2129</v>
      </c>
      <c r="D1951" t="s">
        <v>2130</v>
      </c>
      <c r="E1951" t="s">
        <v>998</v>
      </c>
      <c r="F1951" t="s">
        <v>380</v>
      </c>
      <c r="G1951" t="s">
        <v>776</v>
      </c>
      <c r="H1951" t="s">
        <v>472</v>
      </c>
      <c r="I1951" t="s">
        <v>122</v>
      </c>
      <c r="J1951">
        <v>20.97</v>
      </c>
      <c r="K1951" s="1">
        <v>45711</v>
      </c>
      <c r="L1951" t="s">
        <v>28</v>
      </c>
      <c r="M1951">
        <v>23</v>
      </c>
      <c r="N1951">
        <v>2</v>
      </c>
      <c r="O1951">
        <v>1</v>
      </c>
      <c r="P1951">
        <v>2025</v>
      </c>
    </row>
    <row r="1952" spans="1:16">
      <c r="A1952">
        <v>718.1</v>
      </c>
      <c r="B1952">
        <v>5</v>
      </c>
      <c r="C1952" t="s">
        <v>2953</v>
      </c>
      <c r="D1952" t="s">
        <v>2954</v>
      </c>
      <c r="E1952" t="s">
        <v>1698</v>
      </c>
      <c r="F1952" t="s">
        <v>1395</v>
      </c>
      <c r="G1952" t="s">
        <v>776</v>
      </c>
      <c r="H1952" t="s">
        <v>326</v>
      </c>
      <c r="I1952" t="s">
        <v>97</v>
      </c>
      <c r="J1952">
        <v>143.62</v>
      </c>
      <c r="K1952" s="1">
        <v>45937</v>
      </c>
      <c r="L1952" t="s">
        <v>48</v>
      </c>
      <c r="M1952">
        <v>7</v>
      </c>
      <c r="N1952">
        <v>10</v>
      </c>
      <c r="O1952">
        <v>4</v>
      </c>
      <c r="P1952">
        <v>2025</v>
      </c>
    </row>
    <row r="1953" spans="1:16">
      <c r="A1953">
        <v>282.64999999999998</v>
      </c>
      <c r="B1953">
        <v>5</v>
      </c>
      <c r="C1953" t="s">
        <v>916</v>
      </c>
      <c r="D1953" t="s">
        <v>917</v>
      </c>
      <c r="E1953" t="s">
        <v>918</v>
      </c>
      <c r="F1953" t="s">
        <v>919</v>
      </c>
      <c r="G1953" t="s">
        <v>786</v>
      </c>
      <c r="H1953" t="s">
        <v>123</v>
      </c>
      <c r="I1953" t="s">
        <v>43</v>
      </c>
      <c r="J1953">
        <v>56.53</v>
      </c>
      <c r="K1953" s="1">
        <v>45716</v>
      </c>
      <c r="L1953" t="s">
        <v>79</v>
      </c>
      <c r="M1953">
        <v>28</v>
      </c>
      <c r="N1953">
        <v>2</v>
      </c>
      <c r="O1953">
        <v>1</v>
      </c>
      <c r="P1953">
        <v>2025</v>
      </c>
    </row>
    <row r="1954" spans="1:16">
      <c r="A1954">
        <v>5.0999999999999996</v>
      </c>
      <c r="B1954">
        <v>5</v>
      </c>
      <c r="C1954" t="s">
        <v>2016</v>
      </c>
      <c r="D1954" t="s">
        <v>2017</v>
      </c>
      <c r="E1954" t="s">
        <v>1585</v>
      </c>
      <c r="F1954" t="s">
        <v>29</v>
      </c>
      <c r="G1954" t="s">
        <v>763</v>
      </c>
      <c r="H1954" t="s">
        <v>477</v>
      </c>
      <c r="I1954" t="s">
        <v>39</v>
      </c>
      <c r="J1954">
        <v>1.02</v>
      </c>
      <c r="K1954" s="1">
        <v>45955</v>
      </c>
      <c r="L1954" t="s">
        <v>14</v>
      </c>
      <c r="M1954">
        <v>25</v>
      </c>
      <c r="N1954">
        <v>10</v>
      </c>
      <c r="O1954">
        <v>4</v>
      </c>
      <c r="P1954">
        <v>2025</v>
      </c>
    </row>
    <row r="1955" spans="1:16">
      <c r="A1955">
        <v>53.87</v>
      </c>
      <c r="B1955">
        <v>1</v>
      </c>
      <c r="C1955" t="s">
        <v>1083</v>
      </c>
      <c r="D1955" t="s">
        <v>1084</v>
      </c>
      <c r="E1955" t="s">
        <v>1085</v>
      </c>
      <c r="F1955" t="s">
        <v>1007</v>
      </c>
      <c r="G1955" t="s">
        <v>966</v>
      </c>
      <c r="H1955" t="s">
        <v>2034</v>
      </c>
      <c r="I1955" t="s">
        <v>100</v>
      </c>
      <c r="J1955">
        <v>53.87</v>
      </c>
      <c r="K1955" s="1">
        <v>46251</v>
      </c>
      <c r="L1955" t="s">
        <v>93</v>
      </c>
      <c r="M1955">
        <v>17</v>
      </c>
      <c r="N1955">
        <v>8</v>
      </c>
      <c r="O1955">
        <v>3</v>
      </c>
      <c r="P1955">
        <v>2026</v>
      </c>
    </row>
    <row r="1956" spans="1:16">
      <c r="A1956">
        <v>37.86</v>
      </c>
      <c r="B1956">
        <v>3</v>
      </c>
      <c r="C1956" t="s">
        <v>2464</v>
      </c>
      <c r="D1956" t="s">
        <v>2465</v>
      </c>
      <c r="E1956" t="s">
        <v>1660</v>
      </c>
      <c r="F1956" t="s">
        <v>513</v>
      </c>
      <c r="G1956" t="s">
        <v>786</v>
      </c>
      <c r="H1956" t="s">
        <v>256</v>
      </c>
      <c r="I1956" t="s">
        <v>31</v>
      </c>
      <c r="J1956">
        <v>12.62</v>
      </c>
      <c r="K1956" s="1">
        <v>45766</v>
      </c>
      <c r="L1956" t="s">
        <v>14</v>
      </c>
      <c r="M1956">
        <v>19</v>
      </c>
      <c r="N1956">
        <v>4</v>
      </c>
      <c r="O1956">
        <v>2</v>
      </c>
      <c r="P1956">
        <v>2025</v>
      </c>
    </row>
    <row r="1957" spans="1:16">
      <c r="A1957">
        <v>99.390000000000015</v>
      </c>
      <c r="B1957">
        <v>3</v>
      </c>
      <c r="C1957" t="s">
        <v>3060</v>
      </c>
      <c r="D1957" t="s">
        <v>2894</v>
      </c>
      <c r="E1957" t="s">
        <v>925</v>
      </c>
      <c r="F1957" t="s">
        <v>513</v>
      </c>
      <c r="G1957" t="s">
        <v>786</v>
      </c>
      <c r="H1957" t="s">
        <v>164</v>
      </c>
      <c r="I1957" t="s">
        <v>46</v>
      </c>
      <c r="J1957">
        <v>33.130000000000003</v>
      </c>
      <c r="K1957" s="1">
        <v>46170</v>
      </c>
      <c r="L1957" t="s">
        <v>105</v>
      </c>
      <c r="M1957">
        <v>28</v>
      </c>
      <c r="N1957">
        <v>5</v>
      </c>
      <c r="O1957">
        <v>2</v>
      </c>
      <c r="P1957">
        <v>2026</v>
      </c>
    </row>
    <row r="1958" spans="1:16">
      <c r="A1958">
        <v>953.8</v>
      </c>
      <c r="B1958">
        <v>5</v>
      </c>
      <c r="C1958" t="s">
        <v>1480</v>
      </c>
      <c r="D1958" t="s">
        <v>1481</v>
      </c>
      <c r="E1958" t="s">
        <v>1482</v>
      </c>
      <c r="F1958" t="s">
        <v>15</v>
      </c>
      <c r="G1958" t="s">
        <v>834</v>
      </c>
      <c r="H1958" t="s">
        <v>1430</v>
      </c>
      <c r="I1958" t="s">
        <v>60</v>
      </c>
      <c r="J1958">
        <v>190.76</v>
      </c>
      <c r="K1958" s="1">
        <v>45859</v>
      </c>
      <c r="L1958" t="s">
        <v>93</v>
      </c>
      <c r="M1958">
        <v>21</v>
      </c>
      <c r="N1958">
        <v>7</v>
      </c>
      <c r="O1958">
        <v>3</v>
      </c>
      <c r="P1958">
        <v>2025</v>
      </c>
    </row>
    <row r="1959" spans="1:16">
      <c r="A1959">
        <v>349.45</v>
      </c>
      <c r="B1959">
        <v>5</v>
      </c>
      <c r="C1959" t="s">
        <v>2437</v>
      </c>
      <c r="D1959" t="s">
        <v>2438</v>
      </c>
      <c r="E1959" t="s">
        <v>1025</v>
      </c>
      <c r="F1959" t="s">
        <v>1111</v>
      </c>
      <c r="G1959" t="s">
        <v>981</v>
      </c>
      <c r="H1959" t="s">
        <v>366</v>
      </c>
      <c r="I1959" t="s">
        <v>19</v>
      </c>
      <c r="J1959">
        <v>69.89</v>
      </c>
      <c r="K1959" s="1">
        <v>45748</v>
      </c>
      <c r="L1959" t="s">
        <v>48</v>
      </c>
      <c r="M1959">
        <v>1</v>
      </c>
      <c r="N1959">
        <v>4</v>
      </c>
      <c r="O1959">
        <v>2</v>
      </c>
      <c r="P1959">
        <v>2025</v>
      </c>
    </row>
    <row r="1960" spans="1:16">
      <c r="A1960">
        <v>16.830000000000002</v>
      </c>
      <c r="B1960">
        <v>3</v>
      </c>
      <c r="C1960" t="s">
        <v>2028</v>
      </c>
      <c r="D1960" t="s">
        <v>2029</v>
      </c>
      <c r="E1960" t="s">
        <v>2030</v>
      </c>
      <c r="F1960" t="s">
        <v>1002</v>
      </c>
      <c r="G1960" t="s">
        <v>892</v>
      </c>
      <c r="H1960" t="s">
        <v>352</v>
      </c>
      <c r="I1960" t="s">
        <v>82</v>
      </c>
      <c r="J1960">
        <v>5.61</v>
      </c>
      <c r="K1960" s="1">
        <v>45815</v>
      </c>
      <c r="L1960" t="s">
        <v>14</v>
      </c>
      <c r="M1960">
        <v>7</v>
      </c>
      <c r="N1960">
        <v>6</v>
      </c>
      <c r="O1960">
        <v>2</v>
      </c>
      <c r="P1960">
        <v>2025</v>
      </c>
    </row>
    <row r="1961" spans="1:16">
      <c r="A1961">
        <v>748.65</v>
      </c>
      <c r="B1961">
        <v>5</v>
      </c>
      <c r="C1961" t="s">
        <v>2198</v>
      </c>
      <c r="D1961" t="s">
        <v>2199</v>
      </c>
      <c r="E1961" t="s">
        <v>1505</v>
      </c>
      <c r="F1961" t="s">
        <v>1722</v>
      </c>
      <c r="G1961" t="s">
        <v>954</v>
      </c>
      <c r="H1961" t="s">
        <v>425</v>
      </c>
      <c r="I1961" t="s">
        <v>51</v>
      </c>
      <c r="J1961">
        <v>149.72999999999999</v>
      </c>
      <c r="K1961" s="1">
        <v>45922</v>
      </c>
      <c r="L1961" t="s">
        <v>93</v>
      </c>
      <c r="M1961">
        <v>22</v>
      </c>
      <c r="N1961">
        <v>9</v>
      </c>
      <c r="O1961">
        <v>3</v>
      </c>
      <c r="P1961">
        <v>2025</v>
      </c>
    </row>
    <row r="1962" spans="1:16">
      <c r="A1962">
        <v>81.03</v>
      </c>
      <c r="B1962">
        <v>3</v>
      </c>
      <c r="C1962" t="s">
        <v>1879</v>
      </c>
      <c r="D1962" t="s">
        <v>1880</v>
      </c>
      <c r="E1962" t="s">
        <v>1881</v>
      </c>
      <c r="F1962" t="s">
        <v>1882</v>
      </c>
      <c r="G1962" t="s">
        <v>795</v>
      </c>
      <c r="H1962" t="s">
        <v>117</v>
      </c>
      <c r="I1962" t="s">
        <v>55</v>
      </c>
      <c r="J1962">
        <v>27.01</v>
      </c>
      <c r="K1962" s="1">
        <v>45841</v>
      </c>
      <c r="L1962" t="s">
        <v>105</v>
      </c>
      <c r="M1962">
        <v>3</v>
      </c>
      <c r="N1962">
        <v>7</v>
      </c>
      <c r="O1962">
        <v>3</v>
      </c>
      <c r="P1962">
        <v>2025</v>
      </c>
    </row>
    <row r="1963" spans="1:16">
      <c r="A1963">
        <v>172.89</v>
      </c>
      <c r="B1963">
        <v>1</v>
      </c>
      <c r="C1963" t="s">
        <v>2641</v>
      </c>
      <c r="D1963" t="s">
        <v>2642</v>
      </c>
      <c r="E1963" t="s">
        <v>2643</v>
      </c>
      <c r="F1963" t="s">
        <v>785</v>
      </c>
      <c r="G1963" t="s">
        <v>786</v>
      </c>
      <c r="H1963" t="s">
        <v>2166</v>
      </c>
      <c r="I1963" t="s">
        <v>21</v>
      </c>
      <c r="J1963">
        <v>172.89</v>
      </c>
      <c r="K1963" s="1">
        <v>45562</v>
      </c>
      <c r="L1963" t="s">
        <v>79</v>
      </c>
      <c r="M1963">
        <v>27</v>
      </c>
      <c r="N1963">
        <v>9</v>
      </c>
      <c r="O1963">
        <v>3</v>
      </c>
      <c r="P1963">
        <v>2024</v>
      </c>
    </row>
    <row r="1964" spans="1:16">
      <c r="A1964">
        <v>191.96</v>
      </c>
      <c r="B1964">
        <v>1</v>
      </c>
      <c r="C1964" t="s">
        <v>1543</v>
      </c>
      <c r="D1964" t="s">
        <v>1544</v>
      </c>
      <c r="E1964" t="s">
        <v>1545</v>
      </c>
      <c r="F1964" t="s">
        <v>29</v>
      </c>
      <c r="G1964" t="s">
        <v>763</v>
      </c>
      <c r="H1964" t="s">
        <v>231</v>
      </c>
      <c r="I1964" t="s">
        <v>37</v>
      </c>
      <c r="J1964">
        <v>191.96</v>
      </c>
      <c r="K1964" s="1">
        <v>46269</v>
      </c>
      <c r="L1964" t="s">
        <v>79</v>
      </c>
      <c r="M1964">
        <v>4</v>
      </c>
      <c r="N1964">
        <v>9</v>
      </c>
      <c r="O1964">
        <v>3</v>
      </c>
      <c r="P1964">
        <v>2026</v>
      </c>
    </row>
    <row r="1965" spans="1:16">
      <c r="A1965">
        <v>245.37</v>
      </c>
      <c r="B1965">
        <v>3</v>
      </c>
      <c r="C1965" t="s">
        <v>3019</v>
      </c>
      <c r="D1965" t="s">
        <v>3020</v>
      </c>
      <c r="E1965" t="s">
        <v>1404</v>
      </c>
      <c r="F1965" t="s">
        <v>1002</v>
      </c>
      <c r="G1965" t="s">
        <v>892</v>
      </c>
      <c r="H1965" t="s">
        <v>155</v>
      </c>
      <c r="I1965" t="s">
        <v>19</v>
      </c>
      <c r="J1965">
        <v>81.790000000000006</v>
      </c>
      <c r="K1965" s="1">
        <v>46006</v>
      </c>
      <c r="L1965" t="s">
        <v>93</v>
      </c>
      <c r="M1965">
        <v>15</v>
      </c>
      <c r="N1965">
        <v>12</v>
      </c>
      <c r="O1965">
        <v>4</v>
      </c>
      <c r="P1965">
        <v>2025</v>
      </c>
    </row>
    <row r="1966" spans="1:16">
      <c r="A1966">
        <v>469.76</v>
      </c>
      <c r="B1966">
        <v>4</v>
      </c>
      <c r="C1966" t="s">
        <v>1153</v>
      </c>
      <c r="D1966" t="s">
        <v>1154</v>
      </c>
      <c r="E1966" t="s">
        <v>1155</v>
      </c>
      <c r="F1966" t="s">
        <v>1156</v>
      </c>
      <c r="G1966" t="s">
        <v>821</v>
      </c>
      <c r="H1966" t="s">
        <v>419</v>
      </c>
      <c r="I1966" t="s">
        <v>39</v>
      </c>
      <c r="J1966">
        <v>117.44</v>
      </c>
      <c r="K1966" s="1">
        <v>45934</v>
      </c>
      <c r="L1966" t="s">
        <v>14</v>
      </c>
      <c r="M1966">
        <v>4</v>
      </c>
      <c r="N1966">
        <v>10</v>
      </c>
      <c r="O1966">
        <v>4</v>
      </c>
      <c r="P1966">
        <v>2025</v>
      </c>
    </row>
    <row r="1967" spans="1:16">
      <c r="A1967">
        <v>230.82</v>
      </c>
      <c r="B1967">
        <v>3</v>
      </c>
      <c r="C1967" t="s">
        <v>847</v>
      </c>
      <c r="D1967" t="s">
        <v>848</v>
      </c>
      <c r="E1967" t="s">
        <v>849</v>
      </c>
      <c r="F1967" t="s">
        <v>387</v>
      </c>
      <c r="G1967" t="s">
        <v>821</v>
      </c>
      <c r="H1967" t="s">
        <v>119</v>
      </c>
      <c r="I1967" t="s">
        <v>60</v>
      </c>
      <c r="J1967">
        <v>76.94</v>
      </c>
      <c r="K1967" s="1">
        <v>46192</v>
      </c>
      <c r="L1967" t="s">
        <v>79</v>
      </c>
      <c r="M1967">
        <v>19</v>
      </c>
      <c r="N1967">
        <v>6</v>
      </c>
      <c r="O1967">
        <v>2</v>
      </c>
      <c r="P1967">
        <v>2026</v>
      </c>
    </row>
    <row r="1968" spans="1:16">
      <c r="A1968">
        <v>82.320000000000007</v>
      </c>
      <c r="B1968">
        <v>3</v>
      </c>
      <c r="C1968" t="s">
        <v>1750</v>
      </c>
      <c r="D1968" t="s">
        <v>1751</v>
      </c>
      <c r="E1968" t="s">
        <v>771</v>
      </c>
      <c r="F1968" t="s">
        <v>780</v>
      </c>
      <c r="G1968" t="s">
        <v>781</v>
      </c>
      <c r="H1968" t="s">
        <v>722</v>
      </c>
      <c r="I1968" t="s">
        <v>37</v>
      </c>
      <c r="J1968">
        <v>27.44</v>
      </c>
      <c r="K1968" s="1">
        <v>45685</v>
      </c>
      <c r="L1968" t="s">
        <v>48</v>
      </c>
      <c r="M1968">
        <v>28</v>
      </c>
      <c r="N1968">
        <v>1</v>
      </c>
      <c r="O1968">
        <v>1</v>
      </c>
      <c r="P1968">
        <v>2025</v>
      </c>
    </row>
    <row r="1969" spans="1:16">
      <c r="A1969">
        <v>87.62</v>
      </c>
      <c r="B1969">
        <v>2</v>
      </c>
      <c r="C1969" t="s">
        <v>3278</v>
      </c>
      <c r="D1969" t="s">
        <v>3279</v>
      </c>
      <c r="E1969" t="s">
        <v>1725</v>
      </c>
      <c r="F1969" t="s">
        <v>929</v>
      </c>
      <c r="G1969" t="s">
        <v>786</v>
      </c>
      <c r="H1969" t="s">
        <v>354</v>
      </c>
      <c r="I1969" t="s">
        <v>31</v>
      </c>
      <c r="J1969">
        <v>43.81</v>
      </c>
      <c r="K1969" s="1">
        <v>45799</v>
      </c>
      <c r="L1969" t="s">
        <v>105</v>
      </c>
      <c r="M1969">
        <v>22</v>
      </c>
      <c r="N1969">
        <v>5</v>
      </c>
      <c r="O1969">
        <v>2</v>
      </c>
      <c r="P1969">
        <v>2025</v>
      </c>
    </row>
    <row r="1970" spans="1:16">
      <c r="A1970">
        <v>350.56</v>
      </c>
      <c r="B1970">
        <v>4</v>
      </c>
      <c r="C1970" t="s">
        <v>2420</v>
      </c>
      <c r="D1970" t="s">
        <v>2421</v>
      </c>
      <c r="E1970" t="s">
        <v>1001</v>
      </c>
      <c r="F1970" t="s">
        <v>1254</v>
      </c>
      <c r="G1970" t="s">
        <v>781</v>
      </c>
      <c r="H1970" t="s">
        <v>561</v>
      </c>
      <c r="I1970" t="s">
        <v>17</v>
      </c>
      <c r="J1970">
        <v>87.64</v>
      </c>
      <c r="K1970" s="1">
        <v>45987</v>
      </c>
      <c r="L1970" t="s">
        <v>34</v>
      </c>
      <c r="M1970">
        <v>26</v>
      </c>
      <c r="N1970">
        <v>11</v>
      </c>
      <c r="O1970">
        <v>4</v>
      </c>
      <c r="P1970">
        <v>2025</v>
      </c>
    </row>
    <row r="1971" spans="1:16">
      <c r="A1971">
        <v>1175.5500000000002</v>
      </c>
      <c r="B1971">
        <v>5</v>
      </c>
      <c r="C1971" t="s">
        <v>2417</v>
      </c>
      <c r="D1971" t="s">
        <v>2418</v>
      </c>
      <c r="E1971" t="s">
        <v>2419</v>
      </c>
      <c r="F1971" t="s">
        <v>995</v>
      </c>
      <c r="G1971" t="s">
        <v>781</v>
      </c>
      <c r="H1971" t="s">
        <v>337</v>
      </c>
      <c r="I1971" t="s">
        <v>37</v>
      </c>
      <c r="J1971">
        <v>235.11</v>
      </c>
      <c r="K1971" s="1">
        <v>45817</v>
      </c>
      <c r="L1971" t="s">
        <v>93</v>
      </c>
      <c r="M1971">
        <v>9</v>
      </c>
      <c r="N1971">
        <v>6</v>
      </c>
      <c r="O1971">
        <v>2</v>
      </c>
      <c r="P1971">
        <v>2025</v>
      </c>
    </row>
    <row r="1972" spans="1:16">
      <c r="A1972">
        <v>323.12</v>
      </c>
      <c r="B1972">
        <v>2</v>
      </c>
      <c r="C1972" t="s">
        <v>2501</v>
      </c>
      <c r="D1972" t="s">
        <v>2502</v>
      </c>
      <c r="E1972" t="s">
        <v>2503</v>
      </c>
      <c r="F1972" t="s">
        <v>548</v>
      </c>
      <c r="G1972" t="s">
        <v>790</v>
      </c>
      <c r="H1972" t="s">
        <v>422</v>
      </c>
      <c r="I1972" t="s">
        <v>122</v>
      </c>
      <c r="J1972">
        <v>161.56</v>
      </c>
      <c r="K1972" s="1">
        <v>45963</v>
      </c>
      <c r="L1972" t="s">
        <v>28</v>
      </c>
      <c r="M1972">
        <v>2</v>
      </c>
      <c r="N1972">
        <v>11</v>
      </c>
      <c r="O1972">
        <v>4</v>
      </c>
      <c r="P1972">
        <v>2025</v>
      </c>
    </row>
    <row r="1973" spans="1:16">
      <c r="A1973">
        <v>23.18</v>
      </c>
      <c r="B1973">
        <v>2</v>
      </c>
      <c r="C1973" t="s">
        <v>1617</v>
      </c>
      <c r="D1973" t="s">
        <v>1618</v>
      </c>
      <c r="E1973" t="s">
        <v>1619</v>
      </c>
      <c r="F1973" t="s">
        <v>1189</v>
      </c>
      <c r="G1973" t="s">
        <v>892</v>
      </c>
      <c r="H1973" t="s">
        <v>579</v>
      </c>
      <c r="I1973" t="s">
        <v>31</v>
      </c>
      <c r="J1973">
        <v>11.59</v>
      </c>
      <c r="K1973" s="1">
        <v>45572</v>
      </c>
      <c r="L1973" t="s">
        <v>93</v>
      </c>
      <c r="M1973">
        <v>7</v>
      </c>
      <c r="N1973">
        <v>10</v>
      </c>
      <c r="O1973">
        <v>4</v>
      </c>
      <c r="P1973">
        <v>2024</v>
      </c>
    </row>
    <row r="1974" spans="1:16">
      <c r="A1974">
        <v>233.36</v>
      </c>
      <c r="B1974">
        <v>4</v>
      </c>
      <c r="C1974" t="s">
        <v>1513</v>
      </c>
      <c r="D1974" t="s">
        <v>1514</v>
      </c>
      <c r="E1974" t="s">
        <v>1515</v>
      </c>
      <c r="F1974" t="s">
        <v>1359</v>
      </c>
      <c r="G1974" t="s">
        <v>768</v>
      </c>
      <c r="H1974" t="s">
        <v>305</v>
      </c>
      <c r="I1974" t="s">
        <v>55</v>
      </c>
      <c r="J1974">
        <v>58.34</v>
      </c>
      <c r="K1974" s="1">
        <v>46149</v>
      </c>
      <c r="L1974" t="s">
        <v>105</v>
      </c>
      <c r="M1974">
        <v>7</v>
      </c>
      <c r="N1974">
        <v>5</v>
      </c>
      <c r="O1974">
        <v>2</v>
      </c>
      <c r="P1974">
        <v>2026</v>
      </c>
    </row>
    <row r="1975" spans="1:16">
      <c r="A1975">
        <v>332.79</v>
      </c>
      <c r="B1975">
        <v>3</v>
      </c>
      <c r="C1975" t="s">
        <v>2805</v>
      </c>
      <c r="D1975" t="s">
        <v>2806</v>
      </c>
      <c r="E1975" t="s">
        <v>2141</v>
      </c>
      <c r="F1975" t="s">
        <v>995</v>
      </c>
      <c r="G1975" t="s">
        <v>781</v>
      </c>
      <c r="H1975" t="s">
        <v>457</v>
      </c>
      <c r="I1975" t="s">
        <v>25</v>
      </c>
      <c r="J1975">
        <v>110.93</v>
      </c>
      <c r="K1975" s="1">
        <v>45870</v>
      </c>
      <c r="L1975" t="s">
        <v>79</v>
      </c>
      <c r="M1975">
        <v>1</v>
      </c>
      <c r="N1975">
        <v>8</v>
      </c>
      <c r="O1975">
        <v>3</v>
      </c>
      <c r="P1975">
        <v>2025</v>
      </c>
    </row>
    <row r="1976" spans="1:16">
      <c r="A1976">
        <v>127.5</v>
      </c>
      <c r="B1976">
        <v>2</v>
      </c>
      <c r="C1976" t="s">
        <v>1863</v>
      </c>
      <c r="D1976" t="s">
        <v>1864</v>
      </c>
      <c r="E1976" t="s">
        <v>1865</v>
      </c>
      <c r="F1976" t="s">
        <v>1168</v>
      </c>
      <c r="G1976" t="s">
        <v>758</v>
      </c>
      <c r="H1976" t="s">
        <v>418</v>
      </c>
      <c r="I1976" t="s">
        <v>43</v>
      </c>
      <c r="J1976">
        <v>63.75</v>
      </c>
      <c r="K1976" s="1">
        <v>46104</v>
      </c>
      <c r="L1976" t="s">
        <v>93</v>
      </c>
      <c r="M1976">
        <v>23</v>
      </c>
      <c r="N1976">
        <v>3</v>
      </c>
      <c r="O1976">
        <v>1</v>
      </c>
      <c r="P1976">
        <v>2026</v>
      </c>
    </row>
    <row r="1977" spans="1:16">
      <c r="A1977">
        <v>112.8</v>
      </c>
      <c r="B1977">
        <v>5</v>
      </c>
      <c r="C1977" t="s">
        <v>2014</v>
      </c>
      <c r="D1977" t="s">
        <v>2015</v>
      </c>
      <c r="E1977" t="s">
        <v>1585</v>
      </c>
      <c r="F1977" t="s">
        <v>862</v>
      </c>
      <c r="G1977" t="s">
        <v>908</v>
      </c>
      <c r="H1977" t="s">
        <v>371</v>
      </c>
      <c r="I1977" t="s">
        <v>21</v>
      </c>
      <c r="J1977">
        <v>22.56</v>
      </c>
      <c r="K1977" s="1">
        <v>46274</v>
      </c>
      <c r="L1977" t="s">
        <v>34</v>
      </c>
      <c r="M1977">
        <v>9</v>
      </c>
      <c r="N1977">
        <v>9</v>
      </c>
      <c r="O1977">
        <v>3</v>
      </c>
      <c r="P1977">
        <v>2026</v>
      </c>
    </row>
    <row r="1978" spans="1:16">
      <c r="A1978">
        <v>763.04</v>
      </c>
      <c r="B1978">
        <v>4</v>
      </c>
      <c r="C1978" t="s">
        <v>3027</v>
      </c>
      <c r="D1978" t="s">
        <v>3028</v>
      </c>
      <c r="E1978" t="s">
        <v>2098</v>
      </c>
      <c r="F1978" t="s">
        <v>843</v>
      </c>
      <c r="G1978" t="s">
        <v>753</v>
      </c>
      <c r="H1978" t="s">
        <v>1430</v>
      </c>
      <c r="I1978" t="s">
        <v>60</v>
      </c>
      <c r="J1978">
        <v>190.76</v>
      </c>
      <c r="K1978" s="1">
        <v>45603</v>
      </c>
      <c r="L1978" t="s">
        <v>105</v>
      </c>
      <c r="M1978">
        <v>7</v>
      </c>
      <c r="N1978">
        <v>11</v>
      </c>
      <c r="O1978">
        <v>4</v>
      </c>
      <c r="P1978">
        <v>2024</v>
      </c>
    </row>
    <row r="1979" spans="1:16">
      <c r="A1979">
        <v>14.57</v>
      </c>
      <c r="B1979">
        <v>1</v>
      </c>
      <c r="C1979" t="s">
        <v>1712</v>
      </c>
      <c r="D1979" t="s">
        <v>1713</v>
      </c>
      <c r="E1979" t="s">
        <v>938</v>
      </c>
      <c r="F1979" t="s">
        <v>1189</v>
      </c>
      <c r="G1979" t="s">
        <v>892</v>
      </c>
      <c r="H1979" t="s">
        <v>166</v>
      </c>
      <c r="I1979" t="s">
        <v>23</v>
      </c>
      <c r="J1979">
        <v>14.57</v>
      </c>
      <c r="K1979" s="1">
        <v>45782</v>
      </c>
      <c r="L1979" t="s">
        <v>93</v>
      </c>
      <c r="M1979">
        <v>5</v>
      </c>
      <c r="N1979">
        <v>5</v>
      </c>
      <c r="O1979">
        <v>2</v>
      </c>
      <c r="P1979">
        <v>2025</v>
      </c>
    </row>
    <row r="1980" spans="1:16">
      <c r="A1980">
        <v>274.36</v>
      </c>
      <c r="B1980">
        <v>2</v>
      </c>
      <c r="C1980" t="s">
        <v>2814</v>
      </c>
      <c r="D1980" t="s">
        <v>3231</v>
      </c>
      <c r="E1980" t="s">
        <v>902</v>
      </c>
      <c r="F1980" t="s">
        <v>1280</v>
      </c>
      <c r="G1980" t="s">
        <v>908</v>
      </c>
      <c r="H1980" t="s">
        <v>219</v>
      </c>
      <c r="I1980" t="s">
        <v>39</v>
      </c>
      <c r="J1980">
        <v>137.18</v>
      </c>
      <c r="K1980" s="1">
        <v>46237</v>
      </c>
      <c r="L1980" t="s">
        <v>93</v>
      </c>
      <c r="M1980">
        <v>3</v>
      </c>
      <c r="N1980">
        <v>8</v>
      </c>
      <c r="O1980">
        <v>3</v>
      </c>
      <c r="P1980">
        <v>2026</v>
      </c>
    </row>
    <row r="1981" spans="1:16">
      <c r="A1981">
        <v>845.19999999999993</v>
      </c>
      <c r="B1981">
        <v>5</v>
      </c>
      <c r="C1981" t="s">
        <v>1207</v>
      </c>
      <c r="D1981" t="s">
        <v>1208</v>
      </c>
      <c r="E1981" t="s">
        <v>935</v>
      </c>
      <c r="F1981" t="s">
        <v>1209</v>
      </c>
      <c r="G1981" t="s">
        <v>776</v>
      </c>
      <c r="H1981" t="s">
        <v>443</v>
      </c>
      <c r="I1981" t="s">
        <v>55</v>
      </c>
      <c r="J1981">
        <v>169.04</v>
      </c>
      <c r="K1981" s="1">
        <v>45868</v>
      </c>
      <c r="L1981" t="s">
        <v>34</v>
      </c>
      <c r="M1981">
        <v>30</v>
      </c>
      <c r="N1981">
        <v>7</v>
      </c>
      <c r="O1981">
        <v>3</v>
      </c>
      <c r="P1981">
        <v>2025</v>
      </c>
    </row>
    <row r="1982" spans="1:16">
      <c r="A1982">
        <v>625.64</v>
      </c>
      <c r="B1982">
        <v>4</v>
      </c>
      <c r="C1982" t="s">
        <v>1435</v>
      </c>
      <c r="D1982" t="s">
        <v>1436</v>
      </c>
      <c r="E1982" t="s">
        <v>1437</v>
      </c>
      <c r="F1982" t="s">
        <v>387</v>
      </c>
      <c r="G1982" t="s">
        <v>821</v>
      </c>
      <c r="H1982" t="s">
        <v>238</v>
      </c>
      <c r="I1982" t="s">
        <v>97</v>
      </c>
      <c r="J1982">
        <v>156.41</v>
      </c>
      <c r="K1982" s="1">
        <v>45557</v>
      </c>
      <c r="L1982" t="s">
        <v>28</v>
      </c>
      <c r="M1982">
        <v>22</v>
      </c>
      <c r="N1982">
        <v>9</v>
      </c>
      <c r="O1982">
        <v>3</v>
      </c>
      <c r="P1982">
        <v>2024</v>
      </c>
    </row>
    <row r="1983" spans="1:16">
      <c r="A1983">
        <v>70.88</v>
      </c>
      <c r="B1983">
        <v>2</v>
      </c>
      <c r="C1983" t="s">
        <v>3195</v>
      </c>
      <c r="D1983" t="s">
        <v>3196</v>
      </c>
      <c r="E1983" t="s">
        <v>2004</v>
      </c>
      <c r="F1983" t="s">
        <v>713</v>
      </c>
      <c r="G1983" t="s">
        <v>908</v>
      </c>
      <c r="H1983" t="s">
        <v>173</v>
      </c>
      <c r="I1983" t="s">
        <v>55</v>
      </c>
      <c r="J1983">
        <v>35.44</v>
      </c>
      <c r="K1983" s="1">
        <v>45654</v>
      </c>
      <c r="L1983" t="s">
        <v>14</v>
      </c>
      <c r="M1983">
        <v>28</v>
      </c>
      <c r="N1983">
        <v>12</v>
      </c>
      <c r="O1983">
        <v>4</v>
      </c>
      <c r="P1983">
        <v>2024</v>
      </c>
    </row>
    <row r="1984" spans="1:16">
      <c r="A1984">
        <v>736.47</v>
      </c>
      <c r="B1984">
        <v>3</v>
      </c>
      <c r="C1984" t="s">
        <v>1125</v>
      </c>
      <c r="D1984" t="s">
        <v>1126</v>
      </c>
      <c r="E1984" t="s">
        <v>1127</v>
      </c>
      <c r="F1984" t="s">
        <v>1128</v>
      </c>
      <c r="G1984" t="s">
        <v>954</v>
      </c>
      <c r="H1984" t="s">
        <v>330</v>
      </c>
      <c r="I1984" t="s">
        <v>60</v>
      </c>
      <c r="J1984">
        <v>245.49</v>
      </c>
      <c r="K1984" s="1">
        <v>45928</v>
      </c>
      <c r="L1984" t="s">
        <v>28</v>
      </c>
      <c r="M1984">
        <v>28</v>
      </c>
      <c r="N1984">
        <v>9</v>
      </c>
      <c r="O1984">
        <v>3</v>
      </c>
      <c r="P1984">
        <v>2025</v>
      </c>
    </row>
    <row r="1985" spans="1:16">
      <c r="A1985">
        <v>230.27</v>
      </c>
      <c r="B1985">
        <v>1</v>
      </c>
      <c r="C1985" t="s">
        <v>1416</v>
      </c>
      <c r="D1985" t="s">
        <v>1417</v>
      </c>
      <c r="E1985" t="s">
        <v>1418</v>
      </c>
      <c r="F1985" t="s">
        <v>74</v>
      </c>
      <c r="G1985" t="s">
        <v>943</v>
      </c>
      <c r="H1985" t="s">
        <v>200</v>
      </c>
      <c r="I1985" t="s">
        <v>17</v>
      </c>
      <c r="J1985">
        <v>230.27</v>
      </c>
      <c r="K1985" s="1">
        <v>46008</v>
      </c>
      <c r="L1985" t="s">
        <v>34</v>
      </c>
      <c r="M1985">
        <v>17</v>
      </c>
      <c r="N1985">
        <v>12</v>
      </c>
      <c r="O1985">
        <v>4</v>
      </c>
      <c r="P1985">
        <v>2025</v>
      </c>
    </row>
    <row r="1986" spans="1:16">
      <c r="A1986">
        <v>9.19</v>
      </c>
      <c r="B1986">
        <v>1</v>
      </c>
      <c r="C1986" t="s">
        <v>2762</v>
      </c>
      <c r="D1986" t="s">
        <v>2763</v>
      </c>
      <c r="E1986" t="s">
        <v>1162</v>
      </c>
      <c r="F1986" t="s">
        <v>392</v>
      </c>
      <c r="G1986" t="s">
        <v>943</v>
      </c>
      <c r="H1986" t="s">
        <v>413</v>
      </c>
      <c r="I1986" t="s">
        <v>57</v>
      </c>
      <c r="J1986">
        <v>9.19</v>
      </c>
      <c r="K1986" s="1">
        <v>45750</v>
      </c>
      <c r="L1986" t="s">
        <v>105</v>
      </c>
      <c r="M1986">
        <v>3</v>
      </c>
      <c r="N1986">
        <v>4</v>
      </c>
      <c r="O1986">
        <v>2</v>
      </c>
      <c r="P1986">
        <v>2025</v>
      </c>
    </row>
    <row r="1987" spans="1:16">
      <c r="A1987">
        <v>35.270000000000003</v>
      </c>
      <c r="B1987">
        <v>1</v>
      </c>
      <c r="C1987" t="s">
        <v>3244</v>
      </c>
      <c r="D1987" t="s">
        <v>3245</v>
      </c>
      <c r="E1987" t="s">
        <v>1114</v>
      </c>
      <c r="F1987" t="s">
        <v>1401</v>
      </c>
      <c r="G1987" t="s">
        <v>943</v>
      </c>
      <c r="H1987" t="s">
        <v>33</v>
      </c>
      <c r="I1987" t="s">
        <v>19</v>
      </c>
      <c r="J1987">
        <v>35.270000000000003</v>
      </c>
      <c r="K1987" s="1">
        <v>46240</v>
      </c>
      <c r="L1987" t="s">
        <v>105</v>
      </c>
      <c r="M1987">
        <v>6</v>
      </c>
      <c r="N1987">
        <v>8</v>
      </c>
      <c r="O1987">
        <v>3</v>
      </c>
      <c r="P1987">
        <v>2026</v>
      </c>
    </row>
    <row r="1988" spans="1:16">
      <c r="A1988">
        <v>183.75</v>
      </c>
      <c r="B1988">
        <v>5</v>
      </c>
      <c r="C1988" t="s">
        <v>1860</v>
      </c>
      <c r="D1988" t="s">
        <v>1861</v>
      </c>
      <c r="E1988" t="s">
        <v>1862</v>
      </c>
      <c r="F1988" t="s">
        <v>879</v>
      </c>
      <c r="G1988" t="s">
        <v>748</v>
      </c>
      <c r="H1988" t="s">
        <v>637</v>
      </c>
      <c r="I1988" t="s">
        <v>100</v>
      </c>
      <c r="J1988">
        <v>36.75</v>
      </c>
      <c r="K1988" s="1">
        <v>45708</v>
      </c>
      <c r="L1988" t="s">
        <v>105</v>
      </c>
      <c r="M1988">
        <v>20</v>
      </c>
      <c r="N1988">
        <v>2</v>
      </c>
      <c r="O1988">
        <v>1</v>
      </c>
      <c r="P1988">
        <v>2025</v>
      </c>
    </row>
    <row r="1989" spans="1:16">
      <c r="A1989">
        <v>525.67999999999995</v>
      </c>
      <c r="B1989">
        <v>4</v>
      </c>
      <c r="C1989" t="s">
        <v>2028</v>
      </c>
      <c r="D1989" t="s">
        <v>2029</v>
      </c>
      <c r="E1989" t="s">
        <v>2030</v>
      </c>
      <c r="F1989" t="s">
        <v>1002</v>
      </c>
      <c r="G1989" t="s">
        <v>892</v>
      </c>
      <c r="H1989" t="s">
        <v>679</v>
      </c>
      <c r="I1989" t="s">
        <v>25</v>
      </c>
      <c r="J1989">
        <v>131.41999999999999</v>
      </c>
      <c r="K1989" s="1">
        <v>46203</v>
      </c>
      <c r="L1989" t="s">
        <v>48</v>
      </c>
      <c r="M1989">
        <v>30</v>
      </c>
      <c r="N1989">
        <v>6</v>
      </c>
      <c r="O1989">
        <v>2</v>
      </c>
      <c r="P1989">
        <v>2026</v>
      </c>
    </row>
    <row r="1990" spans="1:16">
      <c r="A1990">
        <v>227.94</v>
      </c>
      <c r="B1990">
        <v>3</v>
      </c>
      <c r="C1990" t="s">
        <v>1251</v>
      </c>
      <c r="D1990" t="s">
        <v>1252</v>
      </c>
      <c r="E1990" t="s">
        <v>1253</v>
      </c>
      <c r="F1990" t="s">
        <v>1254</v>
      </c>
      <c r="G1990" t="s">
        <v>781</v>
      </c>
      <c r="H1990" t="s">
        <v>313</v>
      </c>
      <c r="I1990" t="s">
        <v>31</v>
      </c>
      <c r="J1990">
        <v>75.98</v>
      </c>
      <c r="K1990" s="1">
        <v>45876</v>
      </c>
      <c r="L1990" t="s">
        <v>105</v>
      </c>
      <c r="M1990">
        <v>7</v>
      </c>
      <c r="N1990">
        <v>8</v>
      </c>
      <c r="O1990">
        <v>3</v>
      </c>
      <c r="P1990">
        <v>2025</v>
      </c>
    </row>
    <row r="1991" spans="1:16">
      <c r="A1991">
        <v>104.12</v>
      </c>
      <c r="B1991">
        <v>1</v>
      </c>
      <c r="C1991" t="s">
        <v>813</v>
      </c>
      <c r="D1991" t="s">
        <v>814</v>
      </c>
      <c r="E1991" t="s">
        <v>815</v>
      </c>
      <c r="F1991" t="s">
        <v>816</v>
      </c>
      <c r="G1991" t="s">
        <v>817</v>
      </c>
      <c r="H1991" t="s">
        <v>620</v>
      </c>
      <c r="I1991" t="s">
        <v>21</v>
      </c>
      <c r="J1991">
        <v>104.12</v>
      </c>
      <c r="K1991" s="1">
        <v>45642</v>
      </c>
      <c r="L1991" t="s">
        <v>93</v>
      </c>
      <c r="M1991">
        <v>16</v>
      </c>
      <c r="N1991">
        <v>12</v>
      </c>
      <c r="O1991">
        <v>4</v>
      </c>
      <c r="P1991">
        <v>2024</v>
      </c>
    </row>
    <row r="1992" spans="1:16">
      <c r="A1992">
        <v>33.04</v>
      </c>
      <c r="B1992">
        <v>2</v>
      </c>
      <c r="C1992" t="s">
        <v>1640</v>
      </c>
      <c r="D1992" t="s">
        <v>1641</v>
      </c>
      <c r="E1992" t="s">
        <v>1642</v>
      </c>
      <c r="F1992" t="s">
        <v>160</v>
      </c>
      <c r="G1992" t="s">
        <v>790</v>
      </c>
      <c r="H1992" t="s">
        <v>339</v>
      </c>
      <c r="I1992" t="s">
        <v>19</v>
      </c>
      <c r="J1992">
        <v>16.52</v>
      </c>
      <c r="K1992" s="1">
        <v>45902</v>
      </c>
      <c r="L1992" t="s">
        <v>48</v>
      </c>
      <c r="M1992">
        <v>2</v>
      </c>
      <c r="N1992">
        <v>9</v>
      </c>
      <c r="O1992">
        <v>3</v>
      </c>
      <c r="P1992">
        <v>2025</v>
      </c>
    </row>
    <row r="1993" spans="1:16">
      <c r="A1993">
        <v>3.06</v>
      </c>
      <c r="B1993">
        <v>3</v>
      </c>
      <c r="C1993" t="s">
        <v>2460</v>
      </c>
      <c r="D1993" t="s">
        <v>2461</v>
      </c>
      <c r="E1993" t="s">
        <v>820</v>
      </c>
      <c r="F1993" t="s">
        <v>196</v>
      </c>
      <c r="G1993" t="s">
        <v>1247</v>
      </c>
      <c r="H1993" t="s">
        <v>477</v>
      </c>
      <c r="I1993" t="s">
        <v>39</v>
      </c>
      <c r="J1993">
        <v>1.02</v>
      </c>
      <c r="K1993" s="1">
        <v>46092</v>
      </c>
      <c r="L1993" t="s">
        <v>34</v>
      </c>
      <c r="M1993">
        <v>11</v>
      </c>
      <c r="N1993">
        <v>3</v>
      </c>
      <c r="O1993">
        <v>1</v>
      </c>
      <c r="P1993">
        <v>2026</v>
      </c>
    </row>
    <row r="1994" spans="1:16">
      <c r="A1994">
        <v>167.8</v>
      </c>
      <c r="B1994">
        <v>5</v>
      </c>
      <c r="C1994" t="s">
        <v>1144</v>
      </c>
      <c r="D1994" t="s">
        <v>1145</v>
      </c>
      <c r="E1994" t="s">
        <v>1146</v>
      </c>
      <c r="F1994" t="s">
        <v>1128</v>
      </c>
      <c r="G1994" t="s">
        <v>954</v>
      </c>
      <c r="H1994" t="s">
        <v>609</v>
      </c>
      <c r="I1994" t="s">
        <v>27</v>
      </c>
      <c r="J1994">
        <v>33.56</v>
      </c>
      <c r="K1994" s="1">
        <v>46177</v>
      </c>
      <c r="L1994" t="s">
        <v>105</v>
      </c>
      <c r="M1994">
        <v>4</v>
      </c>
      <c r="N1994">
        <v>6</v>
      </c>
      <c r="O1994">
        <v>2</v>
      </c>
      <c r="P1994">
        <v>2026</v>
      </c>
    </row>
    <row r="1995" spans="1:16">
      <c r="A1995">
        <v>152.72999999999999</v>
      </c>
      <c r="B1995">
        <v>3</v>
      </c>
      <c r="C1995" t="s">
        <v>1595</v>
      </c>
      <c r="D1995" t="s">
        <v>1596</v>
      </c>
      <c r="E1995" t="s">
        <v>1597</v>
      </c>
      <c r="F1995" t="s">
        <v>691</v>
      </c>
      <c r="G1995" t="s">
        <v>776</v>
      </c>
      <c r="H1995" t="s">
        <v>197</v>
      </c>
      <c r="I1995" t="s">
        <v>19</v>
      </c>
      <c r="J1995">
        <v>50.91</v>
      </c>
      <c r="K1995" s="1">
        <v>46118</v>
      </c>
      <c r="L1995" t="s">
        <v>93</v>
      </c>
      <c r="M1995">
        <v>6</v>
      </c>
      <c r="N1995">
        <v>4</v>
      </c>
      <c r="O1995">
        <v>2</v>
      </c>
      <c r="P1995">
        <v>2026</v>
      </c>
    </row>
    <row r="1996" spans="1:16">
      <c r="A1996">
        <v>346.64</v>
      </c>
      <c r="B1996">
        <v>2</v>
      </c>
      <c r="C1996" t="s">
        <v>2506</v>
      </c>
      <c r="D1996" t="s">
        <v>2507</v>
      </c>
      <c r="E1996" t="s">
        <v>1295</v>
      </c>
      <c r="F1996" t="s">
        <v>74</v>
      </c>
      <c r="G1996" t="s">
        <v>943</v>
      </c>
      <c r="H1996" t="s">
        <v>303</v>
      </c>
      <c r="I1996" t="s">
        <v>19</v>
      </c>
      <c r="J1996">
        <v>173.32</v>
      </c>
      <c r="K1996" s="1">
        <v>45898</v>
      </c>
      <c r="L1996" t="s">
        <v>79</v>
      </c>
      <c r="M1996">
        <v>29</v>
      </c>
      <c r="N1996">
        <v>8</v>
      </c>
      <c r="O1996">
        <v>3</v>
      </c>
      <c r="P1996">
        <v>2025</v>
      </c>
    </row>
    <row r="1997" spans="1:16">
      <c r="A1997">
        <v>361.15000000000003</v>
      </c>
      <c r="B1997">
        <v>5</v>
      </c>
      <c r="C1997" t="s">
        <v>3163</v>
      </c>
      <c r="D1997" t="s">
        <v>3164</v>
      </c>
      <c r="E1997" t="s">
        <v>2530</v>
      </c>
      <c r="F1997" t="s">
        <v>879</v>
      </c>
      <c r="G1997" t="s">
        <v>748</v>
      </c>
      <c r="H1997" t="s">
        <v>616</v>
      </c>
      <c r="I1997" t="s">
        <v>37</v>
      </c>
      <c r="J1997">
        <v>72.23</v>
      </c>
      <c r="K1997" s="1">
        <v>46149</v>
      </c>
      <c r="L1997" t="s">
        <v>105</v>
      </c>
      <c r="M1997">
        <v>7</v>
      </c>
      <c r="N1997">
        <v>5</v>
      </c>
      <c r="O1997">
        <v>2</v>
      </c>
      <c r="P1997">
        <v>2026</v>
      </c>
    </row>
    <row r="1998" spans="1:16">
      <c r="A1998">
        <v>701.73</v>
      </c>
      <c r="B1998">
        <v>3</v>
      </c>
      <c r="C1998" t="s">
        <v>2980</v>
      </c>
      <c r="D1998" t="s">
        <v>2981</v>
      </c>
      <c r="E1998" t="s">
        <v>1140</v>
      </c>
      <c r="F1998" t="s">
        <v>2982</v>
      </c>
      <c r="G1998" t="s">
        <v>839</v>
      </c>
      <c r="H1998" t="s">
        <v>272</v>
      </c>
      <c r="I1998" t="s">
        <v>55</v>
      </c>
      <c r="J1998">
        <v>233.91</v>
      </c>
      <c r="K1998" s="1">
        <v>46035</v>
      </c>
      <c r="L1998" t="s">
        <v>48</v>
      </c>
      <c r="M1998">
        <v>13</v>
      </c>
      <c r="N1998">
        <v>1</v>
      </c>
      <c r="O1998">
        <v>1</v>
      </c>
      <c r="P1998">
        <v>2026</v>
      </c>
    </row>
    <row r="1999" spans="1:16">
      <c r="A1999">
        <v>56.54</v>
      </c>
      <c r="B1999">
        <v>2</v>
      </c>
      <c r="C1999" t="s">
        <v>2652</v>
      </c>
      <c r="D1999" t="s">
        <v>2486</v>
      </c>
      <c r="E1999" t="s">
        <v>1271</v>
      </c>
      <c r="F1999" t="s">
        <v>328</v>
      </c>
      <c r="G1999" t="s">
        <v>1003</v>
      </c>
      <c r="H1999" t="s">
        <v>184</v>
      </c>
      <c r="I1999" t="s">
        <v>31</v>
      </c>
      <c r="J1999">
        <v>28.27</v>
      </c>
      <c r="K1999" s="1">
        <v>46271</v>
      </c>
      <c r="L1999" t="s">
        <v>28</v>
      </c>
      <c r="M1999">
        <v>6</v>
      </c>
      <c r="N1999">
        <v>9</v>
      </c>
      <c r="O1999">
        <v>3</v>
      </c>
      <c r="P1999">
        <v>2026</v>
      </c>
    </row>
    <row r="2000" spans="1:16">
      <c r="A2000">
        <v>470.58000000000004</v>
      </c>
      <c r="B2000">
        <v>3</v>
      </c>
      <c r="C2000" t="s">
        <v>2393</v>
      </c>
      <c r="D2000" t="s">
        <v>2394</v>
      </c>
      <c r="E2000" t="s">
        <v>1348</v>
      </c>
      <c r="F2000" t="s">
        <v>113</v>
      </c>
      <c r="G2000" t="s">
        <v>1247</v>
      </c>
      <c r="H2000" t="s">
        <v>602</v>
      </c>
      <c r="I2000" t="s">
        <v>17</v>
      </c>
      <c r="J2000">
        <v>156.86000000000001</v>
      </c>
      <c r="K2000" s="1">
        <v>46058</v>
      </c>
      <c r="L2000" t="s">
        <v>105</v>
      </c>
      <c r="M2000">
        <v>5</v>
      </c>
      <c r="N2000">
        <v>2</v>
      </c>
      <c r="O2000">
        <v>1</v>
      </c>
      <c r="P2000">
        <v>2026</v>
      </c>
    </row>
    <row r="2001" spans="1:16">
      <c r="A2001">
        <v>202.53</v>
      </c>
      <c r="B2001">
        <v>1</v>
      </c>
      <c r="C2001" t="s">
        <v>2384</v>
      </c>
      <c r="D2001" t="s">
        <v>2385</v>
      </c>
      <c r="E2001" t="s">
        <v>2386</v>
      </c>
      <c r="F2001" t="s">
        <v>1469</v>
      </c>
      <c r="G2001" t="s">
        <v>908</v>
      </c>
      <c r="H2001" t="s">
        <v>251</v>
      </c>
      <c r="I2001" t="s">
        <v>122</v>
      </c>
      <c r="J2001">
        <v>202.53</v>
      </c>
      <c r="K2001" s="1">
        <v>45796</v>
      </c>
      <c r="L2001" t="s">
        <v>93</v>
      </c>
      <c r="M2001">
        <v>19</v>
      </c>
      <c r="N2001">
        <v>5</v>
      </c>
      <c r="O2001">
        <v>2</v>
      </c>
      <c r="P2001">
        <v>2025</v>
      </c>
    </row>
    <row r="2002" spans="1:16">
      <c r="A2002">
        <v>125.93</v>
      </c>
      <c r="B2002">
        <v>1</v>
      </c>
      <c r="C2002" t="s">
        <v>2575</v>
      </c>
      <c r="D2002" t="s">
        <v>2576</v>
      </c>
      <c r="E2002" t="s">
        <v>875</v>
      </c>
      <c r="F2002" t="s">
        <v>907</v>
      </c>
      <c r="G2002" t="s">
        <v>908</v>
      </c>
      <c r="H2002" t="s">
        <v>533</v>
      </c>
      <c r="I2002" t="s">
        <v>122</v>
      </c>
      <c r="J2002">
        <v>125.93</v>
      </c>
      <c r="K2002" s="1">
        <v>46193</v>
      </c>
      <c r="L2002" t="s">
        <v>14</v>
      </c>
      <c r="M2002">
        <v>20</v>
      </c>
      <c r="N2002">
        <v>6</v>
      </c>
      <c r="O2002">
        <v>2</v>
      </c>
      <c r="P2002">
        <v>2026</v>
      </c>
    </row>
    <row r="2003" spans="1:16">
      <c r="A2003">
        <v>130.63999999999999</v>
      </c>
      <c r="B2003">
        <v>1</v>
      </c>
      <c r="C2003" t="s">
        <v>1496</v>
      </c>
      <c r="D2003" t="s">
        <v>1497</v>
      </c>
      <c r="E2003" t="s">
        <v>1498</v>
      </c>
      <c r="F2003" t="s">
        <v>772</v>
      </c>
      <c r="G2003" t="s">
        <v>758</v>
      </c>
      <c r="H2003" t="s">
        <v>553</v>
      </c>
      <c r="I2003" t="s">
        <v>100</v>
      </c>
      <c r="J2003">
        <v>130.63999999999999</v>
      </c>
      <c r="K2003" s="1">
        <v>45715</v>
      </c>
      <c r="L2003" t="s">
        <v>105</v>
      </c>
      <c r="M2003">
        <v>27</v>
      </c>
      <c r="N2003">
        <v>2</v>
      </c>
      <c r="O2003">
        <v>1</v>
      </c>
      <c r="P2003">
        <v>2025</v>
      </c>
    </row>
    <row r="2004" spans="1:16">
      <c r="A2004">
        <v>244.32</v>
      </c>
      <c r="B2004">
        <v>1</v>
      </c>
      <c r="C2004" t="s">
        <v>2302</v>
      </c>
      <c r="D2004" t="s">
        <v>2303</v>
      </c>
      <c r="E2004" t="s">
        <v>960</v>
      </c>
      <c r="F2004" t="s">
        <v>816</v>
      </c>
      <c r="G2004" t="s">
        <v>817</v>
      </c>
      <c r="H2004" t="s">
        <v>613</v>
      </c>
      <c r="I2004" t="s">
        <v>21</v>
      </c>
      <c r="J2004">
        <v>244.32</v>
      </c>
      <c r="K2004" s="1">
        <v>45729</v>
      </c>
      <c r="L2004" t="s">
        <v>105</v>
      </c>
      <c r="M2004">
        <v>13</v>
      </c>
      <c r="N2004">
        <v>3</v>
      </c>
      <c r="O2004">
        <v>1</v>
      </c>
      <c r="P2004">
        <v>2025</v>
      </c>
    </row>
    <row r="2005" spans="1:16">
      <c r="A2005">
        <v>655.23</v>
      </c>
      <c r="B2005">
        <v>3</v>
      </c>
      <c r="C2005" t="s">
        <v>1141</v>
      </c>
      <c r="D2005" t="s">
        <v>1142</v>
      </c>
      <c r="E2005" t="s">
        <v>1143</v>
      </c>
      <c r="F2005" t="s">
        <v>862</v>
      </c>
      <c r="G2005" t="s">
        <v>908</v>
      </c>
      <c r="H2005" t="s">
        <v>411</v>
      </c>
      <c r="I2005" t="s">
        <v>82</v>
      </c>
      <c r="J2005">
        <v>218.41</v>
      </c>
      <c r="K2005" s="1">
        <v>45575</v>
      </c>
      <c r="L2005" t="s">
        <v>105</v>
      </c>
      <c r="M2005">
        <v>10</v>
      </c>
      <c r="N2005">
        <v>10</v>
      </c>
      <c r="O2005">
        <v>4</v>
      </c>
      <c r="P2005">
        <v>2024</v>
      </c>
    </row>
    <row r="2006" spans="1:16">
      <c r="A2006">
        <v>1086.8000000000002</v>
      </c>
      <c r="B2006">
        <v>5</v>
      </c>
      <c r="C2006" t="s">
        <v>2112</v>
      </c>
      <c r="D2006" t="s">
        <v>2113</v>
      </c>
      <c r="E2006" t="s">
        <v>2114</v>
      </c>
      <c r="F2006" t="s">
        <v>883</v>
      </c>
      <c r="G2006" t="s">
        <v>807</v>
      </c>
      <c r="H2006" t="s">
        <v>582</v>
      </c>
      <c r="I2006" t="s">
        <v>97</v>
      </c>
      <c r="J2006">
        <v>217.36</v>
      </c>
      <c r="K2006" s="1">
        <v>45602</v>
      </c>
      <c r="L2006" t="s">
        <v>34</v>
      </c>
      <c r="M2006">
        <v>6</v>
      </c>
      <c r="N2006">
        <v>11</v>
      </c>
      <c r="O2006">
        <v>4</v>
      </c>
      <c r="P2006">
        <v>2024</v>
      </c>
    </row>
    <row r="2007" spans="1:16">
      <c r="A2007">
        <v>175.24</v>
      </c>
      <c r="B2007">
        <v>4</v>
      </c>
      <c r="C2007" t="s">
        <v>3150</v>
      </c>
      <c r="D2007" t="s">
        <v>3151</v>
      </c>
      <c r="E2007" t="s">
        <v>1231</v>
      </c>
      <c r="F2007" t="s">
        <v>562</v>
      </c>
      <c r="G2007" t="s">
        <v>753</v>
      </c>
      <c r="H2007" t="s">
        <v>354</v>
      </c>
      <c r="I2007" t="s">
        <v>31</v>
      </c>
      <c r="J2007">
        <v>43.81</v>
      </c>
      <c r="K2007" s="1">
        <v>46193</v>
      </c>
      <c r="L2007" t="s">
        <v>14</v>
      </c>
      <c r="M2007">
        <v>20</v>
      </c>
      <c r="N2007">
        <v>6</v>
      </c>
      <c r="O2007">
        <v>2</v>
      </c>
      <c r="P2007">
        <v>2026</v>
      </c>
    </row>
    <row r="2008" spans="1:16">
      <c r="A2008">
        <v>640.34999999999991</v>
      </c>
      <c r="B2008">
        <v>5</v>
      </c>
      <c r="C2008" t="s">
        <v>2902</v>
      </c>
      <c r="D2008" t="s">
        <v>2903</v>
      </c>
      <c r="E2008" t="s">
        <v>2904</v>
      </c>
      <c r="F2008" t="s">
        <v>160</v>
      </c>
      <c r="G2008" t="s">
        <v>790</v>
      </c>
      <c r="H2008" t="s">
        <v>22</v>
      </c>
      <c r="I2008" t="s">
        <v>23</v>
      </c>
      <c r="J2008">
        <v>128.07</v>
      </c>
      <c r="K2008" s="1">
        <v>45741</v>
      </c>
      <c r="L2008" t="s">
        <v>48</v>
      </c>
      <c r="M2008">
        <v>25</v>
      </c>
      <c r="N2008">
        <v>3</v>
      </c>
      <c r="O2008">
        <v>1</v>
      </c>
      <c r="P2008">
        <v>2025</v>
      </c>
    </row>
    <row r="2009" spans="1:16">
      <c r="A2009">
        <v>440.85</v>
      </c>
      <c r="B2009">
        <v>5</v>
      </c>
      <c r="C2009" t="s">
        <v>2688</v>
      </c>
      <c r="D2009" t="s">
        <v>765</v>
      </c>
      <c r="E2009" t="s">
        <v>2689</v>
      </c>
      <c r="F2009" t="s">
        <v>747</v>
      </c>
      <c r="G2009" t="s">
        <v>748</v>
      </c>
      <c r="H2009" t="s">
        <v>177</v>
      </c>
      <c r="I2009" t="s">
        <v>17</v>
      </c>
      <c r="J2009">
        <v>88.17</v>
      </c>
      <c r="K2009" s="1">
        <v>45987</v>
      </c>
      <c r="L2009" t="s">
        <v>34</v>
      </c>
      <c r="M2009">
        <v>26</v>
      </c>
      <c r="N2009">
        <v>11</v>
      </c>
      <c r="O2009">
        <v>4</v>
      </c>
      <c r="P2009">
        <v>2025</v>
      </c>
    </row>
    <row r="2010" spans="1:16">
      <c r="A2010">
        <v>373.92</v>
      </c>
      <c r="B2010">
        <v>3</v>
      </c>
      <c r="C2010" t="s">
        <v>1758</v>
      </c>
      <c r="D2010" t="s">
        <v>1759</v>
      </c>
      <c r="E2010" t="s">
        <v>1013</v>
      </c>
      <c r="F2010" t="s">
        <v>151</v>
      </c>
      <c r="G2010" t="s">
        <v>1003</v>
      </c>
      <c r="H2010" t="s">
        <v>356</v>
      </c>
      <c r="I2010" t="s">
        <v>69</v>
      </c>
      <c r="J2010">
        <v>124.64</v>
      </c>
      <c r="K2010" s="1">
        <v>45974</v>
      </c>
      <c r="L2010" t="s">
        <v>105</v>
      </c>
      <c r="M2010">
        <v>13</v>
      </c>
      <c r="N2010">
        <v>11</v>
      </c>
      <c r="O2010">
        <v>4</v>
      </c>
      <c r="P2010">
        <v>2025</v>
      </c>
    </row>
    <row r="2011" spans="1:16">
      <c r="A2011">
        <v>477.06</v>
      </c>
      <c r="B2011">
        <v>2</v>
      </c>
      <c r="C2011" t="s">
        <v>1719</v>
      </c>
      <c r="D2011" t="s">
        <v>1720</v>
      </c>
      <c r="E2011" t="s">
        <v>1721</v>
      </c>
      <c r="F2011" t="s">
        <v>1722</v>
      </c>
      <c r="G2011" t="s">
        <v>954</v>
      </c>
      <c r="H2011" t="s">
        <v>660</v>
      </c>
      <c r="I2011" t="s">
        <v>25</v>
      </c>
      <c r="J2011">
        <v>238.53</v>
      </c>
      <c r="K2011" s="1">
        <v>45928</v>
      </c>
      <c r="L2011" t="s">
        <v>28</v>
      </c>
      <c r="M2011">
        <v>28</v>
      </c>
      <c r="N2011">
        <v>9</v>
      </c>
      <c r="O2011">
        <v>3</v>
      </c>
      <c r="P2011">
        <v>2025</v>
      </c>
    </row>
    <row r="2012" spans="1:16">
      <c r="A2012">
        <v>676.48</v>
      </c>
      <c r="B2012">
        <v>4</v>
      </c>
      <c r="C2012" t="s">
        <v>3316</v>
      </c>
      <c r="D2012" t="s">
        <v>3317</v>
      </c>
      <c r="E2012" t="s">
        <v>2479</v>
      </c>
      <c r="F2012" t="s">
        <v>513</v>
      </c>
      <c r="G2012" t="s">
        <v>786</v>
      </c>
      <c r="H2012" t="s">
        <v>368</v>
      </c>
      <c r="I2012" t="s">
        <v>31</v>
      </c>
      <c r="J2012">
        <v>169.12</v>
      </c>
      <c r="K2012" s="1">
        <v>46113</v>
      </c>
      <c r="L2012" t="s">
        <v>34</v>
      </c>
      <c r="M2012">
        <v>1</v>
      </c>
      <c r="N2012">
        <v>4</v>
      </c>
      <c r="O2012">
        <v>2</v>
      </c>
      <c r="P2012">
        <v>2026</v>
      </c>
    </row>
    <row r="2013" spans="1:16">
      <c r="A2013">
        <v>97.02</v>
      </c>
      <c r="B2013">
        <v>2</v>
      </c>
      <c r="C2013" t="s">
        <v>1008</v>
      </c>
      <c r="D2013" t="s">
        <v>1009</v>
      </c>
      <c r="E2013" t="s">
        <v>1010</v>
      </c>
      <c r="F2013" t="s">
        <v>829</v>
      </c>
      <c r="G2013" t="s">
        <v>830</v>
      </c>
      <c r="H2013" t="s">
        <v>243</v>
      </c>
      <c r="I2013" t="s">
        <v>57</v>
      </c>
      <c r="J2013">
        <v>48.51</v>
      </c>
      <c r="K2013" s="1">
        <v>46111</v>
      </c>
      <c r="L2013" t="s">
        <v>93</v>
      </c>
      <c r="M2013">
        <v>30</v>
      </c>
      <c r="N2013">
        <v>3</v>
      </c>
      <c r="O2013">
        <v>1</v>
      </c>
      <c r="P2013">
        <v>2026</v>
      </c>
    </row>
    <row r="2014" spans="1:16">
      <c r="A2014">
        <v>15.62</v>
      </c>
      <c r="B2014">
        <v>1</v>
      </c>
      <c r="C2014" t="s">
        <v>2636</v>
      </c>
      <c r="D2014" t="s">
        <v>2637</v>
      </c>
      <c r="E2014" t="s">
        <v>1006</v>
      </c>
      <c r="F2014" t="s">
        <v>199</v>
      </c>
      <c r="G2014" t="s">
        <v>781</v>
      </c>
      <c r="H2014" t="s">
        <v>248</v>
      </c>
      <c r="I2014" t="s">
        <v>100</v>
      </c>
      <c r="J2014">
        <v>15.62</v>
      </c>
      <c r="K2014" s="1">
        <v>45740</v>
      </c>
      <c r="L2014" t="s">
        <v>93</v>
      </c>
      <c r="M2014">
        <v>24</v>
      </c>
      <c r="N2014">
        <v>3</v>
      </c>
      <c r="O2014">
        <v>1</v>
      </c>
      <c r="P2014">
        <v>2025</v>
      </c>
    </row>
    <row r="2015" spans="1:16">
      <c r="A2015">
        <v>223.72</v>
      </c>
      <c r="B2015">
        <v>2</v>
      </c>
      <c r="C2015" t="s">
        <v>2724</v>
      </c>
      <c r="D2015" t="s">
        <v>2860</v>
      </c>
      <c r="E2015" t="s">
        <v>1698</v>
      </c>
      <c r="F2015" t="s">
        <v>1984</v>
      </c>
      <c r="G2015" t="s">
        <v>768</v>
      </c>
      <c r="H2015" t="s">
        <v>432</v>
      </c>
      <c r="I2015" t="s">
        <v>46</v>
      </c>
      <c r="J2015">
        <v>111.86</v>
      </c>
      <c r="K2015" s="1">
        <v>46050</v>
      </c>
      <c r="L2015" t="s">
        <v>34</v>
      </c>
      <c r="M2015">
        <v>28</v>
      </c>
      <c r="N2015">
        <v>1</v>
      </c>
      <c r="O2015">
        <v>1</v>
      </c>
      <c r="P2015">
        <v>2026</v>
      </c>
    </row>
    <row r="2016" spans="1:16">
      <c r="A2016">
        <v>734.32</v>
      </c>
      <c r="B2016">
        <v>4</v>
      </c>
      <c r="C2016" t="s">
        <v>971</v>
      </c>
      <c r="D2016" t="s">
        <v>972</v>
      </c>
      <c r="E2016" t="s">
        <v>973</v>
      </c>
      <c r="F2016" t="s">
        <v>562</v>
      </c>
      <c r="G2016" t="s">
        <v>753</v>
      </c>
      <c r="H2016" t="s">
        <v>641</v>
      </c>
      <c r="I2016" t="s">
        <v>46</v>
      </c>
      <c r="J2016">
        <v>183.58</v>
      </c>
      <c r="K2016" s="1">
        <v>45959</v>
      </c>
      <c r="L2016" t="s">
        <v>34</v>
      </c>
      <c r="M2016">
        <v>29</v>
      </c>
      <c r="N2016">
        <v>10</v>
      </c>
      <c r="O2016">
        <v>4</v>
      </c>
      <c r="P2016">
        <v>2025</v>
      </c>
    </row>
    <row r="2017" spans="1:16">
      <c r="A2017">
        <v>548.72</v>
      </c>
      <c r="B2017">
        <v>4</v>
      </c>
      <c r="C2017" t="s">
        <v>3306</v>
      </c>
      <c r="D2017" t="s">
        <v>3307</v>
      </c>
      <c r="E2017" t="s">
        <v>1493</v>
      </c>
      <c r="F2017" t="s">
        <v>961</v>
      </c>
      <c r="G2017" t="s">
        <v>807</v>
      </c>
      <c r="H2017" t="s">
        <v>219</v>
      </c>
      <c r="I2017" t="s">
        <v>39</v>
      </c>
      <c r="J2017">
        <v>137.18</v>
      </c>
      <c r="K2017" s="1">
        <v>45843</v>
      </c>
      <c r="L2017" t="s">
        <v>14</v>
      </c>
      <c r="M2017">
        <v>5</v>
      </c>
      <c r="N2017">
        <v>7</v>
      </c>
      <c r="O2017">
        <v>3</v>
      </c>
      <c r="P2017">
        <v>2025</v>
      </c>
    </row>
    <row r="2018" spans="1:16">
      <c r="A2018">
        <v>91.74</v>
      </c>
      <c r="B2018">
        <v>3</v>
      </c>
      <c r="C2018" t="s">
        <v>3015</v>
      </c>
      <c r="D2018" t="s">
        <v>3016</v>
      </c>
      <c r="E2018" t="s">
        <v>2319</v>
      </c>
      <c r="F2018" t="s">
        <v>869</v>
      </c>
      <c r="G2018" t="s">
        <v>807</v>
      </c>
      <c r="H2018" t="s">
        <v>574</v>
      </c>
      <c r="I2018" t="s">
        <v>19</v>
      </c>
      <c r="J2018">
        <v>30.58</v>
      </c>
      <c r="K2018" s="1">
        <v>46053</v>
      </c>
      <c r="L2018" t="s">
        <v>14</v>
      </c>
      <c r="M2018">
        <v>31</v>
      </c>
      <c r="N2018">
        <v>1</v>
      </c>
      <c r="O2018">
        <v>1</v>
      </c>
      <c r="P2018">
        <v>2026</v>
      </c>
    </row>
    <row r="2019" spans="1:16">
      <c r="A2019">
        <v>94.32</v>
      </c>
      <c r="B2019">
        <v>4</v>
      </c>
      <c r="C2019" t="s">
        <v>2993</v>
      </c>
      <c r="D2019" t="s">
        <v>2994</v>
      </c>
      <c r="E2019" t="s">
        <v>805</v>
      </c>
      <c r="F2019" t="s">
        <v>1318</v>
      </c>
      <c r="G2019" t="s">
        <v>807</v>
      </c>
      <c r="H2019" t="s">
        <v>466</v>
      </c>
      <c r="I2019" t="s">
        <v>46</v>
      </c>
      <c r="J2019">
        <v>23.58</v>
      </c>
      <c r="K2019" s="1">
        <v>45771</v>
      </c>
      <c r="L2019" t="s">
        <v>105</v>
      </c>
      <c r="M2019">
        <v>24</v>
      </c>
      <c r="N2019">
        <v>4</v>
      </c>
      <c r="O2019">
        <v>2</v>
      </c>
      <c r="P2019">
        <v>2025</v>
      </c>
    </row>
    <row r="2020" spans="1:16">
      <c r="A2020">
        <v>215.48</v>
      </c>
      <c r="B2020">
        <v>4</v>
      </c>
      <c r="C2020" t="s">
        <v>2176</v>
      </c>
      <c r="D2020" t="s">
        <v>2177</v>
      </c>
      <c r="E2020" t="s">
        <v>1768</v>
      </c>
      <c r="F2020" t="s">
        <v>1359</v>
      </c>
      <c r="G2020" t="s">
        <v>768</v>
      </c>
      <c r="H2020" t="s">
        <v>2034</v>
      </c>
      <c r="I2020" t="s">
        <v>100</v>
      </c>
      <c r="J2020">
        <v>53.87</v>
      </c>
      <c r="K2020" s="1">
        <v>45801</v>
      </c>
      <c r="L2020" t="s">
        <v>14</v>
      </c>
      <c r="M2020">
        <v>24</v>
      </c>
      <c r="N2020">
        <v>5</v>
      </c>
      <c r="O2020">
        <v>2</v>
      </c>
      <c r="P2020">
        <v>2025</v>
      </c>
    </row>
    <row r="2021" spans="1:16">
      <c r="A2021">
        <v>200.92</v>
      </c>
      <c r="B2021">
        <v>2</v>
      </c>
      <c r="C2021" t="s">
        <v>1411</v>
      </c>
      <c r="D2021" t="s">
        <v>1412</v>
      </c>
      <c r="E2021" t="s">
        <v>1374</v>
      </c>
      <c r="F2021" t="s">
        <v>113</v>
      </c>
      <c r="G2021" t="s">
        <v>854</v>
      </c>
      <c r="H2021" t="s">
        <v>703</v>
      </c>
      <c r="I2021" t="s">
        <v>60</v>
      </c>
      <c r="J2021">
        <v>100.46</v>
      </c>
      <c r="K2021" s="1">
        <v>45575</v>
      </c>
      <c r="L2021" t="s">
        <v>105</v>
      </c>
      <c r="M2021">
        <v>10</v>
      </c>
      <c r="N2021">
        <v>10</v>
      </c>
      <c r="O2021">
        <v>4</v>
      </c>
      <c r="P2021">
        <v>2024</v>
      </c>
    </row>
    <row r="2022" spans="1:16">
      <c r="A2022">
        <v>742.65</v>
      </c>
      <c r="B2022">
        <v>5</v>
      </c>
      <c r="C2022" t="s">
        <v>2393</v>
      </c>
      <c r="D2022" t="s">
        <v>2394</v>
      </c>
      <c r="E2022" t="s">
        <v>1348</v>
      </c>
      <c r="F2022" t="s">
        <v>113</v>
      </c>
      <c r="G2022" t="s">
        <v>1247</v>
      </c>
      <c r="H2022" t="s">
        <v>104</v>
      </c>
      <c r="I2022" t="s">
        <v>51</v>
      </c>
      <c r="J2022">
        <v>148.53</v>
      </c>
      <c r="K2022" s="1">
        <v>45628</v>
      </c>
      <c r="L2022" t="s">
        <v>93</v>
      </c>
      <c r="M2022">
        <v>2</v>
      </c>
      <c r="N2022">
        <v>12</v>
      </c>
      <c r="O2022">
        <v>4</v>
      </c>
      <c r="P2022">
        <v>2024</v>
      </c>
    </row>
    <row r="2023" spans="1:16">
      <c r="A2023">
        <v>41.55</v>
      </c>
      <c r="B2023">
        <v>3</v>
      </c>
      <c r="C2023" t="s">
        <v>1910</v>
      </c>
      <c r="D2023" t="s">
        <v>1911</v>
      </c>
      <c r="E2023" t="s">
        <v>846</v>
      </c>
      <c r="F2023" t="s">
        <v>883</v>
      </c>
      <c r="G2023" t="s">
        <v>807</v>
      </c>
      <c r="H2023" t="s">
        <v>233</v>
      </c>
      <c r="I2023" t="s">
        <v>122</v>
      </c>
      <c r="J2023">
        <v>13.85</v>
      </c>
      <c r="K2023" s="1">
        <v>46216</v>
      </c>
      <c r="L2023" t="s">
        <v>93</v>
      </c>
      <c r="M2023">
        <v>13</v>
      </c>
      <c r="N2023">
        <v>7</v>
      </c>
      <c r="O2023">
        <v>3</v>
      </c>
      <c r="P2023">
        <v>2026</v>
      </c>
    </row>
    <row r="2024" spans="1:16">
      <c r="A2024">
        <v>35.229999999999997</v>
      </c>
      <c r="B2024">
        <v>1</v>
      </c>
      <c r="C2024" t="s">
        <v>1458</v>
      </c>
      <c r="D2024" t="s">
        <v>1459</v>
      </c>
      <c r="E2024" t="s">
        <v>1286</v>
      </c>
      <c r="F2024" t="s">
        <v>1359</v>
      </c>
      <c r="G2024" t="s">
        <v>768</v>
      </c>
      <c r="H2024" t="s">
        <v>261</v>
      </c>
      <c r="I2024" t="s">
        <v>31</v>
      </c>
      <c r="J2024">
        <v>35.229999999999997</v>
      </c>
      <c r="K2024" s="1">
        <v>45623</v>
      </c>
      <c r="L2024" t="s">
        <v>34</v>
      </c>
      <c r="M2024">
        <v>27</v>
      </c>
      <c r="N2024">
        <v>11</v>
      </c>
      <c r="O2024">
        <v>4</v>
      </c>
      <c r="P2024">
        <v>2024</v>
      </c>
    </row>
    <row r="2025" spans="1:16">
      <c r="A2025">
        <v>449.18999999999994</v>
      </c>
      <c r="B2025">
        <v>3</v>
      </c>
      <c r="C2025" t="s">
        <v>920</v>
      </c>
      <c r="D2025" t="s">
        <v>921</v>
      </c>
      <c r="E2025" t="s">
        <v>922</v>
      </c>
      <c r="F2025" t="s">
        <v>380</v>
      </c>
      <c r="G2025" t="s">
        <v>776</v>
      </c>
      <c r="H2025" t="s">
        <v>425</v>
      </c>
      <c r="I2025" t="s">
        <v>51</v>
      </c>
      <c r="J2025">
        <v>149.72999999999999</v>
      </c>
      <c r="K2025" s="1">
        <v>46087</v>
      </c>
      <c r="L2025" t="s">
        <v>79</v>
      </c>
      <c r="M2025">
        <v>6</v>
      </c>
      <c r="N2025">
        <v>3</v>
      </c>
      <c r="O2025">
        <v>1</v>
      </c>
      <c r="P2025">
        <v>2026</v>
      </c>
    </row>
    <row r="2026" spans="1:16">
      <c r="A2026">
        <v>81.8</v>
      </c>
      <c r="B2026">
        <v>4</v>
      </c>
      <c r="C2026" t="s">
        <v>2360</v>
      </c>
      <c r="D2026" t="s">
        <v>2361</v>
      </c>
      <c r="E2026" t="s">
        <v>2362</v>
      </c>
      <c r="F2026" t="s">
        <v>1306</v>
      </c>
      <c r="G2026" t="s">
        <v>966</v>
      </c>
      <c r="H2026" t="s">
        <v>555</v>
      </c>
      <c r="I2026" t="s">
        <v>37</v>
      </c>
      <c r="J2026">
        <v>20.45</v>
      </c>
      <c r="K2026" s="1">
        <v>45915</v>
      </c>
      <c r="L2026" t="s">
        <v>93</v>
      </c>
      <c r="M2026">
        <v>15</v>
      </c>
      <c r="N2026">
        <v>9</v>
      </c>
      <c r="O2026">
        <v>3</v>
      </c>
      <c r="P2026">
        <v>2025</v>
      </c>
    </row>
    <row r="2027" spans="1:16">
      <c r="A2027">
        <v>201.03</v>
      </c>
      <c r="B2027">
        <v>1</v>
      </c>
      <c r="C2027" t="s">
        <v>1951</v>
      </c>
      <c r="D2027" t="s">
        <v>1952</v>
      </c>
      <c r="E2027" t="s">
        <v>1953</v>
      </c>
      <c r="F2027" t="s">
        <v>1882</v>
      </c>
      <c r="G2027" t="s">
        <v>795</v>
      </c>
      <c r="H2027" t="s">
        <v>314</v>
      </c>
      <c r="I2027" t="s">
        <v>100</v>
      </c>
      <c r="J2027">
        <v>201.03</v>
      </c>
      <c r="K2027" s="1">
        <v>45904</v>
      </c>
      <c r="L2027" t="s">
        <v>105</v>
      </c>
      <c r="M2027">
        <v>4</v>
      </c>
      <c r="N2027">
        <v>9</v>
      </c>
      <c r="O2027">
        <v>3</v>
      </c>
      <c r="P2027">
        <v>2025</v>
      </c>
    </row>
    <row r="2028" spans="1:16">
      <c r="A2028">
        <v>111.86</v>
      </c>
      <c r="B2028">
        <v>1</v>
      </c>
      <c r="C2028" t="s">
        <v>3260</v>
      </c>
      <c r="D2028" t="s">
        <v>3261</v>
      </c>
      <c r="E2028" t="s">
        <v>766</v>
      </c>
      <c r="F2028" t="s">
        <v>380</v>
      </c>
      <c r="G2028" t="s">
        <v>896</v>
      </c>
      <c r="H2028" t="s">
        <v>432</v>
      </c>
      <c r="I2028" t="s">
        <v>46</v>
      </c>
      <c r="J2028">
        <v>111.86</v>
      </c>
      <c r="K2028" s="1">
        <v>45966</v>
      </c>
      <c r="L2028" t="s">
        <v>34</v>
      </c>
      <c r="M2028">
        <v>5</v>
      </c>
      <c r="N2028">
        <v>11</v>
      </c>
      <c r="O2028">
        <v>4</v>
      </c>
      <c r="P2028">
        <v>2025</v>
      </c>
    </row>
    <row r="2029" spans="1:16">
      <c r="A2029">
        <v>577.1</v>
      </c>
      <c r="B2029">
        <v>5</v>
      </c>
      <c r="C2029" t="s">
        <v>1068</v>
      </c>
      <c r="D2029" t="s">
        <v>1069</v>
      </c>
      <c r="E2029" t="s">
        <v>1070</v>
      </c>
      <c r="F2029" t="s">
        <v>1071</v>
      </c>
      <c r="G2029" t="s">
        <v>817</v>
      </c>
      <c r="H2029" t="s">
        <v>598</v>
      </c>
      <c r="I2029" t="s">
        <v>31</v>
      </c>
      <c r="J2029">
        <v>115.42</v>
      </c>
      <c r="K2029" s="1">
        <v>45801</v>
      </c>
      <c r="L2029" t="s">
        <v>14</v>
      </c>
      <c r="M2029">
        <v>24</v>
      </c>
      <c r="N2029">
        <v>5</v>
      </c>
      <c r="O2029">
        <v>2</v>
      </c>
      <c r="P2029">
        <v>2025</v>
      </c>
    </row>
    <row r="2030" spans="1:16">
      <c r="A2030">
        <v>280.25</v>
      </c>
      <c r="B2030">
        <v>5</v>
      </c>
      <c r="C2030" t="s">
        <v>3385</v>
      </c>
      <c r="D2030" t="s">
        <v>3386</v>
      </c>
      <c r="E2030" t="s">
        <v>2020</v>
      </c>
      <c r="F2030" t="s">
        <v>644</v>
      </c>
      <c r="G2030" t="s">
        <v>748</v>
      </c>
      <c r="H2030" t="s">
        <v>32</v>
      </c>
      <c r="I2030" t="s">
        <v>19</v>
      </c>
      <c r="J2030">
        <v>56.05</v>
      </c>
      <c r="K2030" s="1">
        <v>45754</v>
      </c>
      <c r="L2030" t="s">
        <v>93</v>
      </c>
      <c r="M2030">
        <v>7</v>
      </c>
      <c r="N2030">
        <v>4</v>
      </c>
      <c r="O2030">
        <v>2</v>
      </c>
      <c r="P2030">
        <v>2025</v>
      </c>
    </row>
    <row r="2031" spans="1:16">
      <c r="A2031">
        <v>1022.75</v>
      </c>
      <c r="B2031">
        <v>5</v>
      </c>
      <c r="C2031" t="s">
        <v>2298</v>
      </c>
      <c r="D2031" t="s">
        <v>2299</v>
      </c>
      <c r="E2031" t="s">
        <v>1498</v>
      </c>
      <c r="F2031" t="s">
        <v>1318</v>
      </c>
      <c r="G2031" t="s">
        <v>807</v>
      </c>
      <c r="H2031" t="s">
        <v>323</v>
      </c>
      <c r="I2031" t="s">
        <v>100</v>
      </c>
      <c r="J2031">
        <v>204.55</v>
      </c>
      <c r="K2031" s="1">
        <v>46168</v>
      </c>
      <c r="L2031" t="s">
        <v>48</v>
      </c>
      <c r="M2031">
        <v>26</v>
      </c>
      <c r="N2031">
        <v>5</v>
      </c>
      <c r="O2031">
        <v>2</v>
      </c>
      <c r="P2031">
        <v>2026</v>
      </c>
    </row>
    <row r="2032" spans="1:16">
      <c r="A2032">
        <v>54.150000000000006</v>
      </c>
      <c r="B2032">
        <v>3</v>
      </c>
      <c r="C2032" t="s">
        <v>3314</v>
      </c>
      <c r="D2032" t="s">
        <v>3315</v>
      </c>
      <c r="E2032" t="s">
        <v>1965</v>
      </c>
      <c r="F2032" t="s">
        <v>1061</v>
      </c>
      <c r="G2032" t="s">
        <v>812</v>
      </c>
      <c r="H2032" t="s">
        <v>30</v>
      </c>
      <c r="I2032" t="s">
        <v>31</v>
      </c>
      <c r="J2032">
        <v>18.05</v>
      </c>
      <c r="K2032" s="1">
        <v>46157</v>
      </c>
      <c r="L2032" t="s">
        <v>79</v>
      </c>
      <c r="M2032">
        <v>15</v>
      </c>
      <c r="N2032">
        <v>5</v>
      </c>
      <c r="O2032">
        <v>2</v>
      </c>
      <c r="P2032">
        <v>2026</v>
      </c>
    </row>
    <row r="2033" spans="1:16">
      <c r="A2033">
        <v>607.59</v>
      </c>
      <c r="B2033">
        <v>3</v>
      </c>
      <c r="C2033" t="s">
        <v>2087</v>
      </c>
      <c r="D2033" t="s">
        <v>2088</v>
      </c>
      <c r="E2033" t="s">
        <v>820</v>
      </c>
      <c r="F2033" t="s">
        <v>995</v>
      </c>
      <c r="G2033" t="s">
        <v>781</v>
      </c>
      <c r="H2033" t="s">
        <v>251</v>
      </c>
      <c r="I2033" t="s">
        <v>122</v>
      </c>
      <c r="J2033">
        <v>202.53</v>
      </c>
      <c r="K2033" s="1">
        <v>46212</v>
      </c>
      <c r="L2033" t="s">
        <v>105</v>
      </c>
      <c r="M2033">
        <v>9</v>
      </c>
      <c r="N2033">
        <v>7</v>
      </c>
      <c r="O2033">
        <v>3</v>
      </c>
      <c r="P2033">
        <v>2026</v>
      </c>
    </row>
    <row r="2034" spans="1:16">
      <c r="A2034">
        <v>451.46</v>
      </c>
      <c r="B2034">
        <v>2</v>
      </c>
      <c r="C2034" t="s">
        <v>2185</v>
      </c>
      <c r="D2034" t="s">
        <v>2186</v>
      </c>
      <c r="E2034" t="s">
        <v>1429</v>
      </c>
      <c r="F2034" t="s">
        <v>1395</v>
      </c>
      <c r="G2034" t="s">
        <v>776</v>
      </c>
      <c r="H2034" t="s">
        <v>444</v>
      </c>
      <c r="I2034" t="s">
        <v>37</v>
      </c>
      <c r="J2034">
        <v>225.73</v>
      </c>
      <c r="K2034" s="1">
        <v>45742</v>
      </c>
      <c r="L2034" t="s">
        <v>34</v>
      </c>
      <c r="M2034">
        <v>26</v>
      </c>
      <c r="N2034">
        <v>3</v>
      </c>
      <c r="O2034">
        <v>1</v>
      </c>
      <c r="P2034">
        <v>2025</v>
      </c>
    </row>
    <row r="2035" spans="1:16">
      <c r="A2035">
        <v>320.86</v>
      </c>
      <c r="B2035">
        <v>2</v>
      </c>
      <c r="C2035" t="s">
        <v>3492</v>
      </c>
      <c r="D2035" t="s">
        <v>3493</v>
      </c>
      <c r="E2035" t="s">
        <v>1452</v>
      </c>
      <c r="F2035" t="s">
        <v>1342</v>
      </c>
      <c r="G2035" t="s">
        <v>776</v>
      </c>
      <c r="H2035" t="s">
        <v>424</v>
      </c>
      <c r="I2035" t="s">
        <v>69</v>
      </c>
      <c r="J2035">
        <v>160.43</v>
      </c>
      <c r="K2035" s="1">
        <v>46100</v>
      </c>
      <c r="L2035" t="s">
        <v>105</v>
      </c>
      <c r="M2035">
        <v>19</v>
      </c>
      <c r="N2035">
        <v>3</v>
      </c>
      <c r="O2035">
        <v>1</v>
      </c>
      <c r="P2035">
        <v>2026</v>
      </c>
    </row>
    <row r="2036" spans="1:16">
      <c r="A2036">
        <v>594.16</v>
      </c>
      <c r="B2036">
        <v>4</v>
      </c>
      <c r="C2036" t="s">
        <v>1147</v>
      </c>
      <c r="D2036" t="s">
        <v>1148</v>
      </c>
      <c r="E2036" t="s">
        <v>1149</v>
      </c>
      <c r="F2036" t="s">
        <v>1071</v>
      </c>
      <c r="G2036" t="s">
        <v>817</v>
      </c>
      <c r="H2036" t="s">
        <v>16</v>
      </c>
      <c r="I2036" t="s">
        <v>17</v>
      </c>
      <c r="J2036">
        <v>148.54</v>
      </c>
      <c r="K2036" s="1">
        <v>45578</v>
      </c>
      <c r="L2036" t="s">
        <v>28</v>
      </c>
      <c r="M2036">
        <v>13</v>
      </c>
      <c r="N2036">
        <v>10</v>
      </c>
      <c r="O2036">
        <v>4</v>
      </c>
      <c r="P2036">
        <v>2024</v>
      </c>
    </row>
    <row r="2037" spans="1:16">
      <c r="A2037">
        <v>801.92</v>
      </c>
      <c r="B2037">
        <v>4</v>
      </c>
      <c r="C2037" t="s">
        <v>2251</v>
      </c>
      <c r="D2037" t="s">
        <v>2252</v>
      </c>
      <c r="E2037" t="s">
        <v>2253</v>
      </c>
      <c r="F2037" t="s">
        <v>1882</v>
      </c>
      <c r="G2037" t="s">
        <v>795</v>
      </c>
      <c r="H2037" t="s">
        <v>2254</v>
      </c>
      <c r="I2037" t="s">
        <v>43</v>
      </c>
      <c r="J2037">
        <v>200.48</v>
      </c>
      <c r="K2037" s="1">
        <v>45859</v>
      </c>
      <c r="L2037" t="s">
        <v>93</v>
      </c>
      <c r="M2037">
        <v>21</v>
      </c>
      <c r="N2037">
        <v>7</v>
      </c>
      <c r="O2037">
        <v>3</v>
      </c>
      <c r="P2037">
        <v>2025</v>
      </c>
    </row>
    <row r="2038" spans="1:16">
      <c r="A2038">
        <v>1141.3</v>
      </c>
      <c r="B2038">
        <v>5</v>
      </c>
      <c r="C2038" t="s">
        <v>1560</v>
      </c>
      <c r="D2038" t="s">
        <v>1561</v>
      </c>
      <c r="E2038" t="s">
        <v>1562</v>
      </c>
      <c r="F2038" t="s">
        <v>151</v>
      </c>
      <c r="G2038" t="s">
        <v>1003</v>
      </c>
      <c r="H2038" t="s">
        <v>268</v>
      </c>
      <c r="I2038" t="s">
        <v>97</v>
      </c>
      <c r="J2038">
        <v>228.26</v>
      </c>
      <c r="K2038" s="1">
        <v>45642</v>
      </c>
      <c r="L2038" t="s">
        <v>93</v>
      </c>
      <c r="M2038">
        <v>16</v>
      </c>
      <c r="N2038">
        <v>12</v>
      </c>
      <c r="O2038">
        <v>4</v>
      </c>
      <c r="P2038">
        <v>2024</v>
      </c>
    </row>
    <row r="2039" spans="1:16">
      <c r="A2039">
        <v>695.52</v>
      </c>
      <c r="B2039">
        <v>3</v>
      </c>
      <c r="C2039" t="s">
        <v>2316</v>
      </c>
      <c r="D2039" t="s">
        <v>2317</v>
      </c>
      <c r="E2039" t="s">
        <v>1909</v>
      </c>
      <c r="F2039" t="s">
        <v>915</v>
      </c>
      <c r="G2039" t="s">
        <v>908</v>
      </c>
      <c r="H2039" t="s">
        <v>626</v>
      </c>
      <c r="I2039" t="s">
        <v>17</v>
      </c>
      <c r="J2039">
        <v>231.84</v>
      </c>
      <c r="K2039" s="1">
        <v>45773</v>
      </c>
      <c r="L2039" t="s">
        <v>14</v>
      </c>
      <c r="M2039">
        <v>26</v>
      </c>
      <c r="N2039">
        <v>4</v>
      </c>
      <c r="O2039">
        <v>2</v>
      </c>
      <c r="P2039">
        <v>2025</v>
      </c>
    </row>
    <row r="2040" spans="1:16">
      <c r="A2040">
        <v>235.19</v>
      </c>
      <c r="B2040">
        <v>1</v>
      </c>
      <c r="C2040" t="s">
        <v>897</v>
      </c>
      <c r="D2040" t="s">
        <v>898</v>
      </c>
      <c r="E2040" t="s">
        <v>899</v>
      </c>
      <c r="F2040" t="s">
        <v>280</v>
      </c>
      <c r="G2040" t="s">
        <v>812</v>
      </c>
      <c r="H2040" t="s">
        <v>396</v>
      </c>
      <c r="I2040" t="s">
        <v>122</v>
      </c>
      <c r="J2040">
        <v>235.19</v>
      </c>
      <c r="K2040" s="1">
        <v>45648</v>
      </c>
      <c r="L2040" t="s">
        <v>28</v>
      </c>
      <c r="M2040">
        <v>22</v>
      </c>
      <c r="N2040">
        <v>12</v>
      </c>
      <c r="O2040">
        <v>4</v>
      </c>
      <c r="P2040">
        <v>2024</v>
      </c>
    </row>
    <row r="2041" spans="1:16">
      <c r="A2041">
        <v>601.59</v>
      </c>
      <c r="B2041">
        <v>3</v>
      </c>
      <c r="C2041" t="s">
        <v>809</v>
      </c>
      <c r="D2041" t="s">
        <v>810</v>
      </c>
      <c r="E2041" t="s">
        <v>811</v>
      </c>
      <c r="F2041" t="s">
        <v>280</v>
      </c>
      <c r="G2041" t="s">
        <v>812</v>
      </c>
      <c r="H2041" t="s">
        <v>429</v>
      </c>
      <c r="I2041" t="s">
        <v>19</v>
      </c>
      <c r="J2041">
        <v>200.53</v>
      </c>
      <c r="K2041" s="1">
        <v>45641</v>
      </c>
      <c r="L2041" t="s">
        <v>28</v>
      </c>
      <c r="M2041">
        <v>15</v>
      </c>
      <c r="N2041">
        <v>12</v>
      </c>
      <c r="O2041">
        <v>4</v>
      </c>
      <c r="P2041">
        <v>2024</v>
      </c>
    </row>
    <row r="2042" spans="1:16">
      <c r="A2042">
        <v>157.80000000000001</v>
      </c>
      <c r="B2042">
        <v>4</v>
      </c>
      <c r="C2042" t="s">
        <v>1787</v>
      </c>
      <c r="D2042" t="s">
        <v>1788</v>
      </c>
      <c r="E2042" t="s">
        <v>1162</v>
      </c>
      <c r="F2042" t="s">
        <v>767</v>
      </c>
      <c r="G2042" t="s">
        <v>768</v>
      </c>
      <c r="H2042" t="s">
        <v>668</v>
      </c>
      <c r="I2042" t="s">
        <v>46</v>
      </c>
      <c r="J2042">
        <v>39.450000000000003</v>
      </c>
      <c r="K2042" s="1">
        <v>45929</v>
      </c>
      <c r="L2042" t="s">
        <v>93</v>
      </c>
      <c r="M2042">
        <v>29</v>
      </c>
      <c r="N2042">
        <v>9</v>
      </c>
      <c r="O2042">
        <v>3</v>
      </c>
      <c r="P2042">
        <v>2025</v>
      </c>
    </row>
    <row r="2043" spans="1:16">
      <c r="A2043">
        <v>821.8</v>
      </c>
      <c r="B2043">
        <v>4</v>
      </c>
      <c r="C2043" t="s">
        <v>847</v>
      </c>
      <c r="D2043" t="s">
        <v>848</v>
      </c>
      <c r="E2043" t="s">
        <v>849</v>
      </c>
      <c r="F2043" t="s">
        <v>387</v>
      </c>
      <c r="G2043" t="s">
        <v>821</v>
      </c>
      <c r="H2043" t="s">
        <v>107</v>
      </c>
      <c r="I2043" t="s">
        <v>17</v>
      </c>
      <c r="J2043">
        <v>205.45</v>
      </c>
      <c r="K2043" s="1">
        <v>45737</v>
      </c>
      <c r="L2043" t="s">
        <v>79</v>
      </c>
      <c r="M2043">
        <v>21</v>
      </c>
      <c r="N2043">
        <v>3</v>
      </c>
      <c r="O2043">
        <v>1</v>
      </c>
      <c r="P2043">
        <v>2025</v>
      </c>
    </row>
    <row r="2044" spans="1:16">
      <c r="A2044">
        <v>255.96</v>
      </c>
      <c r="B2044">
        <v>2</v>
      </c>
      <c r="C2044" t="s">
        <v>2298</v>
      </c>
      <c r="D2044" t="s">
        <v>2299</v>
      </c>
      <c r="E2044" t="s">
        <v>1498</v>
      </c>
      <c r="F2044" t="s">
        <v>1318</v>
      </c>
      <c r="G2044" t="s">
        <v>807</v>
      </c>
      <c r="H2044" t="s">
        <v>277</v>
      </c>
      <c r="I2044" t="s">
        <v>122</v>
      </c>
      <c r="J2044">
        <v>127.98</v>
      </c>
      <c r="K2044" s="1">
        <v>45874</v>
      </c>
      <c r="L2044" t="s">
        <v>48</v>
      </c>
      <c r="M2044">
        <v>5</v>
      </c>
      <c r="N2044">
        <v>8</v>
      </c>
      <c r="O2044">
        <v>3</v>
      </c>
      <c r="P2044">
        <v>2025</v>
      </c>
    </row>
    <row r="2045" spans="1:16">
      <c r="A2045">
        <v>59.56</v>
      </c>
      <c r="B2045">
        <v>1</v>
      </c>
      <c r="C2045" t="s">
        <v>3224</v>
      </c>
      <c r="D2045" t="s">
        <v>3225</v>
      </c>
      <c r="E2045" t="s">
        <v>1031</v>
      </c>
      <c r="F2045" t="s">
        <v>1236</v>
      </c>
      <c r="G2045" t="s">
        <v>807</v>
      </c>
      <c r="H2045" t="s">
        <v>573</v>
      </c>
      <c r="I2045" t="s">
        <v>55</v>
      </c>
      <c r="J2045">
        <v>59.56</v>
      </c>
      <c r="K2045" s="1">
        <v>46004</v>
      </c>
      <c r="L2045" t="s">
        <v>14</v>
      </c>
      <c r="M2045">
        <v>13</v>
      </c>
      <c r="N2045">
        <v>12</v>
      </c>
      <c r="O2045">
        <v>4</v>
      </c>
      <c r="P2045">
        <v>2025</v>
      </c>
    </row>
    <row r="2046" spans="1:16">
      <c r="A2046">
        <v>304.68</v>
      </c>
      <c r="B2046">
        <v>3</v>
      </c>
      <c r="C2046" t="s">
        <v>2638</v>
      </c>
      <c r="D2046" t="s">
        <v>2639</v>
      </c>
      <c r="E2046" t="s">
        <v>2640</v>
      </c>
      <c r="F2046" t="s">
        <v>328</v>
      </c>
      <c r="G2046" t="s">
        <v>1247</v>
      </c>
      <c r="H2046" t="s">
        <v>426</v>
      </c>
      <c r="I2046" t="s">
        <v>37</v>
      </c>
      <c r="J2046">
        <v>101.56</v>
      </c>
      <c r="K2046" s="1">
        <v>46240</v>
      </c>
      <c r="L2046" t="s">
        <v>105</v>
      </c>
      <c r="M2046">
        <v>6</v>
      </c>
      <c r="N2046">
        <v>8</v>
      </c>
      <c r="O2046">
        <v>3</v>
      </c>
      <c r="P2046">
        <v>2026</v>
      </c>
    </row>
    <row r="2047" spans="1:16">
      <c r="A2047">
        <v>245.38</v>
      </c>
      <c r="B2047">
        <v>2</v>
      </c>
      <c r="C2047" t="s">
        <v>1079</v>
      </c>
      <c r="D2047" t="s">
        <v>1080</v>
      </c>
      <c r="E2047" t="s">
        <v>1081</v>
      </c>
      <c r="F2047" t="s">
        <v>772</v>
      </c>
      <c r="G2047" t="s">
        <v>758</v>
      </c>
      <c r="H2047" t="s">
        <v>134</v>
      </c>
      <c r="I2047" t="s">
        <v>100</v>
      </c>
      <c r="J2047">
        <v>122.69</v>
      </c>
      <c r="K2047" s="1">
        <v>45653</v>
      </c>
      <c r="L2047" t="s">
        <v>79</v>
      </c>
      <c r="M2047">
        <v>27</v>
      </c>
      <c r="N2047">
        <v>12</v>
      </c>
      <c r="O2047">
        <v>4</v>
      </c>
      <c r="P2047">
        <v>2024</v>
      </c>
    </row>
    <row r="2048" spans="1:16">
      <c r="A2048">
        <v>478.1</v>
      </c>
      <c r="B2048">
        <v>5</v>
      </c>
      <c r="C2048" t="s">
        <v>826</v>
      </c>
      <c r="D2048" t="s">
        <v>827</v>
      </c>
      <c r="E2048" t="s">
        <v>828</v>
      </c>
      <c r="F2048" t="s">
        <v>829</v>
      </c>
      <c r="G2048" t="s">
        <v>830</v>
      </c>
      <c r="H2048" t="s">
        <v>153</v>
      </c>
      <c r="I2048" t="s">
        <v>37</v>
      </c>
      <c r="J2048">
        <v>95.62</v>
      </c>
      <c r="K2048" s="1">
        <v>45807</v>
      </c>
      <c r="L2048" t="s">
        <v>79</v>
      </c>
      <c r="M2048">
        <v>30</v>
      </c>
      <c r="N2048">
        <v>5</v>
      </c>
      <c r="O2048">
        <v>2</v>
      </c>
      <c r="P2048">
        <v>2025</v>
      </c>
    </row>
    <row r="2049" spans="1:16">
      <c r="A2049">
        <v>602.13</v>
      </c>
      <c r="B2049">
        <v>3</v>
      </c>
      <c r="C2049" t="s">
        <v>1612</v>
      </c>
      <c r="D2049" t="s">
        <v>1613</v>
      </c>
      <c r="E2049" t="s">
        <v>1508</v>
      </c>
      <c r="F2049" t="s">
        <v>919</v>
      </c>
      <c r="G2049" t="s">
        <v>786</v>
      </c>
      <c r="H2049" t="s">
        <v>298</v>
      </c>
      <c r="I2049" t="s">
        <v>31</v>
      </c>
      <c r="J2049">
        <v>200.71</v>
      </c>
      <c r="K2049" s="1">
        <v>45724</v>
      </c>
      <c r="L2049" t="s">
        <v>14</v>
      </c>
      <c r="M2049">
        <v>8</v>
      </c>
      <c r="N2049">
        <v>3</v>
      </c>
      <c r="O2049">
        <v>1</v>
      </c>
      <c r="P2049">
        <v>2025</v>
      </c>
    </row>
    <row r="2050" spans="1:16">
      <c r="A2050">
        <v>821.8</v>
      </c>
      <c r="B2050">
        <v>4</v>
      </c>
      <c r="C2050" t="s">
        <v>1863</v>
      </c>
      <c r="D2050" t="s">
        <v>1864</v>
      </c>
      <c r="E2050" t="s">
        <v>1865</v>
      </c>
      <c r="F2050" t="s">
        <v>1168</v>
      </c>
      <c r="G2050" t="s">
        <v>758</v>
      </c>
      <c r="H2050" t="s">
        <v>107</v>
      </c>
      <c r="I2050" t="s">
        <v>17</v>
      </c>
      <c r="J2050">
        <v>205.45</v>
      </c>
      <c r="K2050" s="1">
        <v>46071</v>
      </c>
      <c r="L2050" t="s">
        <v>34</v>
      </c>
      <c r="M2050">
        <v>18</v>
      </c>
      <c r="N2050">
        <v>2</v>
      </c>
      <c r="O2050">
        <v>1</v>
      </c>
      <c r="P2050">
        <v>2026</v>
      </c>
    </row>
    <row r="2051" spans="1:16">
      <c r="A2051">
        <v>89.85</v>
      </c>
      <c r="B2051">
        <v>1</v>
      </c>
      <c r="C2051" t="s">
        <v>3076</v>
      </c>
      <c r="D2051" t="s">
        <v>3077</v>
      </c>
      <c r="E2051" t="s">
        <v>2666</v>
      </c>
      <c r="F2051" t="s">
        <v>1156</v>
      </c>
      <c r="G2051" t="s">
        <v>839</v>
      </c>
      <c r="H2051" t="s">
        <v>381</v>
      </c>
      <c r="I2051" t="s">
        <v>27</v>
      </c>
      <c r="J2051">
        <v>89.85</v>
      </c>
      <c r="K2051" s="1">
        <v>45954</v>
      </c>
      <c r="L2051" t="s">
        <v>79</v>
      </c>
      <c r="M2051">
        <v>24</v>
      </c>
      <c r="N2051">
        <v>10</v>
      </c>
      <c r="O2051">
        <v>4</v>
      </c>
      <c r="P2051">
        <v>2025</v>
      </c>
    </row>
    <row r="2052" spans="1:16">
      <c r="A2052">
        <v>234.31</v>
      </c>
      <c r="B2052">
        <v>1</v>
      </c>
      <c r="C2052" t="s">
        <v>2523</v>
      </c>
      <c r="D2052" t="s">
        <v>2524</v>
      </c>
      <c r="E2052" t="s">
        <v>1997</v>
      </c>
      <c r="F2052" t="s">
        <v>1189</v>
      </c>
      <c r="G2052" t="s">
        <v>892</v>
      </c>
      <c r="H2052" t="s">
        <v>150</v>
      </c>
      <c r="I2052" t="s">
        <v>60</v>
      </c>
      <c r="J2052">
        <v>234.31</v>
      </c>
      <c r="K2052" s="1">
        <v>45815</v>
      </c>
      <c r="L2052" t="s">
        <v>14</v>
      </c>
      <c r="M2052">
        <v>7</v>
      </c>
      <c r="N2052">
        <v>6</v>
      </c>
      <c r="O2052">
        <v>2</v>
      </c>
      <c r="P2052">
        <v>2025</v>
      </c>
    </row>
    <row r="2053" spans="1:16">
      <c r="A2053">
        <v>810.12</v>
      </c>
      <c r="B2053">
        <v>4</v>
      </c>
      <c r="C2053" t="s">
        <v>822</v>
      </c>
      <c r="D2053" t="s">
        <v>823</v>
      </c>
      <c r="E2053" t="s">
        <v>824</v>
      </c>
      <c r="F2053" t="s">
        <v>825</v>
      </c>
      <c r="G2053" t="s">
        <v>781</v>
      </c>
      <c r="H2053" t="s">
        <v>251</v>
      </c>
      <c r="I2053" t="s">
        <v>122</v>
      </c>
      <c r="J2053">
        <v>202.53</v>
      </c>
      <c r="K2053" s="1">
        <v>45789</v>
      </c>
      <c r="L2053" t="s">
        <v>93</v>
      </c>
      <c r="M2053">
        <v>12</v>
      </c>
      <c r="N2053">
        <v>5</v>
      </c>
      <c r="O2053">
        <v>2</v>
      </c>
      <c r="P2053">
        <v>2025</v>
      </c>
    </row>
    <row r="2054" spans="1:16">
      <c r="A2054">
        <v>565.44000000000005</v>
      </c>
      <c r="B2054">
        <v>4</v>
      </c>
      <c r="C2054" t="s">
        <v>3187</v>
      </c>
      <c r="D2054" t="s">
        <v>3188</v>
      </c>
      <c r="E2054" t="s">
        <v>1501</v>
      </c>
      <c r="F2054" t="s">
        <v>1189</v>
      </c>
      <c r="G2054" t="s">
        <v>892</v>
      </c>
      <c r="H2054" t="s">
        <v>181</v>
      </c>
      <c r="I2054" t="s">
        <v>82</v>
      </c>
      <c r="J2054">
        <v>141.36000000000001</v>
      </c>
      <c r="K2054" s="1">
        <v>45704</v>
      </c>
      <c r="L2054" t="s">
        <v>28</v>
      </c>
      <c r="M2054">
        <v>16</v>
      </c>
      <c r="N2054">
        <v>2</v>
      </c>
      <c r="O2054">
        <v>1</v>
      </c>
      <c r="P2054">
        <v>2025</v>
      </c>
    </row>
    <row r="2055" spans="1:16">
      <c r="A2055">
        <v>709.83</v>
      </c>
      <c r="B2055">
        <v>3</v>
      </c>
      <c r="C2055" t="s">
        <v>2276</v>
      </c>
      <c r="D2055" t="s">
        <v>2277</v>
      </c>
      <c r="E2055" t="s">
        <v>2004</v>
      </c>
      <c r="F2055" t="s">
        <v>322</v>
      </c>
      <c r="G2055" t="s">
        <v>795</v>
      </c>
      <c r="H2055" t="s">
        <v>235</v>
      </c>
      <c r="I2055" t="s">
        <v>19</v>
      </c>
      <c r="J2055">
        <v>236.61</v>
      </c>
      <c r="K2055" s="1">
        <v>46140</v>
      </c>
      <c r="L2055" t="s">
        <v>48</v>
      </c>
      <c r="M2055">
        <v>28</v>
      </c>
      <c r="N2055">
        <v>4</v>
      </c>
      <c r="O2055">
        <v>2</v>
      </c>
      <c r="P2055">
        <v>2026</v>
      </c>
    </row>
    <row r="2056" spans="1:16">
      <c r="A2056">
        <v>685.98</v>
      </c>
      <c r="B2056">
        <v>3</v>
      </c>
      <c r="C2056" t="s">
        <v>3274</v>
      </c>
      <c r="D2056" t="s">
        <v>3275</v>
      </c>
      <c r="E2056" t="s">
        <v>2108</v>
      </c>
      <c r="F2056" t="s">
        <v>1107</v>
      </c>
      <c r="G2056" t="s">
        <v>763</v>
      </c>
      <c r="H2056" t="s">
        <v>480</v>
      </c>
      <c r="I2056" t="s">
        <v>57</v>
      </c>
      <c r="J2056">
        <v>228.66</v>
      </c>
      <c r="K2056" s="1">
        <v>46106</v>
      </c>
      <c r="L2056" t="s">
        <v>34</v>
      </c>
      <c r="M2056">
        <v>25</v>
      </c>
      <c r="N2056">
        <v>3</v>
      </c>
      <c r="O2056">
        <v>1</v>
      </c>
      <c r="P2056">
        <v>2026</v>
      </c>
    </row>
    <row r="2057" spans="1:16">
      <c r="A2057">
        <v>7.83</v>
      </c>
      <c r="B2057">
        <v>1</v>
      </c>
      <c r="C2057" t="s">
        <v>2846</v>
      </c>
      <c r="D2057" t="s">
        <v>2847</v>
      </c>
      <c r="E2057" t="s">
        <v>2848</v>
      </c>
      <c r="F2057" t="s">
        <v>985</v>
      </c>
      <c r="G2057" t="s">
        <v>817</v>
      </c>
      <c r="H2057" t="s">
        <v>489</v>
      </c>
      <c r="I2057" t="s">
        <v>51</v>
      </c>
      <c r="J2057">
        <v>7.83</v>
      </c>
      <c r="K2057" s="1">
        <v>45618</v>
      </c>
      <c r="L2057" t="s">
        <v>79</v>
      </c>
      <c r="M2057">
        <v>22</v>
      </c>
      <c r="N2057">
        <v>11</v>
      </c>
      <c r="O2057">
        <v>4</v>
      </c>
      <c r="P2057">
        <v>2024</v>
      </c>
    </row>
    <row r="2058" spans="1:16">
      <c r="A2058">
        <v>136.12</v>
      </c>
      <c r="B2058">
        <v>4</v>
      </c>
      <c r="C2058" t="s">
        <v>3003</v>
      </c>
      <c r="D2058" t="s">
        <v>3004</v>
      </c>
      <c r="E2058" t="s">
        <v>2927</v>
      </c>
      <c r="F2058" t="s">
        <v>1384</v>
      </c>
      <c r="G2058" t="s">
        <v>908</v>
      </c>
      <c r="H2058" t="s">
        <v>678</v>
      </c>
      <c r="I2058" t="s">
        <v>100</v>
      </c>
      <c r="J2058">
        <v>34.03</v>
      </c>
      <c r="K2058" s="1">
        <v>45924</v>
      </c>
      <c r="L2058" t="s">
        <v>34</v>
      </c>
      <c r="M2058">
        <v>24</v>
      </c>
      <c r="N2058">
        <v>9</v>
      </c>
      <c r="O2058">
        <v>3</v>
      </c>
      <c r="P2058">
        <v>2025</v>
      </c>
    </row>
    <row r="2059" spans="1:16">
      <c r="A2059">
        <v>400.24</v>
      </c>
      <c r="B2059">
        <v>2</v>
      </c>
      <c r="C2059" t="s">
        <v>1802</v>
      </c>
      <c r="D2059" t="s">
        <v>1803</v>
      </c>
      <c r="E2059" t="s">
        <v>906</v>
      </c>
      <c r="F2059" t="s">
        <v>970</v>
      </c>
      <c r="G2059" t="s">
        <v>790</v>
      </c>
      <c r="H2059" t="s">
        <v>239</v>
      </c>
      <c r="I2059" t="s">
        <v>23</v>
      </c>
      <c r="J2059">
        <v>200.12</v>
      </c>
      <c r="K2059" s="1">
        <v>45852</v>
      </c>
      <c r="L2059" t="s">
        <v>93</v>
      </c>
      <c r="M2059">
        <v>14</v>
      </c>
      <c r="N2059">
        <v>7</v>
      </c>
      <c r="O2059">
        <v>3</v>
      </c>
      <c r="P2059">
        <v>2025</v>
      </c>
    </row>
    <row r="2060" spans="1:16">
      <c r="A2060">
        <v>326.64999999999998</v>
      </c>
      <c r="B2060">
        <v>5</v>
      </c>
      <c r="C2060" t="s">
        <v>1936</v>
      </c>
      <c r="D2060" t="s">
        <v>1937</v>
      </c>
      <c r="E2060" t="s">
        <v>1938</v>
      </c>
      <c r="F2060" t="s">
        <v>1039</v>
      </c>
      <c r="G2060" t="s">
        <v>758</v>
      </c>
      <c r="H2060" t="s">
        <v>189</v>
      </c>
      <c r="I2060" t="s">
        <v>43</v>
      </c>
      <c r="J2060">
        <v>65.33</v>
      </c>
      <c r="K2060" s="1">
        <v>45937</v>
      </c>
      <c r="L2060" t="s">
        <v>48</v>
      </c>
      <c r="M2060">
        <v>7</v>
      </c>
      <c r="N2060">
        <v>10</v>
      </c>
      <c r="O2060">
        <v>4</v>
      </c>
      <c r="P2060">
        <v>2025</v>
      </c>
    </row>
    <row r="2061" spans="1:16">
      <c r="A2061">
        <v>12.38</v>
      </c>
      <c r="B2061">
        <v>2</v>
      </c>
      <c r="C2061" t="s">
        <v>3063</v>
      </c>
      <c r="D2061" t="s">
        <v>3064</v>
      </c>
      <c r="E2061" t="s">
        <v>1390</v>
      </c>
      <c r="F2061" t="s">
        <v>772</v>
      </c>
      <c r="G2061" t="s">
        <v>758</v>
      </c>
      <c r="H2061" t="s">
        <v>662</v>
      </c>
      <c r="I2061" t="s">
        <v>21</v>
      </c>
      <c r="J2061">
        <v>6.19</v>
      </c>
      <c r="K2061" s="1">
        <v>46121</v>
      </c>
      <c r="L2061" t="s">
        <v>105</v>
      </c>
      <c r="M2061">
        <v>9</v>
      </c>
      <c r="N2061">
        <v>4</v>
      </c>
      <c r="O2061">
        <v>2</v>
      </c>
      <c r="P2061">
        <v>2026</v>
      </c>
    </row>
    <row r="2062" spans="1:16">
      <c r="A2062">
        <v>414.14</v>
      </c>
      <c r="B2062">
        <v>2</v>
      </c>
      <c r="C2062" t="s">
        <v>2936</v>
      </c>
      <c r="D2062" t="s">
        <v>2937</v>
      </c>
      <c r="E2062" t="s">
        <v>1035</v>
      </c>
      <c r="F2062" t="s">
        <v>1395</v>
      </c>
      <c r="G2062" t="s">
        <v>776</v>
      </c>
      <c r="H2062" t="s">
        <v>201</v>
      </c>
      <c r="I2062" t="s">
        <v>37</v>
      </c>
      <c r="J2062">
        <v>207.07</v>
      </c>
      <c r="K2062" s="1">
        <v>45934</v>
      </c>
      <c r="L2062" t="s">
        <v>14</v>
      </c>
      <c r="M2062">
        <v>4</v>
      </c>
      <c r="N2062">
        <v>10</v>
      </c>
      <c r="O2062">
        <v>4</v>
      </c>
      <c r="P2062">
        <v>2025</v>
      </c>
    </row>
    <row r="2063" spans="1:16">
      <c r="A2063">
        <v>206.84</v>
      </c>
      <c r="B2063">
        <v>1</v>
      </c>
      <c r="C2063" t="s">
        <v>2575</v>
      </c>
      <c r="D2063" t="s">
        <v>2576</v>
      </c>
      <c r="E2063" t="s">
        <v>875</v>
      </c>
      <c r="F2063" t="s">
        <v>907</v>
      </c>
      <c r="G2063" t="s">
        <v>908</v>
      </c>
      <c r="H2063" t="s">
        <v>192</v>
      </c>
      <c r="I2063" t="s">
        <v>46</v>
      </c>
      <c r="J2063">
        <v>206.84</v>
      </c>
      <c r="K2063" s="1">
        <v>45992</v>
      </c>
      <c r="L2063" t="s">
        <v>93</v>
      </c>
      <c r="M2063">
        <v>1</v>
      </c>
      <c r="N2063">
        <v>12</v>
      </c>
      <c r="O2063">
        <v>4</v>
      </c>
      <c r="P2063">
        <v>2025</v>
      </c>
    </row>
    <row r="2064" spans="1:16">
      <c r="A2064">
        <v>26.45</v>
      </c>
      <c r="B2064">
        <v>5</v>
      </c>
      <c r="C2064" t="s">
        <v>2370</v>
      </c>
      <c r="D2064" t="s">
        <v>2371</v>
      </c>
      <c r="E2064" t="s">
        <v>1633</v>
      </c>
      <c r="F2064" t="s">
        <v>757</v>
      </c>
      <c r="G2064" t="s">
        <v>758</v>
      </c>
      <c r="H2064" t="s">
        <v>394</v>
      </c>
      <c r="I2064" t="s">
        <v>122</v>
      </c>
      <c r="J2064">
        <v>5.29</v>
      </c>
      <c r="K2064" s="1">
        <v>45615</v>
      </c>
      <c r="L2064" t="s">
        <v>48</v>
      </c>
      <c r="M2064">
        <v>19</v>
      </c>
      <c r="N2064">
        <v>11</v>
      </c>
      <c r="O2064">
        <v>4</v>
      </c>
      <c r="P2064">
        <v>2024</v>
      </c>
    </row>
    <row r="2065" spans="1:16">
      <c r="A2065">
        <v>5.48</v>
      </c>
      <c r="B2065">
        <v>4</v>
      </c>
      <c r="C2065" t="s">
        <v>2087</v>
      </c>
      <c r="D2065" t="s">
        <v>2088</v>
      </c>
      <c r="E2065" t="s">
        <v>820</v>
      </c>
      <c r="F2065" t="s">
        <v>995</v>
      </c>
      <c r="G2065" t="s">
        <v>781</v>
      </c>
      <c r="H2065" t="s">
        <v>85</v>
      </c>
      <c r="I2065" t="s">
        <v>37</v>
      </c>
      <c r="J2065">
        <v>1.37</v>
      </c>
      <c r="K2065" s="1">
        <v>45926</v>
      </c>
      <c r="L2065" t="s">
        <v>79</v>
      </c>
      <c r="M2065">
        <v>26</v>
      </c>
      <c r="N2065">
        <v>9</v>
      </c>
      <c r="O2065">
        <v>3</v>
      </c>
      <c r="P2065">
        <v>2025</v>
      </c>
    </row>
    <row r="2066" spans="1:16">
      <c r="A2066">
        <v>411.72</v>
      </c>
      <c r="B2066">
        <v>3</v>
      </c>
      <c r="C2066" t="s">
        <v>3276</v>
      </c>
      <c r="D2066" t="s">
        <v>3277</v>
      </c>
      <c r="E2066" t="s">
        <v>1348</v>
      </c>
      <c r="F2066" t="s">
        <v>380</v>
      </c>
      <c r="G2066" t="s">
        <v>896</v>
      </c>
      <c r="H2066" t="s">
        <v>468</v>
      </c>
      <c r="I2066" t="s">
        <v>25</v>
      </c>
      <c r="J2066">
        <v>137.24</v>
      </c>
      <c r="K2066" s="1">
        <v>46116</v>
      </c>
      <c r="L2066" t="s">
        <v>14</v>
      </c>
      <c r="M2066">
        <v>4</v>
      </c>
      <c r="N2066">
        <v>4</v>
      </c>
      <c r="O2066">
        <v>2</v>
      </c>
      <c r="P2066">
        <v>2026</v>
      </c>
    </row>
    <row r="2067" spans="1:16">
      <c r="A2067">
        <v>311.04000000000002</v>
      </c>
      <c r="B2067">
        <v>2</v>
      </c>
      <c r="C2067" t="s">
        <v>2070</v>
      </c>
      <c r="D2067" t="s">
        <v>2071</v>
      </c>
      <c r="E2067" t="s">
        <v>1228</v>
      </c>
      <c r="F2067" t="s">
        <v>1670</v>
      </c>
      <c r="G2067" t="s">
        <v>1247</v>
      </c>
      <c r="H2067" t="s">
        <v>473</v>
      </c>
      <c r="I2067" t="s">
        <v>23</v>
      </c>
      <c r="J2067">
        <v>155.52000000000001</v>
      </c>
      <c r="K2067" s="1">
        <v>46268</v>
      </c>
      <c r="L2067" t="s">
        <v>105</v>
      </c>
      <c r="M2067">
        <v>3</v>
      </c>
      <c r="N2067">
        <v>9</v>
      </c>
      <c r="O2067">
        <v>3</v>
      </c>
      <c r="P2067">
        <v>2026</v>
      </c>
    </row>
    <row r="2068" spans="1:16">
      <c r="A2068">
        <v>233.63</v>
      </c>
      <c r="B2068">
        <v>1</v>
      </c>
      <c r="C2068" t="s">
        <v>3152</v>
      </c>
      <c r="D2068" t="s">
        <v>3153</v>
      </c>
      <c r="E2068" t="s">
        <v>1121</v>
      </c>
      <c r="F2068" t="s">
        <v>869</v>
      </c>
      <c r="G2068" t="s">
        <v>812</v>
      </c>
      <c r="H2068" t="s">
        <v>206</v>
      </c>
      <c r="I2068" t="s">
        <v>82</v>
      </c>
      <c r="J2068">
        <v>233.63</v>
      </c>
      <c r="K2068" s="1">
        <v>46098</v>
      </c>
      <c r="L2068" t="s">
        <v>48</v>
      </c>
      <c r="M2068">
        <v>17</v>
      </c>
      <c r="N2068">
        <v>3</v>
      </c>
      <c r="O2068">
        <v>1</v>
      </c>
      <c r="P2068">
        <v>2026</v>
      </c>
    </row>
    <row r="2069" spans="1:16">
      <c r="A2069">
        <v>32.72</v>
      </c>
      <c r="B2069">
        <v>2</v>
      </c>
      <c r="C2069" t="s">
        <v>1180</v>
      </c>
      <c r="D2069" t="s">
        <v>1181</v>
      </c>
      <c r="E2069" t="s">
        <v>1182</v>
      </c>
      <c r="F2069" t="s">
        <v>953</v>
      </c>
      <c r="G2069" t="s">
        <v>954</v>
      </c>
      <c r="H2069" t="s">
        <v>1183</v>
      </c>
      <c r="I2069" t="s">
        <v>100</v>
      </c>
      <c r="J2069">
        <v>16.36</v>
      </c>
      <c r="K2069" s="1">
        <v>45930</v>
      </c>
      <c r="L2069" t="s">
        <v>48</v>
      </c>
      <c r="M2069">
        <v>30</v>
      </c>
      <c r="N2069">
        <v>9</v>
      </c>
      <c r="O2069">
        <v>3</v>
      </c>
      <c r="P2069">
        <v>2025</v>
      </c>
    </row>
    <row r="2070" spans="1:16">
      <c r="A2070">
        <v>93.05</v>
      </c>
      <c r="B2070">
        <v>1</v>
      </c>
      <c r="C2070" t="s">
        <v>2400</v>
      </c>
      <c r="D2070" t="s">
        <v>2401</v>
      </c>
      <c r="E2070" t="s">
        <v>1536</v>
      </c>
      <c r="F2070" t="s">
        <v>1128</v>
      </c>
      <c r="G2070" t="s">
        <v>954</v>
      </c>
      <c r="H2070" t="s">
        <v>350</v>
      </c>
      <c r="I2070" t="s">
        <v>60</v>
      </c>
      <c r="J2070">
        <v>93.05</v>
      </c>
      <c r="K2070" s="1">
        <v>46239</v>
      </c>
      <c r="L2070" t="s">
        <v>34</v>
      </c>
      <c r="M2070">
        <v>5</v>
      </c>
      <c r="N2070">
        <v>8</v>
      </c>
      <c r="O2070">
        <v>3</v>
      </c>
      <c r="P2070">
        <v>2026</v>
      </c>
    </row>
    <row r="2071" spans="1:16">
      <c r="A2071">
        <v>6.42</v>
      </c>
      <c r="B2071">
        <v>1</v>
      </c>
      <c r="C2071" t="s">
        <v>2591</v>
      </c>
      <c r="D2071" t="s">
        <v>2592</v>
      </c>
      <c r="E2071" t="s">
        <v>875</v>
      </c>
      <c r="F2071" t="s">
        <v>985</v>
      </c>
      <c r="G2071" t="s">
        <v>817</v>
      </c>
      <c r="H2071" t="s">
        <v>316</v>
      </c>
      <c r="I2071" t="s">
        <v>97</v>
      </c>
      <c r="J2071">
        <v>6.42</v>
      </c>
      <c r="K2071" s="1">
        <v>46212</v>
      </c>
      <c r="L2071" t="s">
        <v>105</v>
      </c>
      <c r="M2071">
        <v>9</v>
      </c>
      <c r="N2071">
        <v>7</v>
      </c>
      <c r="O2071">
        <v>3</v>
      </c>
      <c r="P2071">
        <v>2026</v>
      </c>
    </row>
    <row r="2072" spans="1:16">
      <c r="A2072">
        <v>379.7</v>
      </c>
      <c r="B2072">
        <v>2</v>
      </c>
      <c r="C2072" t="s">
        <v>1934</v>
      </c>
      <c r="D2072" t="s">
        <v>1935</v>
      </c>
      <c r="E2072" t="s">
        <v>1648</v>
      </c>
      <c r="F2072" t="s">
        <v>1362</v>
      </c>
      <c r="G2072" t="s">
        <v>896</v>
      </c>
      <c r="H2072" t="s">
        <v>569</v>
      </c>
      <c r="I2072" t="s">
        <v>43</v>
      </c>
      <c r="J2072">
        <v>189.85</v>
      </c>
      <c r="K2072" s="1">
        <v>46147</v>
      </c>
      <c r="L2072" t="s">
        <v>48</v>
      </c>
      <c r="M2072">
        <v>5</v>
      </c>
      <c r="N2072">
        <v>5</v>
      </c>
      <c r="O2072">
        <v>2</v>
      </c>
      <c r="P2072">
        <v>2026</v>
      </c>
    </row>
    <row r="2073" spans="1:16">
      <c r="A2073">
        <v>411.9</v>
      </c>
      <c r="B2073">
        <v>2</v>
      </c>
      <c r="C2073" t="s">
        <v>1456</v>
      </c>
      <c r="D2073" t="s">
        <v>1457</v>
      </c>
      <c r="E2073" t="s">
        <v>779</v>
      </c>
      <c r="F2073" t="s">
        <v>1032</v>
      </c>
      <c r="G2073" t="s">
        <v>839</v>
      </c>
      <c r="H2073" t="s">
        <v>705</v>
      </c>
      <c r="I2073" t="s">
        <v>60</v>
      </c>
      <c r="J2073">
        <v>205.95</v>
      </c>
      <c r="K2073" s="1">
        <v>45841</v>
      </c>
      <c r="L2073" t="s">
        <v>105</v>
      </c>
      <c r="M2073">
        <v>3</v>
      </c>
      <c r="N2073">
        <v>7</v>
      </c>
      <c r="O2073">
        <v>3</v>
      </c>
      <c r="P2073">
        <v>2025</v>
      </c>
    </row>
    <row r="2074" spans="1:16">
      <c r="A2074">
        <v>7.42</v>
      </c>
      <c r="B2074">
        <v>1</v>
      </c>
      <c r="C2074" t="s">
        <v>2569</v>
      </c>
      <c r="D2074" t="s">
        <v>2570</v>
      </c>
      <c r="E2074" t="s">
        <v>2571</v>
      </c>
      <c r="F2074" t="s">
        <v>1026</v>
      </c>
      <c r="G2074" t="s">
        <v>896</v>
      </c>
      <c r="H2074" t="s">
        <v>194</v>
      </c>
      <c r="I2074" t="s">
        <v>39</v>
      </c>
      <c r="J2074">
        <v>7.42</v>
      </c>
      <c r="K2074" s="1">
        <v>45852</v>
      </c>
      <c r="L2074" t="s">
        <v>93</v>
      </c>
      <c r="M2074">
        <v>14</v>
      </c>
      <c r="N2074">
        <v>7</v>
      </c>
      <c r="O2074">
        <v>3</v>
      </c>
      <c r="P2074">
        <v>2025</v>
      </c>
    </row>
    <row r="2075" spans="1:16">
      <c r="A2075">
        <v>32.1</v>
      </c>
      <c r="B2075">
        <v>5</v>
      </c>
      <c r="C2075" t="s">
        <v>2360</v>
      </c>
      <c r="D2075" t="s">
        <v>2361</v>
      </c>
      <c r="E2075" t="s">
        <v>2362</v>
      </c>
      <c r="F2075" t="s">
        <v>1306</v>
      </c>
      <c r="G2075" t="s">
        <v>966</v>
      </c>
      <c r="H2075" t="s">
        <v>316</v>
      </c>
      <c r="I2075" t="s">
        <v>97</v>
      </c>
      <c r="J2075">
        <v>6.42</v>
      </c>
      <c r="K2075" s="1">
        <v>45792</v>
      </c>
      <c r="L2075" t="s">
        <v>105</v>
      </c>
      <c r="M2075">
        <v>15</v>
      </c>
      <c r="N2075">
        <v>5</v>
      </c>
      <c r="O2075">
        <v>2</v>
      </c>
      <c r="P2075">
        <v>2025</v>
      </c>
    </row>
    <row r="2076" spans="1:16">
      <c r="A2076">
        <v>210.02</v>
      </c>
      <c r="B2076">
        <v>2</v>
      </c>
      <c r="C2076" t="s">
        <v>2724</v>
      </c>
      <c r="D2076" t="s">
        <v>2860</v>
      </c>
      <c r="E2076" t="s">
        <v>1698</v>
      </c>
      <c r="F2076" t="s">
        <v>1984</v>
      </c>
      <c r="G2076" t="s">
        <v>768</v>
      </c>
      <c r="H2076" t="s">
        <v>448</v>
      </c>
      <c r="I2076" t="s">
        <v>55</v>
      </c>
      <c r="J2076">
        <v>105.01</v>
      </c>
      <c r="K2076" s="1">
        <v>45875</v>
      </c>
      <c r="L2076" t="s">
        <v>34</v>
      </c>
      <c r="M2076">
        <v>6</v>
      </c>
      <c r="N2076">
        <v>8</v>
      </c>
      <c r="O2076">
        <v>3</v>
      </c>
      <c r="P2076">
        <v>2025</v>
      </c>
    </row>
    <row r="2077" spans="1:16">
      <c r="A2077">
        <v>291.66000000000003</v>
      </c>
      <c r="B2077">
        <v>2</v>
      </c>
      <c r="C2077" t="s">
        <v>2827</v>
      </c>
      <c r="D2077" t="s">
        <v>2828</v>
      </c>
      <c r="E2077" t="s">
        <v>991</v>
      </c>
      <c r="F2077" t="s">
        <v>1213</v>
      </c>
      <c r="G2077" t="s">
        <v>839</v>
      </c>
      <c r="H2077" t="s">
        <v>171</v>
      </c>
      <c r="I2077" t="s">
        <v>46</v>
      </c>
      <c r="J2077">
        <v>145.83000000000001</v>
      </c>
      <c r="K2077" s="1">
        <v>45634</v>
      </c>
      <c r="L2077" t="s">
        <v>28</v>
      </c>
      <c r="M2077">
        <v>8</v>
      </c>
      <c r="N2077">
        <v>12</v>
      </c>
      <c r="O2077">
        <v>4</v>
      </c>
      <c r="P2077">
        <v>2024</v>
      </c>
    </row>
    <row r="2078" spans="1:16">
      <c r="A2078">
        <v>422.3</v>
      </c>
      <c r="B2078">
        <v>2</v>
      </c>
      <c r="C2078" t="s">
        <v>1832</v>
      </c>
      <c r="D2078" t="s">
        <v>1833</v>
      </c>
      <c r="E2078" t="s">
        <v>1358</v>
      </c>
      <c r="F2078" t="s">
        <v>825</v>
      </c>
      <c r="G2078" t="s">
        <v>781</v>
      </c>
      <c r="H2078" t="s">
        <v>221</v>
      </c>
      <c r="I2078" t="s">
        <v>60</v>
      </c>
      <c r="J2078">
        <v>211.15</v>
      </c>
      <c r="K2078" s="1">
        <v>46166</v>
      </c>
      <c r="L2078" t="s">
        <v>28</v>
      </c>
      <c r="M2078">
        <v>24</v>
      </c>
      <c r="N2078">
        <v>5</v>
      </c>
      <c r="O2078">
        <v>2</v>
      </c>
      <c r="P2078">
        <v>2026</v>
      </c>
    </row>
    <row r="2079" spans="1:16">
      <c r="A2079">
        <v>134.53</v>
      </c>
      <c r="B2079">
        <v>1</v>
      </c>
      <c r="C2079" t="s">
        <v>3308</v>
      </c>
      <c r="D2079" t="s">
        <v>3309</v>
      </c>
      <c r="E2079" t="s">
        <v>2848</v>
      </c>
      <c r="F2079" t="s">
        <v>708</v>
      </c>
      <c r="G2079" t="s">
        <v>834</v>
      </c>
      <c r="H2079" t="s">
        <v>361</v>
      </c>
      <c r="I2079" t="s">
        <v>37</v>
      </c>
      <c r="J2079">
        <v>134.53</v>
      </c>
      <c r="K2079" s="1">
        <v>46084</v>
      </c>
      <c r="L2079" t="s">
        <v>48</v>
      </c>
      <c r="M2079">
        <v>3</v>
      </c>
      <c r="N2079">
        <v>3</v>
      </c>
      <c r="O2079">
        <v>1</v>
      </c>
      <c r="P2079">
        <v>2026</v>
      </c>
    </row>
    <row r="2080" spans="1:16">
      <c r="A2080">
        <v>573.84</v>
      </c>
      <c r="B2080">
        <v>4</v>
      </c>
      <c r="C2080" t="s">
        <v>1510</v>
      </c>
      <c r="D2080" t="s">
        <v>1511</v>
      </c>
      <c r="E2080" t="s">
        <v>1512</v>
      </c>
      <c r="F2080" t="s">
        <v>1395</v>
      </c>
      <c r="G2080" t="s">
        <v>776</v>
      </c>
      <c r="H2080" t="s">
        <v>299</v>
      </c>
      <c r="I2080" t="s">
        <v>57</v>
      </c>
      <c r="J2080">
        <v>143.46</v>
      </c>
      <c r="K2080" s="1">
        <v>46040</v>
      </c>
      <c r="L2080" t="s">
        <v>28</v>
      </c>
      <c r="M2080">
        <v>18</v>
      </c>
      <c r="N2080">
        <v>1</v>
      </c>
      <c r="O2080">
        <v>1</v>
      </c>
      <c r="P2080">
        <v>2026</v>
      </c>
    </row>
    <row r="2081" spans="1:16">
      <c r="A2081">
        <v>185.04</v>
      </c>
      <c r="B2081">
        <v>4</v>
      </c>
      <c r="C2081" t="s">
        <v>1255</v>
      </c>
      <c r="D2081" t="s">
        <v>1256</v>
      </c>
      <c r="E2081" t="s">
        <v>969</v>
      </c>
      <c r="F2081" t="s">
        <v>1257</v>
      </c>
      <c r="G2081" t="s">
        <v>839</v>
      </c>
      <c r="H2081" t="s">
        <v>190</v>
      </c>
      <c r="I2081" t="s">
        <v>39</v>
      </c>
      <c r="J2081">
        <v>46.26</v>
      </c>
      <c r="K2081" s="1">
        <v>45629</v>
      </c>
      <c r="L2081" t="s">
        <v>48</v>
      </c>
      <c r="M2081">
        <v>3</v>
      </c>
      <c r="N2081">
        <v>12</v>
      </c>
      <c r="O2081">
        <v>4</v>
      </c>
      <c r="P2081">
        <v>2024</v>
      </c>
    </row>
    <row r="2082" spans="1:16">
      <c r="A2082">
        <v>1018.7</v>
      </c>
      <c r="B2082">
        <v>5</v>
      </c>
      <c r="C2082" t="s">
        <v>1096</v>
      </c>
      <c r="D2082" t="s">
        <v>1097</v>
      </c>
      <c r="E2082" t="s">
        <v>1098</v>
      </c>
      <c r="F2082" t="s">
        <v>980</v>
      </c>
      <c r="G2082" t="s">
        <v>981</v>
      </c>
      <c r="H2082" t="s">
        <v>552</v>
      </c>
      <c r="I2082" t="s">
        <v>31</v>
      </c>
      <c r="J2082">
        <v>203.74</v>
      </c>
      <c r="K2082" s="1">
        <v>45823</v>
      </c>
      <c r="L2082" t="s">
        <v>28</v>
      </c>
      <c r="M2082">
        <v>15</v>
      </c>
      <c r="N2082">
        <v>6</v>
      </c>
      <c r="O2082">
        <v>2</v>
      </c>
      <c r="P2082">
        <v>2025</v>
      </c>
    </row>
    <row r="2083" spans="1:16">
      <c r="A2083">
        <v>246.82</v>
      </c>
      <c r="B2083">
        <v>1</v>
      </c>
      <c r="C2083" t="s">
        <v>1480</v>
      </c>
      <c r="D2083" t="s">
        <v>1481</v>
      </c>
      <c r="E2083" t="s">
        <v>1482</v>
      </c>
      <c r="F2083" t="s">
        <v>15</v>
      </c>
      <c r="G2083" t="s">
        <v>834</v>
      </c>
      <c r="H2083" t="s">
        <v>369</v>
      </c>
      <c r="I2083" t="s">
        <v>43</v>
      </c>
      <c r="J2083">
        <v>246.82</v>
      </c>
      <c r="K2083" s="1">
        <v>45860</v>
      </c>
      <c r="L2083" t="s">
        <v>48</v>
      </c>
      <c r="M2083">
        <v>22</v>
      </c>
      <c r="N2083">
        <v>7</v>
      </c>
      <c r="O2083">
        <v>3</v>
      </c>
      <c r="P2083">
        <v>2025</v>
      </c>
    </row>
    <row r="2084" spans="1:16">
      <c r="A2084">
        <v>772.88</v>
      </c>
      <c r="B2084">
        <v>4</v>
      </c>
      <c r="C2084" t="s">
        <v>2349</v>
      </c>
      <c r="D2084" t="s">
        <v>1571</v>
      </c>
      <c r="E2084" t="s">
        <v>1045</v>
      </c>
      <c r="F2084" t="s">
        <v>919</v>
      </c>
      <c r="G2084" t="s">
        <v>786</v>
      </c>
      <c r="H2084" t="s">
        <v>430</v>
      </c>
      <c r="I2084" t="s">
        <v>27</v>
      </c>
      <c r="J2084">
        <v>193.22</v>
      </c>
      <c r="K2084" s="1">
        <v>45911</v>
      </c>
      <c r="L2084" t="s">
        <v>105</v>
      </c>
      <c r="M2084">
        <v>11</v>
      </c>
      <c r="N2084">
        <v>9</v>
      </c>
      <c r="O2084">
        <v>3</v>
      </c>
      <c r="P2084">
        <v>2025</v>
      </c>
    </row>
    <row r="2085" spans="1:16">
      <c r="A2085">
        <v>129.72999999999999</v>
      </c>
      <c r="B2085">
        <v>1</v>
      </c>
      <c r="C2085" t="s">
        <v>1836</v>
      </c>
      <c r="D2085" t="s">
        <v>1837</v>
      </c>
      <c r="E2085" t="s">
        <v>1838</v>
      </c>
      <c r="F2085" t="s">
        <v>64</v>
      </c>
      <c r="G2085" t="s">
        <v>892</v>
      </c>
      <c r="H2085" t="s">
        <v>20</v>
      </c>
      <c r="I2085" t="s">
        <v>21</v>
      </c>
      <c r="J2085">
        <v>129.72999999999999</v>
      </c>
      <c r="K2085" s="1">
        <v>46103</v>
      </c>
      <c r="L2085" t="s">
        <v>28</v>
      </c>
      <c r="M2085">
        <v>22</v>
      </c>
      <c r="N2085">
        <v>3</v>
      </c>
      <c r="O2085">
        <v>1</v>
      </c>
      <c r="P2085">
        <v>2026</v>
      </c>
    </row>
    <row r="2086" spans="1:16">
      <c r="A2086">
        <v>167.24</v>
      </c>
      <c r="B2086">
        <v>2</v>
      </c>
      <c r="C2086" t="s">
        <v>2350</v>
      </c>
      <c r="D2086" t="s">
        <v>2351</v>
      </c>
      <c r="E2086" t="s">
        <v>2346</v>
      </c>
      <c r="F2086" t="s">
        <v>1306</v>
      </c>
      <c r="G2086" t="s">
        <v>966</v>
      </c>
      <c r="H2086" t="s">
        <v>649</v>
      </c>
      <c r="I2086" t="s">
        <v>23</v>
      </c>
      <c r="J2086">
        <v>83.62</v>
      </c>
      <c r="K2086" s="1">
        <v>45664</v>
      </c>
      <c r="L2086" t="s">
        <v>48</v>
      </c>
      <c r="M2086">
        <v>7</v>
      </c>
      <c r="N2086">
        <v>1</v>
      </c>
      <c r="O2086">
        <v>1</v>
      </c>
      <c r="P2086">
        <v>2025</v>
      </c>
    </row>
    <row r="2087" spans="1:16">
      <c r="A2087">
        <v>675.42</v>
      </c>
      <c r="B2087">
        <v>3</v>
      </c>
      <c r="C2087" t="s">
        <v>2256</v>
      </c>
      <c r="D2087" t="s">
        <v>2257</v>
      </c>
      <c r="E2087" t="s">
        <v>2232</v>
      </c>
      <c r="F2087" t="s">
        <v>1649</v>
      </c>
      <c r="G2087" t="s">
        <v>790</v>
      </c>
      <c r="H2087" t="s">
        <v>281</v>
      </c>
      <c r="I2087" t="s">
        <v>51</v>
      </c>
      <c r="J2087">
        <v>225.14</v>
      </c>
      <c r="K2087" s="1">
        <v>46011</v>
      </c>
      <c r="L2087" t="s">
        <v>14</v>
      </c>
      <c r="M2087">
        <v>20</v>
      </c>
      <c r="N2087">
        <v>12</v>
      </c>
      <c r="O2087">
        <v>4</v>
      </c>
      <c r="P2087">
        <v>2025</v>
      </c>
    </row>
    <row r="2088" spans="1:16">
      <c r="A2088">
        <v>39.049999999999997</v>
      </c>
      <c r="B2088">
        <v>5</v>
      </c>
      <c r="C2088" t="s">
        <v>2155</v>
      </c>
      <c r="D2088" t="s">
        <v>2156</v>
      </c>
      <c r="E2088" t="s">
        <v>1865</v>
      </c>
      <c r="F2088" t="s">
        <v>1607</v>
      </c>
      <c r="G2088" t="s">
        <v>839</v>
      </c>
      <c r="H2088" t="s">
        <v>532</v>
      </c>
      <c r="I2088" t="s">
        <v>55</v>
      </c>
      <c r="J2088">
        <v>7.81</v>
      </c>
      <c r="K2088" s="1">
        <v>46175</v>
      </c>
      <c r="L2088" t="s">
        <v>48</v>
      </c>
      <c r="M2088">
        <v>2</v>
      </c>
      <c r="N2088">
        <v>6</v>
      </c>
      <c r="O2088">
        <v>2</v>
      </c>
      <c r="P2088">
        <v>2026</v>
      </c>
    </row>
    <row r="2089" spans="1:16">
      <c r="A2089">
        <v>154.74</v>
      </c>
      <c r="B2089">
        <v>1</v>
      </c>
      <c r="C2089" t="s">
        <v>2558</v>
      </c>
      <c r="D2089" t="s">
        <v>2559</v>
      </c>
      <c r="E2089" t="s">
        <v>2560</v>
      </c>
      <c r="F2089" t="s">
        <v>1302</v>
      </c>
      <c r="G2089" t="s">
        <v>786</v>
      </c>
      <c r="H2089" t="s">
        <v>547</v>
      </c>
      <c r="I2089" t="s">
        <v>97</v>
      </c>
      <c r="J2089">
        <v>154.74</v>
      </c>
      <c r="K2089" s="1">
        <v>46026</v>
      </c>
      <c r="L2089" t="s">
        <v>28</v>
      </c>
      <c r="M2089">
        <v>4</v>
      </c>
      <c r="N2089">
        <v>1</v>
      </c>
      <c r="O2089">
        <v>1</v>
      </c>
      <c r="P2089">
        <v>2026</v>
      </c>
    </row>
    <row r="2090" spans="1:16">
      <c r="A2090">
        <v>876.04</v>
      </c>
      <c r="B2090">
        <v>4</v>
      </c>
      <c r="C2090" t="s">
        <v>2422</v>
      </c>
      <c r="D2090" t="s">
        <v>2423</v>
      </c>
      <c r="E2090" t="s">
        <v>2086</v>
      </c>
      <c r="F2090" t="s">
        <v>985</v>
      </c>
      <c r="G2090" t="s">
        <v>817</v>
      </c>
      <c r="H2090" t="s">
        <v>279</v>
      </c>
      <c r="I2090" t="s">
        <v>82</v>
      </c>
      <c r="J2090">
        <v>219.01</v>
      </c>
      <c r="K2090" s="1">
        <v>45802</v>
      </c>
      <c r="L2090" t="s">
        <v>28</v>
      </c>
      <c r="M2090">
        <v>25</v>
      </c>
      <c r="N2090">
        <v>5</v>
      </c>
      <c r="O2090">
        <v>2</v>
      </c>
      <c r="P2090">
        <v>2025</v>
      </c>
    </row>
    <row r="2091" spans="1:16">
      <c r="A2091">
        <v>45.089999999999996</v>
      </c>
      <c r="B2091">
        <v>3</v>
      </c>
      <c r="C2091" t="s">
        <v>2846</v>
      </c>
      <c r="D2091" t="s">
        <v>2847</v>
      </c>
      <c r="E2091" t="s">
        <v>2848</v>
      </c>
      <c r="F2091" t="s">
        <v>985</v>
      </c>
      <c r="G2091" t="s">
        <v>817</v>
      </c>
      <c r="H2091" t="s">
        <v>523</v>
      </c>
      <c r="I2091" t="s">
        <v>23</v>
      </c>
      <c r="J2091">
        <v>15.03</v>
      </c>
      <c r="K2091" s="1">
        <v>45976</v>
      </c>
      <c r="L2091" t="s">
        <v>14</v>
      </c>
      <c r="M2091">
        <v>15</v>
      </c>
      <c r="N2091">
        <v>11</v>
      </c>
      <c r="O2091">
        <v>4</v>
      </c>
      <c r="P2091">
        <v>2025</v>
      </c>
    </row>
    <row r="2092" spans="1:16">
      <c r="A2092">
        <v>84.76</v>
      </c>
      <c r="B2092">
        <v>1</v>
      </c>
      <c r="C2092" t="s">
        <v>2684</v>
      </c>
      <c r="D2092" t="s">
        <v>2685</v>
      </c>
      <c r="E2092" t="s">
        <v>1793</v>
      </c>
      <c r="F2092" t="s">
        <v>961</v>
      </c>
      <c r="G2092" t="s">
        <v>807</v>
      </c>
      <c r="H2092" t="s">
        <v>363</v>
      </c>
      <c r="I2092" t="s">
        <v>100</v>
      </c>
      <c r="J2092">
        <v>84.76</v>
      </c>
      <c r="K2092" s="1">
        <v>46195</v>
      </c>
      <c r="L2092" t="s">
        <v>93</v>
      </c>
      <c r="M2092">
        <v>22</v>
      </c>
      <c r="N2092">
        <v>6</v>
      </c>
      <c r="O2092">
        <v>2</v>
      </c>
      <c r="P2092">
        <v>2026</v>
      </c>
    </row>
    <row r="2093" spans="1:16">
      <c r="A2093">
        <v>45.949999999999996</v>
      </c>
      <c r="B2093">
        <v>5</v>
      </c>
      <c r="C2093" t="s">
        <v>2967</v>
      </c>
      <c r="D2093" t="s">
        <v>2968</v>
      </c>
      <c r="E2093" t="s">
        <v>2297</v>
      </c>
      <c r="F2093" t="s">
        <v>1280</v>
      </c>
      <c r="G2093" t="s">
        <v>908</v>
      </c>
      <c r="H2093" t="s">
        <v>413</v>
      </c>
      <c r="I2093" t="s">
        <v>57</v>
      </c>
      <c r="J2093">
        <v>9.19</v>
      </c>
      <c r="K2093" s="1">
        <v>46019</v>
      </c>
      <c r="L2093" t="s">
        <v>28</v>
      </c>
      <c r="M2093">
        <v>28</v>
      </c>
      <c r="N2093">
        <v>12</v>
      </c>
      <c r="O2093">
        <v>4</v>
      </c>
      <c r="P2093">
        <v>2025</v>
      </c>
    </row>
    <row r="2094" spans="1:16">
      <c r="A2094">
        <v>687.24</v>
      </c>
      <c r="B2094">
        <v>4</v>
      </c>
      <c r="C2094" t="s">
        <v>1928</v>
      </c>
      <c r="D2094" t="s">
        <v>1929</v>
      </c>
      <c r="E2094" t="s">
        <v>1577</v>
      </c>
      <c r="F2094" t="s">
        <v>747</v>
      </c>
      <c r="G2094" t="s">
        <v>748</v>
      </c>
      <c r="H2094" t="s">
        <v>129</v>
      </c>
      <c r="I2094" t="s">
        <v>25</v>
      </c>
      <c r="J2094">
        <v>171.81</v>
      </c>
      <c r="K2094" s="1">
        <v>46226</v>
      </c>
      <c r="L2094" t="s">
        <v>105</v>
      </c>
      <c r="M2094">
        <v>23</v>
      </c>
      <c r="N2094">
        <v>7</v>
      </c>
      <c r="O2094">
        <v>3</v>
      </c>
      <c r="P2094">
        <v>2026</v>
      </c>
    </row>
    <row r="2095" spans="1:16">
      <c r="A2095">
        <v>901.56</v>
      </c>
      <c r="B2095">
        <v>4</v>
      </c>
      <c r="C2095" t="s">
        <v>1090</v>
      </c>
      <c r="D2095" t="s">
        <v>1091</v>
      </c>
      <c r="E2095" t="s">
        <v>925</v>
      </c>
      <c r="F2095" t="s">
        <v>1092</v>
      </c>
      <c r="G2095" t="s">
        <v>763</v>
      </c>
      <c r="H2095" t="s">
        <v>152</v>
      </c>
      <c r="I2095" t="s">
        <v>19</v>
      </c>
      <c r="J2095">
        <v>225.39</v>
      </c>
      <c r="K2095" s="1">
        <v>45640</v>
      </c>
      <c r="L2095" t="s">
        <v>14</v>
      </c>
      <c r="M2095">
        <v>14</v>
      </c>
      <c r="N2095">
        <v>12</v>
      </c>
      <c r="O2095">
        <v>4</v>
      </c>
      <c r="P2095">
        <v>2024</v>
      </c>
    </row>
    <row r="2096" spans="1:16">
      <c r="A2096">
        <v>351.1</v>
      </c>
      <c r="B2096">
        <v>5</v>
      </c>
      <c r="C2096" t="s">
        <v>3119</v>
      </c>
      <c r="D2096" t="s">
        <v>3120</v>
      </c>
      <c r="E2096" t="s">
        <v>1001</v>
      </c>
      <c r="F2096" t="s">
        <v>862</v>
      </c>
      <c r="G2096" t="s">
        <v>807</v>
      </c>
      <c r="H2096" t="s">
        <v>515</v>
      </c>
      <c r="I2096" t="s">
        <v>60</v>
      </c>
      <c r="J2096">
        <v>70.22</v>
      </c>
      <c r="K2096" s="1">
        <v>45808</v>
      </c>
      <c r="L2096" t="s">
        <v>14</v>
      </c>
      <c r="M2096">
        <v>31</v>
      </c>
      <c r="N2096">
        <v>5</v>
      </c>
      <c r="O2096">
        <v>2</v>
      </c>
      <c r="P2096">
        <v>2025</v>
      </c>
    </row>
    <row r="2097" spans="1:16">
      <c r="A2097">
        <v>269.06</v>
      </c>
      <c r="B2097">
        <v>2</v>
      </c>
      <c r="C2097" t="s">
        <v>1363</v>
      </c>
      <c r="D2097" t="s">
        <v>1364</v>
      </c>
      <c r="E2097" t="s">
        <v>1365</v>
      </c>
      <c r="F2097" t="s">
        <v>965</v>
      </c>
      <c r="G2097" t="s">
        <v>966</v>
      </c>
      <c r="H2097" t="s">
        <v>361</v>
      </c>
      <c r="I2097" t="s">
        <v>37</v>
      </c>
      <c r="J2097">
        <v>134.53</v>
      </c>
      <c r="K2097" s="1">
        <v>46188</v>
      </c>
      <c r="L2097" t="s">
        <v>93</v>
      </c>
      <c r="M2097">
        <v>15</v>
      </c>
      <c r="N2097">
        <v>6</v>
      </c>
      <c r="O2097">
        <v>2</v>
      </c>
      <c r="P2097">
        <v>2026</v>
      </c>
    </row>
    <row r="2098" spans="1:16">
      <c r="A2098">
        <v>360.28</v>
      </c>
      <c r="B2098">
        <v>4</v>
      </c>
      <c r="C2098" t="s">
        <v>3365</v>
      </c>
      <c r="D2098" t="s">
        <v>3366</v>
      </c>
      <c r="E2098" t="s">
        <v>2338</v>
      </c>
      <c r="F2098" t="s">
        <v>919</v>
      </c>
      <c r="G2098" t="s">
        <v>786</v>
      </c>
      <c r="H2098" t="s">
        <v>707</v>
      </c>
      <c r="I2098" t="s">
        <v>23</v>
      </c>
      <c r="J2098">
        <v>90.07</v>
      </c>
      <c r="K2098" s="1">
        <v>45765</v>
      </c>
      <c r="L2098" t="s">
        <v>79</v>
      </c>
      <c r="M2098">
        <v>18</v>
      </c>
      <c r="N2098">
        <v>4</v>
      </c>
      <c r="O2098">
        <v>2</v>
      </c>
      <c r="P2098">
        <v>2025</v>
      </c>
    </row>
    <row r="2099" spans="1:16">
      <c r="A2099">
        <v>802.15000000000009</v>
      </c>
      <c r="B2099">
        <v>5</v>
      </c>
      <c r="C2099" t="s">
        <v>2192</v>
      </c>
      <c r="D2099" t="s">
        <v>2193</v>
      </c>
      <c r="E2099" t="s">
        <v>865</v>
      </c>
      <c r="F2099" t="s">
        <v>772</v>
      </c>
      <c r="G2099" t="s">
        <v>758</v>
      </c>
      <c r="H2099" t="s">
        <v>424</v>
      </c>
      <c r="I2099" t="s">
        <v>69</v>
      </c>
      <c r="J2099">
        <v>160.43</v>
      </c>
      <c r="K2099" s="1">
        <v>45919</v>
      </c>
      <c r="L2099" t="s">
        <v>79</v>
      </c>
      <c r="M2099">
        <v>19</v>
      </c>
      <c r="N2099">
        <v>9</v>
      </c>
      <c r="O2099">
        <v>3</v>
      </c>
      <c r="P2099">
        <v>2025</v>
      </c>
    </row>
    <row r="2100" spans="1:16">
      <c r="A2100">
        <v>430.5</v>
      </c>
      <c r="B2100">
        <v>2</v>
      </c>
      <c r="C2100" t="s">
        <v>3290</v>
      </c>
      <c r="D2100" t="s">
        <v>3291</v>
      </c>
      <c r="E2100" t="s">
        <v>1965</v>
      </c>
      <c r="F2100" t="s">
        <v>1533</v>
      </c>
      <c r="G2100" t="s">
        <v>781</v>
      </c>
      <c r="H2100" t="s">
        <v>148</v>
      </c>
      <c r="I2100" t="s">
        <v>51</v>
      </c>
      <c r="J2100">
        <v>215.25</v>
      </c>
      <c r="K2100" s="1">
        <v>45662</v>
      </c>
      <c r="L2100" t="s">
        <v>28</v>
      </c>
      <c r="M2100">
        <v>5</v>
      </c>
      <c r="N2100">
        <v>1</v>
      </c>
      <c r="O2100">
        <v>1</v>
      </c>
      <c r="P2100">
        <v>2025</v>
      </c>
    </row>
    <row r="2101" spans="1:16">
      <c r="A2101">
        <v>413.45</v>
      </c>
      <c r="B2101">
        <v>5</v>
      </c>
      <c r="C2101" t="s">
        <v>2549</v>
      </c>
      <c r="D2101" t="s">
        <v>2550</v>
      </c>
      <c r="E2101" t="s">
        <v>2551</v>
      </c>
      <c r="F2101" t="s">
        <v>1156</v>
      </c>
      <c r="G2101" t="s">
        <v>839</v>
      </c>
      <c r="H2101" t="s">
        <v>650</v>
      </c>
      <c r="I2101" t="s">
        <v>37</v>
      </c>
      <c r="J2101">
        <v>82.69</v>
      </c>
      <c r="K2101" s="1">
        <v>46240</v>
      </c>
      <c r="L2101" t="s">
        <v>105</v>
      </c>
      <c r="M2101">
        <v>6</v>
      </c>
      <c r="N2101">
        <v>8</v>
      </c>
      <c r="O2101">
        <v>3</v>
      </c>
      <c r="P2101">
        <v>2026</v>
      </c>
    </row>
    <row r="2102" spans="1:16">
      <c r="A2102">
        <v>446.15000000000003</v>
      </c>
      <c r="B2102">
        <v>5</v>
      </c>
      <c r="C2102" t="s">
        <v>2316</v>
      </c>
      <c r="D2102" t="s">
        <v>2317</v>
      </c>
      <c r="E2102" t="s">
        <v>1909</v>
      </c>
      <c r="F2102" t="s">
        <v>915</v>
      </c>
      <c r="G2102" t="s">
        <v>908</v>
      </c>
      <c r="H2102" t="s">
        <v>401</v>
      </c>
      <c r="I2102" t="s">
        <v>31</v>
      </c>
      <c r="J2102">
        <v>89.23</v>
      </c>
      <c r="K2102" s="1">
        <v>46264</v>
      </c>
      <c r="L2102" t="s">
        <v>28</v>
      </c>
      <c r="M2102">
        <v>30</v>
      </c>
      <c r="N2102">
        <v>8</v>
      </c>
      <c r="O2102">
        <v>3</v>
      </c>
      <c r="P2102">
        <v>2026</v>
      </c>
    </row>
    <row r="2103" spans="1:16">
      <c r="A2103">
        <v>338.52</v>
      </c>
      <c r="B2103">
        <v>4</v>
      </c>
      <c r="C2103" t="s">
        <v>958</v>
      </c>
      <c r="D2103" t="s">
        <v>2368</v>
      </c>
      <c r="E2103" t="s">
        <v>2369</v>
      </c>
      <c r="F2103" t="s">
        <v>691</v>
      </c>
      <c r="G2103" t="s">
        <v>776</v>
      </c>
      <c r="H2103" t="s">
        <v>528</v>
      </c>
      <c r="I2103" t="s">
        <v>69</v>
      </c>
      <c r="J2103">
        <v>84.63</v>
      </c>
      <c r="K2103" s="1">
        <v>46087</v>
      </c>
      <c r="L2103" t="s">
        <v>79</v>
      </c>
      <c r="M2103">
        <v>6</v>
      </c>
      <c r="N2103">
        <v>3</v>
      </c>
      <c r="O2103">
        <v>1</v>
      </c>
      <c r="P2103">
        <v>2026</v>
      </c>
    </row>
    <row r="2104" spans="1:16">
      <c r="A2104">
        <v>233.91</v>
      </c>
      <c r="B2104">
        <v>1</v>
      </c>
      <c r="C2104" t="s">
        <v>1969</v>
      </c>
      <c r="D2104" t="s">
        <v>1970</v>
      </c>
      <c r="E2104" t="s">
        <v>1143</v>
      </c>
      <c r="F2104" t="s">
        <v>1841</v>
      </c>
      <c r="G2104" t="s">
        <v>753</v>
      </c>
      <c r="H2104" t="s">
        <v>272</v>
      </c>
      <c r="I2104" t="s">
        <v>55</v>
      </c>
      <c r="J2104">
        <v>233.91</v>
      </c>
      <c r="K2104" s="1">
        <v>46064</v>
      </c>
      <c r="L2104" t="s">
        <v>34</v>
      </c>
      <c r="M2104">
        <v>11</v>
      </c>
      <c r="N2104">
        <v>2</v>
      </c>
      <c r="O2104">
        <v>1</v>
      </c>
      <c r="P2104">
        <v>2026</v>
      </c>
    </row>
    <row r="2105" spans="1:16">
      <c r="A2105">
        <v>142.84</v>
      </c>
      <c r="B2105">
        <v>1</v>
      </c>
      <c r="C2105" t="s">
        <v>2660</v>
      </c>
      <c r="D2105" t="s">
        <v>2661</v>
      </c>
      <c r="E2105" t="s">
        <v>1616</v>
      </c>
      <c r="F2105" t="s">
        <v>1920</v>
      </c>
      <c r="G2105" t="s">
        <v>807</v>
      </c>
      <c r="H2105" t="s">
        <v>465</v>
      </c>
      <c r="I2105" t="s">
        <v>31</v>
      </c>
      <c r="J2105">
        <v>142.84</v>
      </c>
      <c r="K2105" s="1">
        <v>45932</v>
      </c>
      <c r="L2105" t="s">
        <v>105</v>
      </c>
      <c r="M2105">
        <v>2</v>
      </c>
      <c r="N2105">
        <v>10</v>
      </c>
      <c r="O2105">
        <v>4</v>
      </c>
      <c r="P2105">
        <v>2025</v>
      </c>
    </row>
    <row r="2106" spans="1:16">
      <c r="A2106">
        <v>172.29</v>
      </c>
      <c r="B2106">
        <v>3</v>
      </c>
      <c r="C2106" t="s">
        <v>1336</v>
      </c>
      <c r="D2106" t="s">
        <v>1337</v>
      </c>
      <c r="E2106" t="s">
        <v>1338</v>
      </c>
      <c r="F2106" t="s">
        <v>1339</v>
      </c>
      <c r="G2106" t="s">
        <v>1247</v>
      </c>
      <c r="H2106" t="s">
        <v>730</v>
      </c>
      <c r="I2106" t="s">
        <v>51</v>
      </c>
      <c r="J2106">
        <v>57.43</v>
      </c>
      <c r="K2106" s="1">
        <v>45578</v>
      </c>
      <c r="L2106" t="s">
        <v>28</v>
      </c>
      <c r="M2106">
        <v>13</v>
      </c>
      <c r="N2106">
        <v>10</v>
      </c>
      <c r="O2106">
        <v>4</v>
      </c>
      <c r="P2106">
        <v>2024</v>
      </c>
    </row>
    <row r="2107" spans="1:16">
      <c r="A2107">
        <v>716.91</v>
      </c>
      <c r="B2107">
        <v>3</v>
      </c>
      <c r="C2107" t="s">
        <v>1385</v>
      </c>
      <c r="D2107" t="s">
        <v>1386</v>
      </c>
      <c r="E2107" t="s">
        <v>1387</v>
      </c>
      <c r="F2107" t="s">
        <v>199</v>
      </c>
      <c r="G2107" t="s">
        <v>781</v>
      </c>
      <c r="H2107" t="s">
        <v>180</v>
      </c>
      <c r="I2107" t="s">
        <v>55</v>
      </c>
      <c r="J2107">
        <v>238.97</v>
      </c>
      <c r="K2107" s="1">
        <v>46096</v>
      </c>
      <c r="L2107" t="s">
        <v>28</v>
      </c>
      <c r="M2107">
        <v>15</v>
      </c>
      <c r="N2107">
        <v>3</v>
      </c>
      <c r="O2107">
        <v>1</v>
      </c>
      <c r="P2107">
        <v>2026</v>
      </c>
    </row>
    <row r="2108" spans="1:16">
      <c r="A2108">
        <v>742.56000000000006</v>
      </c>
      <c r="B2108">
        <v>3</v>
      </c>
      <c r="C2108" t="s">
        <v>2861</v>
      </c>
      <c r="D2108" t="s">
        <v>2862</v>
      </c>
      <c r="E2108" t="s">
        <v>1642</v>
      </c>
      <c r="F2108" t="s">
        <v>2468</v>
      </c>
      <c r="G2108" t="s">
        <v>763</v>
      </c>
      <c r="H2108" t="s">
        <v>372</v>
      </c>
      <c r="I2108" t="s">
        <v>23</v>
      </c>
      <c r="J2108">
        <v>247.52</v>
      </c>
      <c r="K2108" s="1">
        <v>46058</v>
      </c>
      <c r="L2108" t="s">
        <v>105</v>
      </c>
      <c r="M2108">
        <v>5</v>
      </c>
      <c r="N2108">
        <v>2</v>
      </c>
      <c r="O2108">
        <v>1</v>
      </c>
      <c r="P2108">
        <v>2026</v>
      </c>
    </row>
    <row r="2109" spans="1:16">
      <c r="A2109">
        <v>1110.1000000000001</v>
      </c>
      <c r="B2109">
        <v>5</v>
      </c>
      <c r="C2109" t="s">
        <v>2969</v>
      </c>
      <c r="D2109" t="s">
        <v>2970</v>
      </c>
      <c r="E2109" t="s">
        <v>2971</v>
      </c>
      <c r="F2109" t="s">
        <v>953</v>
      </c>
      <c r="G2109" t="s">
        <v>954</v>
      </c>
      <c r="H2109" t="s">
        <v>501</v>
      </c>
      <c r="I2109" t="s">
        <v>25</v>
      </c>
      <c r="J2109">
        <v>222.02</v>
      </c>
      <c r="K2109" s="1">
        <v>46082</v>
      </c>
      <c r="L2109" t="s">
        <v>28</v>
      </c>
      <c r="M2109">
        <v>1</v>
      </c>
      <c r="N2109">
        <v>3</v>
      </c>
      <c r="O2109">
        <v>1</v>
      </c>
      <c r="P2109">
        <v>2026</v>
      </c>
    </row>
    <row r="2110" spans="1:16">
      <c r="A2110">
        <v>287.14</v>
      </c>
      <c r="B2110">
        <v>2</v>
      </c>
      <c r="C2110" t="s">
        <v>2611</v>
      </c>
      <c r="D2110" t="s">
        <v>2612</v>
      </c>
      <c r="E2110" t="s">
        <v>1050</v>
      </c>
      <c r="F2110" t="s">
        <v>1395</v>
      </c>
      <c r="G2110" t="s">
        <v>776</v>
      </c>
      <c r="H2110" t="s">
        <v>514</v>
      </c>
      <c r="I2110" t="s">
        <v>23</v>
      </c>
      <c r="J2110">
        <v>143.57</v>
      </c>
      <c r="K2110" s="1">
        <v>45755</v>
      </c>
      <c r="L2110" t="s">
        <v>48</v>
      </c>
      <c r="M2110">
        <v>8</v>
      </c>
      <c r="N2110">
        <v>4</v>
      </c>
      <c r="O2110">
        <v>2</v>
      </c>
      <c r="P2110">
        <v>2025</v>
      </c>
    </row>
    <row r="2111" spans="1:16">
      <c r="A2111">
        <v>35.229999999999997</v>
      </c>
      <c r="B2111">
        <v>1</v>
      </c>
      <c r="C2111" t="s">
        <v>3058</v>
      </c>
      <c r="D2111" t="s">
        <v>3059</v>
      </c>
      <c r="E2111" t="s">
        <v>211</v>
      </c>
      <c r="F2111" t="s">
        <v>932</v>
      </c>
      <c r="G2111" t="s">
        <v>776</v>
      </c>
      <c r="H2111" t="s">
        <v>261</v>
      </c>
      <c r="I2111" t="s">
        <v>31</v>
      </c>
      <c r="J2111">
        <v>35.229999999999997</v>
      </c>
      <c r="K2111" s="1">
        <v>45739</v>
      </c>
      <c r="L2111" t="s">
        <v>28</v>
      </c>
      <c r="M2111">
        <v>23</v>
      </c>
      <c r="N2111">
        <v>3</v>
      </c>
      <c r="O2111">
        <v>1</v>
      </c>
      <c r="P2111">
        <v>2025</v>
      </c>
    </row>
    <row r="2112" spans="1:16">
      <c r="A2112">
        <v>525.05000000000007</v>
      </c>
      <c r="B2112">
        <v>5</v>
      </c>
      <c r="C2112" t="s">
        <v>1839</v>
      </c>
      <c r="D2112" t="s">
        <v>1840</v>
      </c>
      <c r="E2112" t="s">
        <v>902</v>
      </c>
      <c r="F2112" t="s">
        <v>1841</v>
      </c>
      <c r="G2112" t="s">
        <v>753</v>
      </c>
      <c r="H2112" t="s">
        <v>448</v>
      </c>
      <c r="I2112" t="s">
        <v>55</v>
      </c>
      <c r="J2112">
        <v>105.01</v>
      </c>
      <c r="K2112" s="1">
        <v>45561</v>
      </c>
      <c r="L2112" t="s">
        <v>105</v>
      </c>
      <c r="M2112">
        <v>26</v>
      </c>
      <c r="N2112">
        <v>9</v>
      </c>
      <c r="O2112">
        <v>3</v>
      </c>
      <c r="P2112">
        <v>2024</v>
      </c>
    </row>
    <row r="2113" spans="1:16">
      <c r="A2113">
        <v>836.08</v>
      </c>
      <c r="B2113">
        <v>4</v>
      </c>
      <c r="C2113" t="s">
        <v>2839</v>
      </c>
      <c r="D2113" t="s">
        <v>2840</v>
      </c>
      <c r="E2113" t="s">
        <v>1124</v>
      </c>
      <c r="F2113" t="s">
        <v>1740</v>
      </c>
      <c r="G2113" t="s">
        <v>954</v>
      </c>
      <c r="H2113" t="s">
        <v>62</v>
      </c>
      <c r="I2113" t="s">
        <v>17</v>
      </c>
      <c r="J2113">
        <v>209.02</v>
      </c>
      <c r="K2113" s="1">
        <v>46002</v>
      </c>
      <c r="L2113" t="s">
        <v>105</v>
      </c>
      <c r="M2113">
        <v>11</v>
      </c>
      <c r="N2113">
        <v>12</v>
      </c>
      <c r="O2113">
        <v>4</v>
      </c>
      <c r="P2113">
        <v>2025</v>
      </c>
    </row>
    <row r="2114" spans="1:16">
      <c r="A2114">
        <v>909.4</v>
      </c>
      <c r="B2114">
        <v>5</v>
      </c>
      <c r="C2114" t="s">
        <v>2733</v>
      </c>
      <c r="D2114" t="s">
        <v>2734</v>
      </c>
      <c r="E2114" t="s">
        <v>1212</v>
      </c>
      <c r="F2114" t="s">
        <v>1600</v>
      </c>
      <c r="G2114" t="s">
        <v>768</v>
      </c>
      <c r="H2114" t="s">
        <v>549</v>
      </c>
      <c r="I2114" t="s">
        <v>82</v>
      </c>
      <c r="J2114">
        <v>181.88</v>
      </c>
      <c r="K2114" s="1">
        <v>45732</v>
      </c>
      <c r="L2114" t="s">
        <v>28</v>
      </c>
      <c r="M2114">
        <v>16</v>
      </c>
      <c r="N2114">
        <v>3</v>
      </c>
      <c r="O2114">
        <v>1</v>
      </c>
      <c r="P2114">
        <v>2025</v>
      </c>
    </row>
    <row r="2115" spans="1:16">
      <c r="A2115">
        <v>1174.4499999999998</v>
      </c>
      <c r="B2115">
        <v>5</v>
      </c>
      <c r="C2115" t="s">
        <v>1366</v>
      </c>
      <c r="D2115" t="s">
        <v>1367</v>
      </c>
      <c r="E2115" t="s">
        <v>1020</v>
      </c>
      <c r="F2115" t="s">
        <v>136</v>
      </c>
      <c r="G2115" t="s">
        <v>954</v>
      </c>
      <c r="H2115" t="s">
        <v>255</v>
      </c>
      <c r="I2115" t="s">
        <v>39</v>
      </c>
      <c r="J2115">
        <v>234.89</v>
      </c>
      <c r="K2115" s="1">
        <v>46000</v>
      </c>
      <c r="L2115" t="s">
        <v>48</v>
      </c>
      <c r="M2115">
        <v>9</v>
      </c>
      <c r="N2115">
        <v>12</v>
      </c>
      <c r="O2115">
        <v>4</v>
      </c>
      <c r="P2115">
        <v>2025</v>
      </c>
    </row>
    <row r="2116" spans="1:16">
      <c r="A2116">
        <v>514.88</v>
      </c>
      <c r="B2116">
        <v>4</v>
      </c>
      <c r="C2116" t="s">
        <v>2508</v>
      </c>
      <c r="D2116" t="s">
        <v>2509</v>
      </c>
      <c r="E2116" t="s">
        <v>2510</v>
      </c>
      <c r="F2116" t="s">
        <v>1670</v>
      </c>
      <c r="G2116" t="s">
        <v>1247</v>
      </c>
      <c r="H2116" t="s">
        <v>693</v>
      </c>
      <c r="I2116" t="s">
        <v>46</v>
      </c>
      <c r="J2116">
        <v>128.72</v>
      </c>
      <c r="K2116" s="1">
        <v>45799</v>
      </c>
      <c r="L2116" t="s">
        <v>105</v>
      </c>
      <c r="M2116">
        <v>22</v>
      </c>
      <c r="N2116">
        <v>5</v>
      </c>
      <c r="O2116">
        <v>2</v>
      </c>
      <c r="P2116">
        <v>2025</v>
      </c>
    </row>
    <row r="2117" spans="1:16">
      <c r="A2117">
        <v>1.29</v>
      </c>
      <c r="B2117">
        <v>1</v>
      </c>
      <c r="C2117" t="s">
        <v>1530</v>
      </c>
      <c r="D2117" t="s">
        <v>1902</v>
      </c>
      <c r="E2117" t="s">
        <v>1903</v>
      </c>
      <c r="F2117" t="s">
        <v>49</v>
      </c>
      <c r="G2117" t="s">
        <v>892</v>
      </c>
      <c r="H2117" t="s">
        <v>563</v>
      </c>
      <c r="I2117" t="s">
        <v>46</v>
      </c>
      <c r="J2117">
        <v>1.29</v>
      </c>
      <c r="K2117" s="1">
        <v>46216</v>
      </c>
      <c r="L2117" t="s">
        <v>93</v>
      </c>
      <c r="M2117">
        <v>13</v>
      </c>
      <c r="N2117">
        <v>7</v>
      </c>
      <c r="O2117">
        <v>3</v>
      </c>
      <c r="P2117">
        <v>2026</v>
      </c>
    </row>
    <row r="2118" spans="1:16">
      <c r="A2118">
        <v>59.56</v>
      </c>
      <c r="B2118">
        <v>1</v>
      </c>
      <c r="C2118" t="s">
        <v>2261</v>
      </c>
      <c r="D2118" t="s">
        <v>2262</v>
      </c>
      <c r="E2118" t="s">
        <v>1660</v>
      </c>
      <c r="F2118" t="s">
        <v>1206</v>
      </c>
      <c r="G2118" t="s">
        <v>943</v>
      </c>
      <c r="H2118" t="s">
        <v>573</v>
      </c>
      <c r="I2118" t="s">
        <v>55</v>
      </c>
      <c r="J2118">
        <v>59.56</v>
      </c>
      <c r="K2118" s="1">
        <v>45928</v>
      </c>
      <c r="L2118" t="s">
        <v>28</v>
      </c>
      <c r="M2118">
        <v>28</v>
      </c>
      <c r="N2118">
        <v>9</v>
      </c>
      <c r="O2118">
        <v>3</v>
      </c>
      <c r="P2118">
        <v>2025</v>
      </c>
    </row>
    <row r="2119" spans="1:16">
      <c r="A2119">
        <v>173.27</v>
      </c>
      <c r="B2119">
        <v>1</v>
      </c>
      <c r="C2119" t="s">
        <v>799</v>
      </c>
      <c r="D2119" t="s">
        <v>800</v>
      </c>
      <c r="E2119" t="s">
        <v>801</v>
      </c>
      <c r="F2119" t="s">
        <v>802</v>
      </c>
      <c r="G2119" t="s">
        <v>748</v>
      </c>
      <c r="H2119" t="s">
        <v>185</v>
      </c>
      <c r="I2119" t="s">
        <v>57</v>
      </c>
      <c r="J2119">
        <v>173.27</v>
      </c>
      <c r="K2119" s="1">
        <v>45599</v>
      </c>
      <c r="L2119" t="s">
        <v>28</v>
      </c>
      <c r="M2119">
        <v>3</v>
      </c>
      <c r="N2119">
        <v>11</v>
      </c>
      <c r="O2119">
        <v>4</v>
      </c>
      <c r="P2119">
        <v>2024</v>
      </c>
    </row>
    <row r="2120" spans="1:16">
      <c r="A2120">
        <v>248.07</v>
      </c>
      <c r="B2120">
        <v>3</v>
      </c>
      <c r="C2120" t="s">
        <v>3142</v>
      </c>
      <c r="D2120" t="s">
        <v>3143</v>
      </c>
      <c r="E2120" t="s">
        <v>1152</v>
      </c>
      <c r="F2120" t="s">
        <v>825</v>
      </c>
      <c r="G2120" t="s">
        <v>781</v>
      </c>
      <c r="H2120" t="s">
        <v>650</v>
      </c>
      <c r="I2120" t="s">
        <v>37</v>
      </c>
      <c r="J2120">
        <v>82.69</v>
      </c>
      <c r="K2120" s="1">
        <v>45616</v>
      </c>
      <c r="L2120" t="s">
        <v>34</v>
      </c>
      <c r="M2120">
        <v>20</v>
      </c>
      <c r="N2120">
        <v>11</v>
      </c>
      <c r="O2120">
        <v>4</v>
      </c>
      <c r="P2120">
        <v>2024</v>
      </c>
    </row>
    <row r="2121" spans="1:16">
      <c r="A2121">
        <v>51.42</v>
      </c>
      <c r="B2121">
        <v>3</v>
      </c>
      <c r="C2121" t="s">
        <v>3189</v>
      </c>
      <c r="D2121" t="s">
        <v>3190</v>
      </c>
      <c r="E2121" t="s">
        <v>1876</v>
      </c>
      <c r="F2121" t="s">
        <v>932</v>
      </c>
      <c r="G2121" t="s">
        <v>776</v>
      </c>
      <c r="H2121" t="s">
        <v>633</v>
      </c>
      <c r="I2121" t="s">
        <v>17</v>
      </c>
      <c r="J2121">
        <v>17.14</v>
      </c>
      <c r="K2121" s="1">
        <v>46133</v>
      </c>
      <c r="L2121" t="s">
        <v>48</v>
      </c>
      <c r="M2121">
        <v>21</v>
      </c>
      <c r="N2121">
        <v>4</v>
      </c>
      <c r="O2121">
        <v>2</v>
      </c>
      <c r="P2121">
        <v>2026</v>
      </c>
    </row>
    <row r="2122" spans="1:16">
      <c r="A2122">
        <v>470.38</v>
      </c>
      <c r="B2122">
        <v>2</v>
      </c>
      <c r="C2122" t="s">
        <v>2084</v>
      </c>
      <c r="D2122" t="s">
        <v>2085</v>
      </c>
      <c r="E2122" t="s">
        <v>2086</v>
      </c>
      <c r="F2122" t="s">
        <v>1209</v>
      </c>
      <c r="G2122" t="s">
        <v>776</v>
      </c>
      <c r="H2122" t="s">
        <v>396</v>
      </c>
      <c r="I2122" t="s">
        <v>122</v>
      </c>
      <c r="J2122">
        <v>235.19</v>
      </c>
      <c r="K2122" s="1">
        <v>45970</v>
      </c>
      <c r="L2122" t="s">
        <v>28</v>
      </c>
      <c r="M2122">
        <v>9</v>
      </c>
      <c r="N2122">
        <v>11</v>
      </c>
      <c r="O2122">
        <v>4</v>
      </c>
      <c r="P2122">
        <v>2025</v>
      </c>
    </row>
    <row r="2123" spans="1:16">
      <c r="A2123">
        <v>154.02000000000001</v>
      </c>
      <c r="B2123">
        <v>3</v>
      </c>
      <c r="C2123" t="s">
        <v>1845</v>
      </c>
      <c r="D2123" t="s">
        <v>1846</v>
      </c>
      <c r="E2123" t="s">
        <v>1263</v>
      </c>
      <c r="F2123" t="s">
        <v>953</v>
      </c>
      <c r="G2123" t="s">
        <v>954</v>
      </c>
      <c r="H2123" t="s">
        <v>376</v>
      </c>
      <c r="I2123" t="s">
        <v>51</v>
      </c>
      <c r="J2123">
        <v>51.34</v>
      </c>
      <c r="K2123" s="1">
        <v>46083</v>
      </c>
      <c r="L2123" t="s">
        <v>93</v>
      </c>
      <c r="M2123">
        <v>2</v>
      </c>
      <c r="N2123">
        <v>3</v>
      </c>
      <c r="O2123">
        <v>1</v>
      </c>
      <c r="P2123">
        <v>2026</v>
      </c>
    </row>
    <row r="2124" spans="1:16">
      <c r="A2124">
        <v>116.64</v>
      </c>
      <c r="B2124">
        <v>4</v>
      </c>
      <c r="C2124" t="s">
        <v>1819</v>
      </c>
      <c r="D2124" t="s">
        <v>1820</v>
      </c>
      <c r="E2124" t="s">
        <v>1821</v>
      </c>
      <c r="F2124" t="s">
        <v>1199</v>
      </c>
      <c r="G2124" t="s">
        <v>839</v>
      </c>
      <c r="H2124" t="s">
        <v>511</v>
      </c>
      <c r="I2124" t="s">
        <v>27</v>
      </c>
      <c r="J2124">
        <v>29.16</v>
      </c>
      <c r="K2124" s="1">
        <v>46235</v>
      </c>
      <c r="L2124" t="s">
        <v>14</v>
      </c>
      <c r="M2124">
        <v>1</v>
      </c>
      <c r="N2124">
        <v>8</v>
      </c>
      <c r="O2124">
        <v>3</v>
      </c>
      <c r="P2124">
        <v>2026</v>
      </c>
    </row>
    <row r="2125" spans="1:16">
      <c r="A2125">
        <v>877.04</v>
      </c>
      <c r="B2125">
        <v>4</v>
      </c>
      <c r="C2125" t="s">
        <v>2268</v>
      </c>
      <c r="D2125" t="s">
        <v>2269</v>
      </c>
      <c r="E2125" t="s">
        <v>1305</v>
      </c>
      <c r="F2125" t="s">
        <v>869</v>
      </c>
      <c r="G2125" t="s">
        <v>1247</v>
      </c>
      <c r="H2125" t="s">
        <v>162</v>
      </c>
      <c r="I2125" t="s">
        <v>51</v>
      </c>
      <c r="J2125">
        <v>219.26</v>
      </c>
      <c r="K2125" s="1">
        <v>45588</v>
      </c>
      <c r="L2125" t="s">
        <v>34</v>
      </c>
      <c r="M2125">
        <v>23</v>
      </c>
      <c r="N2125">
        <v>10</v>
      </c>
      <c r="O2125">
        <v>4</v>
      </c>
      <c r="P2125">
        <v>2024</v>
      </c>
    </row>
    <row r="2126" spans="1:16">
      <c r="A2126">
        <v>273.04000000000002</v>
      </c>
      <c r="B2126">
        <v>4</v>
      </c>
      <c r="C2126" t="s">
        <v>1743</v>
      </c>
      <c r="D2126" t="s">
        <v>1744</v>
      </c>
      <c r="E2126" t="s">
        <v>1745</v>
      </c>
      <c r="F2126" t="s">
        <v>666</v>
      </c>
      <c r="G2126" t="s">
        <v>954</v>
      </c>
      <c r="H2126" t="s">
        <v>306</v>
      </c>
      <c r="I2126" t="s">
        <v>39</v>
      </c>
      <c r="J2126">
        <v>68.260000000000005</v>
      </c>
      <c r="K2126" s="1">
        <v>45893</v>
      </c>
      <c r="L2126" t="s">
        <v>28</v>
      </c>
      <c r="M2126">
        <v>24</v>
      </c>
      <c r="N2126">
        <v>8</v>
      </c>
      <c r="O2126">
        <v>3</v>
      </c>
      <c r="P2126">
        <v>2025</v>
      </c>
    </row>
    <row r="2127" spans="1:16">
      <c r="A2127">
        <v>241.17000000000002</v>
      </c>
      <c r="B2127">
        <v>3</v>
      </c>
      <c r="C2127" t="s">
        <v>1456</v>
      </c>
      <c r="D2127" t="s">
        <v>1457</v>
      </c>
      <c r="E2127" t="s">
        <v>779</v>
      </c>
      <c r="F2127" t="s">
        <v>1032</v>
      </c>
      <c r="G2127" t="s">
        <v>839</v>
      </c>
      <c r="H2127" t="s">
        <v>130</v>
      </c>
      <c r="I2127" t="s">
        <v>69</v>
      </c>
      <c r="J2127">
        <v>80.39</v>
      </c>
      <c r="K2127" s="1">
        <v>45728</v>
      </c>
      <c r="L2127" t="s">
        <v>34</v>
      </c>
      <c r="M2127">
        <v>12</v>
      </c>
      <c r="N2127">
        <v>3</v>
      </c>
      <c r="O2127">
        <v>1</v>
      </c>
      <c r="P2127">
        <v>2025</v>
      </c>
    </row>
    <row r="2128" spans="1:16">
      <c r="A2128">
        <v>325.74</v>
      </c>
      <c r="B2128">
        <v>2</v>
      </c>
      <c r="C2128" t="s">
        <v>2370</v>
      </c>
      <c r="D2128" t="s">
        <v>2371</v>
      </c>
      <c r="E2128" t="s">
        <v>1633</v>
      </c>
      <c r="F2128" t="s">
        <v>757</v>
      </c>
      <c r="G2128" t="s">
        <v>758</v>
      </c>
      <c r="H2128" t="s">
        <v>236</v>
      </c>
      <c r="I2128" t="s">
        <v>60</v>
      </c>
      <c r="J2128">
        <v>162.87</v>
      </c>
      <c r="K2128" s="1">
        <v>45627</v>
      </c>
      <c r="L2128" t="s">
        <v>28</v>
      </c>
      <c r="M2128">
        <v>1</v>
      </c>
      <c r="N2128">
        <v>12</v>
      </c>
      <c r="O2128">
        <v>4</v>
      </c>
      <c r="P2128">
        <v>2024</v>
      </c>
    </row>
    <row r="2129" spans="1:16">
      <c r="A2129">
        <v>111.51</v>
      </c>
      <c r="B2129">
        <v>1</v>
      </c>
      <c r="C2129" t="s">
        <v>1636</v>
      </c>
      <c r="D2129" t="s">
        <v>1637</v>
      </c>
      <c r="E2129" t="s">
        <v>1260</v>
      </c>
      <c r="F2129" t="s">
        <v>1189</v>
      </c>
      <c r="G2129" t="s">
        <v>892</v>
      </c>
      <c r="H2129" t="s">
        <v>416</v>
      </c>
      <c r="I2129" t="s">
        <v>57</v>
      </c>
      <c r="J2129">
        <v>111.51</v>
      </c>
      <c r="K2129" s="1">
        <v>46217</v>
      </c>
      <c r="L2129" t="s">
        <v>48</v>
      </c>
      <c r="M2129">
        <v>14</v>
      </c>
      <c r="N2129">
        <v>7</v>
      </c>
      <c r="O2129">
        <v>3</v>
      </c>
      <c r="P2129">
        <v>2026</v>
      </c>
    </row>
    <row r="2130" spans="1:16">
      <c r="A2130">
        <v>307.02</v>
      </c>
      <c r="B2130">
        <v>3</v>
      </c>
      <c r="C2130" t="s">
        <v>2311</v>
      </c>
      <c r="D2130" t="s">
        <v>2312</v>
      </c>
      <c r="E2130" t="s">
        <v>1205</v>
      </c>
      <c r="F2130" t="s">
        <v>825</v>
      </c>
      <c r="G2130" t="s">
        <v>781</v>
      </c>
      <c r="H2130" t="s">
        <v>538</v>
      </c>
      <c r="I2130" t="s">
        <v>43</v>
      </c>
      <c r="J2130">
        <v>102.34</v>
      </c>
      <c r="K2130" s="1">
        <v>45917</v>
      </c>
      <c r="L2130" t="s">
        <v>34</v>
      </c>
      <c r="M2130">
        <v>17</v>
      </c>
      <c r="N2130">
        <v>9</v>
      </c>
      <c r="O2130">
        <v>3</v>
      </c>
      <c r="P2130">
        <v>2025</v>
      </c>
    </row>
    <row r="2131" spans="1:16">
      <c r="A2131">
        <v>610.90000000000009</v>
      </c>
      <c r="B2131">
        <v>5</v>
      </c>
      <c r="C2131" t="s">
        <v>1912</v>
      </c>
      <c r="D2131" t="s">
        <v>1913</v>
      </c>
      <c r="E2131" t="s">
        <v>1565</v>
      </c>
      <c r="F2131" t="s">
        <v>806</v>
      </c>
      <c r="G2131" t="s">
        <v>807</v>
      </c>
      <c r="H2131" t="s">
        <v>433</v>
      </c>
      <c r="I2131" t="s">
        <v>100</v>
      </c>
      <c r="J2131">
        <v>122.18</v>
      </c>
      <c r="K2131" s="1">
        <v>45882</v>
      </c>
      <c r="L2131" t="s">
        <v>34</v>
      </c>
      <c r="M2131">
        <v>13</v>
      </c>
      <c r="N2131">
        <v>8</v>
      </c>
      <c r="O2131">
        <v>3</v>
      </c>
      <c r="P2131">
        <v>2025</v>
      </c>
    </row>
    <row r="2132" spans="1:16">
      <c r="A2132">
        <v>767.84</v>
      </c>
      <c r="B2132">
        <v>4</v>
      </c>
      <c r="C2132" t="s">
        <v>787</v>
      </c>
      <c r="D2132" t="s">
        <v>788</v>
      </c>
      <c r="E2132" t="s">
        <v>789</v>
      </c>
      <c r="F2132" t="s">
        <v>160</v>
      </c>
      <c r="G2132" t="s">
        <v>790</v>
      </c>
      <c r="H2132" t="s">
        <v>231</v>
      </c>
      <c r="I2132" t="s">
        <v>37</v>
      </c>
      <c r="J2132">
        <v>191.96</v>
      </c>
      <c r="K2132" s="1">
        <v>45675</v>
      </c>
      <c r="L2132" t="s">
        <v>14</v>
      </c>
      <c r="M2132">
        <v>18</v>
      </c>
      <c r="N2132">
        <v>1</v>
      </c>
      <c r="O2132">
        <v>1</v>
      </c>
      <c r="P2132">
        <v>2025</v>
      </c>
    </row>
    <row r="2133" spans="1:16">
      <c r="A2133">
        <v>431.61</v>
      </c>
      <c r="B2133">
        <v>3</v>
      </c>
      <c r="C2133" t="s">
        <v>2861</v>
      </c>
      <c r="D2133" t="s">
        <v>2862</v>
      </c>
      <c r="E2133" t="s">
        <v>1642</v>
      </c>
      <c r="F2133" t="s">
        <v>2468</v>
      </c>
      <c r="G2133" t="s">
        <v>763</v>
      </c>
      <c r="H2133" t="s">
        <v>587</v>
      </c>
      <c r="I2133" t="s">
        <v>27</v>
      </c>
      <c r="J2133">
        <v>143.87</v>
      </c>
      <c r="K2133" s="1">
        <v>45955</v>
      </c>
      <c r="L2133" t="s">
        <v>14</v>
      </c>
      <c r="M2133">
        <v>25</v>
      </c>
      <c r="N2133">
        <v>10</v>
      </c>
      <c r="O2133">
        <v>4</v>
      </c>
      <c r="P2133">
        <v>2025</v>
      </c>
    </row>
    <row r="2134" spans="1:16">
      <c r="A2134">
        <v>202.98</v>
      </c>
      <c r="B2134">
        <v>3</v>
      </c>
      <c r="C2134" t="s">
        <v>2435</v>
      </c>
      <c r="D2134" t="s">
        <v>2436</v>
      </c>
      <c r="E2134" t="s">
        <v>1295</v>
      </c>
      <c r="F2134" t="s">
        <v>280</v>
      </c>
      <c r="G2134" t="s">
        <v>786</v>
      </c>
      <c r="H2134" t="s">
        <v>2624</v>
      </c>
      <c r="I2134" t="s">
        <v>82</v>
      </c>
      <c r="J2134">
        <v>67.66</v>
      </c>
      <c r="K2134" s="1">
        <v>45774</v>
      </c>
      <c r="L2134" t="s">
        <v>28</v>
      </c>
      <c r="M2134">
        <v>27</v>
      </c>
      <c r="N2134">
        <v>4</v>
      </c>
      <c r="O2134">
        <v>2</v>
      </c>
      <c r="P2134">
        <v>2025</v>
      </c>
    </row>
    <row r="2135" spans="1:16">
      <c r="A2135">
        <v>478.1</v>
      </c>
      <c r="B2135">
        <v>5</v>
      </c>
      <c r="C2135" t="s">
        <v>1014</v>
      </c>
      <c r="D2135" t="s">
        <v>1015</v>
      </c>
      <c r="E2135" t="s">
        <v>1016</v>
      </c>
      <c r="F2135" t="s">
        <v>1017</v>
      </c>
      <c r="G2135" t="s">
        <v>966</v>
      </c>
      <c r="H2135" t="s">
        <v>153</v>
      </c>
      <c r="I2135" t="s">
        <v>37</v>
      </c>
      <c r="J2135">
        <v>95.62</v>
      </c>
      <c r="K2135" s="1">
        <v>46156</v>
      </c>
      <c r="L2135" t="s">
        <v>105</v>
      </c>
      <c r="M2135">
        <v>14</v>
      </c>
      <c r="N2135">
        <v>5</v>
      </c>
      <c r="O2135">
        <v>2</v>
      </c>
      <c r="P2135">
        <v>2026</v>
      </c>
    </row>
    <row r="2136" spans="1:16">
      <c r="A2136">
        <v>8.16</v>
      </c>
      <c r="B2136">
        <v>3</v>
      </c>
      <c r="C2136" t="s">
        <v>2569</v>
      </c>
      <c r="D2136" t="s">
        <v>2570</v>
      </c>
      <c r="E2136" t="s">
        <v>2571</v>
      </c>
      <c r="F2136" t="s">
        <v>1026</v>
      </c>
      <c r="G2136" t="s">
        <v>896</v>
      </c>
      <c r="H2136" t="s">
        <v>99</v>
      </c>
      <c r="I2136" t="s">
        <v>100</v>
      </c>
      <c r="J2136">
        <v>2.72</v>
      </c>
      <c r="K2136" s="1">
        <v>45710</v>
      </c>
      <c r="L2136" t="s">
        <v>14</v>
      </c>
      <c r="M2136">
        <v>22</v>
      </c>
      <c r="N2136">
        <v>2</v>
      </c>
      <c r="O2136">
        <v>1</v>
      </c>
      <c r="P2136">
        <v>2025</v>
      </c>
    </row>
    <row r="2137" spans="1:16">
      <c r="A2137">
        <v>209.12</v>
      </c>
      <c r="B2137">
        <v>4</v>
      </c>
      <c r="C2137" t="s">
        <v>2722</v>
      </c>
      <c r="D2137" t="s">
        <v>2723</v>
      </c>
      <c r="E2137" t="s">
        <v>1440</v>
      </c>
      <c r="F2137" t="s">
        <v>380</v>
      </c>
      <c r="G2137" t="s">
        <v>776</v>
      </c>
      <c r="H2137" t="s">
        <v>412</v>
      </c>
      <c r="I2137" t="s">
        <v>27</v>
      </c>
      <c r="J2137">
        <v>52.28</v>
      </c>
      <c r="K2137" s="1">
        <v>45659</v>
      </c>
      <c r="L2137" t="s">
        <v>105</v>
      </c>
      <c r="M2137">
        <v>2</v>
      </c>
      <c r="N2137">
        <v>1</v>
      </c>
      <c r="O2137">
        <v>1</v>
      </c>
      <c r="P2137">
        <v>2025</v>
      </c>
    </row>
    <row r="2138" spans="1:16">
      <c r="A2138">
        <v>127.5</v>
      </c>
      <c r="B2138">
        <v>2</v>
      </c>
      <c r="C2138" t="s">
        <v>1196</v>
      </c>
      <c r="D2138" t="s">
        <v>1197</v>
      </c>
      <c r="E2138" t="s">
        <v>1198</v>
      </c>
      <c r="F2138" t="s">
        <v>1199</v>
      </c>
      <c r="G2138" t="s">
        <v>839</v>
      </c>
      <c r="H2138" t="s">
        <v>418</v>
      </c>
      <c r="I2138" t="s">
        <v>43</v>
      </c>
      <c r="J2138">
        <v>63.75</v>
      </c>
      <c r="K2138" s="1">
        <v>45987</v>
      </c>
      <c r="L2138" t="s">
        <v>34</v>
      </c>
      <c r="M2138">
        <v>26</v>
      </c>
      <c r="N2138">
        <v>11</v>
      </c>
      <c r="O2138">
        <v>4</v>
      </c>
      <c r="P2138">
        <v>2025</v>
      </c>
    </row>
    <row r="2139" spans="1:16">
      <c r="A2139">
        <v>831.3</v>
      </c>
      <c r="B2139">
        <v>5</v>
      </c>
      <c r="C2139" t="s">
        <v>2309</v>
      </c>
      <c r="D2139" t="s">
        <v>2310</v>
      </c>
      <c r="E2139" t="s">
        <v>1660</v>
      </c>
      <c r="F2139" t="s">
        <v>1421</v>
      </c>
      <c r="G2139" t="s">
        <v>776</v>
      </c>
      <c r="H2139" t="s">
        <v>72</v>
      </c>
      <c r="I2139" t="s">
        <v>37</v>
      </c>
      <c r="J2139">
        <v>166.26</v>
      </c>
      <c r="K2139" s="1">
        <v>45885</v>
      </c>
      <c r="L2139" t="s">
        <v>14</v>
      </c>
      <c r="M2139">
        <v>16</v>
      </c>
      <c r="N2139">
        <v>8</v>
      </c>
      <c r="O2139">
        <v>3</v>
      </c>
      <c r="P2139">
        <v>2025</v>
      </c>
    </row>
    <row r="2140" spans="1:16">
      <c r="A2140">
        <v>238.1</v>
      </c>
      <c r="B2140">
        <v>5</v>
      </c>
      <c r="C2140" t="s">
        <v>2437</v>
      </c>
      <c r="D2140" t="s">
        <v>2438</v>
      </c>
      <c r="E2140" t="s">
        <v>1025</v>
      </c>
      <c r="F2140" t="s">
        <v>1111</v>
      </c>
      <c r="G2140" t="s">
        <v>981</v>
      </c>
      <c r="H2140" t="s">
        <v>508</v>
      </c>
      <c r="I2140" t="s">
        <v>43</v>
      </c>
      <c r="J2140">
        <v>47.62</v>
      </c>
      <c r="K2140" s="1">
        <v>46085</v>
      </c>
      <c r="L2140" t="s">
        <v>34</v>
      </c>
      <c r="M2140">
        <v>4</v>
      </c>
      <c r="N2140">
        <v>3</v>
      </c>
      <c r="O2140">
        <v>1</v>
      </c>
      <c r="P2140">
        <v>2026</v>
      </c>
    </row>
    <row r="2141" spans="1:16">
      <c r="A2141">
        <v>684.78</v>
      </c>
      <c r="B2141">
        <v>3</v>
      </c>
      <c r="C2141" t="s">
        <v>1473</v>
      </c>
      <c r="D2141" t="s">
        <v>1474</v>
      </c>
      <c r="E2141" t="s">
        <v>751</v>
      </c>
      <c r="F2141" t="s">
        <v>862</v>
      </c>
      <c r="G2141" t="s">
        <v>981</v>
      </c>
      <c r="H2141" t="s">
        <v>268</v>
      </c>
      <c r="I2141" t="s">
        <v>97</v>
      </c>
      <c r="J2141">
        <v>228.26</v>
      </c>
      <c r="K2141" s="1">
        <v>45960</v>
      </c>
      <c r="L2141" t="s">
        <v>105</v>
      </c>
      <c r="M2141">
        <v>30</v>
      </c>
      <c r="N2141">
        <v>10</v>
      </c>
      <c r="O2141">
        <v>4</v>
      </c>
      <c r="P2141">
        <v>2025</v>
      </c>
    </row>
    <row r="2142" spans="1:16">
      <c r="A2142">
        <v>1005.15</v>
      </c>
      <c r="B2142">
        <v>5</v>
      </c>
      <c r="C2142" t="s">
        <v>1871</v>
      </c>
      <c r="D2142" t="s">
        <v>1872</v>
      </c>
      <c r="E2142" t="s">
        <v>1873</v>
      </c>
      <c r="F2142" t="s">
        <v>747</v>
      </c>
      <c r="G2142" t="s">
        <v>748</v>
      </c>
      <c r="H2142" t="s">
        <v>314</v>
      </c>
      <c r="I2142" t="s">
        <v>100</v>
      </c>
      <c r="J2142">
        <v>201.03</v>
      </c>
      <c r="K2142" s="1">
        <v>45846</v>
      </c>
      <c r="L2142" t="s">
        <v>48</v>
      </c>
      <c r="M2142">
        <v>8</v>
      </c>
      <c r="N2142">
        <v>7</v>
      </c>
      <c r="O2142">
        <v>3</v>
      </c>
      <c r="P2142">
        <v>2025</v>
      </c>
    </row>
    <row r="2143" spans="1:16">
      <c r="A2143">
        <v>394.26</v>
      </c>
      <c r="B2143">
        <v>3</v>
      </c>
      <c r="C2143" t="s">
        <v>2591</v>
      </c>
      <c r="D2143" t="s">
        <v>2592</v>
      </c>
      <c r="E2143" t="s">
        <v>875</v>
      </c>
      <c r="F2143" t="s">
        <v>985</v>
      </c>
      <c r="G2143" t="s">
        <v>817</v>
      </c>
      <c r="H2143" t="s">
        <v>679</v>
      </c>
      <c r="I2143" t="s">
        <v>25</v>
      </c>
      <c r="J2143">
        <v>131.41999999999999</v>
      </c>
      <c r="K2143" s="1">
        <v>46137</v>
      </c>
      <c r="L2143" t="s">
        <v>14</v>
      </c>
      <c r="M2143">
        <v>25</v>
      </c>
      <c r="N2143">
        <v>4</v>
      </c>
      <c r="O2143">
        <v>2</v>
      </c>
      <c r="P2143">
        <v>2026</v>
      </c>
    </row>
    <row r="2144" spans="1:16">
      <c r="A2144">
        <v>652.55999999999995</v>
      </c>
      <c r="B2144">
        <v>4</v>
      </c>
      <c r="C2144" t="s">
        <v>3331</v>
      </c>
      <c r="D2144" t="s">
        <v>3332</v>
      </c>
      <c r="E2144" t="s">
        <v>2726</v>
      </c>
      <c r="F2144" t="s">
        <v>1342</v>
      </c>
      <c r="G2144" t="s">
        <v>776</v>
      </c>
      <c r="H2144" t="s">
        <v>183</v>
      </c>
      <c r="I2144" t="s">
        <v>19</v>
      </c>
      <c r="J2144">
        <v>163.13999999999999</v>
      </c>
      <c r="K2144" s="1">
        <v>46042</v>
      </c>
      <c r="L2144" t="s">
        <v>48</v>
      </c>
      <c r="M2144">
        <v>20</v>
      </c>
      <c r="N2144">
        <v>1</v>
      </c>
      <c r="O2144">
        <v>1</v>
      </c>
      <c r="P2144">
        <v>2026</v>
      </c>
    </row>
    <row r="2145" spans="1:16">
      <c r="A2145">
        <v>379.90000000000003</v>
      </c>
      <c r="B2145">
        <v>5</v>
      </c>
      <c r="C2145" t="s">
        <v>1027</v>
      </c>
      <c r="D2145" t="s">
        <v>1028</v>
      </c>
      <c r="E2145" t="s">
        <v>805</v>
      </c>
      <c r="F2145" t="s">
        <v>825</v>
      </c>
      <c r="G2145" t="s">
        <v>781</v>
      </c>
      <c r="H2145" t="s">
        <v>313</v>
      </c>
      <c r="I2145" t="s">
        <v>31</v>
      </c>
      <c r="J2145">
        <v>75.98</v>
      </c>
      <c r="K2145" s="1">
        <v>45564</v>
      </c>
      <c r="L2145" t="s">
        <v>28</v>
      </c>
      <c r="M2145">
        <v>29</v>
      </c>
      <c r="N2145">
        <v>9</v>
      </c>
      <c r="O2145">
        <v>3</v>
      </c>
      <c r="P2145">
        <v>2024</v>
      </c>
    </row>
    <row r="2146" spans="1:16">
      <c r="A2146">
        <v>622.08000000000004</v>
      </c>
      <c r="B2146">
        <v>4</v>
      </c>
      <c r="C2146" t="s">
        <v>1726</v>
      </c>
      <c r="D2146" t="s">
        <v>1727</v>
      </c>
      <c r="E2146" t="s">
        <v>1106</v>
      </c>
      <c r="F2146" t="s">
        <v>414</v>
      </c>
      <c r="G2146" t="s">
        <v>795</v>
      </c>
      <c r="H2146" t="s">
        <v>473</v>
      </c>
      <c r="I2146" t="s">
        <v>23</v>
      </c>
      <c r="J2146">
        <v>155.52000000000001</v>
      </c>
      <c r="K2146" s="1">
        <v>45586</v>
      </c>
      <c r="L2146" t="s">
        <v>93</v>
      </c>
      <c r="M2146">
        <v>21</v>
      </c>
      <c r="N2146">
        <v>10</v>
      </c>
      <c r="O2146">
        <v>4</v>
      </c>
      <c r="P2146">
        <v>2024</v>
      </c>
    </row>
    <row r="2147" spans="1:16">
      <c r="A2147">
        <v>890.04</v>
      </c>
      <c r="B2147">
        <v>4</v>
      </c>
      <c r="C2147" t="s">
        <v>1526</v>
      </c>
      <c r="D2147" t="s">
        <v>1527</v>
      </c>
      <c r="E2147" t="s">
        <v>1031</v>
      </c>
      <c r="F2147" t="s">
        <v>1092</v>
      </c>
      <c r="G2147" t="s">
        <v>763</v>
      </c>
      <c r="H2147" t="s">
        <v>142</v>
      </c>
      <c r="I2147" t="s">
        <v>60</v>
      </c>
      <c r="J2147">
        <v>222.51</v>
      </c>
      <c r="K2147" s="1">
        <v>45555</v>
      </c>
      <c r="L2147" t="s">
        <v>79</v>
      </c>
      <c r="M2147">
        <v>20</v>
      </c>
      <c r="N2147">
        <v>9</v>
      </c>
      <c r="O2147">
        <v>3</v>
      </c>
      <c r="P2147">
        <v>2024</v>
      </c>
    </row>
    <row r="2148" spans="1:16">
      <c r="A2148">
        <v>164.85</v>
      </c>
      <c r="B2148">
        <v>1</v>
      </c>
      <c r="C2148" t="s">
        <v>2569</v>
      </c>
      <c r="D2148" t="s">
        <v>2570</v>
      </c>
      <c r="E2148" t="s">
        <v>2571</v>
      </c>
      <c r="F2148" t="s">
        <v>1026</v>
      </c>
      <c r="G2148" t="s">
        <v>896</v>
      </c>
      <c r="H2148" t="s">
        <v>114</v>
      </c>
      <c r="I2148" t="s">
        <v>23</v>
      </c>
      <c r="J2148">
        <v>164.85</v>
      </c>
      <c r="K2148" s="1">
        <v>46027</v>
      </c>
      <c r="L2148" t="s">
        <v>93</v>
      </c>
      <c r="M2148">
        <v>5</v>
      </c>
      <c r="N2148">
        <v>1</v>
      </c>
      <c r="O2148">
        <v>1</v>
      </c>
      <c r="P2148">
        <v>2026</v>
      </c>
    </row>
    <row r="2149" spans="1:16">
      <c r="A2149">
        <v>92.52</v>
      </c>
      <c r="B2149">
        <v>2</v>
      </c>
      <c r="C2149" t="s">
        <v>3216</v>
      </c>
      <c r="D2149" t="s">
        <v>3217</v>
      </c>
      <c r="E2149" t="s">
        <v>2692</v>
      </c>
      <c r="F2149" t="s">
        <v>106</v>
      </c>
      <c r="G2149" t="s">
        <v>748</v>
      </c>
      <c r="H2149" t="s">
        <v>190</v>
      </c>
      <c r="I2149" t="s">
        <v>39</v>
      </c>
      <c r="J2149">
        <v>46.26</v>
      </c>
      <c r="K2149" s="1">
        <v>45730</v>
      </c>
      <c r="L2149" t="s">
        <v>79</v>
      </c>
      <c r="M2149">
        <v>14</v>
      </c>
      <c r="N2149">
        <v>3</v>
      </c>
      <c r="O2149">
        <v>1</v>
      </c>
      <c r="P2149">
        <v>2025</v>
      </c>
    </row>
    <row r="2150" spans="1:16">
      <c r="A2150">
        <v>247.15</v>
      </c>
      <c r="B2150">
        <v>5</v>
      </c>
      <c r="C2150" t="s">
        <v>2756</v>
      </c>
      <c r="D2150" t="s">
        <v>2757</v>
      </c>
      <c r="E2150" t="s">
        <v>868</v>
      </c>
      <c r="F2150" t="s">
        <v>829</v>
      </c>
      <c r="G2150" t="s">
        <v>830</v>
      </c>
      <c r="H2150" t="s">
        <v>347</v>
      </c>
      <c r="I2150" t="s">
        <v>69</v>
      </c>
      <c r="J2150">
        <v>49.43</v>
      </c>
      <c r="K2150" s="1">
        <v>46059</v>
      </c>
      <c r="L2150" t="s">
        <v>79</v>
      </c>
      <c r="M2150">
        <v>6</v>
      </c>
      <c r="N2150">
        <v>2</v>
      </c>
      <c r="O2150">
        <v>1</v>
      </c>
      <c r="P2150">
        <v>2026</v>
      </c>
    </row>
    <row r="2151" spans="1:16">
      <c r="A2151">
        <v>124.14999999999999</v>
      </c>
      <c r="B2151">
        <v>5</v>
      </c>
      <c r="C2151" t="s">
        <v>1956</v>
      </c>
      <c r="D2151" t="s">
        <v>1957</v>
      </c>
      <c r="E2151" t="s">
        <v>899</v>
      </c>
      <c r="F2151" t="s">
        <v>136</v>
      </c>
      <c r="G2151" t="s">
        <v>954</v>
      </c>
      <c r="H2151" t="s">
        <v>338</v>
      </c>
      <c r="I2151" t="s">
        <v>82</v>
      </c>
      <c r="J2151">
        <v>24.83</v>
      </c>
      <c r="K2151" s="1">
        <v>46142</v>
      </c>
      <c r="L2151" t="s">
        <v>105</v>
      </c>
      <c r="M2151">
        <v>30</v>
      </c>
      <c r="N2151">
        <v>4</v>
      </c>
      <c r="O2151">
        <v>2</v>
      </c>
      <c r="P2151">
        <v>2026</v>
      </c>
    </row>
    <row r="2152" spans="1:16">
      <c r="A2152">
        <v>1002.4</v>
      </c>
      <c r="B2152">
        <v>5</v>
      </c>
      <c r="C2152" t="s">
        <v>3485</v>
      </c>
      <c r="D2152" t="s">
        <v>3486</v>
      </c>
      <c r="E2152" t="s">
        <v>1188</v>
      </c>
      <c r="F2152" t="s">
        <v>1415</v>
      </c>
      <c r="G2152" t="s">
        <v>812</v>
      </c>
      <c r="H2152" t="s">
        <v>2254</v>
      </c>
      <c r="I2152" t="s">
        <v>43</v>
      </c>
      <c r="J2152">
        <v>200.48</v>
      </c>
      <c r="K2152" s="1">
        <v>45974</v>
      </c>
      <c r="L2152" t="s">
        <v>105</v>
      </c>
      <c r="M2152">
        <v>13</v>
      </c>
      <c r="N2152">
        <v>11</v>
      </c>
      <c r="O2152">
        <v>4</v>
      </c>
      <c r="P2152">
        <v>2025</v>
      </c>
    </row>
    <row r="2153" spans="1:16">
      <c r="A2153">
        <v>897.75</v>
      </c>
      <c r="B2153">
        <v>5</v>
      </c>
      <c r="C2153" t="s">
        <v>1689</v>
      </c>
      <c r="D2153" t="s">
        <v>1690</v>
      </c>
      <c r="E2153" t="s">
        <v>1559</v>
      </c>
      <c r="F2153" t="s">
        <v>1691</v>
      </c>
      <c r="G2153" t="s">
        <v>821</v>
      </c>
      <c r="H2153" t="s">
        <v>614</v>
      </c>
      <c r="I2153" t="s">
        <v>21</v>
      </c>
      <c r="J2153">
        <v>179.55</v>
      </c>
      <c r="K2153" s="1">
        <v>45699</v>
      </c>
      <c r="L2153" t="s">
        <v>48</v>
      </c>
      <c r="M2153">
        <v>11</v>
      </c>
      <c r="N2153">
        <v>2</v>
      </c>
      <c r="O2153">
        <v>1</v>
      </c>
      <c r="P2153">
        <v>2025</v>
      </c>
    </row>
    <row r="2154" spans="1:16">
      <c r="A2154">
        <v>630.56999999999994</v>
      </c>
      <c r="B2154">
        <v>3</v>
      </c>
      <c r="C2154" t="s">
        <v>2543</v>
      </c>
      <c r="D2154" t="s">
        <v>2544</v>
      </c>
      <c r="E2154" t="s">
        <v>1565</v>
      </c>
      <c r="F2154" t="s">
        <v>1509</v>
      </c>
      <c r="G2154" t="s">
        <v>821</v>
      </c>
      <c r="H2154" t="s">
        <v>157</v>
      </c>
      <c r="I2154" t="s">
        <v>19</v>
      </c>
      <c r="J2154">
        <v>210.19</v>
      </c>
      <c r="K2154" s="1">
        <v>45921</v>
      </c>
      <c r="L2154" t="s">
        <v>28</v>
      </c>
      <c r="M2154">
        <v>21</v>
      </c>
      <c r="N2154">
        <v>9</v>
      </c>
      <c r="O2154">
        <v>3</v>
      </c>
      <c r="P2154">
        <v>2025</v>
      </c>
    </row>
    <row r="2155" spans="1:16">
      <c r="A2155">
        <v>112.1</v>
      </c>
      <c r="B2155">
        <v>2</v>
      </c>
      <c r="C2155" t="s">
        <v>3133</v>
      </c>
      <c r="D2155" t="s">
        <v>3134</v>
      </c>
      <c r="E2155" t="s">
        <v>1556</v>
      </c>
      <c r="F2155" t="s">
        <v>2982</v>
      </c>
      <c r="G2155" t="s">
        <v>839</v>
      </c>
      <c r="H2155" t="s">
        <v>32</v>
      </c>
      <c r="I2155" t="s">
        <v>19</v>
      </c>
      <c r="J2155">
        <v>56.05</v>
      </c>
      <c r="K2155" s="1">
        <v>45999</v>
      </c>
      <c r="L2155" t="s">
        <v>93</v>
      </c>
      <c r="M2155">
        <v>8</v>
      </c>
      <c r="N2155">
        <v>12</v>
      </c>
      <c r="O2155">
        <v>4</v>
      </c>
      <c r="P2155">
        <v>2025</v>
      </c>
    </row>
    <row r="2156" spans="1:16">
      <c r="A2156">
        <v>44.82</v>
      </c>
      <c r="B2156">
        <v>2</v>
      </c>
      <c r="C2156" t="s">
        <v>2648</v>
      </c>
      <c r="D2156" t="s">
        <v>2649</v>
      </c>
      <c r="E2156" t="s">
        <v>1212</v>
      </c>
      <c r="F2156" t="s">
        <v>1002</v>
      </c>
      <c r="G2156" t="s">
        <v>1003</v>
      </c>
      <c r="H2156" t="s">
        <v>484</v>
      </c>
      <c r="I2156" t="s">
        <v>25</v>
      </c>
      <c r="J2156">
        <v>22.41</v>
      </c>
      <c r="K2156" s="1">
        <v>45667</v>
      </c>
      <c r="L2156" t="s">
        <v>79</v>
      </c>
      <c r="M2156">
        <v>10</v>
      </c>
      <c r="N2156">
        <v>1</v>
      </c>
      <c r="O2156">
        <v>1</v>
      </c>
      <c r="P2156">
        <v>2025</v>
      </c>
    </row>
    <row r="2157" spans="1:16">
      <c r="A2157">
        <v>345.78</v>
      </c>
      <c r="B2157">
        <v>2</v>
      </c>
      <c r="C2157" t="s">
        <v>2112</v>
      </c>
      <c r="D2157" t="s">
        <v>2113</v>
      </c>
      <c r="E2157" t="s">
        <v>2114</v>
      </c>
      <c r="F2157" t="s">
        <v>883</v>
      </c>
      <c r="G2157" t="s">
        <v>807</v>
      </c>
      <c r="H2157" t="s">
        <v>2166</v>
      </c>
      <c r="I2157" t="s">
        <v>21</v>
      </c>
      <c r="J2157">
        <v>172.89</v>
      </c>
      <c r="K2157" s="1">
        <v>45980</v>
      </c>
      <c r="L2157" t="s">
        <v>34</v>
      </c>
      <c r="M2157">
        <v>19</v>
      </c>
      <c r="N2157">
        <v>11</v>
      </c>
      <c r="O2157">
        <v>4</v>
      </c>
      <c r="P2157">
        <v>2025</v>
      </c>
    </row>
    <row r="2158" spans="1:16">
      <c r="A2158">
        <v>18.02</v>
      </c>
      <c r="B2158">
        <v>2</v>
      </c>
      <c r="C2158" t="s">
        <v>1934</v>
      </c>
      <c r="D2158" t="s">
        <v>1935</v>
      </c>
      <c r="E2158" t="s">
        <v>1648</v>
      </c>
      <c r="F2158" t="s">
        <v>1362</v>
      </c>
      <c r="G2158" t="s">
        <v>896</v>
      </c>
      <c r="H2158" t="s">
        <v>455</v>
      </c>
      <c r="I2158" t="s">
        <v>69</v>
      </c>
      <c r="J2158">
        <v>9.01</v>
      </c>
      <c r="K2158" s="1">
        <v>45670</v>
      </c>
      <c r="L2158" t="s">
        <v>93</v>
      </c>
      <c r="M2158">
        <v>13</v>
      </c>
      <c r="N2158">
        <v>1</v>
      </c>
      <c r="O2158">
        <v>1</v>
      </c>
      <c r="P2158">
        <v>2025</v>
      </c>
    </row>
    <row r="2159" spans="1:16">
      <c r="A2159">
        <v>25.25</v>
      </c>
      <c r="B2159">
        <v>5</v>
      </c>
      <c r="C2159" t="s">
        <v>1857</v>
      </c>
      <c r="D2159" t="s">
        <v>1858</v>
      </c>
      <c r="E2159" t="s">
        <v>1859</v>
      </c>
      <c r="F2159" t="s">
        <v>15</v>
      </c>
      <c r="G2159" t="s">
        <v>834</v>
      </c>
      <c r="H2159" t="s">
        <v>182</v>
      </c>
      <c r="I2159" t="s">
        <v>39</v>
      </c>
      <c r="J2159">
        <v>5.05</v>
      </c>
      <c r="K2159" s="1">
        <v>46029</v>
      </c>
      <c r="L2159" t="s">
        <v>34</v>
      </c>
      <c r="M2159">
        <v>7</v>
      </c>
      <c r="N2159">
        <v>1</v>
      </c>
      <c r="O2159">
        <v>1</v>
      </c>
      <c r="P2159">
        <v>2026</v>
      </c>
    </row>
    <row r="2160" spans="1:16">
      <c r="A2160">
        <v>921.08</v>
      </c>
      <c r="B2160">
        <v>4</v>
      </c>
      <c r="C2160" t="s">
        <v>1040</v>
      </c>
      <c r="D2160" t="s">
        <v>1041</v>
      </c>
      <c r="E2160" t="s">
        <v>1042</v>
      </c>
      <c r="F2160" t="s">
        <v>942</v>
      </c>
      <c r="G2160" t="s">
        <v>943</v>
      </c>
      <c r="H2160" t="s">
        <v>200</v>
      </c>
      <c r="I2160" t="s">
        <v>17</v>
      </c>
      <c r="J2160">
        <v>230.27</v>
      </c>
      <c r="K2160" s="1">
        <v>46170</v>
      </c>
      <c r="L2160" t="s">
        <v>105</v>
      </c>
      <c r="M2160">
        <v>28</v>
      </c>
      <c r="N2160">
        <v>5</v>
      </c>
      <c r="O2160">
        <v>2</v>
      </c>
      <c r="P2160">
        <v>2026</v>
      </c>
    </row>
    <row r="2161" spans="1:16">
      <c r="A2161">
        <v>44.14</v>
      </c>
      <c r="B2161">
        <v>2</v>
      </c>
      <c r="C2161" t="s">
        <v>893</v>
      </c>
      <c r="D2161" t="s">
        <v>894</v>
      </c>
      <c r="E2161" t="s">
        <v>895</v>
      </c>
      <c r="F2161" t="s">
        <v>106</v>
      </c>
      <c r="G2161" t="s">
        <v>896</v>
      </c>
      <c r="H2161" t="s">
        <v>700</v>
      </c>
      <c r="I2161" t="s">
        <v>37</v>
      </c>
      <c r="J2161">
        <v>22.07</v>
      </c>
      <c r="K2161" s="1">
        <v>45864</v>
      </c>
      <c r="L2161" t="s">
        <v>14</v>
      </c>
      <c r="M2161">
        <v>26</v>
      </c>
      <c r="N2161">
        <v>7</v>
      </c>
      <c r="O2161">
        <v>3</v>
      </c>
      <c r="P2161">
        <v>2025</v>
      </c>
    </row>
    <row r="2162" spans="1:16">
      <c r="A2162">
        <v>116.42</v>
      </c>
      <c r="B2162">
        <v>1</v>
      </c>
      <c r="C2162" t="s">
        <v>1921</v>
      </c>
      <c r="D2162" t="s">
        <v>1922</v>
      </c>
      <c r="E2162" t="s">
        <v>761</v>
      </c>
      <c r="F2162" t="s">
        <v>113</v>
      </c>
      <c r="G2162" t="s">
        <v>1247</v>
      </c>
      <c r="H2162" t="s">
        <v>91</v>
      </c>
      <c r="I2162" t="s">
        <v>55</v>
      </c>
      <c r="J2162">
        <v>116.42</v>
      </c>
      <c r="K2162" s="1">
        <v>45793</v>
      </c>
      <c r="L2162" t="s">
        <v>79</v>
      </c>
      <c r="M2162">
        <v>16</v>
      </c>
      <c r="N2162">
        <v>5</v>
      </c>
      <c r="O2162">
        <v>2</v>
      </c>
      <c r="P2162">
        <v>2025</v>
      </c>
    </row>
    <row r="2163" spans="1:16">
      <c r="A2163">
        <v>36.75</v>
      </c>
      <c r="B2163">
        <v>1</v>
      </c>
      <c r="C2163" t="s">
        <v>2182</v>
      </c>
      <c r="D2163" t="s">
        <v>2183</v>
      </c>
      <c r="E2163" t="s">
        <v>2184</v>
      </c>
      <c r="F2163" t="s">
        <v>838</v>
      </c>
      <c r="G2163" t="s">
        <v>839</v>
      </c>
      <c r="H2163" t="s">
        <v>637</v>
      </c>
      <c r="I2163" t="s">
        <v>100</v>
      </c>
      <c r="J2163">
        <v>36.75</v>
      </c>
      <c r="K2163" s="1">
        <v>45971</v>
      </c>
      <c r="L2163" t="s">
        <v>93</v>
      </c>
      <c r="M2163">
        <v>10</v>
      </c>
      <c r="N2163">
        <v>11</v>
      </c>
      <c r="O2163">
        <v>4</v>
      </c>
      <c r="P2163">
        <v>2025</v>
      </c>
    </row>
    <row r="2164" spans="1:16">
      <c r="A2164">
        <v>350.48</v>
      </c>
      <c r="B2164">
        <v>4</v>
      </c>
      <c r="C2164" t="s">
        <v>2501</v>
      </c>
      <c r="D2164" t="s">
        <v>2502</v>
      </c>
      <c r="E2164" t="s">
        <v>2503</v>
      </c>
      <c r="F2164" t="s">
        <v>548</v>
      </c>
      <c r="G2164" t="s">
        <v>790</v>
      </c>
      <c r="H2164" t="s">
        <v>59</v>
      </c>
      <c r="I2164" t="s">
        <v>60</v>
      </c>
      <c r="J2164">
        <v>87.62</v>
      </c>
      <c r="K2164" s="1">
        <v>45640</v>
      </c>
      <c r="L2164" t="s">
        <v>14</v>
      </c>
      <c r="M2164">
        <v>14</v>
      </c>
      <c r="N2164">
        <v>12</v>
      </c>
      <c r="O2164">
        <v>4</v>
      </c>
      <c r="P2164">
        <v>2024</v>
      </c>
    </row>
    <row r="2165" spans="1:16">
      <c r="A2165">
        <v>709.83</v>
      </c>
      <c r="B2165">
        <v>3</v>
      </c>
      <c r="C2165" t="s">
        <v>2547</v>
      </c>
      <c r="D2165" t="s">
        <v>2548</v>
      </c>
      <c r="E2165" t="s">
        <v>1938</v>
      </c>
      <c r="F2165" t="s">
        <v>1670</v>
      </c>
      <c r="G2165" t="s">
        <v>1247</v>
      </c>
      <c r="H2165" t="s">
        <v>235</v>
      </c>
      <c r="I2165" t="s">
        <v>19</v>
      </c>
      <c r="J2165">
        <v>236.61</v>
      </c>
      <c r="K2165" s="1">
        <v>46063</v>
      </c>
      <c r="L2165" t="s">
        <v>48</v>
      </c>
      <c r="M2165">
        <v>10</v>
      </c>
      <c r="N2165">
        <v>2</v>
      </c>
      <c r="O2165">
        <v>1</v>
      </c>
      <c r="P2165">
        <v>2026</v>
      </c>
    </row>
    <row r="2166" spans="1:16">
      <c r="A2166">
        <v>309.48</v>
      </c>
      <c r="B2166">
        <v>2</v>
      </c>
      <c r="C2166" t="s">
        <v>1494</v>
      </c>
      <c r="D2166" t="s">
        <v>1495</v>
      </c>
      <c r="E2166" t="s">
        <v>1110</v>
      </c>
      <c r="F2166" t="s">
        <v>1415</v>
      </c>
      <c r="G2166" t="s">
        <v>812</v>
      </c>
      <c r="H2166" t="s">
        <v>547</v>
      </c>
      <c r="I2166" t="s">
        <v>97</v>
      </c>
      <c r="J2166">
        <v>154.74</v>
      </c>
      <c r="K2166" s="1">
        <v>45725</v>
      </c>
      <c r="L2166" t="s">
        <v>28</v>
      </c>
      <c r="M2166">
        <v>9</v>
      </c>
      <c r="N2166">
        <v>3</v>
      </c>
      <c r="O2166">
        <v>1</v>
      </c>
      <c r="P2166">
        <v>2025</v>
      </c>
    </row>
    <row r="2167" spans="1:16">
      <c r="A2167">
        <v>101.34</v>
      </c>
      <c r="B2167">
        <v>3</v>
      </c>
      <c r="C2167" t="s">
        <v>1258</v>
      </c>
      <c r="D2167" t="s">
        <v>1259</v>
      </c>
      <c r="E2167" t="s">
        <v>1260</v>
      </c>
      <c r="F2167" t="s">
        <v>15</v>
      </c>
      <c r="G2167" t="s">
        <v>834</v>
      </c>
      <c r="H2167" t="s">
        <v>625</v>
      </c>
      <c r="I2167" t="s">
        <v>43</v>
      </c>
      <c r="J2167">
        <v>33.78</v>
      </c>
      <c r="K2167" s="1">
        <v>46035</v>
      </c>
      <c r="L2167" t="s">
        <v>48</v>
      </c>
      <c r="M2167">
        <v>13</v>
      </c>
      <c r="N2167">
        <v>1</v>
      </c>
      <c r="O2167">
        <v>1</v>
      </c>
      <c r="P2167">
        <v>2026</v>
      </c>
    </row>
    <row r="2168" spans="1:16">
      <c r="A2168">
        <v>10.48</v>
      </c>
      <c r="B2168">
        <v>1</v>
      </c>
      <c r="C2168" t="s">
        <v>3025</v>
      </c>
      <c r="D2168" t="s">
        <v>3026</v>
      </c>
      <c r="E2168" t="s">
        <v>1010</v>
      </c>
      <c r="F2168" t="s">
        <v>806</v>
      </c>
      <c r="G2168" t="s">
        <v>807</v>
      </c>
      <c r="H2168" t="s">
        <v>578</v>
      </c>
      <c r="I2168" t="s">
        <v>82</v>
      </c>
      <c r="J2168">
        <v>10.48</v>
      </c>
      <c r="K2168" s="1">
        <v>45971</v>
      </c>
      <c r="L2168" t="s">
        <v>93</v>
      </c>
      <c r="M2168">
        <v>10</v>
      </c>
      <c r="N2168">
        <v>11</v>
      </c>
      <c r="O2168">
        <v>4</v>
      </c>
      <c r="P2168">
        <v>2025</v>
      </c>
    </row>
    <row r="2169" spans="1:16">
      <c r="A2169">
        <v>27.03</v>
      </c>
      <c r="B2169">
        <v>3</v>
      </c>
      <c r="C2169" t="s">
        <v>926</v>
      </c>
      <c r="D2169" t="s">
        <v>927</v>
      </c>
      <c r="E2169" t="s">
        <v>928</v>
      </c>
      <c r="F2169" t="s">
        <v>929</v>
      </c>
      <c r="G2169" t="s">
        <v>830</v>
      </c>
      <c r="H2169" t="s">
        <v>455</v>
      </c>
      <c r="I2169" t="s">
        <v>69</v>
      </c>
      <c r="J2169">
        <v>9.01</v>
      </c>
      <c r="K2169" s="1">
        <v>45620</v>
      </c>
      <c r="L2169" t="s">
        <v>28</v>
      </c>
      <c r="M2169">
        <v>24</v>
      </c>
      <c r="N2169">
        <v>11</v>
      </c>
      <c r="O2169">
        <v>4</v>
      </c>
      <c r="P2169">
        <v>2024</v>
      </c>
    </row>
    <row r="2170" spans="1:16">
      <c r="A2170">
        <v>215.25</v>
      </c>
      <c r="B2170">
        <v>1</v>
      </c>
      <c r="C2170" t="s">
        <v>3369</v>
      </c>
      <c r="D2170" t="s">
        <v>3370</v>
      </c>
      <c r="E2170" t="s">
        <v>2657</v>
      </c>
      <c r="F2170" t="s">
        <v>1280</v>
      </c>
      <c r="G2170" t="s">
        <v>908</v>
      </c>
      <c r="H2170" t="s">
        <v>148</v>
      </c>
      <c r="I2170" t="s">
        <v>51</v>
      </c>
      <c r="J2170">
        <v>215.25</v>
      </c>
      <c r="K2170" s="1">
        <v>45581</v>
      </c>
      <c r="L2170" t="s">
        <v>34</v>
      </c>
      <c r="M2170">
        <v>16</v>
      </c>
      <c r="N2170">
        <v>10</v>
      </c>
      <c r="O2170">
        <v>4</v>
      </c>
      <c r="P2170">
        <v>2024</v>
      </c>
    </row>
    <row r="2171" spans="1:16">
      <c r="A2171">
        <v>370.44</v>
      </c>
      <c r="B2171">
        <v>3</v>
      </c>
      <c r="C2171" t="s">
        <v>1658</v>
      </c>
      <c r="D2171" t="s">
        <v>1659</v>
      </c>
      <c r="E2171" t="s">
        <v>1660</v>
      </c>
      <c r="F2171" t="s">
        <v>785</v>
      </c>
      <c r="G2171" t="s">
        <v>786</v>
      </c>
      <c r="H2171" t="s">
        <v>575</v>
      </c>
      <c r="I2171" t="s">
        <v>37</v>
      </c>
      <c r="J2171">
        <v>123.48</v>
      </c>
      <c r="K2171" s="1">
        <v>46236</v>
      </c>
      <c r="L2171" t="s">
        <v>28</v>
      </c>
      <c r="M2171">
        <v>2</v>
      </c>
      <c r="N2171">
        <v>8</v>
      </c>
      <c r="O2171">
        <v>3</v>
      </c>
      <c r="P2171">
        <v>2026</v>
      </c>
    </row>
    <row r="2172" spans="1:16">
      <c r="A2172">
        <v>518.29999999999995</v>
      </c>
      <c r="B2172">
        <v>5</v>
      </c>
      <c r="C2172" t="s">
        <v>2298</v>
      </c>
      <c r="D2172" t="s">
        <v>2299</v>
      </c>
      <c r="E2172" t="s">
        <v>1498</v>
      </c>
      <c r="F2172" t="s">
        <v>1318</v>
      </c>
      <c r="G2172" t="s">
        <v>807</v>
      </c>
      <c r="H2172" t="s">
        <v>193</v>
      </c>
      <c r="I2172" t="s">
        <v>55</v>
      </c>
      <c r="J2172">
        <v>103.66</v>
      </c>
      <c r="K2172" s="1">
        <v>45702</v>
      </c>
      <c r="L2172" t="s">
        <v>79</v>
      </c>
      <c r="M2172">
        <v>14</v>
      </c>
      <c r="N2172">
        <v>2</v>
      </c>
      <c r="O2172">
        <v>1</v>
      </c>
      <c r="P2172">
        <v>2025</v>
      </c>
    </row>
    <row r="2173" spans="1:16">
      <c r="A2173">
        <v>210.46</v>
      </c>
      <c r="B2173">
        <v>2</v>
      </c>
      <c r="C2173" t="s">
        <v>1431</v>
      </c>
      <c r="D2173" t="s">
        <v>1432</v>
      </c>
      <c r="E2173" t="s">
        <v>1433</v>
      </c>
      <c r="F2173" t="s">
        <v>1434</v>
      </c>
      <c r="G2173" t="s">
        <v>786</v>
      </c>
      <c r="H2173" t="s">
        <v>175</v>
      </c>
      <c r="I2173" t="s">
        <v>21</v>
      </c>
      <c r="J2173">
        <v>105.23</v>
      </c>
      <c r="K2173" s="1">
        <v>45936</v>
      </c>
      <c r="L2173" t="s">
        <v>93</v>
      </c>
      <c r="M2173">
        <v>6</v>
      </c>
      <c r="N2173">
        <v>10</v>
      </c>
      <c r="O2173">
        <v>4</v>
      </c>
      <c r="P2173">
        <v>2025</v>
      </c>
    </row>
    <row r="2174" spans="1:16">
      <c r="A2174">
        <v>154.02000000000001</v>
      </c>
      <c r="B2174">
        <v>3</v>
      </c>
      <c r="C2174" t="s">
        <v>3051</v>
      </c>
      <c r="D2174" t="s">
        <v>3052</v>
      </c>
      <c r="E2174" t="s">
        <v>1136</v>
      </c>
      <c r="F2174" t="s">
        <v>1107</v>
      </c>
      <c r="G2174" t="s">
        <v>892</v>
      </c>
      <c r="H2174" t="s">
        <v>376</v>
      </c>
      <c r="I2174" t="s">
        <v>51</v>
      </c>
      <c r="J2174">
        <v>51.34</v>
      </c>
      <c r="K2174" s="1">
        <v>45665</v>
      </c>
      <c r="L2174" t="s">
        <v>34</v>
      </c>
      <c r="M2174">
        <v>8</v>
      </c>
      <c r="N2174">
        <v>1</v>
      </c>
      <c r="O2174">
        <v>1</v>
      </c>
      <c r="P2174">
        <v>2025</v>
      </c>
    </row>
    <row r="2175" spans="1:16">
      <c r="A2175">
        <v>68.11</v>
      </c>
      <c r="B2175">
        <v>1</v>
      </c>
      <c r="C2175" t="s">
        <v>2943</v>
      </c>
      <c r="D2175" t="s">
        <v>2137</v>
      </c>
      <c r="E2175" t="s">
        <v>1606</v>
      </c>
      <c r="F2175" t="s">
        <v>619</v>
      </c>
      <c r="G2175" t="s">
        <v>758</v>
      </c>
      <c r="H2175" t="s">
        <v>739</v>
      </c>
      <c r="I2175" t="s">
        <v>27</v>
      </c>
      <c r="J2175">
        <v>68.11</v>
      </c>
      <c r="K2175" s="1">
        <v>45817</v>
      </c>
      <c r="L2175" t="s">
        <v>93</v>
      </c>
      <c r="M2175">
        <v>9</v>
      </c>
      <c r="N2175">
        <v>6</v>
      </c>
      <c r="O2175">
        <v>2</v>
      </c>
      <c r="P2175">
        <v>2025</v>
      </c>
    </row>
    <row r="2176" spans="1:16">
      <c r="A2176">
        <v>124.99</v>
      </c>
      <c r="B2176">
        <v>1</v>
      </c>
      <c r="C2176" t="s">
        <v>958</v>
      </c>
      <c r="D2176" t="s">
        <v>959</v>
      </c>
      <c r="E2176" t="s">
        <v>960</v>
      </c>
      <c r="F2176" t="s">
        <v>961</v>
      </c>
      <c r="G2176" t="s">
        <v>807</v>
      </c>
      <c r="H2176" t="s">
        <v>512</v>
      </c>
      <c r="I2176" t="s">
        <v>27</v>
      </c>
      <c r="J2176">
        <v>124.99</v>
      </c>
      <c r="K2176" s="1">
        <v>45809</v>
      </c>
      <c r="L2176" t="s">
        <v>28</v>
      </c>
      <c r="M2176">
        <v>1</v>
      </c>
      <c r="N2176">
        <v>6</v>
      </c>
      <c r="O2176">
        <v>2</v>
      </c>
      <c r="P2176">
        <v>2025</v>
      </c>
    </row>
    <row r="2177" spans="1:16">
      <c r="A2177">
        <v>21.18</v>
      </c>
      <c r="B2177">
        <v>1</v>
      </c>
      <c r="C2177" t="s">
        <v>870</v>
      </c>
      <c r="D2177" t="s">
        <v>871</v>
      </c>
      <c r="E2177" t="s">
        <v>872</v>
      </c>
      <c r="F2177" t="s">
        <v>869</v>
      </c>
      <c r="G2177" t="s">
        <v>807</v>
      </c>
      <c r="H2177" t="s">
        <v>530</v>
      </c>
      <c r="I2177" t="s">
        <v>37</v>
      </c>
      <c r="J2177">
        <v>21.18</v>
      </c>
      <c r="K2177" s="1">
        <v>45833</v>
      </c>
      <c r="L2177" t="s">
        <v>34</v>
      </c>
      <c r="M2177">
        <v>25</v>
      </c>
      <c r="N2177">
        <v>6</v>
      </c>
      <c r="O2177">
        <v>2</v>
      </c>
      <c r="P2177">
        <v>2025</v>
      </c>
    </row>
    <row r="2178" spans="1:16">
      <c r="A2178">
        <v>904.59999999999991</v>
      </c>
      <c r="B2178">
        <v>5</v>
      </c>
      <c r="C2178" t="s">
        <v>2127</v>
      </c>
      <c r="D2178" t="s">
        <v>2128</v>
      </c>
      <c r="E2178" t="s">
        <v>1050</v>
      </c>
      <c r="F2178" t="s">
        <v>1371</v>
      </c>
      <c r="G2178" t="s">
        <v>786</v>
      </c>
      <c r="H2178" t="s">
        <v>324</v>
      </c>
      <c r="I2178" t="s">
        <v>17</v>
      </c>
      <c r="J2178">
        <v>180.92</v>
      </c>
      <c r="K2178" s="1">
        <v>45629</v>
      </c>
      <c r="L2178" t="s">
        <v>48</v>
      </c>
      <c r="M2178">
        <v>3</v>
      </c>
      <c r="N2178">
        <v>12</v>
      </c>
      <c r="O2178">
        <v>4</v>
      </c>
      <c r="P2178">
        <v>2024</v>
      </c>
    </row>
    <row r="2179" spans="1:16">
      <c r="A2179">
        <v>652.08000000000004</v>
      </c>
      <c r="B2179">
        <v>3</v>
      </c>
      <c r="C2179" t="s">
        <v>3331</v>
      </c>
      <c r="D2179" t="s">
        <v>3332</v>
      </c>
      <c r="E2179" t="s">
        <v>2726</v>
      </c>
      <c r="F2179" t="s">
        <v>1342</v>
      </c>
      <c r="G2179" t="s">
        <v>776</v>
      </c>
      <c r="H2179" t="s">
        <v>103</v>
      </c>
      <c r="I2179" t="s">
        <v>46</v>
      </c>
      <c r="J2179">
        <v>217.36</v>
      </c>
      <c r="K2179" s="1">
        <v>45993</v>
      </c>
      <c r="L2179" t="s">
        <v>48</v>
      </c>
      <c r="M2179">
        <v>2</v>
      </c>
      <c r="N2179">
        <v>12</v>
      </c>
      <c r="O2179">
        <v>4</v>
      </c>
      <c r="P2179">
        <v>2025</v>
      </c>
    </row>
    <row r="2180" spans="1:16">
      <c r="A2180">
        <v>126.21000000000001</v>
      </c>
      <c r="B2180">
        <v>3</v>
      </c>
      <c r="C2180" t="s">
        <v>1601</v>
      </c>
      <c r="D2180" t="s">
        <v>1602</v>
      </c>
      <c r="E2180" t="s">
        <v>1603</v>
      </c>
      <c r="F2180" t="s">
        <v>1339</v>
      </c>
      <c r="G2180" t="s">
        <v>1247</v>
      </c>
      <c r="H2180" t="s">
        <v>629</v>
      </c>
      <c r="I2180" t="s">
        <v>43</v>
      </c>
      <c r="J2180">
        <v>42.07</v>
      </c>
      <c r="K2180" s="1">
        <v>45548</v>
      </c>
      <c r="L2180" t="s">
        <v>79</v>
      </c>
      <c r="M2180">
        <v>13</v>
      </c>
      <c r="N2180">
        <v>9</v>
      </c>
      <c r="O2180">
        <v>3</v>
      </c>
      <c r="P2180">
        <v>2024</v>
      </c>
    </row>
    <row r="2181" spans="1:16">
      <c r="A2181">
        <v>201.53</v>
      </c>
      <c r="B2181">
        <v>1</v>
      </c>
      <c r="C2181" t="s">
        <v>2376</v>
      </c>
      <c r="D2181" t="s">
        <v>2377</v>
      </c>
      <c r="E2181" t="s">
        <v>2378</v>
      </c>
      <c r="F2181" t="s">
        <v>151</v>
      </c>
      <c r="G2181" t="s">
        <v>1003</v>
      </c>
      <c r="H2181" t="s">
        <v>476</v>
      </c>
      <c r="I2181" t="s">
        <v>31</v>
      </c>
      <c r="J2181">
        <v>201.53</v>
      </c>
      <c r="K2181" s="1">
        <v>45781</v>
      </c>
      <c r="L2181" t="s">
        <v>28</v>
      </c>
      <c r="M2181">
        <v>4</v>
      </c>
      <c r="N2181">
        <v>5</v>
      </c>
      <c r="O2181">
        <v>2</v>
      </c>
      <c r="P2181">
        <v>2025</v>
      </c>
    </row>
    <row r="2182" spans="1:16">
      <c r="A2182">
        <v>74.400000000000006</v>
      </c>
      <c r="B2182">
        <v>5</v>
      </c>
      <c r="C2182" t="s">
        <v>2812</v>
      </c>
      <c r="D2182" t="s">
        <v>2813</v>
      </c>
      <c r="E2182" t="s">
        <v>2098</v>
      </c>
      <c r="F2182" t="s">
        <v>953</v>
      </c>
      <c r="G2182" t="s">
        <v>954</v>
      </c>
      <c r="H2182" t="s">
        <v>349</v>
      </c>
      <c r="I2182" t="s">
        <v>51</v>
      </c>
      <c r="J2182">
        <v>14.88</v>
      </c>
      <c r="K2182" s="1">
        <v>46036</v>
      </c>
      <c r="L2182" t="s">
        <v>34</v>
      </c>
      <c r="M2182">
        <v>14</v>
      </c>
      <c r="N2182">
        <v>1</v>
      </c>
      <c r="O2182">
        <v>1</v>
      </c>
      <c r="P2182">
        <v>2026</v>
      </c>
    </row>
    <row r="2183" spans="1:16">
      <c r="A2183">
        <v>512.25</v>
      </c>
      <c r="B2183">
        <v>3</v>
      </c>
      <c r="C2183" t="s">
        <v>1583</v>
      </c>
      <c r="D2183" t="s">
        <v>1584</v>
      </c>
      <c r="E2183" t="s">
        <v>1585</v>
      </c>
      <c r="F2183" t="s">
        <v>113</v>
      </c>
      <c r="G2183" t="s">
        <v>1247</v>
      </c>
      <c r="H2183" t="s">
        <v>652</v>
      </c>
      <c r="I2183" t="s">
        <v>37</v>
      </c>
      <c r="J2183">
        <v>170.75</v>
      </c>
      <c r="K2183" s="1">
        <v>46078</v>
      </c>
      <c r="L2183" t="s">
        <v>34</v>
      </c>
      <c r="M2183">
        <v>25</v>
      </c>
      <c r="N2183">
        <v>2</v>
      </c>
      <c r="O2183">
        <v>1</v>
      </c>
      <c r="P2183">
        <v>2026</v>
      </c>
    </row>
    <row r="2184" spans="1:16">
      <c r="A2184">
        <v>84.94</v>
      </c>
      <c r="B2184">
        <v>1</v>
      </c>
      <c r="C2184" t="s">
        <v>2686</v>
      </c>
      <c r="D2184" t="s">
        <v>2687</v>
      </c>
      <c r="E2184" t="s">
        <v>952</v>
      </c>
      <c r="F2184" t="s">
        <v>280</v>
      </c>
      <c r="G2184" t="s">
        <v>812</v>
      </c>
      <c r="H2184" t="s">
        <v>554</v>
      </c>
      <c r="I2184" t="s">
        <v>17</v>
      </c>
      <c r="J2184">
        <v>84.94</v>
      </c>
      <c r="K2184" s="1">
        <v>46206</v>
      </c>
      <c r="L2184" t="s">
        <v>79</v>
      </c>
      <c r="M2184">
        <v>3</v>
      </c>
      <c r="N2184">
        <v>7</v>
      </c>
      <c r="O2184">
        <v>3</v>
      </c>
      <c r="P2184">
        <v>2026</v>
      </c>
    </row>
    <row r="2185" spans="1:16">
      <c r="A2185">
        <v>675.08</v>
      </c>
      <c r="B2185">
        <v>4</v>
      </c>
      <c r="C2185" t="s">
        <v>2096</v>
      </c>
      <c r="D2185" t="s">
        <v>2097</v>
      </c>
      <c r="E2185" t="s">
        <v>2098</v>
      </c>
      <c r="F2185" t="s">
        <v>464</v>
      </c>
      <c r="G2185" t="s">
        <v>896</v>
      </c>
      <c r="H2185" t="s">
        <v>287</v>
      </c>
      <c r="I2185" t="s">
        <v>46</v>
      </c>
      <c r="J2185">
        <v>168.77</v>
      </c>
      <c r="K2185" s="1">
        <v>45596</v>
      </c>
      <c r="L2185" t="s">
        <v>105</v>
      </c>
      <c r="M2185">
        <v>31</v>
      </c>
      <c r="N2185">
        <v>10</v>
      </c>
      <c r="O2185">
        <v>4</v>
      </c>
      <c r="P2185">
        <v>2024</v>
      </c>
    </row>
    <row r="2186" spans="1:16">
      <c r="A2186">
        <v>888.45</v>
      </c>
      <c r="B2186">
        <v>5</v>
      </c>
      <c r="C2186" t="s">
        <v>1480</v>
      </c>
      <c r="D2186" t="s">
        <v>1481</v>
      </c>
      <c r="E2186" t="s">
        <v>1482</v>
      </c>
      <c r="F2186" t="s">
        <v>15</v>
      </c>
      <c r="G2186" t="s">
        <v>834</v>
      </c>
      <c r="H2186" t="s">
        <v>52</v>
      </c>
      <c r="I2186" t="s">
        <v>21</v>
      </c>
      <c r="J2186">
        <v>177.69</v>
      </c>
      <c r="K2186" s="1">
        <v>45968</v>
      </c>
      <c r="L2186" t="s">
        <v>79</v>
      </c>
      <c r="M2186">
        <v>7</v>
      </c>
      <c r="N2186">
        <v>11</v>
      </c>
      <c r="O2186">
        <v>4</v>
      </c>
      <c r="P2186">
        <v>2025</v>
      </c>
    </row>
    <row r="2187" spans="1:16">
      <c r="A2187">
        <v>140.82</v>
      </c>
      <c r="B2187">
        <v>3</v>
      </c>
      <c r="C2187" t="s">
        <v>2569</v>
      </c>
      <c r="D2187" t="s">
        <v>2570</v>
      </c>
      <c r="E2187" t="s">
        <v>2571</v>
      </c>
      <c r="F2187" t="s">
        <v>1026</v>
      </c>
      <c r="G2187" t="s">
        <v>896</v>
      </c>
      <c r="H2187" t="s">
        <v>365</v>
      </c>
      <c r="I2187" t="s">
        <v>51</v>
      </c>
      <c r="J2187">
        <v>46.94</v>
      </c>
      <c r="K2187" s="1">
        <v>46041</v>
      </c>
      <c r="L2187" t="s">
        <v>93</v>
      </c>
      <c r="M2187">
        <v>19</v>
      </c>
      <c r="N2187">
        <v>1</v>
      </c>
      <c r="O2187">
        <v>1</v>
      </c>
      <c r="P2187">
        <v>2026</v>
      </c>
    </row>
    <row r="2188" spans="1:16">
      <c r="A2188">
        <v>803.85</v>
      </c>
      <c r="B2188">
        <v>5</v>
      </c>
      <c r="C2188" t="s">
        <v>1789</v>
      </c>
      <c r="D2188" t="s">
        <v>1790</v>
      </c>
      <c r="E2188" t="s">
        <v>1791</v>
      </c>
      <c r="F2188" t="s">
        <v>1630</v>
      </c>
      <c r="G2188" t="s">
        <v>763</v>
      </c>
      <c r="H2188" t="s">
        <v>44</v>
      </c>
      <c r="I2188" t="s">
        <v>31</v>
      </c>
      <c r="J2188">
        <v>160.77000000000001</v>
      </c>
      <c r="K2188" s="1">
        <v>45567</v>
      </c>
      <c r="L2188" t="s">
        <v>34</v>
      </c>
      <c r="M2188">
        <v>2</v>
      </c>
      <c r="N2188">
        <v>10</v>
      </c>
      <c r="O2188">
        <v>4</v>
      </c>
      <c r="P2188">
        <v>2024</v>
      </c>
    </row>
    <row r="2189" spans="1:16">
      <c r="A2189">
        <v>347.12</v>
      </c>
      <c r="B2189">
        <v>2</v>
      </c>
      <c r="C2189" t="s">
        <v>3411</v>
      </c>
      <c r="D2189" t="s">
        <v>3412</v>
      </c>
      <c r="E2189" t="s">
        <v>1245</v>
      </c>
      <c r="F2189" t="s">
        <v>2154</v>
      </c>
      <c r="G2189" t="s">
        <v>1003</v>
      </c>
      <c r="H2189" t="s">
        <v>706</v>
      </c>
      <c r="I2189" t="s">
        <v>39</v>
      </c>
      <c r="J2189">
        <v>173.56</v>
      </c>
      <c r="K2189" s="1">
        <v>45559</v>
      </c>
      <c r="L2189" t="s">
        <v>48</v>
      </c>
      <c r="M2189">
        <v>24</v>
      </c>
      <c r="N2189">
        <v>9</v>
      </c>
      <c r="O2189">
        <v>3</v>
      </c>
      <c r="P2189">
        <v>2024</v>
      </c>
    </row>
    <row r="2190" spans="1:16">
      <c r="A2190">
        <v>154.11000000000001</v>
      </c>
      <c r="B2190">
        <v>1</v>
      </c>
      <c r="C2190" t="s">
        <v>2485</v>
      </c>
      <c r="D2190" t="s">
        <v>2486</v>
      </c>
      <c r="E2190" t="s">
        <v>1849</v>
      </c>
      <c r="F2190" t="s">
        <v>1525</v>
      </c>
      <c r="G2190" t="s">
        <v>763</v>
      </c>
      <c r="H2190" t="s">
        <v>161</v>
      </c>
      <c r="I2190" t="s">
        <v>37</v>
      </c>
      <c r="J2190">
        <v>154.11000000000001</v>
      </c>
      <c r="K2190" s="1">
        <v>46031</v>
      </c>
      <c r="L2190" t="s">
        <v>79</v>
      </c>
      <c r="M2190">
        <v>9</v>
      </c>
      <c r="N2190">
        <v>1</v>
      </c>
      <c r="O2190">
        <v>1</v>
      </c>
      <c r="P2190">
        <v>2026</v>
      </c>
    </row>
    <row r="2191" spans="1:16">
      <c r="A2191">
        <v>229.09</v>
      </c>
      <c r="B2191">
        <v>1</v>
      </c>
      <c r="C2191" t="s">
        <v>2121</v>
      </c>
      <c r="D2191" t="s">
        <v>2122</v>
      </c>
      <c r="E2191" t="s">
        <v>1077</v>
      </c>
      <c r="F2191" t="s">
        <v>929</v>
      </c>
      <c r="G2191" t="s">
        <v>786</v>
      </c>
      <c r="H2191" t="s">
        <v>622</v>
      </c>
      <c r="I2191" t="s">
        <v>37</v>
      </c>
      <c r="J2191">
        <v>229.09</v>
      </c>
      <c r="K2191" s="1">
        <v>45756</v>
      </c>
      <c r="L2191" t="s">
        <v>34</v>
      </c>
      <c r="M2191">
        <v>9</v>
      </c>
      <c r="N2191">
        <v>4</v>
      </c>
      <c r="O2191">
        <v>2</v>
      </c>
      <c r="P2191">
        <v>2025</v>
      </c>
    </row>
    <row r="2192" spans="1:16">
      <c r="A2192">
        <v>614.45000000000005</v>
      </c>
      <c r="B2192">
        <v>5</v>
      </c>
      <c r="C2192" t="s">
        <v>1096</v>
      </c>
      <c r="D2192" t="s">
        <v>1097</v>
      </c>
      <c r="E2192" t="s">
        <v>1098</v>
      </c>
      <c r="F2192" t="s">
        <v>980</v>
      </c>
      <c r="G2192" t="s">
        <v>981</v>
      </c>
      <c r="H2192" t="s">
        <v>665</v>
      </c>
      <c r="I2192" t="s">
        <v>17</v>
      </c>
      <c r="J2192">
        <v>122.89</v>
      </c>
      <c r="K2192" s="1">
        <v>45664</v>
      </c>
      <c r="L2192" t="s">
        <v>48</v>
      </c>
      <c r="M2192">
        <v>7</v>
      </c>
      <c r="N2192">
        <v>1</v>
      </c>
      <c r="O2192">
        <v>1</v>
      </c>
      <c r="P2192">
        <v>2025</v>
      </c>
    </row>
    <row r="2193" spans="1:16">
      <c r="A2193">
        <v>358.74</v>
      </c>
      <c r="B2193">
        <v>3</v>
      </c>
      <c r="C2193" t="s">
        <v>1923</v>
      </c>
      <c r="D2193" t="s">
        <v>2593</v>
      </c>
      <c r="E2193" t="s">
        <v>2594</v>
      </c>
      <c r="F2193" t="s">
        <v>708</v>
      </c>
      <c r="G2193" t="s">
        <v>834</v>
      </c>
      <c r="H2193" t="s">
        <v>143</v>
      </c>
      <c r="I2193" t="s">
        <v>69</v>
      </c>
      <c r="J2193">
        <v>119.58</v>
      </c>
      <c r="K2193" s="1">
        <v>45986</v>
      </c>
      <c r="L2193" t="s">
        <v>48</v>
      </c>
      <c r="M2193">
        <v>25</v>
      </c>
      <c r="N2193">
        <v>11</v>
      </c>
      <c r="O2193">
        <v>4</v>
      </c>
      <c r="P2193">
        <v>2025</v>
      </c>
    </row>
    <row r="2194" spans="1:16">
      <c r="A2194">
        <v>234.84</v>
      </c>
      <c r="B2194">
        <v>3</v>
      </c>
      <c r="C2194" t="s">
        <v>2002</v>
      </c>
      <c r="D2194" t="s">
        <v>2003</v>
      </c>
      <c r="E2194" t="s">
        <v>2004</v>
      </c>
      <c r="F2194" t="s">
        <v>794</v>
      </c>
      <c r="G2194" t="s">
        <v>821</v>
      </c>
      <c r="H2194" t="s">
        <v>441</v>
      </c>
      <c r="I2194" t="s">
        <v>37</v>
      </c>
      <c r="J2194">
        <v>78.28</v>
      </c>
      <c r="K2194" s="1">
        <v>45609</v>
      </c>
      <c r="L2194" t="s">
        <v>34</v>
      </c>
      <c r="M2194">
        <v>13</v>
      </c>
      <c r="N2194">
        <v>11</v>
      </c>
      <c r="O2194">
        <v>4</v>
      </c>
      <c r="P2194">
        <v>2024</v>
      </c>
    </row>
    <row r="2195" spans="1:16">
      <c r="A2195">
        <v>321.54000000000002</v>
      </c>
      <c r="B2195">
        <v>2</v>
      </c>
      <c r="C2195" t="s">
        <v>1960</v>
      </c>
      <c r="D2195" t="s">
        <v>1961</v>
      </c>
      <c r="E2195" t="s">
        <v>1962</v>
      </c>
      <c r="F2195" t="s">
        <v>1089</v>
      </c>
      <c r="G2195" t="s">
        <v>812</v>
      </c>
      <c r="H2195" t="s">
        <v>44</v>
      </c>
      <c r="I2195" t="s">
        <v>31</v>
      </c>
      <c r="J2195">
        <v>160.77000000000001</v>
      </c>
      <c r="K2195" s="1">
        <v>46200</v>
      </c>
      <c r="L2195" t="s">
        <v>14</v>
      </c>
      <c r="M2195">
        <v>27</v>
      </c>
      <c r="N2195">
        <v>6</v>
      </c>
      <c r="O2195">
        <v>2</v>
      </c>
      <c r="P2195">
        <v>2026</v>
      </c>
    </row>
    <row r="2196" spans="1:16">
      <c r="A2196">
        <v>70.41</v>
      </c>
      <c r="B2196">
        <v>3</v>
      </c>
      <c r="C2196" t="s">
        <v>1728</v>
      </c>
      <c r="D2196" t="s">
        <v>1729</v>
      </c>
      <c r="E2196" t="s">
        <v>1140</v>
      </c>
      <c r="F2196" t="s">
        <v>1525</v>
      </c>
      <c r="G2196" t="s">
        <v>763</v>
      </c>
      <c r="H2196" t="s">
        <v>492</v>
      </c>
      <c r="I2196" t="s">
        <v>21</v>
      </c>
      <c r="J2196">
        <v>23.47</v>
      </c>
      <c r="K2196" s="1">
        <v>46102</v>
      </c>
      <c r="L2196" t="s">
        <v>14</v>
      </c>
      <c r="M2196">
        <v>21</v>
      </c>
      <c r="N2196">
        <v>3</v>
      </c>
      <c r="O2196">
        <v>1</v>
      </c>
      <c r="P2196">
        <v>2026</v>
      </c>
    </row>
    <row r="2197" spans="1:16">
      <c r="A2197">
        <v>933.68</v>
      </c>
      <c r="B2197">
        <v>4</v>
      </c>
      <c r="C2197" t="s">
        <v>1627</v>
      </c>
      <c r="D2197" t="s">
        <v>1628</v>
      </c>
      <c r="E2197" t="s">
        <v>1629</v>
      </c>
      <c r="F2197" t="s">
        <v>1630</v>
      </c>
      <c r="G2197" t="s">
        <v>763</v>
      </c>
      <c r="H2197" t="s">
        <v>632</v>
      </c>
      <c r="I2197" t="s">
        <v>57</v>
      </c>
      <c r="J2197">
        <v>233.42</v>
      </c>
      <c r="K2197" s="1">
        <v>45860</v>
      </c>
      <c r="L2197" t="s">
        <v>48</v>
      </c>
      <c r="M2197">
        <v>22</v>
      </c>
      <c r="N2197">
        <v>7</v>
      </c>
      <c r="O2197">
        <v>3</v>
      </c>
      <c r="P2197">
        <v>2025</v>
      </c>
    </row>
    <row r="2198" spans="1:16">
      <c r="A2198">
        <v>848.85</v>
      </c>
      <c r="B2198">
        <v>5</v>
      </c>
      <c r="C2198" t="s">
        <v>1730</v>
      </c>
      <c r="D2198" t="s">
        <v>1731</v>
      </c>
      <c r="E2198" t="s">
        <v>1143</v>
      </c>
      <c r="F2198" t="s">
        <v>1327</v>
      </c>
      <c r="G2198" t="s">
        <v>795</v>
      </c>
      <c r="H2198" t="s">
        <v>300</v>
      </c>
      <c r="I2198" t="s">
        <v>55</v>
      </c>
      <c r="J2198">
        <v>169.77</v>
      </c>
      <c r="K2198" s="1">
        <v>45608</v>
      </c>
      <c r="L2198" t="s">
        <v>48</v>
      </c>
      <c r="M2198">
        <v>12</v>
      </c>
      <c r="N2198">
        <v>11</v>
      </c>
      <c r="O2198">
        <v>4</v>
      </c>
      <c r="P2198">
        <v>2024</v>
      </c>
    </row>
    <row r="2199" spans="1:16">
      <c r="A2199">
        <v>205.36</v>
      </c>
      <c r="B2199">
        <v>4</v>
      </c>
      <c r="C2199" t="s">
        <v>1200</v>
      </c>
      <c r="D2199" t="s">
        <v>1201</v>
      </c>
      <c r="E2199" t="s">
        <v>1202</v>
      </c>
      <c r="F2199" t="s">
        <v>1137</v>
      </c>
      <c r="G2199" t="s">
        <v>748</v>
      </c>
      <c r="H2199" t="s">
        <v>376</v>
      </c>
      <c r="I2199" t="s">
        <v>51</v>
      </c>
      <c r="J2199">
        <v>51.34</v>
      </c>
      <c r="K2199" s="1">
        <v>45873</v>
      </c>
      <c r="L2199" t="s">
        <v>93</v>
      </c>
      <c r="M2199">
        <v>4</v>
      </c>
      <c r="N2199">
        <v>8</v>
      </c>
      <c r="O2199">
        <v>3</v>
      </c>
      <c r="P2199">
        <v>2025</v>
      </c>
    </row>
    <row r="2200" spans="1:16">
      <c r="A2200">
        <v>27.119999999999997</v>
      </c>
      <c r="B2200">
        <v>3</v>
      </c>
      <c r="C2200" t="s">
        <v>3095</v>
      </c>
      <c r="D2200" t="s">
        <v>3096</v>
      </c>
      <c r="E2200" t="s">
        <v>3097</v>
      </c>
      <c r="F2200" t="s">
        <v>1092</v>
      </c>
      <c r="G2200" t="s">
        <v>763</v>
      </c>
      <c r="H2200" t="s">
        <v>278</v>
      </c>
      <c r="I2200" t="s">
        <v>39</v>
      </c>
      <c r="J2200">
        <v>9.0399999999999991</v>
      </c>
      <c r="K2200" s="1">
        <v>46170</v>
      </c>
      <c r="L2200" t="s">
        <v>105</v>
      </c>
      <c r="M2200">
        <v>28</v>
      </c>
      <c r="N2200">
        <v>5</v>
      </c>
      <c r="O2200">
        <v>2</v>
      </c>
      <c r="P2200">
        <v>2026</v>
      </c>
    </row>
    <row r="2201" spans="1:16">
      <c r="A2201">
        <v>529.14</v>
      </c>
      <c r="B2201">
        <v>3</v>
      </c>
      <c r="C2201" t="s">
        <v>1138</v>
      </c>
      <c r="D2201" t="s">
        <v>1139</v>
      </c>
      <c r="E2201" t="s">
        <v>1140</v>
      </c>
      <c r="F2201" t="s">
        <v>666</v>
      </c>
      <c r="G2201" t="s">
        <v>954</v>
      </c>
      <c r="H2201" t="s">
        <v>384</v>
      </c>
      <c r="I2201" t="s">
        <v>37</v>
      </c>
      <c r="J2201">
        <v>176.38</v>
      </c>
      <c r="K2201" s="1">
        <v>45961</v>
      </c>
      <c r="L2201" t="s">
        <v>79</v>
      </c>
      <c r="M2201">
        <v>31</v>
      </c>
      <c r="N2201">
        <v>10</v>
      </c>
      <c r="O2201">
        <v>4</v>
      </c>
      <c r="P2201">
        <v>2025</v>
      </c>
    </row>
    <row r="2202" spans="1:16">
      <c r="A2202">
        <v>136.6</v>
      </c>
      <c r="B2202">
        <v>5</v>
      </c>
      <c r="C2202" t="s">
        <v>1910</v>
      </c>
      <c r="D2202" t="s">
        <v>1911</v>
      </c>
      <c r="E2202" t="s">
        <v>846</v>
      </c>
      <c r="F2202" t="s">
        <v>883</v>
      </c>
      <c r="G2202" t="s">
        <v>807</v>
      </c>
      <c r="H2202" t="s">
        <v>423</v>
      </c>
      <c r="I2202" t="s">
        <v>37</v>
      </c>
      <c r="J2202">
        <v>27.32</v>
      </c>
      <c r="K2202" s="1">
        <v>46111</v>
      </c>
      <c r="L2202" t="s">
        <v>93</v>
      </c>
      <c r="M2202">
        <v>30</v>
      </c>
      <c r="N2202">
        <v>3</v>
      </c>
      <c r="O2202">
        <v>1</v>
      </c>
      <c r="P2202">
        <v>2026</v>
      </c>
    </row>
    <row r="2203" spans="1:16">
      <c r="A2203">
        <v>358.64</v>
      </c>
      <c r="B2203">
        <v>2</v>
      </c>
      <c r="C2203" t="s">
        <v>1033</v>
      </c>
      <c r="D2203" t="s">
        <v>1034</v>
      </c>
      <c r="E2203" t="s">
        <v>1035</v>
      </c>
      <c r="F2203" t="s">
        <v>548</v>
      </c>
      <c r="G2203" t="s">
        <v>790</v>
      </c>
      <c r="H2203" t="s">
        <v>174</v>
      </c>
      <c r="I2203" t="s">
        <v>122</v>
      </c>
      <c r="J2203">
        <v>179.32</v>
      </c>
      <c r="K2203" s="1">
        <v>45940</v>
      </c>
      <c r="L2203" t="s">
        <v>79</v>
      </c>
      <c r="M2203">
        <v>10</v>
      </c>
      <c r="N2203">
        <v>10</v>
      </c>
      <c r="O2203">
        <v>4</v>
      </c>
      <c r="P2203">
        <v>2025</v>
      </c>
    </row>
    <row r="2204" spans="1:16">
      <c r="A2204">
        <v>749.36</v>
      </c>
      <c r="B2204">
        <v>4</v>
      </c>
      <c r="C2204" t="s">
        <v>3500</v>
      </c>
      <c r="D2204" t="s">
        <v>3501</v>
      </c>
      <c r="E2204" t="s">
        <v>2098</v>
      </c>
      <c r="F2204" t="s">
        <v>862</v>
      </c>
      <c r="G2204" t="s">
        <v>758</v>
      </c>
      <c r="H2204" t="s">
        <v>241</v>
      </c>
      <c r="I2204" t="s">
        <v>31</v>
      </c>
      <c r="J2204">
        <v>187.34</v>
      </c>
      <c r="K2204" s="1">
        <v>45675</v>
      </c>
      <c r="L2204" t="s">
        <v>14</v>
      </c>
      <c r="M2204">
        <v>18</v>
      </c>
      <c r="N2204">
        <v>1</v>
      </c>
      <c r="O2204">
        <v>1</v>
      </c>
      <c r="P2204">
        <v>2025</v>
      </c>
    </row>
    <row r="2205" spans="1:16">
      <c r="A2205">
        <v>6.28</v>
      </c>
      <c r="B2205">
        <v>1</v>
      </c>
      <c r="C2205" t="s">
        <v>2352</v>
      </c>
      <c r="D2205" t="s">
        <v>2353</v>
      </c>
      <c r="E2205" t="s">
        <v>2354</v>
      </c>
      <c r="F2205" t="s">
        <v>635</v>
      </c>
      <c r="G2205" t="s">
        <v>768</v>
      </c>
      <c r="H2205" t="s">
        <v>601</v>
      </c>
      <c r="I2205" t="s">
        <v>19</v>
      </c>
      <c r="J2205">
        <v>6.28</v>
      </c>
      <c r="K2205" s="1">
        <v>45952</v>
      </c>
      <c r="L2205" t="s">
        <v>34</v>
      </c>
      <c r="M2205">
        <v>22</v>
      </c>
      <c r="N2205">
        <v>10</v>
      </c>
      <c r="O2205">
        <v>4</v>
      </c>
      <c r="P2205">
        <v>2025</v>
      </c>
    </row>
    <row r="2206" spans="1:16">
      <c r="A2206">
        <v>539.96</v>
      </c>
      <c r="B2206">
        <v>4</v>
      </c>
      <c r="C2206" t="s">
        <v>3294</v>
      </c>
      <c r="D2206" t="s">
        <v>3295</v>
      </c>
      <c r="E2206" t="s">
        <v>2250</v>
      </c>
      <c r="F2206" t="s">
        <v>862</v>
      </c>
      <c r="G2206" t="s">
        <v>908</v>
      </c>
      <c r="H2206" t="s">
        <v>428</v>
      </c>
      <c r="I2206" t="s">
        <v>31</v>
      </c>
      <c r="J2206">
        <v>134.99</v>
      </c>
      <c r="K2206" s="1">
        <v>46227</v>
      </c>
      <c r="L2206" t="s">
        <v>79</v>
      </c>
      <c r="M2206">
        <v>24</v>
      </c>
      <c r="N2206">
        <v>7</v>
      </c>
      <c r="O2206">
        <v>3</v>
      </c>
      <c r="P2206">
        <v>2026</v>
      </c>
    </row>
    <row r="2207" spans="1:16">
      <c r="A2207">
        <v>706.80000000000007</v>
      </c>
      <c r="B2207">
        <v>5</v>
      </c>
      <c r="C2207" t="s">
        <v>3163</v>
      </c>
      <c r="D2207" t="s">
        <v>3164</v>
      </c>
      <c r="E2207" t="s">
        <v>2530</v>
      </c>
      <c r="F2207" t="s">
        <v>879</v>
      </c>
      <c r="G2207" t="s">
        <v>748</v>
      </c>
      <c r="H2207" t="s">
        <v>181</v>
      </c>
      <c r="I2207" t="s">
        <v>82</v>
      </c>
      <c r="J2207">
        <v>141.36000000000001</v>
      </c>
      <c r="K2207" s="1">
        <v>45777</v>
      </c>
      <c r="L2207" t="s">
        <v>34</v>
      </c>
      <c r="M2207">
        <v>30</v>
      </c>
      <c r="N2207">
        <v>4</v>
      </c>
      <c r="O2207">
        <v>2</v>
      </c>
      <c r="P2207">
        <v>2025</v>
      </c>
    </row>
    <row r="2208" spans="1:16">
      <c r="A2208">
        <v>566.04</v>
      </c>
      <c r="B2208">
        <v>4</v>
      </c>
      <c r="C2208" t="s">
        <v>1018</v>
      </c>
      <c r="D2208" t="s">
        <v>1019</v>
      </c>
      <c r="E2208" t="s">
        <v>1020</v>
      </c>
      <c r="F2208" t="s">
        <v>995</v>
      </c>
      <c r="G2208" t="s">
        <v>781</v>
      </c>
      <c r="H2208" t="s">
        <v>437</v>
      </c>
      <c r="I2208" t="s">
        <v>122</v>
      </c>
      <c r="J2208">
        <v>141.51</v>
      </c>
      <c r="K2208" s="1">
        <v>46216</v>
      </c>
      <c r="L2208" t="s">
        <v>93</v>
      </c>
      <c r="M2208">
        <v>13</v>
      </c>
      <c r="N2208">
        <v>7</v>
      </c>
      <c r="O2208">
        <v>3</v>
      </c>
      <c r="P2208">
        <v>2026</v>
      </c>
    </row>
    <row r="2209" spans="1:16">
      <c r="A2209">
        <v>774.4</v>
      </c>
      <c r="B2209">
        <v>5</v>
      </c>
      <c r="C2209" t="s">
        <v>1251</v>
      </c>
      <c r="D2209" t="s">
        <v>1252</v>
      </c>
      <c r="E2209" t="s">
        <v>1253</v>
      </c>
      <c r="F2209" t="s">
        <v>1254</v>
      </c>
      <c r="G2209" t="s">
        <v>781</v>
      </c>
      <c r="H2209" t="s">
        <v>704</v>
      </c>
      <c r="I2209" t="s">
        <v>51</v>
      </c>
      <c r="J2209">
        <v>154.88</v>
      </c>
      <c r="K2209" s="1">
        <v>46000</v>
      </c>
      <c r="L2209" t="s">
        <v>48</v>
      </c>
      <c r="M2209">
        <v>9</v>
      </c>
      <c r="N2209">
        <v>12</v>
      </c>
      <c r="O2209">
        <v>4</v>
      </c>
      <c r="P2209">
        <v>2025</v>
      </c>
    </row>
    <row r="2210" spans="1:16">
      <c r="A2210">
        <v>725.97</v>
      </c>
      <c r="B2210">
        <v>3</v>
      </c>
      <c r="C2210" t="s">
        <v>3421</v>
      </c>
      <c r="D2210" t="s">
        <v>3422</v>
      </c>
      <c r="E2210" t="s">
        <v>906</v>
      </c>
      <c r="F2210" t="s">
        <v>1118</v>
      </c>
      <c r="G2210" t="s">
        <v>821</v>
      </c>
      <c r="H2210" t="s">
        <v>521</v>
      </c>
      <c r="I2210" t="s">
        <v>17</v>
      </c>
      <c r="J2210">
        <v>241.99</v>
      </c>
      <c r="K2210" s="1">
        <v>45636</v>
      </c>
      <c r="L2210" t="s">
        <v>48</v>
      </c>
      <c r="M2210">
        <v>10</v>
      </c>
      <c r="N2210">
        <v>12</v>
      </c>
      <c r="O2210">
        <v>4</v>
      </c>
      <c r="P2210">
        <v>2024</v>
      </c>
    </row>
    <row r="2211" spans="1:16">
      <c r="A2211">
        <v>1086.8000000000002</v>
      </c>
      <c r="B2211">
        <v>5</v>
      </c>
      <c r="C2211" t="s">
        <v>2895</v>
      </c>
      <c r="D2211" t="s">
        <v>2896</v>
      </c>
      <c r="E2211" t="s">
        <v>1987</v>
      </c>
      <c r="F2211" t="s">
        <v>2468</v>
      </c>
      <c r="G2211" t="s">
        <v>763</v>
      </c>
      <c r="H2211" t="s">
        <v>103</v>
      </c>
      <c r="I2211" t="s">
        <v>46</v>
      </c>
      <c r="J2211">
        <v>217.36</v>
      </c>
      <c r="K2211" s="1">
        <v>45642</v>
      </c>
      <c r="L2211" t="s">
        <v>93</v>
      </c>
      <c r="M2211">
        <v>16</v>
      </c>
      <c r="N2211">
        <v>12</v>
      </c>
      <c r="O2211">
        <v>4</v>
      </c>
      <c r="P2211">
        <v>2024</v>
      </c>
    </row>
    <row r="2212" spans="1:16">
      <c r="A2212">
        <v>93.88</v>
      </c>
      <c r="B2212">
        <v>2</v>
      </c>
      <c r="C2212" t="s">
        <v>1287</v>
      </c>
      <c r="D2212" t="s">
        <v>1288</v>
      </c>
      <c r="E2212" t="s">
        <v>1050</v>
      </c>
      <c r="F2212" t="s">
        <v>64</v>
      </c>
      <c r="G2212" t="s">
        <v>892</v>
      </c>
      <c r="H2212" t="s">
        <v>365</v>
      </c>
      <c r="I2212" t="s">
        <v>51</v>
      </c>
      <c r="J2212">
        <v>46.94</v>
      </c>
      <c r="K2212" s="1">
        <v>45683</v>
      </c>
      <c r="L2212" t="s">
        <v>28</v>
      </c>
      <c r="M2212">
        <v>26</v>
      </c>
      <c r="N2212">
        <v>1</v>
      </c>
      <c r="O2212">
        <v>1</v>
      </c>
      <c r="P2212">
        <v>2025</v>
      </c>
    </row>
    <row r="2213" spans="1:16">
      <c r="A2213">
        <v>574.48</v>
      </c>
      <c r="B2213">
        <v>4</v>
      </c>
      <c r="C2213" t="s">
        <v>1769</v>
      </c>
      <c r="D2213" t="s">
        <v>1770</v>
      </c>
      <c r="E2213" t="s">
        <v>1771</v>
      </c>
      <c r="F2213" t="s">
        <v>915</v>
      </c>
      <c r="G2213" t="s">
        <v>768</v>
      </c>
      <c r="H2213" t="s">
        <v>326</v>
      </c>
      <c r="I2213" t="s">
        <v>97</v>
      </c>
      <c r="J2213">
        <v>143.62</v>
      </c>
      <c r="K2213" s="1">
        <v>45805</v>
      </c>
      <c r="L2213" t="s">
        <v>34</v>
      </c>
      <c r="M2213">
        <v>28</v>
      </c>
      <c r="N2213">
        <v>5</v>
      </c>
      <c r="O2213">
        <v>2</v>
      </c>
      <c r="P2213">
        <v>2025</v>
      </c>
    </row>
    <row r="2214" spans="1:16">
      <c r="A2214">
        <v>643.71</v>
      </c>
      <c r="B2214">
        <v>3</v>
      </c>
      <c r="C2214" t="s">
        <v>3053</v>
      </c>
      <c r="D2214" t="s">
        <v>3054</v>
      </c>
      <c r="E2214" t="s">
        <v>1455</v>
      </c>
      <c r="F2214" t="s">
        <v>767</v>
      </c>
      <c r="G2214" t="s">
        <v>768</v>
      </c>
      <c r="H2214" t="s">
        <v>383</v>
      </c>
      <c r="I2214" t="s">
        <v>39</v>
      </c>
      <c r="J2214">
        <v>214.57</v>
      </c>
      <c r="K2214" s="1">
        <v>46100</v>
      </c>
      <c r="L2214" t="s">
        <v>105</v>
      </c>
      <c r="M2214">
        <v>19</v>
      </c>
      <c r="N2214">
        <v>3</v>
      </c>
      <c r="O2214">
        <v>1</v>
      </c>
      <c r="P2214">
        <v>2026</v>
      </c>
    </row>
    <row r="2215" spans="1:16">
      <c r="A2215">
        <v>104.96</v>
      </c>
      <c r="B2215">
        <v>1</v>
      </c>
      <c r="C2215" t="s">
        <v>2682</v>
      </c>
      <c r="D2215" t="s">
        <v>2683</v>
      </c>
      <c r="E2215" t="s">
        <v>1648</v>
      </c>
      <c r="F2215" t="s">
        <v>932</v>
      </c>
      <c r="G2215" t="s">
        <v>776</v>
      </c>
      <c r="H2215" t="s">
        <v>225</v>
      </c>
      <c r="I2215" t="s">
        <v>21</v>
      </c>
      <c r="J2215">
        <v>104.96</v>
      </c>
      <c r="K2215" s="1">
        <v>45554</v>
      </c>
      <c r="L2215" t="s">
        <v>105</v>
      </c>
      <c r="M2215">
        <v>19</v>
      </c>
      <c r="N2215">
        <v>9</v>
      </c>
      <c r="O2215">
        <v>3</v>
      </c>
      <c r="P2215">
        <v>2024</v>
      </c>
    </row>
    <row r="2216" spans="1:16">
      <c r="A2216">
        <v>486.48</v>
      </c>
      <c r="B2216">
        <v>3</v>
      </c>
      <c r="C2216" t="s">
        <v>2928</v>
      </c>
      <c r="D2216" t="s">
        <v>2929</v>
      </c>
      <c r="E2216" t="s">
        <v>2354</v>
      </c>
      <c r="F2216" t="s">
        <v>843</v>
      </c>
      <c r="G2216" t="s">
        <v>753</v>
      </c>
      <c r="H2216" t="s">
        <v>651</v>
      </c>
      <c r="I2216" t="s">
        <v>122</v>
      </c>
      <c r="J2216">
        <v>162.16</v>
      </c>
      <c r="K2216" s="1">
        <v>45946</v>
      </c>
      <c r="L2216" t="s">
        <v>105</v>
      </c>
      <c r="M2216">
        <v>16</v>
      </c>
      <c r="N2216">
        <v>10</v>
      </c>
      <c r="O2216">
        <v>4</v>
      </c>
      <c r="P2216">
        <v>2025</v>
      </c>
    </row>
    <row r="2217" spans="1:16">
      <c r="A2217">
        <v>274.02</v>
      </c>
      <c r="B2217">
        <v>2</v>
      </c>
      <c r="C2217" t="s">
        <v>2561</v>
      </c>
      <c r="D2217" t="s">
        <v>2562</v>
      </c>
      <c r="E2217" t="s">
        <v>2563</v>
      </c>
      <c r="F2217" t="s">
        <v>691</v>
      </c>
      <c r="G2217" t="s">
        <v>776</v>
      </c>
      <c r="H2217" t="s">
        <v>138</v>
      </c>
      <c r="I2217" t="s">
        <v>97</v>
      </c>
      <c r="J2217">
        <v>137.01</v>
      </c>
      <c r="K2217" s="1">
        <v>45713</v>
      </c>
      <c r="L2217" t="s">
        <v>48</v>
      </c>
      <c r="M2217">
        <v>25</v>
      </c>
      <c r="N2217">
        <v>2</v>
      </c>
      <c r="O2217">
        <v>1</v>
      </c>
      <c r="P2217">
        <v>2025</v>
      </c>
    </row>
    <row r="2218" spans="1:16">
      <c r="A2218">
        <v>71.449999999999989</v>
      </c>
      <c r="B2218">
        <v>5</v>
      </c>
      <c r="C2218" t="s">
        <v>1243</v>
      </c>
      <c r="D2218" t="s">
        <v>1244</v>
      </c>
      <c r="E2218" t="s">
        <v>1245</v>
      </c>
      <c r="F2218" t="s">
        <v>1246</v>
      </c>
      <c r="G2218" t="s">
        <v>1247</v>
      </c>
      <c r="H2218" t="s">
        <v>685</v>
      </c>
      <c r="I2218" t="s">
        <v>69</v>
      </c>
      <c r="J2218">
        <v>14.29</v>
      </c>
      <c r="K2218" s="1">
        <v>46028</v>
      </c>
      <c r="L2218" t="s">
        <v>48</v>
      </c>
      <c r="M2218">
        <v>6</v>
      </c>
      <c r="N2218">
        <v>1</v>
      </c>
      <c r="O2218">
        <v>1</v>
      </c>
      <c r="P2218">
        <v>2026</v>
      </c>
    </row>
    <row r="2219" spans="1:16">
      <c r="A2219">
        <v>104.98</v>
      </c>
      <c r="B2219">
        <v>1</v>
      </c>
      <c r="C2219" t="s">
        <v>2339</v>
      </c>
      <c r="D2219" t="s">
        <v>2340</v>
      </c>
      <c r="E2219" t="s">
        <v>2341</v>
      </c>
      <c r="F2219" t="s">
        <v>1469</v>
      </c>
      <c r="G2219" t="s">
        <v>908</v>
      </c>
      <c r="H2219" t="s">
        <v>690</v>
      </c>
      <c r="I2219" t="s">
        <v>46</v>
      </c>
      <c r="J2219">
        <v>104.98</v>
      </c>
      <c r="K2219" s="1">
        <v>45727</v>
      </c>
      <c r="L2219" t="s">
        <v>48</v>
      </c>
      <c r="M2219">
        <v>11</v>
      </c>
      <c r="N2219">
        <v>3</v>
      </c>
      <c r="O2219">
        <v>1</v>
      </c>
      <c r="P2219">
        <v>2025</v>
      </c>
    </row>
    <row r="2220" spans="1:16">
      <c r="A2220">
        <v>384.51</v>
      </c>
      <c r="B2220">
        <v>3</v>
      </c>
      <c r="C2220" t="s">
        <v>1640</v>
      </c>
      <c r="D2220" t="s">
        <v>1641</v>
      </c>
      <c r="E2220" t="s">
        <v>1642</v>
      </c>
      <c r="F2220" t="s">
        <v>160</v>
      </c>
      <c r="G2220" t="s">
        <v>790</v>
      </c>
      <c r="H2220" t="s">
        <v>487</v>
      </c>
      <c r="I2220" t="s">
        <v>19</v>
      </c>
      <c r="J2220">
        <v>128.16999999999999</v>
      </c>
      <c r="K2220" s="1">
        <v>45747</v>
      </c>
      <c r="L2220" t="s">
        <v>93</v>
      </c>
      <c r="M2220">
        <v>31</v>
      </c>
      <c r="N2220">
        <v>3</v>
      </c>
      <c r="O2220">
        <v>1</v>
      </c>
      <c r="P2220">
        <v>2025</v>
      </c>
    </row>
    <row r="2221" spans="1:16">
      <c r="A2221">
        <v>720.34999999999991</v>
      </c>
      <c r="B2221">
        <v>5</v>
      </c>
      <c r="C2221" t="s">
        <v>1930</v>
      </c>
      <c r="D2221" t="s">
        <v>1931</v>
      </c>
      <c r="E2221" t="s">
        <v>938</v>
      </c>
      <c r="F2221" t="s">
        <v>903</v>
      </c>
      <c r="G2221" t="s">
        <v>786</v>
      </c>
      <c r="H2221" t="s">
        <v>230</v>
      </c>
      <c r="I2221" t="s">
        <v>46</v>
      </c>
      <c r="J2221">
        <v>144.07</v>
      </c>
      <c r="K2221" s="1">
        <v>45734</v>
      </c>
      <c r="L2221" t="s">
        <v>48</v>
      </c>
      <c r="M2221">
        <v>18</v>
      </c>
      <c r="N2221">
        <v>3</v>
      </c>
      <c r="O2221">
        <v>1</v>
      </c>
      <c r="P2221">
        <v>2025</v>
      </c>
    </row>
    <row r="2222" spans="1:16">
      <c r="A2222">
        <v>350.15999999999997</v>
      </c>
      <c r="B2222">
        <v>3</v>
      </c>
      <c r="C2222" t="s">
        <v>2483</v>
      </c>
      <c r="D2222" t="s">
        <v>2484</v>
      </c>
      <c r="E2222" t="s">
        <v>1155</v>
      </c>
      <c r="F2222" t="s">
        <v>106</v>
      </c>
      <c r="G2222" t="s">
        <v>790</v>
      </c>
      <c r="H2222" t="s">
        <v>500</v>
      </c>
      <c r="I2222" t="s">
        <v>27</v>
      </c>
      <c r="J2222">
        <v>116.72</v>
      </c>
      <c r="K2222" s="1">
        <v>45911</v>
      </c>
      <c r="L2222" t="s">
        <v>105</v>
      </c>
      <c r="M2222">
        <v>11</v>
      </c>
      <c r="N2222">
        <v>9</v>
      </c>
      <c r="O2222">
        <v>3</v>
      </c>
      <c r="P2222">
        <v>2025</v>
      </c>
    </row>
    <row r="2223" spans="1:16">
      <c r="A2223">
        <v>205.72</v>
      </c>
      <c r="B2223">
        <v>2</v>
      </c>
      <c r="C2223" t="s">
        <v>3150</v>
      </c>
      <c r="D2223" t="s">
        <v>3151</v>
      </c>
      <c r="E2223" t="s">
        <v>1231</v>
      </c>
      <c r="F2223" t="s">
        <v>562</v>
      </c>
      <c r="G2223" t="s">
        <v>753</v>
      </c>
      <c r="H2223" t="s">
        <v>460</v>
      </c>
      <c r="I2223" t="s">
        <v>69</v>
      </c>
      <c r="J2223">
        <v>102.86</v>
      </c>
      <c r="K2223" s="1">
        <v>45697</v>
      </c>
      <c r="L2223" t="s">
        <v>28</v>
      </c>
      <c r="M2223">
        <v>9</v>
      </c>
      <c r="N2223">
        <v>2</v>
      </c>
      <c r="O2223">
        <v>1</v>
      </c>
      <c r="P2223">
        <v>2025</v>
      </c>
    </row>
    <row r="2224" spans="1:16">
      <c r="A2224">
        <v>361.84</v>
      </c>
      <c r="B2224">
        <v>2</v>
      </c>
      <c r="C2224" t="s">
        <v>1780</v>
      </c>
      <c r="D2224" t="s">
        <v>1781</v>
      </c>
      <c r="E2224" t="s">
        <v>1709</v>
      </c>
      <c r="F2224" t="s">
        <v>1054</v>
      </c>
      <c r="G2224" t="s">
        <v>892</v>
      </c>
      <c r="H2224" t="s">
        <v>324</v>
      </c>
      <c r="I2224" t="s">
        <v>17</v>
      </c>
      <c r="J2224">
        <v>180.92</v>
      </c>
      <c r="K2224" s="1">
        <v>45976</v>
      </c>
      <c r="L2224" t="s">
        <v>14</v>
      </c>
      <c r="M2224">
        <v>15</v>
      </c>
      <c r="N2224">
        <v>11</v>
      </c>
      <c r="O2224">
        <v>4</v>
      </c>
      <c r="P2224">
        <v>2025</v>
      </c>
    </row>
    <row r="2225" spans="1:16">
      <c r="A2225">
        <v>285.77999999999997</v>
      </c>
      <c r="B2225">
        <v>2</v>
      </c>
      <c r="C2225" t="s">
        <v>2149</v>
      </c>
      <c r="D2225" t="s">
        <v>2150</v>
      </c>
      <c r="E2225" t="s">
        <v>1645</v>
      </c>
      <c r="F2225" t="s">
        <v>64</v>
      </c>
      <c r="G2225" t="s">
        <v>892</v>
      </c>
      <c r="H2225" t="s">
        <v>232</v>
      </c>
      <c r="I2225" t="s">
        <v>97</v>
      </c>
      <c r="J2225">
        <v>142.88999999999999</v>
      </c>
      <c r="K2225" s="1">
        <v>46222</v>
      </c>
      <c r="L2225" t="s">
        <v>28</v>
      </c>
      <c r="M2225">
        <v>19</v>
      </c>
      <c r="N2225">
        <v>7</v>
      </c>
      <c r="O2225">
        <v>3</v>
      </c>
      <c r="P2225">
        <v>2026</v>
      </c>
    </row>
    <row r="2226" spans="1:16">
      <c r="A2226">
        <v>261.04000000000002</v>
      </c>
      <c r="B2226">
        <v>4</v>
      </c>
      <c r="C2226" t="s">
        <v>1530</v>
      </c>
      <c r="D2226" t="s">
        <v>1531</v>
      </c>
      <c r="E2226" t="s">
        <v>1532</v>
      </c>
      <c r="F2226" t="s">
        <v>1533</v>
      </c>
      <c r="G2226" t="s">
        <v>781</v>
      </c>
      <c r="H2226" t="s">
        <v>78</v>
      </c>
      <c r="I2226" t="s">
        <v>51</v>
      </c>
      <c r="J2226">
        <v>65.260000000000005</v>
      </c>
      <c r="K2226" s="1">
        <v>46132</v>
      </c>
      <c r="L2226" t="s">
        <v>93</v>
      </c>
      <c r="M2226">
        <v>20</v>
      </c>
      <c r="N2226">
        <v>4</v>
      </c>
      <c r="O2226">
        <v>2</v>
      </c>
      <c r="P2226">
        <v>2026</v>
      </c>
    </row>
    <row r="2227" spans="1:16">
      <c r="A2227">
        <v>1021.25</v>
      </c>
      <c r="B2227">
        <v>5</v>
      </c>
      <c r="C2227" t="s">
        <v>977</v>
      </c>
      <c r="D2227" t="s">
        <v>978</v>
      </c>
      <c r="E2227" t="s">
        <v>979</v>
      </c>
      <c r="F2227" t="s">
        <v>980</v>
      </c>
      <c r="G2227" t="s">
        <v>981</v>
      </c>
      <c r="H2227" t="s">
        <v>341</v>
      </c>
      <c r="I2227" t="s">
        <v>21</v>
      </c>
      <c r="J2227">
        <v>204.25</v>
      </c>
      <c r="K2227" s="1">
        <v>45688</v>
      </c>
      <c r="L2227" t="s">
        <v>79</v>
      </c>
      <c r="M2227">
        <v>31</v>
      </c>
      <c r="N2227">
        <v>1</v>
      </c>
      <c r="O2227">
        <v>1</v>
      </c>
      <c r="P2227">
        <v>2025</v>
      </c>
    </row>
    <row r="2228" spans="1:16">
      <c r="A2228">
        <v>220.47</v>
      </c>
      <c r="B2228">
        <v>1</v>
      </c>
      <c r="C2228" t="s">
        <v>1936</v>
      </c>
      <c r="D2228" t="s">
        <v>1937</v>
      </c>
      <c r="E2228" t="s">
        <v>1938</v>
      </c>
      <c r="F2228" t="s">
        <v>1039</v>
      </c>
      <c r="G2228" t="s">
        <v>758</v>
      </c>
      <c r="H2228" t="s">
        <v>496</v>
      </c>
      <c r="I2228" t="s">
        <v>17</v>
      </c>
      <c r="J2228">
        <v>220.47</v>
      </c>
      <c r="K2228" s="1">
        <v>46075</v>
      </c>
      <c r="L2228" t="s">
        <v>28</v>
      </c>
      <c r="M2228">
        <v>22</v>
      </c>
      <c r="N2228">
        <v>2</v>
      </c>
      <c r="O2228">
        <v>1</v>
      </c>
      <c r="P2228">
        <v>2026</v>
      </c>
    </row>
    <row r="2229" spans="1:16">
      <c r="A2229">
        <v>121.22</v>
      </c>
      <c r="B2229">
        <v>1</v>
      </c>
      <c r="C2229" t="s">
        <v>759</v>
      </c>
      <c r="D2229" t="s">
        <v>760</v>
      </c>
      <c r="E2229" t="s">
        <v>761</v>
      </c>
      <c r="F2229" t="s">
        <v>762</v>
      </c>
      <c r="G2229" t="s">
        <v>763</v>
      </c>
      <c r="H2229" t="s">
        <v>47</v>
      </c>
      <c r="I2229" t="s">
        <v>46</v>
      </c>
      <c r="J2229">
        <v>121.22</v>
      </c>
      <c r="K2229" s="1">
        <v>46129</v>
      </c>
      <c r="L2229" t="s">
        <v>79</v>
      </c>
      <c r="M2229">
        <v>17</v>
      </c>
      <c r="N2229">
        <v>4</v>
      </c>
      <c r="O2229">
        <v>2</v>
      </c>
      <c r="P2229">
        <v>2026</v>
      </c>
    </row>
    <row r="2230" spans="1:16">
      <c r="A2230">
        <v>256.70000000000005</v>
      </c>
      <c r="B2230">
        <v>5</v>
      </c>
      <c r="C2230" t="s">
        <v>2261</v>
      </c>
      <c r="D2230" t="s">
        <v>2262</v>
      </c>
      <c r="E2230" t="s">
        <v>1660</v>
      </c>
      <c r="F2230" t="s">
        <v>1206</v>
      </c>
      <c r="G2230" t="s">
        <v>943</v>
      </c>
      <c r="H2230" t="s">
        <v>376</v>
      </c>
      <c r="I2230" t="s">
        <v>51</v>
      </c>
      <c r="J2230">
        <v>51.34</v>
      </c>
      <c r="K2230" s="1">
        <v>46041</v>
      </c>
      <c r="L2230" t="s">
        <v>93</v>
      </c>
      <c r="M2230">
        <v>19</v>
      </c>
      <c r="N2230">
        <v>1</v>
      </c>
      <c r="O2230">
        <v>1</v>
      </c>
      <c r="P2230">
        <v>2026</v>
      </c>
    </row>
    <row r="2231" spans="1:16">
      <c r="A2231">
        <v>888.08</v>
      </c>
      <c r="B2231">
        <v>4</v>
      </c>
      <c r="C2231" t="s">
        <v>2327</v>
      </c>
      <c r="D2231" t="s">
        <v>2328</v>
      </c>
      <c r="E2231" t="s">
        <v>1577</v>
      </c>
      <c r="F2231" t="s">
        <v>915</v>
      </c>
      <c r="G2231" t="s">
        <v>768</v>
      </c>
      <c r="H2231" t="s">
        <v>501</v>
      </c>
      <c r="I2231" t="s">
        <v>25</v>
      </c>
      <c r="J2231">
        <v>222.02</v>
      </c>
      <c r="K2231" s="1">
        <v>45759</v>
      </c>
      <c r="L2231" t="s">
        <v>14</v>
      </c>
      <c r="M2231">
        <v>12</v>
      </c>
      <c r="N2231">
        <v>4</v>
      </c>
      <c r="O2231">
        <v>2</v>
      </c>
      <c r="P2231">
        <v>2025</v>
      </c>
    </row>
    <row r="2232" spans="1:16">
      <c r="A2232">
        <v>362.48</v>
      </c>
      <c r="B2232">
        <v>4</v>
      </c>
      <c r="C2232" t="s">
        <v>2882</v>
      </c>
      <c r="D2232" t="s">
        <v>2883</v>
      </c>
      <c r="E2232" t="s">
        <v>2881</v>
      </c>
      <c r="F2232" t="s">
        <v>1502</v>
      </c>
      <c r="G2232" t="s">
        <v>817</v>
      </c>
      <c r="H2232" t="s">
        <v>686</v>
      </c>
      <c r="I2232" t="s">
        <v>82</v>
      </c>
      <c r="J2232">
        <v>90.62</v>
      </c>
      <c r="K2232" s="1">
        <v>45618</v>
      </c>
      <c r="L2232" t="s">
        <v>79</v>
      </c>
      <c r="M2232">
        <v>22</v>
      </c>
      <c r="N2232">
        <v>11</v>
      </c>
      <c r="O2232">
        <v>4</v>
      </c>
      <c r="P2232">
        <v>2024</v>
      </c>
    </row>
    <row r="2233" spans="1:16">
      <c r="A2233">
        <v>484.86</v>
      </c>
      <c r="B2233">
        <v>3</v>
      </c>
      <c r="C2233" t="s">
        <v>1974</v>
      </c>
      <c r="D2233" t="s">
        <v>1975</v>
      </c>
      <c r="E2233" t="s">
        <v>1976</v>
      </c>
      <c r="F2233" t="s">
        <v>806</v>
      </c>
      <c r="G2233" t="s">
        <v>807</v>
      </c>
      <c r="H2233" t="s">
        <v>224</v>
      </c>
      <c r="I2233" t="s">
        <v>39</v>
      </c>
      <c r="J2233">
        <v>161.62</v>
      </c>
      <c r="K2233" s="1">
        <v>45639</v>
      </c>
      <c r="L2233" t="s">
        <v>79</v>
      </c>
      <c r="M2233">
        <v>13</v>
      </c>
      <c r="N2233">
        <v>12</v>
      </c>
      <c r="O2233">
        <v>4</v>
      </c>
      <c r="P2233">
        <v>2024</v>
      </c>
    </row>
    <row r="2234" spans="1:16">
      <c r="A2234">
        <v>444.84000000000003</v>
      </c>
      <c r="B2234">
        <v>3</v>
      </c>
      <c r="C2234" t="s">
        <v>2276</v>
      </c>
      <c r="D2234" t="s">
        <v>2277</v>
      </c>
      <c r="E2234" t="s">
        <v>2004</v>
      </c>
      <c r="F2234" t="s">
        <v>322</v>
      </c>
      <c r="G2234" t="s">
        <v>795</v>
      </c>
      <c r="H2234" t="s">
        <v>568</v>
      </c>
      <c r="I2234" t="s">
        <v>51</v>
      </c>
      <c r="J2234">
        <v>148.28</v>
      </c>
      <c r="K2234" s="1">
        <v>46119</v>
      </c>
      <c r="L2234" t="s">
        <v>48</v>
      </c>
      <c r="M2234">
        <v>7</v>
      </c>
      <c r="N2234">
        <v>4</v>
      </c>
      <c r="O2234">
        <v>2</v>
      </c>
      <c r="P2234">
        <v>2026</v>
      </c>
    </row>
    <row r="2235" spans="1:16">
      <c r="A2235">
        <v>132.03</v>
      </c>
      <c r="B2235">
        <v>3</v>
      </c>
      <c r="C2235" t="s">
        <v>1125</v>
      </c>
      <c r="D2235" t="s">
        <v>1126</v>
      </c>
      <c r="E2235" t="s">
        <v>1127</v>
      </c>
      <c r="F2235" t="s">
        <v>1128</v>
      </c>
      <c r="G2235" t="s">
        <v>954</v>
      </c>
      <c r="H2235" t="s">
        <v>689</v>
      </c>
      <c r="I2235" t="s">
        <v>55</v>
      </c>
      <c r="J2235">
        <v>44.01</v>
      </c>
      <c r="K2235" s="1">
        <v>45573</v>
      </c>
      <c r="L2235" t="s">
        <v>48</v>
      </c>
      <c r="M2235">
        <v>8</v>
      </c>
      <c r="N2235">
        <v>10</v>
      </c>
      <c r="O2235">
        <v>4</v>
      </c>
      <c r="P2235">
        <v>2024</v>
      </c>
    </row>
    <row r="2236" spans="1:16">
      <c r="A2236">
        <v>777.6</v>
      </c>
      <c r="B2236">
        <v>5</v>
      </c>
      <c r="C2236" t="s">
        <v>2803</v>
      </c>
      <c r="D2236" t="s">
        <v>2804</v>
      </c>
      <c r="E2236" t="s">
        <v>1965</v>
      </c>
      <c r="F2236" t="s">
        <v>1811</v>
      </c>
      <c r="G2236" t="s">
        <v>892</v>
      </c>
      <c r="H2236" t="s">
        <v>473</v>
      </c>
      <c r="I2236" t="s">
        <v>23</v>
      </c>
      <c r="J2236">
        <v>155.52000000000001</v>
      </c>
      <c r="K2236" s="1">
        <v>45835</v>
      </c>
      <c r="L2236" t="s">
        <v>79</v>
      </c>
      <c r="M2236">
        <v>27</v>
      </c>
      <c r="N2236">
        <v>6</v>
      </c>
      <c r="O2236">
        <v>2</v>
      </c>
      <c r="P2236">
        <v>2025</v>
      </c>
    </row>
    <row r="2237" spans="1:16">
      <c r="A2237">
        <v>121.94</v>
      </c>
      <c r="B2237">
        <v>1</v>
      </c>
      <c r="C2237" t="s">
        <v>3046</v>
      </c>
      <c r="D2237" t="s">
        <v>3047</v>
      </c>
      <c r="E2237" t="s">
        <v>2513</v>
      </c>
      <c r="F2237" t="s">
        <v>829</v>
      </c>
      <c r="G2237" t="s">
        <v>830</v>
      </c>
      <c r="H2237" t="s">
        <v>245</v>
      </c>
      <c r="I2237" t="s">
        <v>43</v>
      </c>
      <c r="J2237">
        <v>121.94</v>
      </c>
      <c r="K2237" s="1">
        <v>45799</v>
      </c>
      <c r="L2237" t="s">
        <v>105</v>
      </c>
      <c r="M2237">
        <v>22</v>
      </c>
      <c r="N2237">
        <v>5</v>
      </c>
      <c r="O2237">
        <v>2</v>
      </c>
      <c r="P2237">
        <v>2025</v>
      </c>
    </row>
    <row r="2238" spans="1:16">
      <c r="A2238">
        <v>228.66</v>
      </c>
      <c r="B2238">
        <v>1</v>
      </c>
      <c r="C2238" t="s">
        <v>1850</v>
      </c>
      <c r="D2238" t="s">
        <v>1851</v>
      </c>
      <c r="E2238" t="s">
        <v>833</v>
      </c>
      <c r="F2238" t="s">
        <v>49</v>
      </c>
      <c r="G2238" t="s">
        <v>807</v>
      </c>
      <c r="H2238" t="s">
        <v>480</v>
      </c>
      <c r="I2238" t="s">
        <v>57</v>
      </c>
      <c r="J2238">
        <v>228.66</v>
      </c>
      <c r="K2238" s="1">
        <v>45815</v>
      </c>
      <c r="L2238" t="s">
        <v>14</v>
      </c>
      <c r="M2238">
        <v>7</v>
      </c>
      <c r="N2238">
        <v>6</v>
      </c>
      <c r="O2238">
        <v>2</v>
      </c>
      <c r="P2238">
        <v>2025</v>
      </c>
    </row>
    <row r="2239" spans="1:16">
      <c r="A2239">
        <v>549.65000000000009</v>
      </c>
      <c r="B2239">
        <v>5</v>
      </c>
      <c r="C2239" t="s">
        <v>1153</v>
      </c>
      <c r="D2239" t="s">
        <v>1154</v>
      </c>
      <c r="E2239" t="s">
        <v>1155</v>
      </c>
      <c r="F2239" t="s">
        <v>1156</v>
      </c>
      <c r="G2239" t="s">
        <v>821</v>
      </c>
      <c r="H2239" t="s">
        <v>360</v>
      </c>
      <c r="I2239" t="s">
        <v>43</v>
      </c>
      <c r="J2239">
        <v>109.93</v>
      </c>
      <c r="K2239" s="1">
        <v>46023</v>
      </c>
      <c r="L2239" t="s">
        <v>105</v>
      </c>
      <c r="M2239">
        <v>1</v>
      </c>
      <c r="N2239">
        <v>1</v>
      </c>
      <c r="O2239">
        <v>1</v>
      </c>
      <c r="P2239">
        <v>2026</v>
      </c>
    </row>
    <row r="2240" spans="1:16">
      <c r="A2240">
        <v>981.96</v>
      </c>
      <c r="B2240">
        <v>4</v>
      </c>
      <c r="C2240" t="s">
        <v>2658</v>
      </c>
      <c r="D2240" t="s">
        <v>2659</v>
      </c>
      <c r="E2240" t="s">
        <v>1906</v>
      </c>
      <c r="F2240" t="s">
        <v>211</v>
      </c>
      <c r="G2240" t="s">
        <v>812</v>
      </c>
      <c r="H2240" t="s">
        <v>330</v>
      </c>
      <c r="I2240" t="s">
        <v>60</v>
      </c>
      <c r="J2240">
        <v>245.49</v>
      </c>
      <c r="K2240" s="1">
        <v>45914</v>
      </c>
      <c r="L2240" t="s">
        <v>28</v>
      </c>
      <c r="M2240">
        <v>14</v>
      </c>
      <c r="N2240">
        <v>9</v>
      </c>
      <c r="O2240">
        <v>3</v>
      </c>
      <c r="P2240">
        <v>2025</v>
      </c>
    </row>
    <row r="2241" spans="1:16">
      <c r="A2241">
        <v>245.79</v>
      </c>
      <c r="B2241">
        <v>1</v>
      </c>
      <c r="C2241" t="s">
        <v>3055</v>
      </c>
      <c r="D2241" t="s">
        <v>3056</v>
      </c>
      <c r="E2241" t="s">
        <v>960</v>
      </c>
      <c r="F2241" t="s">
        <v>1540</v>
      </c>
      <c r="G2241" t="s">
        <v>768</v>
      </c>
      <c r="H2241" t="s">
        <v>344</v>
      </c>
      <c r="I2241" t="s">
        <v>19</v>
      </c>
      <c r="J2241">
        <v>245.79</v>
      </c>
      <c r="K2241" s="1">
        <v>46090</v>
      </c>
      <c r="L2241" t="s">
        <v>93</v>
      </c>
      <c r="M2241">
        <v>9</v>
      </c>
      <c r="N2241">
        <v>3</v>
      </c>
      <c r="O2241">
        <v>1</v>
      </c>
      <c r="P2241">
        <v>2026</v>
      </c>
    </row>
    <row r="2242" spans="1:16">
      <c r="A2242">
        <v>171.88</v>
      </c>
      <c r="B2242">
        <v>1</v>
      </c>
      <c r="C2242" t="s">
        <v>2398</v>
      </c>
      <c r="D2242" t="s">
        <v>2399</v>
      </c>
      <c r="E2242" t="s">
        <v>1452</v>
      </c>
      <c r="F2242" t="s">
        <v>816</v>
      </c>
      <c r="G2242" t="s">
        <v>817</v>
      </c>
      <c r="H2242" t="s">
        <v>525</v>
      </c>
      <c r="I2242" t="s">
        <v>17</v>
      </c>
      <c r="J2242">
        <v>171.88</v>
      </c>
      <c r="K2242" s="1">
        <v>45631</v>
      </c>
      <c r="L2242" t="s">
        <v>105</v>
      </c>
      <c r="M2242">
        <v>5</v>
      </c>
      <c r="N2242">
        <v>12</v>
      </c>
      <c r="O2242">
        <v>4</v>
      </c>
      <c r="P2242">
        <v>2024</v>
      </c>
    </row>
    <row r="2243" spans="1:16">
      <c r="A2243">
        <v>983.9</v>
      </c>
      <c r="B2243">
        <v>5</v>
      </c>
      <c r="C2243" t="s">
        <v>2974</v>
      </c>
      <c r="D2243" t="s">
        <v>2975</v>
      </c>
      <c r="E2243" t="s">
        <v>888</v>
      </c>
      <c r="F2243" t="s">
        <v>1067</v>
      </c>
      <c r="G2243" t="s">
        <v>854</v>
      </c>
      <c r="H2243" t="s">
        <v>397</v>
      </c>
      <c r="I2243" t="s">
        <v>31</v>
      </c>
      <c r="J2243">
        <v>196.78</v>
      </c>
      <c r="K2243" s="1">
        <v>46038</v>
      </c>
      <c r="L2243" t="s">
        <v>79</v>
      </c>
      <c r="M2243">
        <v>16</v>
      </c>
      <c r="N2243">
        <v>1</v>
      </c>
      <c r="O2243">
        <v>1</v>
      </c>
      <c r="P2243">
        <v>2026</v>
      </c>
    </row>
    <row r="2244" spans="1:16">
      <c r="A2244">
        <v>106.56</v>
      </c>
      <c r="B2244">
        <v>2</v>
      </c>
      <c r="C2244" t="s">
        <v>2855</v>
      </c>
      <c r="D2244" t="s">
        <v>2856</v>
      </c>
      <c r="E2244" t="s">
        <v>2857</v>
      </c>
      <c r="F2244" t="s">
        <v>666</v>
      </c>
      <c r="G2244" t="s">
        <v>954</v>
      </c>
      <c r="H2244" t="s">
        <v>459</v>
      </c>
      <c r="I2244" t="s">
        <v>43</v>
      </c>
      <c r="J2244">
        <v>53.28</v>
      </c>
      <c r="K2244" s="1">
        <v>46072</v>
      </c>
      <c r="L2244" t="s">
        <v>105</v>
      </c>
      <c r="M2244">
        <v>19</v>
      </c>
      <c r="N2244">
        <v>2</v>
      </c>
      <c r="O2244">
        <v>1</v>
      </c>
      <c r="P2244">
        <v>2026</v>
      </c>
    </row>
    <row r="2245" spans="1:16">
      <c r="A2245">
        <v>701.46</v>
      </c>
      <c r="B2245">
        <v>3</v>
      </c>
      <c r="C2245" t="s">
        <v>1233</v>
      </c>
      <c r="D2245" t="s">
        <v>1234</v>
      </c>
      <c r="E2245" t="s">
        <v>1235</v>
      </c>
      <c r="F2245" t="s">
        <v>1236</v>
      </c>
      <c r="G2245" t="s">
        <v>807</v>
      </c>
      <c r="H2245" t="s">
        <v>390</v>
      </c>
      <c r="I2245" t="s">
        <v>82</v>
      </c>
      <c r="J2245">
        <v>233.82</v>
      </c>
      <c r="K2245" s="1">
        <v>46228</v>
      </c>
      <c r="L2245" t="s">
        <v>14</v>
      </c>
      <c r="M2245">
        <v>25</v>
      </c>
      <c r="N2245">
        <v>7</v>
      </c>
      <c r="O2245">
        <v>3</v>
      </c>
      <c r="P2245">
        <v>2026</v>
      </c>
    </row>
    <row r="2246" spans="1:16">
      <c r="A2246">
        <v>618.96</v>
      </c>
      <c r="B2246">
        <v>4</v>
      </c>
      <c r="C2246" t="s">
        <v>3023</v>
      </c>
      <c r="D2246" t="s">
        <v>3024</v>
      </c>
      <c r="E2246" t="s">
        <v>2365</v>
      </c>
      <c r="F2246" t="s">
        <v>106</v>
      </c>
      <c r="G2246" t="s">
        <v>790</v>
      </c>
      <c r="H2246" t="s">
        <v>547</v>
      </c>
      <c r="I2246" t="s">
        <v>97</v>
      </c>
      <c r="J2246">
        <v>154.74</v>
      </c>
      <c r="K2246" s="1">
        <v>46139</v>
      </c>
      <c r="L2246" t="s">
        <v>93</v>
      </c>
      <c r="M2246">
        <v>27</v>
      </c>
      <c r="N2246">
        <v>4</v>
      </c>
      <c r="O2246">
        <v>2</v>
      </c>
      <c r="P2246">
        <v>2026</v>
      </c>
    </row>
    <row r="2247" spans="1:16">
      <c r="A2247">
        <v>2.44</v>
      </c>
      <c r="B2247">
        <v>2</v>
      </c>
      <c r="C2247" t="s">
        <v>1309</v>
      </c>
      <c r="D2247" t="s">
        <v>1310</v>
      </c>
      <c r="E2247" t="s">
        <v>1311</v>
      </c>
      <c r="F2247" t="s">
        <v>49</v>
      </c>
      <c r="G2247" t="s">
        <v>807</v>
      </c>
      <c r="H2247" t="s">
        <v>242</v>
      </c>
      <c r="I2247" t="s">
        <v>19</v>
      </c>
      <c r="J2247">
        <v>1.22</v>
      </c>
      <c r="K2247" s="1">
        <v>45794</v>
      </c>
      <c r="L2247" t="s">
        <v>14</v>
      </c>
      <c r="M2247">
        <v>17</v>
      </c>
      <c r="N2247">
        <v>5</v>
      </c>
      <c r="O2247">
        <v>2</v>
      </c>
      <c r="P2247">
        <v>2025</v>
      </c>
    </row>
    <row r="2248" spans="1:16">
      <c r="A2248">
        <v>208.08</v>
      </c>
      <c r="B2248">
        <v>2</v>
      </c>
      <c r="C2248" t="s">
        <v>1328</v>
      </c>
      <c r="D2248" t="s">
        <v>1329</v>
      </c>
      <c r="E2248" t="s">
        <v>1330</v>
      </c>
      <c r="F2248" t="s">
        <v>883</v>
      </c>
      <c r="G2248" t="s">
        <v>807</v>
      </c>
      <c r="H2248" t="s">
        <v>507</v>
      </c>
      <c r="I2248" t="s">
        <v>55</v>
      </c>
      <c r="J2248">
        <v>104.04</v>
      </c>
      <c r="K2248" s="1">
        <v>45966</v>
      </c>
      <c r="L2248" t="s">
        <v>34</v>
      </c>
      <c r="M2248">
        <v>5</v>
      </c>
      <c r="N2248">
        <v>11</v>
      </c>
      <c r="O2248">
        <v>4</v>
      </c>
      <c r="P2248">
        <v>2025</v>
      </c>
    </row>
    <row r="2249" spans="1:16">
      <c r="A2249">
        <v>230.82</v>
      </c>
      <c r="B2249">
        <v>3</v>
      </c>
      <c r="C2249" t="s">
        <v>1683</v>
      </c>
      <c r="D2249" t="s">
        <v>1684</v>
      </c>
      <c r="E2249" t="s">
        <v>1685</v>
      </c>
      <c r="F2249" t="s">
        <v>1067</v>
      </c>
      <c r="G2249" t="s">
        <v>854</v>
      </c>
      <c r="H2249" t="s">
        <v>119</v>
      </c>
      <c r="I2249" t="s">
        <v>60</v>
      </c>
      <c r="J2249">
        <v>76.94</v>
      </c>
      <c r="K2249" s="1">
        <v>45598</v>
      </c>
      <c r="L2249" t="s">
        <v>14</v>
      </c>
      <c r="M2249">
        <v>2</v>
      </c>
      <c r="N2249">
        <v>11</v>
      </c>
      <c r="O2249">
        <v>4</v>
      </c>
      <c r="P2249">
        <v>2024</v>
      </c>
    </row>
    <row r="2250" spans="1:16">
      <c r="A2250">
        <v>1228.95</v>
      </c>
      <c r="B2250">
        <v>5</v>
      </c>
      <c r="C2250" t="s">
        <v>2983</v>
      </c>
      <c r="D2250" t="s">
        <v>2570</v>
      </c>
      <c r="E2250" t="s">
        <v>1965</v>
      </c>
      <c r="F2250" t="s">
        <v>869</v>
      </c>
      <c r="G2250" t="s">
        <v>812</v>
      </c>
      <c r="H2250" t="s">
        <v>344</v>
      </c>
      <c r="I2250" t="s">
        <v>19</v>
      </c>
      <c r="J2250">
        <v>245.79</v>
      </c>
      <c r="K2250" s="1">
        <v>46090</v>
      </c>
      <c r="L2250" t="s">
        <v>93</v>
      </c>
      <c r="M2250">
        <v>9</v>
      </c>
      <c r="N2250">
        <v>3</v>
      </c>
      <c r="O2250">
        <v>1</v>
      </c>
      <c r="P2250">
        <v>2026</v>
      </c>
    </row>
    <row r="2251" spans="1:16">
      <c r="A2251">
        <v>87.99</v>
      </c>
      <c r="B2251">
        <v>3</v>
      </c>
      <c r="C2251" t="s">
        <v>835</v>
      </c>
      <c r="D2251" t="s">
        <v>836</v>
      </c>
      <c r="E2251" t="s">
        <v>837</v>
      </c>
      <c r="F2251" t="s">
        <v>838</v>
      </c>
      <c r="G2251" t="s">
        <v>839</v>
      </c>
      <c r="H2251" t="s">
        <v>289</v>
      </c>
      <c r="I2251" t="s">
        <v>60</v>
      </c>
      <c r="J2251">
        <v>29.33</v>
      </c>
      <c r="K2251" s="1">
        <v>45977</v>
      </c>
      <c r="L2251" t="s">
        <v>28</v>
      </c>
      <c r="M2251">
        <v>16</v>
      </c>
      <c r="N2251">
        <v>11</v>
      </c>
      <c r="O2251">
        <v>4</v>
      </c>
      <c r="P2251">
        <v>2025</v>
      </c>
    </row>
    <row r="2252" spans="1:16">
      <c r="A2252">
        <v>64.290000000000006</v>
      </c>
      <c r="B2252">
        <v>1</v>
      </c>
      <c r="C2252" t="s">
        <v>2217</v>
      </c>
      <c r="D2252" t="s">
        <v>2218</v>
      </c>
      <c r="E2252" t="s">
        <v>1771</v>
      </c>
      <c r="F2252" t="s">
        <v>380</v>
      </c>
      <c r="G2252" t="s">
        <v>954</v>
      </c>
      <c r="H2252" t="s">
        <v>461</v>
      </c>
      <c r="I2252" t="s">
        <v>60</v>
      </c>
      <c r="J2252">
        <v>64.290000000000006</v>
      </c>
      <c r="K2252" s="1">
        <v>45717</v>
      </c>
      <c r="L2252" t="s">
        <v>14</v>
      </c>
      <c r="M2252">
        <v>1</v>
      </c>
      <c r="N2252">
        <v>3</v>
      </c>
      <c r="O2252">
        <v>1</v>
      </c>
      <c r="P2252">
        <v>2025</v>
      </c>
    </row>
    <row r="2253" spans="1:16">
      <c r="A2253">
        <v>28.849999999999998</v>
      </c>
      <c r="B2253">
        <v>5</v>
      </c>
      <c r="C2253" t="s">
        <v>1784</v>
      </c>
      <c r="D2253" t="s">
        <v>1785</v>
      </c>
      <c r="E2253" t="s">
        <v>1786</v>
      </c>
      <c r="F2253" t="s">
        <v>843</v>
      </c>
      <c r="G2253" t="s">
        <v>753</v>
      </c>
      <c r="H2253" t="s">
        <v>140</v>
      </c>
      <c r="I2253" t="s">
        <v>17</v>
      </c>
      <c r="J2253">
        <v>5.77</v>
      </c>
      <c r="K2253" s="1">
        <v>45687</v>
      </c>
      <c r="L2253" t="s">
        <v>105</v>
      </c>
      <c r="M2253">
        <v>30</v>
      </c>
      <c r="N2253">
        <v>1</v>
      </c>
      <c r="O2253">
        <v>1</v>
      </c>
      <c r="P2253">
        <v>2025</v>
      </c>
    </row>
    <row r="2254" spans="1:16">
      <c r="A2254">
        <v>147</v>
      </c>
      <c r="B2254">
        <v>4</v>
      </c>
      <c r="C2254" t="s">
        <v>1456</v>
      </c>
      <c r="D2254" t="s">
        <v>1457</v>
      </c>
      <c r="E2254" t="s">
        <v>779</v>
      </c>
      <c r="F2254" t="s">
        <v>1032</v>
      </c>
      <c r="G2254" t="s">
        <v>839</v>
      </c>
      <c r="H2254" t="s">
        <v>637</v>
      </c>
      <c r="I2254" t="s">
        <v>100</v>
      </c>
      <c r="J2254">
        <v>36.75</v>
      </c>
      <c r="K2254" s="1">
        <v>45643</v>
      </c>
      <c r="L2254" t="s">
        <v>48</v>
      </c>
      <c r="M2254">
        <v>17</v>
      </c>
      <c r="N2254">
        <v>12</v>
      </c>
      <c r="O2254">
        <v>4</v>
      </c>
      <c r="P2254">
        <v>2024</v>
      </c>
    </row>
    <row r="2255" spans="1:16">
      <c r="A2255">
        <v>1012.65</v>
      </c>
      <c r="B2255">
        <v>5</v>
      </c>
      <c r="C2255" t="s">
        <v>1218</v>
      </c>
      <c r="D2255" t="s">
        <v>1219</v>
      </c>
      <c r="E2255" t="s">
        <v>1220</v>
      </c>
      <c r="F2255" t="s">
        <v>1206</v>
      </c>
      <c r="G2255" t="s">
        <v>943</v>
      </c>
      <c r="H2255" t="s">
        <v>251</v>
      </c>
      <c r="I2255" t="s">
        <v>122</v>
      </c>
      <c r="J2255">
        <v>202.53</v>
      </c>
      <c r="K2255" s="1">
        <v>46243</v>
      </c>
      <c r="L2255" t="s">
        <v>28</v>
      </c>
      <c r="M2255">
        <v>9</v>
      </c>
      <c r="N2255">
        <v>8</v>
      </c>
      <c r="O2255">
        <v>3</v>
      </c>
      <c r="P2255">
        <v>2026</v>
      </c>
    </row>
    <row r="2256" spans="1:16">
      <c r="A2256">
        <v>31.44</v>
      </c>
      <c r="B2256">
        <v>3</v>
      </c>
      <c r="C2256" t="s">
        <v>2278</v>
      </c>
      <c r="D2256" t="s">
        <v>2279</v>
      </c>
      <c r="E2256" t="s">
        <v>2280</v>
      </c>
      <c r="F2256" t="s">
        <v>1239</v>
      </c>
      <c r="G2256" t="s">
        <v>795</v>
      </c>
      <c r="H2256" t="s">
        <v>578</v>
      </c>
      <c r="I2256" t="s">
        <v>82</v>
      </c>
      <c r="J2256">
        <v>10.48</v>
      </c>
      <c r="K2256" s="1">
        <v>45869</v>
      </c>
      <c r="L2256" t="s">
        <v>105</v>
      </c>
      <c r="M2256">
        <v>31</v>
      </c>
      <c r="N2256">
        <v>7</v>
      </c>
      <c r="O2256">
        <v>3</v>
      </c>
      <c r="P2256">
        <v>2025</v>
      </c>
    </row>
    <row r="2257" spans="1:16">
      <c r="A2257">
        <v>430.71</v>
      </c>
      <c r="B2257">
        <v>3</v>
      </c>
      <c r="C2257" t="s">
        <v>3333</v>
      </c>
      <c r="D2257" t="s">
        <v>3334</v>
      </c>
      <c r="E2257" t="s">
        <v>1220</v>
      </c>
      <c r="F2257" t="s">
        <v>1465</v>
      </c>
      <c r="G2257" t="s">
        <v>817</v>
      </c>
      <c r="H2257" t="s">
        <v>514</v>
      </c>
      <c r="I2257" t="s">
        <v>23</v>
      </c>
      <c r="J2257">
        <v>143.57</v>
      </c>
      <c r="K2257" s="1">
        <v>45664</v>
      </c>
      <c r="L2257" t="s">
        <v>48</v>
      </c>
      <c r="M2257">
        <v>7</v>
      </c>
      <c r="N2257">
        <v>1</v>
      </c>
      <c r="O2257">
        <v>1</v>
      </c>
      <c r="P2257">
        <v>2025</v>
      </c>
    </row>
    <row r="2258" spans="1:16">
      <c r="A2258">
        <v>296.10000000000002</v>
      </c>
      <c r="B2258">
        <v>5</v>
      </c>
      <c r="C2258" t="s">
        <v>2165</v>
      </c>
      <c r="D2258" t="s">
        <v>864</v>
      </c>
      <c r="E2258" t="s">
        <v>1155</v>
      </c>
      <c r="F2258" t="s">
        <v>780</v>
      </c>
      <c r="G2258" t="s">
        <v>781</v>
      </c>
      <c r="H2258" t="s">
        <v>516</v>
      </c>
      <c r="I2258" t="s">
        <v>31</v>
      </c>
      <c r="J2258">
        <v>59.22</v>
      </c>
      <c r="K2258" s="1">
        <v>46212</v>
      </c>
      <c r="L2258" t="s">
        <v>105</v>
      </c>
      <c r="M2258">
        <v>9</v>
      </c>
      <c r="N2258">
        <v>7</v>
      </c>
      <c r="O2258">
        <v>3</v>
      </c>
      <c r="P2258">
        <v>2026</v>
      </c>
    </row>
    <row r="2259" spans="1:16">
      <c r="A2259">
        <v>304.68</v>
      </c>
      <c r="B2259">
        <v>3</v>
      </c>
      <c r="C2259" t="s">
        <v>3354</v>
      </c>
      <c r="D2259" t="s">
        <v>3355</v>
      </c>
      <c r="E2259" t="s">
        <v>1569</v>
      </c>
      <c r="F2259" t="s">
        <v>280</v>
      </c>
      <c r="G2259" t="s">
        <v>786</v>
      </c>
      <c r="H2259" t="s">
        <v>426</v>
      </c>
      <c r="I2259" t="s">
        <v>37</v>
      </c>
      <c r="J2259">
        <v>101.56</v>
      </c>
      <c r="K2259" s="1">
        <v>45637</v>
      </c>
      <c r="L2259" t="s">
        <v>34</v>
      </c>
      <c r="M2259">
        <v>11</v>
      </c>
      <c r="N2259">
        <v>12</v>
      </c>
      <c r="O2259">
        <v>4</v>
      </c>
      <c r="P2259">
        <v>2024</v>
      </c>
    </row>
    <row r="2260" spans="1:16">
      <c r="A2260">
        <v>406.86</v>
      </c>
      <c r="B2260">
        <v>2</v>
      </c>
      <c r="C2260" t="s">
        <v>1442</v>
      </c>
      <c r="D2260" t="s">
        <v>1443</v>
      </c>
      <c r="E2260" t="s">
        <v>1444</v>
      </c>
      <c r="F2260" t="s">
        <v>380</v>
      </c>
      <c r="G2260" t="s">
        <v>896</v>
      </c>
      <c r="H2260" t="s">
        <v>128</v>
      </c>
      <c r="I2260" t="s">
        <v>55</v>
      </c>
      <c r="J2260">
        <v>203.43</v>
      </c>
      <c r="K2260" s="1">
        <v>46200</v>
      </c>
      <c r="L2260" t="s">
        <v>14</v>
      </c>
      <c r="M2260">
        <v>27</v>
      </c>
      <c r="N2260">
        <v>6</v>
      </c>
      <c r="O2260">
        <v>2</v>
      </c>
      <c r="P2260">
        <v>2026</v>
      </c>
    </row>
    <row r="2261" spans="1:16">
      <c r="A2261">
        <v>6.28</v>
      </c>
      <c r="B2261">
        <v>1</v>
      </c>
      <c r="C2261" t="s">
        <v>2239</v>
      </c>
      <c r="D2261" t="s">
        <v>2240</v>
      </c>
      <c r="E2261" t="s">
        <v>2241</v>
      </c>
      <c r="F2261" t="s">
        <v>1002</v>
      </c>
      <c r="G2261" t="s">
        <v>1003</v>
      </c>
      <c r="H2261" t="s">
        <v>274</v>
      </c>
      <c r="I2261" t="s">
        <v>19</v>
      </c>
      <c r="J2261">
        <v>6.28</v>
      </c>
      <c r="K2261" s="1">
        <v>45782</v>
      </c>
      <c r="L2261" t="s">
        <v>93</v>
      </c>
      <c r="M2261">
        <v>5</v>
      </c>
      <c r="N2261">
        <v>5</v>
      </c>
      <c r="O2261">
        <v>2</v>
      </c>
      <c r="P2261">
        <v>2025</v>
      </c>
    </row>
    <row r="2262" spans="1:16">
      <c r="A2262">
        <v>13.22</v>
      </c>
      <c r="B2262">
        <v>2</v>
      </c>
      <c r="C2262" t="s">
        <v>2366</v>
      </c>
      <c r="D2262" t="s">
        <v>2367</v>
      </c>
      <c r="E2262" t="s">
        <v>2098</v>
      </c>
      <c r="F2262" t="s">
        <v>211</v>
      </c>
      <c r="G2262" t="s">
        <v>966</v>
      </c>
      <c r="H2262" t="s">
        <v>447</v>
      </c>
      <c r="I2262" t="s">
        <v>21</v>
      </c>
      <c r="J2262">
        <v>6.61</v>
      </c>
      <c r="K2262" s="1">
        <v>46175</v>
      </c>
      <c r="L2262" t="s">
        <v>48</v>
      </c>
      <c r="M2262">
        <v>2</v>
      </c>
      <c r="N2262">
        <v>6</v>
      </c>
      <c r="O2262">
        <v>2</v>
      </c>
      <c r="P2262">
        <v>2026</v>
      </c>
    </row>
    <row r="2263" spans="1:16">
      <c r="A2263">
        <v>914.96</v>
      </c>
      <c r="B2263">
        <v>4</v>
      </c>
      <c r="C2263" t="s">
        <v>1689</v>
      </c>
      <c r="D2263" t="s">
        <v>1690</v>
      </c>
      <c r="E2263" t="s">
        <v>1559</v>
      </c>
      <c r="F2263" t="s">
        <v>1691</v>
      </c>
      <c r="G2263" t="s">
        <v>821</v>
      </c>
      <c r="H2263" t="s">
        <v>566</v>
      </c>
      <c r="I2263" t="s">
        <v>69</v>
      </c>
      <c r="J2263">
        <v>228.74</v>
      </c>
      <c r="K2263" s="1">
        <v>45733</v>
      </c>
      <c r="L2263" t="s">
        <v>93</v>
      </c>
      <c r="M2263">
        <v>17</v>
      </c>
      <c r="N2263">
        <v>3</v>
      </c>
      <c r="O2263">
        <v>1</v>
      </c>
      <c r="P2263">
        <v>2025</v>
      </c>
    </row>
    <row r="2264" spans="1:16">
      <c r="A2264">
        <v>219.20000000000002</v>
      </c>
      <c r="B2264">
        <v>5</v>
      </c>
      <c r="C2264" t="s">
        <v>1029</v>
      </c>
      <c r="D2264" t="s">
        <v>1030</v>
      </c>
      <c r="E2264" t="s">
        <v>1031</v>
      </c>
      <c r="F2264" t="s">
        <v>1032</v>
      </c>
      <c r="G2264" t="s">
        <v>839</v>
      </c>
      <c r="H2264" t="s">
        <v>335</v>
      </c>
      <c r="I2264" t="s">
        <v>37</v>
      </c>
      <c r="J2264">
        <v>43.84</v>
      </c>
      <c r="K2264" s="1">
        <v>45835</v>
      </c>
      <c r="L2264" t="s">
        <v>79</v>
      </c>
      <c r="M2264">
        <v>27</v>
      </c>
      <c r="N2264">
        <v>6</v>
      </c>
      <c r="O2264">
        <v>2</v>
      </c>
      <c r="P2264">
        <v>2025</v>
      </c>
    </row>
    <row r="2265" spans="1:16">
      <c r="A2265">
        <v>205.24</v>
      </c>
      <c r="B2265">
        <v>2</v>
      </c>
      <c r="C2265" t="s">
        <v>909</v>
      </c>
      <c r="D2265" t="s">
        <v>910</v>
      </c>
      <c r="E2265" t="s">
        <v>911</v>
      </c>
      <c r="F2265" t="s">
        <v>29</v>
      </c>
      <c r="G2265" t="s">
        <v>763</v>
      </c>
      <c r="H2265" t="s">
        <v>348</v>
      </c>
      <c r="I2265" t="s">
        <v>60</v>
      </c>
      <c r="J2265">
        <v>102.62</v>
      </c>
      <c r="K2265" s="1">
        <v>45925</v>
      </c>
      <c r="L2265" t="s">
        <v>105</v>
      </c>
      <c r="M2265">
        <v>25</v>
      </c>
      <c r="N2265">
        <v>9</v>
      </c>
      <c r="O2265">
        <v>3</v>
      </c>
      <c r="P2265">
        <v>2025</v>
      </c>
    </row>
    <row r="2266" spans="1:16">
      <c r="A2266">
        <v>612.44999999999993</v>
      </c>
      <c r="B2266">
        <v>5</v>
      </c>
      <c r="C2266" t="s">
        <v>2304</v>
      </c>
      <c r="D2266" t="s">
        <v>2305</v>
      </c>
      <c r="E2266" t="s">
        <v>2306</v>
      </c>
      <c r="F2266" t="s">
        <v>608</v>
      </c>
      <c r="G2266" t="s">
        <v>966</v>
      </c>
      <c r="H2266" t="s">
        <v>449</v>
      </c>
      <c r="I2266" t="s">
        <v>82</v>
      </c>
      <c r="J2266">
        <v>122.49</v>
      </c>
      <c r="K2266" s="1">
        <v>45660</v>
      </c>
      <c r="L2266" t="s">
        <v>79</v>
      </c>
      <c r="M2266">
        <v>3</v>
      </c>
      <c r="N2266">
        <v>1</v>
      </c>
      <c r="O2266">
        <v>1</v>
      </c>
      <c r="P2266">
        <v>2025</v>
      </c>
    </row>
    <row r="2267" spans="1:16">
      <c r="A2267">
        <v>236.88</v>
      </c>
      <c r="B2267">
        <v>4</v>
      </c>
      <c r="C2267" t="s">
        <v>1399</v>
      </c>
      <c r="D2267" t="s">
        <v>1400</v>
      </c>
      <c r="E2267" t="s">
        <v>922</v>
      </c>
      <c r="F2267" t="s">
        <v>1401</v>
      </c>
      <c r="G2267" t="s">
        <v>943</v>
      </c>
      <c r="H2267" t="s">
        <v>516</v>
      </c>
      <c r="I2267" t="s">
        <v>31</v>
      </c>
      <c r="J2267">
        <v>59.22</v>
      </c>
      <c r="K2267" s="1">
        <v>45571</v>
      </c>
      <c r="L2267" t="s">
        <v>28</v>
      </c>
      <c r="M2267">
        <v>6</v>
      </c>
      <c r="N2267">
        <v>10</v>
      </c>
      <c r="O2267">
        <v>4</v>
      </c>
      <c r="P2267">
        <v>2024</v>
      </c>
    </row>
    <row r="2268" spans="1:16">
      <c r="A2268">
        <v>1029.75</v>
      </c>
      <c r="B2268">
        <v>5</v>
      </c>
      <c r="C2268" t="s">
        <v>2248</v>
      </c>
      <c r="D2268" t="s">
        <v>2249</v>
      </c>
      <c r="E2268" t="s">
        <v>2250</v>
      </c>
      <c r="F2268" t="s">
        <v>513</v>
      </c>
      <c r="G2268" t="s">
        <v>748</v>
      </c>
      <c r="H2268" t="s">
        <v>705</v>
      </c>
      <c r="I2268" t="s">
        <v>60</v>
      </c>
      <c r="J2268">
        <v>205.95</v>
      </c>
      <c r="K2268" s="1">
        <v>45664</v>
      </c>
      <c r="L2268" t="s">
        <v>48</v>
      </c>
      <c r="M2268">
        <v>7</v>
      </c>
      <c r="N2268">
        <v>1</v>
      </c>
      <c r="O2268">
        <v>1</v>
      </c>
      <c r="P2268">
        <v>2025</v>
      </c>
    </row>
    <row r="2269" spans="1:16">
      <c r="A2269">
        <v>469.76</v>
      </c>
      <c r="B2269">
        <v>4</v>
      </c>
      <c r="C2269" t="s">
        <v>3181</v>
      </c>
      <c r="D2269" t="s">
        <v>3182</v>
      </c>
      <c r="E2269" t="s">
        <v>784</v>
      </c>
      <c r="F2269" t="s">
        <v>929</v>
      </c>
      <c r="G2269" t="s">
        <v>830</v>
      </c>
      <c r="H2269" t="s">
        <v>419</v>
      </c>
      <c r="I2269" t="s">
        <v>39</v>
      </c>
      <c r="J2269">
        <v>117.44</v>
      </c>
      <c r="K2269" s="1">
        <v>45673</v>
      </c>
      <c r="L2269" t="s">
        <v>105</v>
      </c>
      <c r="M2269">
        <v>16</v>
      </c>
      <c r="N2269">
        <v>1</v>
      </c>
      <c r="O2269">
        <v>1</v>
      </c>
      <c r="P2269">
        <v>2025</v>
      </c>
    </row>
    <row r="2270" spans="1:16">
      <c r="A2270">
        <v>971.24</v>
      </c>
      <c r="B2270">
        <v>4</v>
      </c>
      <c r="C2270" t="s">
        <v>1200</v>
      </c>
      <c r="D2270" t="s">
        <v>1201</v>
      </c>
      <c r="E2270" t="s">
        <v>1202</v>
      </c>
      <c r="F2270" t="s">
        <v>1137</v>
      </c>
      <c r="G2270" t="s">
        <v>748</v>
      </c>
      <c r="H2270" t="s">
        <v>329</v>
      </c>
      <c r="I2270" t="s">
        <v>82</v>
      </c>
      <c r="J2270">
        <v>242.81</v>
      </c>
      <c r="K2270" s="1">
        <v>45914</v>
      </c>
      <c r="L2270" t="s">
        <v>28</v>
      </c>
      <c r="M2270">
        <v>14</v>
      </c>
      <c r="N2270">
        <v>9</v>
      </c>
      <c r="O2270">
        <v>3</v>
      </c>
      <c r="P2270">
        <v>2025</v>
      </c>
    </row>
    <row r="2271" spans="1:16">
      <c r="A2271">
        <v>100.10999999999999</v>
      </c>
      <c r="B2271">
        <v>3</v>
      </c>
      <c r="C2271" t="s">
        <v>2202</v>
      </c>
      <c r="D2271" t="s">
        <v>2203</v>
      </c>
      <c r="E2271" t="s">
        <v>2204</v>
      </c>
      <c r="F2271" t="s">
        <v>1026</v>
      </c>
      <c r="G2271" t="s">
        <v>896</v>
      </c>
      <c r="H2271" t="s">
        <v>388</v>
      </c>
      <c r="I2271" t="s">
        <v>46</v>
      </c>
      <c r="J2271">
        <v>33.369999999999997</v>
      </c>
      <c r="K2271" s="1">
        <v>46057</v>
      </c>
      <c r="L2271" t="s">
        <v>34</v>
      </c>
      <c r="M2271">
        <v>4</v>
      </c>
      <c r="N2271">
        <v>2</v>
      </c>
      <c r="O2271">
        <v>1</v>
      </c>
      <c r="P2271">
        <v>2026</v>
      </c>
    </row>
    <row r="2272" spans="1:16">
      <c r="A2272">
        <v>717.28</v>
      </c>
      <c r="B2272">
        <v>4</v>
      </c>
      <c r="C2272" t="s">
        <v>1557</v>
      </c>
      <c r="D2272" t="s">
        <v>1558</v>
      </c>
      <c r="E2272" t="s">
        <v>1559</v>
      </c>
      <c r="F2272" t="s">
        <v>635</v>
      </c>
      <c r="G2272" t="s">
        <v>768</v>
      </c>
      <c r="H2272" t="s">
        <v>174</v>
      </c>
      <c r="I2272" t="s">
        <v>122</v>
      </c>
      <c r="J2272">
        <v>179.32</v>
      </c>
      <c r="K2272" s="1">
        <v>45987</v>
      </c>
      <c r="L2272" t="s">
        <v>34</v>
      </c>
      <c r="M2272">
        <v>26</v>
      </c>
      <c r="N2272">
        <v>11</v>
      </c>
      <c r="O2272">
        <v>4</v>
      </c>
      <c r="P2272">
        <v>2025</v>
      </c>
    </row>
    <row r="2273" spans="1:16">
      <c r="A2273">
        <v>262.86</v>
      </c>
      <c r="B2273">
        <v>3</v>
      </c>
      <c r="C2273" t="s">
        <v>2099</v>
      </c>
      <c r="D2273" t="s">
        <v>2100</v>
      </c>
      <c r="E2273" t="s">
        <v>1085</v>
      </c>
      <c r="F2273" t="s">
        <v>1172</v>
      </c>
      <c r="G2273" t="s">
        <v>830</v>
      </c>
      <c r="H2273" t="s">
        <v>59</v>
      </c>
      <c r="I2273" t="s">
        <v>60</v>
      </c>
      <c r="J2273">
        <v>87.62</v>
      </c>
      <c r="K2273" s="1">
        <v>45569</v>
      </c>
      <c r="L2273" t="s">
        <v>79</v>
      </c>
      <c r="M2273">
        <v>4</v>
      </c>
      <c r="N2273">
        <v>10</v>
      </c>
      <c r="O2273">
        <v>4</v>
      </c>
      <c r="P2273">
        <v>2024</v>
      </c>
    </row>
    <row r="2274" spans="1:16">
      <c r="A2274">
        <v>524.9</v>
      </c>
      <c r="B2274">
        <v>5</v>
      </c>
      <c r="C2274" t="s">
        <v>1229</v>
      </c>
      <c r="D2274" t="s">
        <v>1230</v>
      </c>
      <c r="E2274" t="s">
        <v>1231</v>
      </c>
      <c r="F2274" t="s">
        <v>1232</v>
      </c>
      <c r="G2274" t="s">
        <v>817</v>
      </c>
      <c r="H2274" t="s">
        <v>690</v>
      </c>
      <c r="I2274" t="s">
        <v>46</v>
      </c>
      <c r="J2274">
        <v>104.98</v>
      </c>
      <c r="K2274" s="1">
        <v>45758</v>
      </c>
      <c r="L2274" t="s">
        <v>79</v>
      </c>
      <c r="M2274">
        <v>11</v>
      </c>
      <c r="N2274">
        <v>4</v>
      </c>
      <c r="O2274">
        <v>2</v>
      </c>
      <c r="P2274">
        <v>2025</v>
      </c>
    </row>
    <row r="2275" spans="1:16">
      <c r="A2275">
        <v>256.33999999999997</v>
      </c>
      <c r="B2275">
        <v>2</v>
      </c>
      <c r="C2275" t="s">
        <v>2276</v>
      </c>
      <c r="D2275" t="s">
        <v>2277</v>
      </c>
      <c r="E2275" t="s">
        <v>2004</v>
      </c>
      <c r="F2275" t="s">
        <v>322</v>
      </c>
      <c r="G2275" t="s">
        <v>795</v>
      </c>
      <c r="H2275" t="s">
        <v>487</v>
      </c>
      <c r="I2275" t="s">
        <v>19</v>
      </c>
      <c r="J2275">
        <v>128.16999999999999</v>
      </c>
      <c r="K2275" s="1">
        <v>46108</v>
      </c>
      <c r="L2275" t="s">
        <v>79</v>
      </c>
      <c r="M2275">
        <v>27</v>
      </c>
      <c r="N2275">
        <v>3</v>
      </c>
      <c r="O2275">
        <v>1</v>
      </c>
      <c r="P2275">
        <v>2026</v>
      </c>
    </row>
    <row r="2276" spans="1:16">
      <c r="A2276">
        <v>104.85</v>
      </c>
      <c r="B2276">
        <v>5</v>
      </c>
      <c r="C2276" t="s">
        <v>754</v>
      </c>
      <c r="D2276" t="s">
        <v>755</v>
      </c>
      <c r="E2276" t="s">
        <v>756</v>
      </c>
      <c r="F2276" t="s">
        <v>757</v>
      </c>
      <c r="G2276" t="s">
        <v>758</v>
      </c>
      <c r="H2276" t="s">
        <v>472</v>
      </c>
      <c r="I2276" t="s">
        <v>122</v>
      </c>
      <c r="J2276">
        <v>20.97</v>
      </c>
      <c r="K2276" s="1">
        <v>45959</v>
      </c>
      <c r="L2276" t="s">
        <v>34</v>
      </c>
      <c r="M2276">
        <v>29</v>
      </c>
      <c r="N2276">
        <v>10</v>
      </c>
      <c r="O2276">
        <v>4</v>
      </c>
      <c r="P2276">
        <v>2025</v>
      </c>
    </row>
    <row r="2277" spans="1:16">
      <c r="A2277">
        <v>245.01</v>
      </c>
      <c r="B2277">
        <v>1</v>
      </c>
      <c r="C2277" t="s">
        <v>1914</v>
      </c>
      <c r="D2277" t="s">
        <v>1915</v>
      </c>
      <c r="E2277" t="s">
        <v>976</v>
      </c>
      <c r="F2277" t="s">
        <v>1199</v>
      </c>
      <c r="G2277" t="s">
        <v>839</v>
      </c>
      <c r="H2277" t="s">
        <v>53</v>
      </c>
      <c r="I2277" t="s">
        <v>43</v>
      </c>
      <c r="J2277">
        <v>245.01</v>
      </c>
      <c r="K2277" s="1">
        <v>45692</v>
      </c>
      <c r="L2277" t="s">
        <v>48</v>
      </c>
      <c r="M2277">
        <v>4</v>
      </c>
      <c r="N2277">
        <v>2</v>
      </c>
      <c r="O2277">
        <v>1</v>
      </c>
      <c r="P2277">
        <v>2025</v>
      </c>
    </row>
    <row r="2278" spans="1:16">
      <c r="A2278">
        <v>174.77</v>
      </c>
      <c r="B2278">
        <v>1</v>
      </c>
      <c r="C2278" t="s">
        <v>1331</v>
      </c>
      <c r="D2278" t="s">
        <v>1332</v>
      </c>
      <c r="E2278" t="s">
        <v>1133</v>
      </c>
      <c r="F2278" t="s">
        <v>825</v>
      </c>
      <c r="G2278" t="s">
        <v>781</v>
      </c>
      <c r="H2278" t="s">
        <v>483</v>
      </c>
      <c r="I2278" t="s">
        <v>100</v>
      </c>
      <c r="J2278">
        <v>174.77</v>
      </c>
      <c r="K2278" s="1">
        <v>46244</v>
      </c>
      <c r="L2278" t="s">
        <v>93</v>
      </c>
      <c r="M2278">
        <v>10</v>
      </c>
      <c r="N2278">
        <v>8</v>
      </c>
      <c r="O2278">
        <v>3</v>
      </c>
      <c r="P2278">
        <v>2026</v>
      </c>
    </row>
    <row r="2279" spans="1:16">
      <c r="A2279">
        <v>810.12</v>
      </c>
      <c r="B2279">
        <v>4</v>
      </c>
      <c r="C2279" t="s">
        <v>926</v>
      </c>
      <c r="D2279" t="s">
        <v>927</v>
      </c>
      <c r="E2279" t="s">
        <v>928</v>
      </c>
      <c r="F2279" t="s">
        <v>929</v>
      </c>
      <c r="G2279" t="s">
        <v>830</v>
      </c>
      <c r="H2279" t="s">
        <v>251</v>
      </c>
      <c r="I2279" t="s">
        <v>122</v>
      </c>
      <c r="J2279">
        <v>202.53</v>
      </c>
      <c r="K2279" s="1">
        <v>45574</v>
      </c>
      <c r="L2279" t="s">
        <v>34</v>
      </c>
      <c r="M2279">
        <v>9</v>
      </c>
      <c r="N2279">
        <v>10</v>
      </c>
      <c r="O2279">
        <v>4</v>
      </c>
      <c r="P2279">
        <v>2024</v>
      </c>
    </row>
    <row r="2280" spans="1:16">
      <c r="A2280">
        <v>729.04</v>
      </c>
      <c r="B2280">
        <v>4</v>
      </c>
      <c r="C2280" t="s">
        <v>2207</v>
      </c>
      <c r="D2280" t="s">
        <v>2208</v>
      </c>
      <c r="E2280" t="s">
        <v>1854</v>
      </c>
      <c r="F2280" t="s">
        <v>1920</v>
      </c>
      <c r="G2280" t="s">
        <v>807</v>
      </c>
      <c r="H2280" t="s">
        <v>378</v>
      </c>
      <c r="I2280" t="s">
        <v>57</v>
      </c>
      <c r="J2280">
        <v>182.26</v>
      </c>
      <c r="K2280" s="1">
        <v>45613</v>
      </c>
      <c r="L2280" t="s">
        <v>28</v>
      </c>
      <c r="M2280">
        <v>17</v>
      </c>
      <c r="N2280">
        <v>11</v>
      </c>
      <c r="O2280">
        <v>4</v>
      </c>
      <c r="P2280">
        <v>2024</v>
      </c>
    </row>
    <row r="2281" spans="1:16">
      <c r="A2281">
        <v>91.68</v>
      </c>
      <c r="B2281">
        <v>4</v>
      </c>
      <c r="C2281" t="s">
        <v>939</v>
      </c>
      <c r="D2281" t="s">
        <v>940</v>
      </c>
      <c r="E2281" t="s">
        <v>941</v>
      </c>
      <c r="F2281" t="s">
        <v>942</v>
      </c>
      <c r="G2281" t="s">
        <v>943</v>
      </c>
      <c r="H2281" t="s">
        <v>167</v>
      </c>
      <c r="I2281" t="s">
        <v>23</v>
      </c>
      <c r="J2281">
        <v>22.92</v>
      </c>
      <c r="K2281" s="1">
        <v>45751</v>
      </c>
      <c r="L2281" t="s">
        <v>79</v>
      </c>
      <c r="M2281">
        <v>4</v>
      </c>
      <c r="N2281">
        <v>4</v>
      </c>
      <c r="O2281">
        <v>2</v>
      </c>
      <c r="P2281">
        <v>2025</v>
      </c>
    </row>
    <row r="2282" spans="1:16">
      <c r="A2282">
        <v>1086.8000000000002</v>
      </c>
      <c r="B2282">
        <v>5</v>
      </c>
      <c r="C2282" t="s">
        <v>1115</v>
      </c>
      <c r="D2282" t="s">
        <v>1116</v>
      </c>
      <c r="E2282" t="s">
        <v>1117</v>
      </c>
      <c r="F2282" t="s">
        <v>1118</v>
      </c>
      <c r="G2282" t="s">
        <v>821</v>
      </c>
      <c r="H2282" t="s">
        <v>103</v>
      </c>
      <c r="I2282" t="s">
        <v>46</v>
      </c>
      <c r="J2282">
        <v>217.36</v>
      </c>
      <c r="K2282" s="1">
        <v>45847</v>
      </c>
      <c r="L2282" t="s">
        <v>34</v>
      </c>
      <c r="M2282">
        <v>9</v>
      </c>
      <c r="N2282">
        <v>7</v>
      </c>
      <c r="O2282">
        <v>3</v>
      </c>
      <c r="P2282">
        <v>2025</v>
      </c>
    </row>
    <row r="2283" spans="1:16">
      <c r="A2283">
        <v>449.34000000000003</v>
      </c>
      <c r="B2283">
        <v>3</v>
      </c>
      <c r="C2283" t="s">
        <v>2662</v>
      </c>
      <c r="D2283" t="s">
        <v>2663</v>
      </c>
      <c r="E2283" t="s">
        <v>2416</v>
      </c>
      <c r="F2283" t="s">
        <v>825</v>
      </c>
      <c r="G2283" t="s">
        <v>781</v>
      </c>
      <c r="H2283" t="s">
        <v>427</v>
      </c>
      <c r="I2283" t="s">
        <v>21</v>
      </c>
      <c r="J2283">
        <v>149.78</v>
      </c>
      <c r="K2283" s="1">
        <v>45966</v>
      </c>
      <c r="L2283" t="s">
        <v>34</v>
      </c>
      <c r="M2283">
        <v>5</v>
      </c>
      <c r="N2283">
        <v>11</v>
      </c>
      <c r="O2283">
        <v>4</v>
      </c>
      <c r="P2283">
        <v>2025</v>
      </c>
    </row>
    <row r="2284" spans="1:16">
      <c r="A2284">
        <v>1007.65</v>
      </c>
      <c r="B2284">
        <v>5</v>
      </c>
      <c r="C2284" t="s">
        <v>2104</v>
      </c>
      <c r="D2284" t="s">
        <v>2105</v>
      </c>
      <c r="E2284" t="s">
        <v>991</v>
      </c>
      <c r="F2284" t="s">
        <v>29</v>
      </c>
      <c r="G2284" t="s">
        <v>821</v>
      </c>
      <c r="H2284" t="s">
        <v>476</v>
      </c>
      <c r="I2284" t="s">
        <v>31</v>
      </c>
      <c r="J2284">
        <v>201.53</v>
      </c>
      <c r="K2284" s="1">
        <v>45900</v>
      </c>
      <c r="L2284" t="s">
        <v>28</v>
      </c>
      <c r="M2284">
        <v>31</v>
      </c>
      <c r="N2284">
        <v>8</v>
      </c>
      <c r="O2284">
        <v>3</v>
      </c>
      <c r="P2284">
        <v>2025</v>
      </c>
    </row>
    <row r="2285" spans="1:16">
      <c r="A2285">
        <v>567.66</v>
      </c>
      <c r="B2285">
        <v>3</v>
      </c>
      <c r="C2285" t="s">
        <v>1131</v>
      </c>
      <c r="D2285" t="s">
        <v>1132</v>
      </c>
      <c r="E2285" t="s">
        <v>1133</v>
      </c>
      <c r="F2285" t="s">
        <v>1107</v>
      </c>
      <c r="G2285" t="s">
        <v>763</v>
      </c>
      <c r="H2285" t="s">
        <v>634</v>
      </c>
      <c r="I2285" t="s">
        <v>46</v>
      </c>
      <c r="J2285">
        <v>189.22</v>
      </c>
      <c r="K2285" s="1">
        <v>45801</v>
      </c>
      <c r="L2285" t="s">
        <v>14</v>
      </c>
      <c r="M2285">
        <v>24</v>
      </c>
      <c r="N2285">
        <v>5</v>
      </c>
      <c r="O2285">
        <v>2</v>
      </c>
      <c r="P2285">
        <v>2025</v>
      </c>
    </row>
    <row r="2286" spans="1:16">
      <c r="A2286">
        <v>399.6</v>
      </c>
      <c r="B2286">
        <v>5</v>
      </c>
      <c r="C2286" t="s">
        <v>1998</v>
      </c>
      <c r="D2286" t="s">
        <v>1999</v>
      </c>
      <c r="E2286" t="s">
        <v>1162</v>
      </c>
      <c r="F2286" t="s">
        <v>806</v>
      </c>
      <c r="G2286" t="s">
        <v>807</v>
      </c>
      <c r="H2286" t="s">
        <v>209</v>
      </c>
      <c r="I2286" t="s">
        <v>25</v>
      </c>
      <c r="J2286">
        <v>79.92</v>
      </c>
      <c r="K2286" s="1">
        <v>45910</v>
      </c>
      <c r="L2286" t="s">
        <v>34</v>
      </c>
      <c r="M2286">
        <v>10</v>
      </c>
      <c r="N2286">
        <v>9</v>
      </c>
      <c r="O2286">
        <v>3</v>
      </c>
      <c r="P2286">
        <v>2025</v>
      </c>
    </row>
    <row r="2287" spans="1:16">
      <c r="A2287">
        <v>990.08</v>
      </c>
      <c r="B2287">
        <v>4</v>
      </c>
      <c r="C2287" t="s">
        <v>904</v>
      </c>
      <c r="D2287" t="s">
        <v>905</v>
      </c>
      <c r="E2287" t="s">
        <v>906</v>
      </c>
      <c r="F2287" t="s">
        <v>907</v>
      </c>
      <c r="G2287" t="s">
        <v>908</v>
      </c>
      <c r="H2287" t="s">
        <v>372</v>
      </c>
      <c r="I2287" t="s">
        <v>23</v>
      </c>
      <c r="J2287">
        <v>247.52</v>
      </c>
      <c r="K2287" s="1">
        <v>45782</v>
      </c>
      <c r="L2287" t="s">
        <v>93</v>
      </c>
      <c r="M2287">
        <v>5</v>
      </c>
      <c r="N2287">
        <v>5</v>
      </c>
      <c r="O2287">
        <v>2</v>
      </c>
      <c r="P2287">
        <v>2025</v>
      </c>
    </row>
    <row r="2288" spans="1:16">
      <c r="A2288">
        <v>83.88</v>
      </c>
      <c r="B2288">
        <v>4</v>
      </c>
      <c r="C2288" t="s">
        <v>2435</v>
      </c>
      <c r="D2288" t="s">
        <v>2436</v>
      </c>
      <c r="E2288" t="s">
        <v>1295</v>
      </c>
      <c r="F2288" t="s">
        <v>280</v>
      </c>
      <c r="G2288" t="s">
        <v>786</v>
      </c>
      <c r="H2288" t="s">
        <v>472</v>
      </c>
      <c r="I2288" t="s">
        <v>122</v>
      </c>
      <c r="J2288">
        <v>20.97</v>
      </c>
      <c r="K2288" s="1">
        <v>45948</v>
      </c>
      <c r="L2288" t="s">
        <v>14</v>
      </c>
      <c r="M2288">
        <v>18</v>
      </c>
      <c r="N2288">
        <v>10</v>
      </c>
      <c r="O2288">
        <v>4</v>
      </c>
      <c r="P2288">
        <v>2025</v>
      </c>
    </row>
    <row r="2289" spans="1:16">
      <c r="A2289">
        <v>725.93999999999994</v>
      </c>
      <c r="B2289">
        <v>3</v>
      </c>
      <c r="C2289" t="s">
        <v>787</v>
      </c>
      <c r="D2289" t="s">
        <v>788</v>
      </c>
      <c r="E2289" t="s">
        <v>789</v>
      </c>
      <c r="F2289" t="s">
        <v>160</v>
      </c>
      <c r="G2289" t="s">
        <v>790</v>
      </c>
      <c r="H2289" t="s">
        <v>203</v>
      </c>
      <c r="I2289" t="s">
        <v>100</v>
      </c>
      <c r="J2289">
        <v>241.98</v>
      </c>
      <c r="K2289" s="1">
        <v>45824</v>
      </c>
      <c r="L2289" t="s">
        <v>93</v>
      </c>
      <c r="M2289">
        <v>16</v>
      </c>
      <c r="N2289">
        <v>6</v>
      </c>
      <c r="O2289">
        <v>2</v>
      </c>
      <c r="P2289">
        <v>2025</v>
      </c>
    </row>
    <row r="2290" spans="1:16">
      <c r="A2290">
        <v>318.72000000000003</v>
      </c>
      <c r="B2290">
        <v>4</v>
      </c>
      <c r="C2290" t="s">
        <v>1264</v>
      </c>
      <c r="D2290" t="s">
        <v>1265</v>
      </c>
      <c r="E2290" t="s">
        <v>1266</v>
      </c>
      <c r="F2290" t="s">
        <v>392</v>
      </c>
      <c r="G2290" t="s">
        <v>943</v>
      </c>
      <c r="H2290" t="s">
        <v>565</v>
      </c>
      <c r="I2290" t="s">
        <v>17</v>
      </c>
      <c r="J2290">
        <v>79.680000000000007</v>
      </c>
      <c r="K2290" s="1">
        <v>46137</v>
      </c>
      <c r="L2290" t="s">
        <v>14</v>
      </c>
      <c r="M2290">
        <v>25</v>
      </c>
      <c r="N2290">
        <v>4</v>
      </c>
      <c r="O2290">
        <v>2</v>
      </c>
      <c r="P2290">
        <v>2026</v>
      </c>
    </row>
    <row r="2291" spans="1:16">
      <c r="A2291">
        <v>679.08</v>
      </c>
      <c r="B2291">
        <v>4</v>
      </c>
      <c r="C2291" t="s">
        <v>2363</v>
      </c>
      <c r="D2291" t="s">
        <v>2364</v>
      </c>
      <c r="E2291" t="s">
        <v>2365</v>
      </c>
      <c r="F2291" t="s">
        <v>903</v>
      </c>
      <c r="G2291" t="s">
        <v>786</v>
      </c>
      <c r="H2291" t="s">
        <v>300</v>
      </c>
      <c r="I2291" t="s">
        <v>55</v>
      </c>
      <c r="J2291">
        <v>169.77</v>
      </c>
      <c r="K2291" s="1">
        <v>46022</v>
      </c>
      <c r="L2291" t="s">
        <v>34</v>
      </c>
      <c r="M2291">
        <v>31</v>
      </c>
      <c r="N2291">
        <v>12</v>
      </c>
      <c r="O2291">
        <v>4</v>
      </c>
      <c r="P2291">
        <v>2025</v>
      </c>
    </row>
    <row r="2292" spans="1:16">
      <c r="A2292">
        <v>59.22</v>
      </c>
      <c r="B2292">
        <v>1</v>
      </c>
      <c r="C2292" t="s">
        <v>2339</v>
      </c>
      <c r="D2292" t="s">
        <v>2340</v>
      </c>
      <c r="E2292" t="s">
        <v>2341</v>
      </c>
      <c r="F2292" t="s">
        <v>1469</v>
      </c>
      <c r="G2292" t="s">
        <v>908</v>
      </c>
      <c r="H2292" t="s">
        <v>516</v>
      </c>
      <c r="I2292" t="s">
        <v>31</v>
      </c>
      <c r="J2292">
        <v>59.22</v>
      </c>
      <c r="K2292" s="1">
        <v>45796</v>
      </c>
      <c r="L2292" t="s">
        <v>93</v>
      </c>
      <c r="M2292">
        <v>19</v>
      </c>
      <c r="N2292">
        <v>5</v>
      </c>
      <c r="O2292">
        <v>2</v>
      </c>
      <c r="P2292">
        <v>2025</v>
      </c>
    </row>
    <row r="2293" spans="1:16">
      <c r="A2293">
        <v>194.46</v>
      </c>
      <c r="B2293">
        <v>1</v>
      </c>
      <c r="C2293" t="s">
        <v>2278</v>
      </c>
      <c r="D2293" t="s">
        <v>2279</v>
      </c>
      <c r="E2293" t="s">
        <v>2280</v>
      </c>
      <c r="F2293" t="s">
        <v>1239</v>
      </c>
      <c r="G2293" t="s">
        <v>795</v>
      </c>
      <c r="H2293" t="s">
        <v>486</v>
      </c>
      <c r="I2293" t="s">
        <v>100</v>
      </c>
      <c r="J2293">
        <v>194.46</v>
      </c>
      <c r="K2293" s="1">
        <v>46092</v>
      </c>
      <c r="L2293" t="s">
        <v>34</v>
      </c>
      <c r="M2293">
        <v>11</v>
      </c>
      <c r="N2293">
        <v>3</v>
      </c>
      <c r="O2293">
        <v>1</v>
      </c>
      <c r="P2293">
        <v>2026</v>
      </c>
    </row>
    <row r="2294" spans="1:16">
      <c r="A2294">
        <v>178.68</v>
      </c>
      <c r="B2294">
        <v>3</v>
      </c>
      <c r="C2294" t="s">
        <v>3512</v>
      </c>
      <c r="D2294" t="s">
        <v>3513</v>
      </c>
      <c r="E2294" t="s">
        <v>1418</v>
      </c>
      <c r="F2294" t="s">
        <v>1156</v>
      </c>
      <c r="G2294" t="s">
        <v>839</v>
      </c>
      <c r="H2294" t="s">
        <v>573</v>
      </c>
      <c r="I2294" t="s">
        <v>55</v>
      </c>
      <c r="J2294">
        <v>59.56</v>
      </c>
      <c r="K2294" s="1">
        <v>45726</v>
      </c>
      <c r="L2294" t="s">
        <v>93</v>
      </c>
      <c r="M2294">
        <v>10</v>
      </c>
      <c r="N2294">
        <v>3</v>
      </c>
      <c r="O2294">
        <v>1</v>
      </c>
      <c r="P2294">
        <v>2025</v>
      </c>
    </row>
    <row r="2295" spans="1:16">
      <c r="A2295">
        <v>169.59</v>
      </c>
      <c r="B2295">
        <v>3</v>
      </c>
      <c r="C2295" t="s">
        <v>1836</v>
      </c>
      <c r="D2295" t="s">
        <v>1837</v>
      </c>
      <c r="E2295" t="s">
        <v>1838</v>
      </c>
      <c r="F2295" t="s">
        <v>64</v>
      </c>
      <c r="G2295" t="s">
        <v>892</v>
      </c>
      <c r="H2295" t="s">
        <v>123</v>
      </c>
      <c r="I2295" t="s">
        <v>43</v>
      </c>
      <c r="J2295">
        <v>56.53</v>
      </c>
      <c r="K2295" s="1">
        <v>46024</v>
      </c>
      <c r="L2295" t="s">
        <v>79</v>
      </c>
      <c r="M2295">
        <v>2</v>
      </c>
      <c r="N2295">
        <v>1</v>
      </c>
      <c r="O2295">
        <v>1</v>
      </c>
      <c r="P2295">
        <v>2026</v>
      </c>
    </row>
    <row r="2296" spans="1:16">
      <c r="A2296">
        <v>43.81</v>
      </c>
      <c r="B2296">
        <v>1</v>
      </c>
      <c r="C2296" t="s">
        <v>3187</v>
      </c>
      <c r="D2296" t="s">
        <v>3188</v>
      </c>
      <c r="E2296" t="s">
        <v>1501</v>
      </c>
      <c r="F2296" t="s">
        <v>1189</v>
      </c>
      <c r="G2296" t="s">
        <v>892</v>
      </c>
      <c r="H2296" t="s">
        <v>354</v>
      </c>
      <c r="I2296" t="s">
        <v>31</v>
      </c>
      <c r="J2296">
        <v>43.81</v>
      </c>
      <c r="K2296" s="1">
        <v>45702</v>
      </c>
      <c r="L2296" t="s">
        <v>79</v>
      </c>
      <c r="M2296">
        <v>14</v>
      </c>
      <c r="N2296">
        <v>2</v>
      </c>
      <c r="O2296">
        <v>1</v>
      </c>
      <c r="P2296">
        <v>2025</v>
      </c>
    </row>
    <row r="2297" spans="1:16">
      <c r="A2297">
        <v>992.2</v>
      </c>
      <c r="B2297">
        <v>5</v>
      </c>
      <c r="C2297" t="s">
        <v>2980</v>
      </c>
      <c r="D2297" t="s">
        <v>2981</v>
      </c>
      <c r="E2297" t="s">
        <v>1140</v>
      </c>
      <c r="F2297" t="s">
        <v>2982</v>
      </c>
      <c r="G2297" t="s">
        <v>839</v>
      </c>
      <c r="H2297" t="s">
        <v>40</v>
      </c>
      <c r="I2297" t="s">
        <v>37</v>
      </c>
      <c r="J2297">
        <v>198.44</v>
      </c>
      <c r="K2297" s="1">
        <v>45963</v>
      </c>
      <c r="L2297" t="s">
        <v>28</v>
      </c>
      <c r="M2297">
        <v>2</v>
      </c>
      <c r="N2297">
        <v>11</v>
      </c>
      <c r="O2297">
        <v>4</v>
      </c>
      <c r="P2297">
        <v>2025</v>
      </c>
    </row>
    <row r="2298" spans="1:16">
      <c r="A2298">
        <v>83.62</v>
      </c>
      <c r="B2298">
        <v>1</v>
      </c>
      <c r="C2298" t="s">
        <v>1671</v>
      </c>
      <c r="D2298" t="s">
        <v>1672</v>
      </c>
      <c r="E2298" t="s">
        <v>1013</v>
      </c>
      <c r="F2298" t="s">
        <v>1673</v>
      </c>
      <c r="G2298" t="s">
        <v>821</v>
      </c>
      <c r="H2298" t="s">
        <v>649</v>
      </c>
      <c r="I2298" t="s">
        <v>23</v>
      </c>
      <c r="J2298">
        <v>83.62</v>
      </c>
      <c r="K2298" s="1">
        <v>46270</v>
      </c>
      <c r="L2298" t="s">
        <v>14</v>
      </c>
      <c r="M2298">
        <v>5</v>
      </c>
      <c r="N2298">
        <v>9</v>
      </c>
      <c r="O2298">
        <v>3</v>
      </c>
      <c r="P2298">
        <v>2026</v>
      </c>
    </row>
    <row r="2299" spans="1:16">
      <c r="A2299">
        <v>845.19999999999993</v>
      </c>
      <c r="B2299">
        <v>5</v>
      </c>
      <c r="C2299" t="s">
        <v>936</v>
      </c>
      <c r="D2299" t="s">
        <v>937</v>
      </c>
      <c r="E2299" t="s">
        <v>938</v>
      </c>
      <c r="F2299" t="s">
        <v>794</v>
      </c>
      <c r="G2299" t="s">
        <v>795</v>
      </c>
      <c r="H2299" t="s">
        <v>443</v>
      </c>
      <c r="I2299" t="s">
        <v>55</v>
      </c>
      <c r="J2299">
        <v>169.04</v>
      </c>
      <c r="K2299" s="1">
        <v>46090</v>
      </c>
      <c r="L2299" t="s">
        <v>93</v>
      </c>
      <c r="M2299">
        <v>9</v>
      </c>
      <c r="N2299">
        <v>3</v>
      </c>
      <c r="O2299">
        <v>1</v>
      </c>
      <c r="P2299">
        <v>2026</v>
      </c>
    </row>
    <row r="2300" spans="1:16">
      <c r="A2300">
        <v>933.68</v>
      </c>
      <c r="B2300">
        <v>4</v>
      </c>
      <c r="C2300" t="s">
        <v>2221</v>
      </c>
      <c r="D2300" t="s">
        <v>2222</v>
      </c>
      <c r="E2300" t="s">
        <v>798</v>
      </c>
      <c r="F2300" t="s">
        <v>816</v>
      </c>
      <c r="G2300" t="s">
        <v>817</v>
      </c>
      <c r="H2300" t="s">
        <v>632</v>
      </c>
      <c r="I2300" t="s">
        <v>57</v>
      </c>
      <c r="J2300">
        <v>233.42</v>
      </c>
      <c r="K2300" s="1">
        <v>45946</v>
      </c>
      <c r="L2300" t="s">
        <v>105</v>
      </c>
      <c r="M2300">
        <v>16</v>
      </c>
      <c r="N2300">
        <v>10</v>
      </c>
      <c r="O2300">
        <v>4</v>
      </c>
      <c r="P2300">
        <v>2025</v>
      </c>
    </row>
    <row r="2301" spans="1:16">
      <c r="A2301">
        <v>707.75</v>
      </c>
      <c r="B2301">
        <v>5</v>
      </c>
      <c r="C2301" t="s">
        <v>2741</v>
      </c>
      <c r="D2301" t="s">
        <v>2742</v>
      </c>
      <c r="E2301" t="s">
        <v>2743</v>
      </c>
      <c r="F2301" t="s">
        <v>995</v>
      </c>
      <c r="G2301" t="s">
        <v>781</v>
      </c>
      <c r="H2301" t="s">
        <v>273</v>
      </c>
      <c r="I2301" t="s">
        <v>100</v>
      </c>
      <c r="J2301">
        <v>141.55000000000001</v>
      </c>
      <c r="K2301" s="1">
        <v>45968</v>
      </c>
      <c r="L2301" t="s">
        <v>79</v>
      </c>
      <c r="M2301">
        <v>7</v>
      </c>
      <c r="N2301">
        <v>11</v>
      </c>
      <c r="O2301">
        <v>4</v>
      </c>
      <c r="P2301">
        <v>2025</v>
      </c>
    </row>
    <row r="2302" spans="1:16">
      <c r="A2302">
        <v>491.56</v>
      </c>
      <c r="B2302">
        <v>4</v>
      </c>
      <c r="C2302" t="s">
        <v>3110</v>
      </c>
      <c r="D2302" t="s">
        <v>3111</v>
      </c>
      <c r="E2302" t="s">
        <v>751</v>
      </c>
      <c r="F2302" t="s">
        <v>113</v>
      </c>
      <c r="G2302" t="s">
        <v>1247</v>
      </c>
      <c r="H2302" t="s">
        <v>665</v>
      </c>
      <c r="I2302" t="s">
        <v>17</v>
      </c>
      <c r="J2302">
        <v>122.89</v>
      </c>
      <c r="K2302" s="1">
        <v>46029</v>
      </c>
      <c r="L2302" t="s">
        <v>34</v>
      </c>
      <c r="M2302">
        <v>7</v>
      </c>
      <c r="N2302">
        <v>1</v>
      </c>
      <c r="O2302">
        <v>1</v>
      </c>
      <c r="P2302">
        <v>2026</v>
      </c>
    </row>
    <row r="2303" spans="1:16">
      <c r="A2303">
        <v>177.08</v>
      </c>
      <c r="B2303">
        <v>4</v>
      </c>
      <c r="C2303" t="s">
        <v>3234</v>
      </c>
      <c r="D2303" t="s">
        <v>3235</v>
      </c>
      <c r="E2303" t="s">
        <v>1317</v>
      </c>
      <c r="F2303" t="s">
        <v>919</v>
      </c>
      <c r="G2303" t="s">
        <v>786</v>
      </c>
      <c r="H2303" t="s">
        <v>296</v>
      </c>
      <c r="I2303" t="s">
        <v>122</v>
      </c>
      <c r="J2303">
        <v>44.27</v>
      </c>
      <c r="K2303" s="1">
        <v>46069</v>
      </c>
      <c r="L2303" t="s">
        <v>93</v>
      </c>
      <c r="M2303">
        <v>16</v>
      </c>
      <c r="N2303">
        <v>2</v>
      </c>
      <c r="O2303">
        <v>1</v>
      </c>
      <c r="P2303">
        <v>2026</v>
      </c>
    </row>
    <row r="2304" spans="1:16">
      <c r="A2304">
        <v>173.27</v>
      </c>
      <c r="B2304">
        <v>1</v>
      </c>
      <c r="C2304" t="s">
        <v>2525</v>
      </c>
      <c r="D2304" t="s">
        <v>2526</v>
      </c>
      <c r="E2304" t="s">
        <v>2527</v>
      </c>
      <c r="F2304" t="s">
        <v>513</v>
      </c>
      <c r="G2304" t="s">
        <v>786</v>
      </c>
      <c r="H2304" t="s">
        <v>185</v>
      </c>
      <c r="I2304" t="s">
        <v>57</v>
      </c>
      <c r="J2304">
        <v>173.27</v>
      </c>
      <c r="K2304" s="1">
        <v>45882</v>
      </c>
      <c r="L2304" t="s">
        <v>34</v>
      </c>
      <c r="M2304">
        <v>13</v>
      </c>
      <c r="N2304">
        <v>8</v>
      </c>
      <c r="O2304">
        <v>3</v>
      </c>
      <c r="P2304">
        <v>2025</v>
      </c>
    </row>
    <row r="2305" spans="1:16">
      <c r="A2305">
        <v>131.12</v>
      </c>
      <c r="B2305">
        <v>2</v>
      </c>
      <c r="C2305" t="s">
        <v>2223</v>
      </c>
      <c r="D2305" t="s">
        <v>2224</v>
      </c>
      <c r="E2305" t="s">
        <v>1274</v>
      </c>
      <c r="F2305" t="s">
        <v>2225</v>
      </c>
      <c r="G2305" t="s">
        <v>786</v>
      </c>
      <c r="H2305" t="s">
        <v>291</v>
      </c>
      <c r="I2305" t="s">
        <v>51</v>
      </c>
      <c r="J2305">
        <v>65.56</v>
      </c>
      <c r="K2305" s="1">
        <v>46107</v>
      </c>
      <c r="L2305" t="s">
        <v>105</v>
      </c>
      <c r="M2305">
        <v>26</v>
      </c>
      <c r="N2305">
        <v>3</v>
      </c>
      <c r="O2305">
        <v>1</v>
      </c>
      <c r="P2305">
        <v>2026</v>
      </c>
    </row>
    <row r="2306" spans="1:16">
      <c r="A2306">
        <v>495.04</v>
      </c>
      <c r="B2306">
        <v>2</v>
      </c>
      <c r="C2306" t="s">
        <v>2161</v>
      </c>
      <c r="D2306" t="s">
        <v>2162</v>
      </c>
      <c r="E2306" t="s">
        <v>824</v>
      </c>
      <c r="F2306" t="s">
        <v>1882</v>
      </c>
      <c r="G2306" t="s">
        <v>795</v>
      </c>
      <c r="H2306" t="s">
        <v>372</v>
      </c>
      <c r="I2306" t="s">
        <v>23</v>
      </c>
      <c r="J2306">
        <v>247.52</v>
      </c>
      <c r="K2306" s="1">
        <v>45889</v>
      </c>
      <c r="L2306" t="s">
        <v>34</v>
      </c>
      <c r="M2306">
        <v>20</v>
      </c>
      <c r="N2306">
        <v>8</v>
      </c>
      <c r="O2306">
        <v>3</v>
      </c>
      <c r="P2306">
        <v>2025</v>
      </c>
    </row>
    <row r="2307" spans="1:16">
      <c r="A2307">
        <v>142.88999999999999</v>
      </c>
      <c r="B2307">
        <v>1</v>
      </c>
      <c r="C2307" t="s">
        <v>759</v>
      </c>
      <c r="D2307" t="s">
        <v>760</v>
      </c>
      <c r="E2307" t="s">
        <v>761</v>
      </c>
      <c r="F2307" t="s">
        <v>762</v>
      </c>
      <c r="G2307" t="s">
        <v>763</v>
      </c>
      <c r="H2307" t="s">
        <v>232</v>
      </c>
      <c r="I2307" t="s">
        <v>97</v>
      </c>
      <c r="J2307">
        <v>142.88999999999999</v>
      </c>
      <c r="K2307" s="1">
        <v>45900</v>
      </c>
      <c r="L2307" t="s">
        <v>28</v>
      </c>
      <c r="M2307">
        <v>31</v>
      </c>
      <c r="N2307">
        <v>8</v>
      </c>
      <c r="O2307">
        <v>3</v>
      </c>
      <c r="P2307">
        <v>2025</v>
      </c>
    </row>
    <row r="2308" spans="1:16">
      <c r="A2308">
        <v>705.52</v>
      </c>
      <c r="B2308">
        <v>4</v>
      </c>
      <c r="C2308" t="s">
        <v>2671</v>
      </c>
      <c r="D2308" t="s">
        <v>2672</v>
      </c>
      <c r="E2308" t="s">
        <v>1182</v>
      </c>
      <c r="F2308" t="s">
        <v>328</v>
      </c>
      <c r="G2308" t="s">
        <v>1247</v>
      </c>
      <c r="H2308" t="s">
        <v>384</v>
      </c>
      <c r="I2308" t="s">
        <v>37</v>
      </c>
      <c r="J2308">
        <v>176.38</v>
      </c>
      <c r="K2308" s="1">
        <v>45795</v>
      </c>
      <c r="L2308" t="s">
        <v>28</v>
      </c>
      <c r="M2308">
        <v>18</v>
      </c>
      <c r="N2308">
        <v>5</v>
      </c>
      <c r="O2308">
        <v>2</v>
      </c>
      <c r="P2308">
        <v>2025</v>
      </c>
    </row>
    <row r="2309" spans="1:16">
      <c r="A2309">
        <v>852.84999999999991</v>
      </c>
      <c r="B2309">
        <v>5</v>
      </c>
      <c r="C2309" t="s">
        <v>2597</v>
      </c>
      <c r="D2309" t="s">
        <v>2598</v>
      </c>
      <c r="E2309" t="s">
        <v>1973</v>
      </c>
      <c r="F2309" t="s">
        <v>1666</v>
      </c>
      <c r="G2309" t="s">
        <v>830</v>
      </c>
      <c r="H2309" t="s">
        <v>482</v>
      </c>
      <c r="I2309" t="s">
        <v>82</v>
      </c>
      <c r="J2309">
        <v>170.57</v>
      </c>
      <c r="K2309" s="1">
        <v>45796</v>
      </c>
      <c r="L2309" t="s">
        <v>93</v>
      </c>
      <c r="M2309">
        <v>19</v>
      </c>
      <c r="N2309">
        <v>5</v>
      </c>
      <c r="O2309">
        <v>2</v>
      </c>
      <c r="P2309">
        <v>2025</v>
      </c>
    </row>
    <row r="2310" spans="1:16">
      <c r="A2310">
        <v>33.56</v>
      </c>
      <c r="B2310">
        <v>1</v>
      </c>
      <c r="C2310" t="s">
        <v>2776</v>
      </c>
      <c r="D2310" t="s">
        <v>2777</v>
      </c>
      <c r="E2310" t="s">
        <v>1409</v>
      </c>
      <c r="F2310" t="s">
        <v>858</v>
      </c>
      <c r="G2310" t="s">
        <v>753</v>
      </c>
      <c r="H2310" t="s">
        <v>609</v>
      </c>
      <c r="I2310" t="s">
        <v>27</v>
      </c>
      <c r="J2310">
        <v>33.56</v>
      </c>
      <c r="K2310" s="1">
        <v>45895</v>
      </c>
      <c r="L2310" t="s">
        <v>48</v>
      </c>
      <c r="M2310">
        <v>26</v>
      </c>
      <c r="N2310">
        <v>8</v>
      </c>
      <c r="O2310">
        <v>3</v>
      </c>
      <c r="P2310">
        <v>2025</v>
      </c>
    </row>
    <row r="2311" spans="1:16">
      <c r="A2311">
        <v>718.2</v>
      </c>
      <c r="B2311">
        <v>4</v>
      </c>
      <c r="C2311" t="s">
        <v>3490</v>
      </c>
      <c r="D2311" t="s">
        <v>3491</v>
      </c>
      <c r="E2311" t="s">
        <v>1010</v>
      </c>
      <c r="F2311" t="s">
        <v>903</v>
      </c>
      <c r="G2311" t="s">
        <v>786</v>
      </c>
      <c r="H2311" t="s">
        <v>614</v>
      </c>
      <c r="I2311" t="s">
        <v>21</v>
      </c>
      <c r="J2311">
        <v>179.55</v>
      </c>
      <c r="K2311" s="1">
        <v>45555</v>
      </c>
      <c r="L2311" t="s">
        <v>79</v>
      </c>
      <c r="M2311">
        <v>20</v>
      </c>
      <c r="N2311">
        <v>9</v>
      </c>
      <c r="O2311">
        <v>3</v>
      </c>
      <c r="P2311">
        <v>2024</v>
      </c>
    </row>
    <row r="2312" spans="1:16">
      <c r="A2312">
        <v>859.4</v>
      </c>
      <c r="B2312">
        <v>5</v>
      </c>
      <c r="C2312" t="s">
        <v>1200</v>
      </c>
      <c r="D2312" t="s">
        <v>1201</v>
      </c>
      <c r="E2312" t="s">
        <v>1202</v>
      </c>
      <c r="F2312" t="s">
        <v>1137</v>
      </c>
      <c r="G2312" t="s">
        <v>748</v>
      </c>
      <c r="H2312" t="s">
        <v>525</v>
      </c>
      <c r="I2312" t="s">
        <v>17</v>
      </c>
      <c r="J2312">
        <v>171.88</v>
      </c>
      <c r="K2312" s="1">
        <v>45694</v>
      </c>
      <c r="L2312" t="s">
        <v>105</v>
      </c>
      <c r="M2312">
        <v>6</v>
      </c>
      <c r="N2312">
        <v>2</v>
      </c>
      <c r="O2312">
        <v>1</v>
      </c>
      <c r="P2312">
        <v>2025</v>
      </c>
    </row>
    <row r="2313" spans="1:16">
      <c r="A2313">
        <v>78.28</v>
      </c>
      <c r="B2313">
        <v>1</v>
      </c>
      <c r="C2313" t="s">
        <v>1354</v>
      </c>
      <c r="D2313" t="s">
        <v>1355</v>
      </c>
      <c r="E2313" t="s">
        <v>1324</v>
      </c>
      <c r="F2313" t="s">
        <v>196</v>
      </c>
      <c r="G2313" t="s">
        <v>1247</v>
      </c>
      <c r="H2313" t="s">
        <v>441</v>
      </c>
      <c r="I2313" t="s">
        <v>37</v>
      </c>
      <c r="J2313">
        <v>78.28</v>
      </c>
      <c r="K2313" s="1">
        <v>46132</v>
      </c>
      <c r="L2313" t="s">
        <v>93</v>
      </c>
      <c r="M2313">
        <v>20</v>
      </c>
      <c r="N2313">
        <v>4</v>
      </c>
      <c r="O2313">
        <v>2</v>
      </c>
      <c r="P2313">
        <v>2026</v>
      </c>
    </row>
    <row r="2314" spans="1:16">
      <c r="A2314">
        <v>147.63</v>
      </c>
      <c r="B2314">
        <v>3</v>
      </c>
      <c r="C2314" t="s">
        <v>2189</v>
      </c>
      <c r="D2314" t="s">
        <v>2190</v>
      </c>
      <c r="E2314" t="s">
        <v>2191</v>
      </c>
      <c r="F2314" t="s">
        <v>1410</v>
      </c>
      <c r="G2314" t="s">
        <v>812</v>
      </c>
      <c r="H2314" t="s">
        <v>717</v>
      </c>
      <c r="I2314" t="s">
        <v>17</v>
      </c>
      <c r="J2314">
        <v>49.21</v>
      </c>
      <c r="K2314" s="1">
        <v>46009</v>
      </c>
      <c r="L2314" t="s">
        <v>105</v>
      </c>
      <c r="M2314">
        <v>18</v>
      </c>
      <c r="N2314">
        <v>12</v>
      </c>
      <c r="O2314">
        <v>4</v>
      </c>
      <c r="P2314">
        <v>2025</v>
      </c>
    </row>
    <row r="2315" spans="1:16">
      <c r="A2315">
        <v>444.24</v>
      </c>
      <c r="B2315">
        <v>4</v>
      </c>
      <c r="C2315" t="s">
        <v>912</v>
      </c>
      <c r="D2315" t="s">
        <v>913</v>
      </c>
      <c r="E2315" t="s">
        <v>914</v>
      </c>
      <c r="F2315" t="s">
        <v>915</v>
      </c>
      <c r="G2315" t="s">
        <v>768</v>
      </c>
      <c r="H2315" t="s">
        <v>89</v>
      </c>
      <c r="I2315" t="s">
        <v>69</v>
      </c>
      <c r="J2315">
        <v>111.06</v>
      </c>
      <c r="K2315" s="1">
        <v>45640</v>
      </c>
      <c r="L2315" t="s">
        <v>14</v>
      </c>
      <c r="M2315">
        <v>14</v>
      </c>
      <c r="N2315">
        <v>12</v>
      </c>
      <c r="O2315">
        <v>4</v>
      </c>
      <c r="P2315">
        <v>2024</v>
      </c>
    </row>
    <row r="2316" spans="1:16">
      <c r="A2316">
        <v>913.04</v>
      </c>
      <c r="B2316">
        <v>4</v>
      </c>
      <c r="C2316" t="s">
        <v>3063</v>
      </c>
      <c r="D2316" t="s">
        <v>3064</v>
      </c>
      <c r="E2316" t="s">
        <v>1390</v>
      </c>
      <c r="F2316" t="s">
        <v>772</v>
      </c>
      <c r="G2316" t="s">
        <v>758</v>
      </c>
      <c r="H2316" t="s">
        <v>268</v>
      </c>
      <c r="I2316" t="s">
        <v>97</v>
      </c>
      <c r="J2316">
        <v>228.26</v>
      </c>
      <c r="K2316" s="1">
        <v>46223</v>
      </c>
      <c r="L2316" t="s">
        <v>93</v>
      </c>
      <c r="M2316">
        <v>20</v>
      </c>
      <c r="N2316">
        <v>7</v>
      </c>
      <c r="O2316">
        <v>3</v>
      </c>
      <c r="P2316">
        <v>2026</v>
      </c>
    </row>
    <row r="2317" spans="1:16">
      <c r="A2317">
        <v>24.76</v>
      </c>
      <c r="B2317">
        <v>4</v>
      </c>
      <c r="C2317" t="s">
        <v>2682</v>
      </c>
      <c r="D2317" t="s">
        <v>2683</v>
      </c>
      <c r="E2317" t="s">
        <v>1648</v>
      </c>
      <c r="F2317" t="s">
        <v>932</v>
      </c>
      <c r="G2317" t="s">
        <v>776</v>
      </c>
      <c r="H2317" t="s">
        <v>662</v>
      </c>
      <c r="I2317" t="s">
        <v>21</v>
      </c>
      <c r="J2317">
        <v>6.19</v>
      </c>
      <c r="K2317" s="1">
        <v>45588</v>
      </c>
      <c r="L2317" t="s">
        <v>34</v>
      </c>
      <c r="M2317">
        <v>23</v>
      </c>
      <c r="N2317">
        <v>10</v>
      </c>
      <c r="O2317">
        <v>4</v>
      </c>
      <c r="P2317">
        <v>2024</v>
      </c>
    </row>
    <row r="2318" spans="1:16">
      <c r="A2318">
        <v>245.38</v>
      </c>
      <c r="B2318">
        <v>2</v>
      </c>
      <c r="C2318" t="s">
        <v>2136</v>
      </c>
      <c r="D2318" t="s">
        <v>2137</v>
      </c>
      <c r="E2318" t="s">
        <v>2138</v>
      </c>
      <c r="F2318" t="s">
        <v>29</v>
      </c>
      <c r="G2318" t="s">
        <v>821</v>
      </c>
      <c r="H2318" t="s">
        <v>134</v>
      </c>
      <c r="I2318" t="s">
        <v>100</v>
      </c>
      <c r="J2318">
        <v>122.69</v>
      </c>
      <c r="K2318" s="1">
        <v>45945</v>
      </c>
      <c r="L2318" t="s">
        <v>34</v>
      </c>
      <c r="M2318">
        <v>15</v>
      </c>
      <c r="N2318">
        <v>10</v>
      </c>
      <c r="O2318">
        <v>4</v>
      </c>
      <c r="P2318">
        <v>2025</v>
      </c>
    </row>
    <row r="2319" spans="1:16">
      <c r="A2319">
        <v>411.54</v>
      </c>
      <c r="B2319">
        <v>3</v>
      </c>
      <c r="C2319" t="s">
        <v>1723</v>
      </c>
      <c r="D2319" t="s">
        <v>1724</v>
      </c>
      <c r="E2319" t="s">
        <v>1725</v>
      </c>
      <c r="F2319" t="s">
        <v>915</v>
      </c>
      <c r="G2319" t="s">
        <v>908</v>
      </c>
      <c r="H2319" t="s">
        <v>219</v>
      </c>
      <c r="I2319" t="s">
        <v>39</v>
      </c>
      <c r="J2319">
        <v>137.18</v>
      </c>
      <c r="K2319" s="1">
        <v>46003</v>
      </c>
      <c r="L2319" t="s">
        <v>79</v>
      </c>
      <c r="M2319">
        <v>12</v>
      </c>
      <c r="N2319">
        <v>12</v>
      </c>
      <c r="O2319">
        <v>4</v>
      </c>
      <c r="P2319">
        <v>2025</v>
      </c>
    </row>
    <row r="2320" spans="1:16">
      <c r="A2320">
        <v>859.05</v>
      </c>
      <c r="B2320">
        <v>5</v>
      </c>
      <c r="C2320" t="s">
        <v>1166</v>
      </c>
      <c r="D2320" t="s">
        <v>1167</v>
      </c>
      <c r="E2320" t="s">
        <v>1050</v>
      </c>
      <c r="F2320" t="s">
        <v>1168</v>
      </c>
      <c r="G2320" t="s">
        <v>758</v>
      </c>
      <c r="H2320" t="s">
        <v>129</v>
      </c>
      <c r="I2320" t="s">
        <v>25</v>
      </c>
      <c r="J2320">
        <v>171.81</v>
      </c>
      <c r="K2320" s="1">
        <v>46005</v>
      </c>
      <c r="L2320" t="s">
        <v>28</v>
      </c>
      <c r="M2320">
        <v>14</v>
      </c>
      <c r="N2320">
        <v>12</v>
      </c>
      <c r="O2320">
        <v>4</v>
      </c>
      <c r="P2320">
        <v>2025</v>
      </c>
    </row>
    <row r="2321" spans="1:16">
      <c r="A2321">
        <v>917.90000000000009</v>
      </c>
      <c r="B2321">
        <v>5</v>
      </c>
      <c r="C2321" t="s">
        <v>1261</v>
      </c>
      <c r="D2321" t="s">
        <v>1262</v>
      </c>
      <c r="E2321" t="s">
        <v>1263</v>
      </c>
      <c r="F2321" t="s">
        <v>1007</v>
      </c>
      <c r="G2321" t="s">
        <v>966</v>
      </c>
      <c r="H2321" t="s">
        <v>641</v>
      </c>
      <c r="I2321" t="s">
        <v>46</v>
      </c>
      <c r="J2321">
        <v>183.58</v>
      </c>
      <c r="K2321" s="1">
        <v>45867</v>
      </c>
      <c r="L2321" t="s">
        <v>48</v>
      </c>
      <c r="M2321">
        <v>29</v>
      </c>
      <c r="N2321">
        <v>7</v>
      </c>
      <c r="O2321">
        <v>3</v>
      </c>
      <c r="P2321">
        <v>2025</v>
      </c>
    </row>
    <row r="2322" spans="1:16">
      <c r="A2322">
        <v>110.25</v>
      </c>
      <c r="B2322">
        <v>3</v>
      </c>
      <c r="C2322" t="s">
        <v>1636</v>
      </c>
      <c r="D2322" t="s">
        <v>1637</v>
      </c>
      <c r="E2322" t="s">
        <v>1260</v>
      </c>
      <c r="F2322" t="s">
        <v>1189</v>
      </c>
      <c r="G2322" t="s">
        <v>892</v>
      </c>
      <c r="H2322" t="s">
        <v>637</v>
      </c>
      <c r="I2322" t="s">
        <v>100</v>
      </c>
      <c r="J2322">
        <v>36.75</v>
      </c>
      <c r="K2322" s="1">
        <v>45913</v>
      </c>
      <c r="L2322" t="s">
        <v>14</v>
      </c>
      <c r="M2322">
        <v>13</v>
      </c>
      <c r="N2322">
        <v>9</v>
      </c>
      <c r="O2322">
        <v>3</v>
      </c>
      <c r="P2322">
        <v>2025</v>
      </c>
    </row>
    <row r="2323" spans="1:16">
      <c r="A2323">
        <v>90.25</v>
      </c>
      <c r="B2323">
        <v>5</v>
      </c>
      <c r="C2323" t="s">
        <v>1169</v>
      </c>
      <c r="D2323" t="s">
        <v>1170</v>
      </c>
      <c r="E2323" t="s">
        <v>1171</v>
      </c>
      <c r="F2323" t="s">
        <v>1172</v>
      </c>
      <c r="G2323" t="s">
        <v>830</v>
      </c>
      <c r="H2323" t="s">
        <v>30</v>
      </c>
      <c r="I2323" t="s">
        <v>31</v>
      </c>
      <c r="J2323">
        <v>18.05</v>
      </c>
      <c r="K2323" s="1">
        <v>46233</v>
      </c>
      <c r="L2323" t="s">
        <v>105</v>
      </c>
      <c r="M2323">
        <v>30</v>
      </c>
      <c r="N2323">
        <v>7</v>
      </c>
      <c r="O2323">
        <v>3</v>
      </c>
      <c r="P2323">
        <v>2026</v>
      </c>
    </row>
    <row r="2324" spans="1:16">
      <c r="A2324">
        <v>81.03</v>
      </c>
      <c r="B2324">
        <v>3</v>
      </c>
      <c r="C2324" t="s">
        <v>982</v>
      </c>
      <c r="D2324" t="s">
        <v>983</v>
      </c>
      <c r="E2324" t="s">
        <v>984</v>
      </c>
      <c r="F2324" t="s">
        <v>985</v>
      </c>
      <c r="G2324" t="s">
        <v>817</v>
      </c>
      <c r="H2324" t="s">
        <v>117</v>
      </c>
      <c r="I2324" t="s">
        <v>55</v>
      </c>
      <c r="J2324">
        <v>27.01</v>
      </c>
      <c r="K2324" s="1">
        <v>45688</v>
      </c>
      <c r="L2324" t="s">
        <v>79</v>
      </c>
      <c r="M2324">
        <v>31</v>
      </c>
      <c r="N2324">
        <v>1</v>
      </c>
      <c r="O2324">
        <v>1</v>
      </c>
      <c r="P2324">
        <v>2025</v>
      </c>
    </row>
    <row r="2325" spans="1:16">
      <c r="A2325">
        <v>453.39</v>
      </c>
      <c r="B2325">
        <v>3</v>
      </c>
      <c r="C2325" t="s">
        <v>1723</v>
      </c>
      <c r="D2325" t="s">
        <v>1724</v>
      </c>
      <c r="E2325" t="s">
        <v>1725</v>
      </c>
      <c r="F2325" t="s">
        <v>915</v>
      </c>
      <c r="G2325" t="s">
        <v>908</v>
      </c>
      <c r="H2325" t="s">
        <v>655</v>
      </c>
      <c r="I2325" t="s">
        <v>82</v>
      </c>
      <c r="J2325">
        <v>151.13</v>
      </c>
      <c r="K2325" s="1">
        <v>46012</v>
      </c>
      <c r="L2325" t="s">
        <v>28</v>
      </c>
      <c r="M2325">
        <v>21</v>
      </c>
      <c r="N2325">
        <v>12</v>
      </c>
      <c r="O2325">
        <v>4</v>
      </c>
      <c r="P2325">
        <v>2025</v>
      </c>
    </row>
    <row r="2326" spans="1:16">
      <c r="A2326">
        <v>437.52</v>
      </c>
      <c r="B2326">
        <v>2</v>
      </c>
      <c r="C2326" t="s">
        <v>1068</v>
      </c>
      <c r="D2326" t="s">
        <v>1069</v>
      </c>
      <c r="E2326" t="s">
        <v>1070</v>
      </c>
      <c r="F2326" t="s">
        <v>1071</v>
      </c>
      <c r="G2326" t="s">
        <v>817</v>
      </c>
      <c r="H2326" t="s">
        <v>67</v>
      </c>
      <c r="I2326" t="s">
        <v>31</v>
      </c>
      <c r="J2326">
        <v>218.76</v>
      </c>
      <c r="K2326" s="1">
        <v>45664</v>
      </c>
      <c r="L2326" t="s">
        <v>48</v>
      </c>
      <c r="M2326">
        <v>7</v>
      </c>
      <c r="N2326">
        <v>1</v>
      </c>
      <c r="O2326">
        <v>1</v>
      </c>
      <c r="P2326">
        <v>2025</v>
      </c>
    </row>
    <row r="2327" spans="1:16">
      <c r="A2327">
        <v>493.64</v>
      </c>
      <c r="B2327">
        <v>2</v>
      </c>
      <c r="C2327" t="s">
        <v>1438</v>
      </c>
      <c r="D2327" t="s">
        <v>1439</v>
      </c>
      <c r="E2327" t="s">
        <v>1440</v>
      </c>
      <c r="F2327" t="s">
        <v>29</v>
      </c>
      <c r="G2327" t="s">
        <v>763</v>
      </c>
      <c r="H2327" t="s">
        <v>369</v>
      </c>
      <c r="I2327" t="s">
        <v>43</v>
      </c>
      <c r="J2327">
        <v>246.82</v>
      </c>
      <c r="K2327" s="1">
        <v>45689</v>
      </c>
      <c r="L2327" t="s">
        <v>14</v>
      </c>
      <c r="M2327">
        <v>1</v>
      </c>
      <c r="N2327">
        <v>2</v>
      </c>
      <c r="O2327">
        <v>1</v>
      </c>
      <c r="P2327">
        <v>2025</v>
      </c>
    </row>
    <row r="2328" spans="1:16">
      <c r="A2328">
        <v>1174.8999999999999</v>
      </c>
      <c r="B2328">
        <v>5</v>
      </c>
      <c r="C2328" t="s">
        <v>2708</v>
      </c>
      <c r="D2328" t="s">
        <v>2709</v>
      </c>
      <c r="E2328" t="s">
        <v>2710</v>
      </c>
      <c r="F2328" t="s">
        <v>1039</v>
      </c>
      <c r="G2328" t="s">
        <v>758</v>
      </c>
      <c r="H2328" t="s">
        <v>333</v>
      </c>
      <c r="I2328" t="s">
        <v>37</v>
      </c>
      <c r="J2328">
        <v>234.98</v>
      </c>
      <c r="K2328" s="1">
        <v>45688</v>
      </c>
      <c r="L2328" t="s">
        <v>79</v>
      </c>
      <c r="M2328">
        <v>31</v>
      </c>
      <c r="N2328">
        <v>1</v>
      </c>
      <c r="O2328">
        <v>1</v>
      </c>
      <c r="P2328">
        <v>2025</v>
      </c>
    </row>
    <row r="2329" spans="1:16">
      <c r="A2329">
        <v>220.85</v>
      </c>
      <c r="B2329">
        <v>1</v>
      </c>
      <c r="C2329" t="s">
        <v>3025</v>
      </c>
      <c r="D2329" t="s">
        <v>3026</v>
      </c>
      <c r="E2329" t="s">
        <v>1010</v>
      </c>
      <c r="F2329" t="s">
        <v>806</v>
      </c>
      <c r="G2329" t="s">
        <v>807</v>
      </c>
      <c r="H2329" t="s">
        <v>309</v>
      </c>
      <c r="I2329" t="s">
        <v>100</v>
      </c>
      <c r="J2329">
        <v>220.85</v>
      </c>
      <c r="K2329" s="1">
        <v>46253</v>
      </c>
      <c r="L2329" t="s">
        <v>34</v>
      </c>
      <c r="M2329">
        <v>19</v>
      </c>
      <c r="N2329">
        <v>8</v>
      </c>
      <c r="O2329">
        <v>3</v>
      </c>
      <c r="P2329">
        <v>2026</v>
      </c>
    </row>
    <row r="2330" spans="1:16">
      <c r="A2330">
        <v>111.13</v>
      </c>
      <c r="B2330">
        <v>1</v>
      </c>
      <c r="C2330" t="s">
        <v>2807</v>
      </c>
      <c r="D2330" t="s">
        <v>2808</v>
      </c>
      <c r="E2330" t="s">
        <v>2809</v>
      </c>
      <c r="F2330" t="s">
        <v>1607</v>
      </c>
      <c r="G2330" t="s">
        <v>839</v>
      </c>
      <c r="H2330" t="s">
        <v>269</v>
      </c>
      <c r="I2330" t="s">
        <v>60</v>
      </c>
      <c r="J2330">
        <v>111.13</v>
      </c>
      <c r="K2330" s="1">
        <v>45674</v>
      </c>
      <c r="L2330" t="s">
        <v>79</v>
      </c>
      <c r="M2330">
        <v>17</v>
      </c>
      <c r="N2330">
        <v>1</v>
      </c>
      <c r="O2330">
        <v>1</v>
      </c>
      <c r="P2330">
        <v>2025</v>
      </c>
    </row>
    <row r="2331" spans="1:16">
      <c r="A2331">
        <v>78.28</v>
      </c>
      <c r="B2331">
        <v>1</v>
      </c>
      <c r="C2331" t="s">
        <v>2167</v>
      </c>
      <c r="D2331" t="s">
        <v>2168</v>
      </c>
      <c r="E2331" t="s">
        <v>1195</v>
      </c>
      <c r="F2331" t="s">
        <v>757</v>
      </c>
      <c r="G2331" t="s">
        <v>758</v>
      </c>
      <c r="H2331" t="s">
        <v>441</v>
      </c>
      <c r="I2331" t="s">
        <v>37</v>
      </c>
      <c r="J2331">
        <v>78.28</v>
      </c>
      <c r="K2331" s="1">
        <v>45875</v>
      </c>
      <c r="L2331" t="s">
        <v>34</v>
      </c>
      <c r="M2331">
        <v>6</v>
      </c>
      <c r="N2331">
        <v>8</v>
      </c>
      <c r="O2331">
        <v>3</v>
      </c>
      <c r="P2331">
        <v>2025</v>
      </c>
    </row>
    <row r="2332" spans="1:16">
      <c r="A2332">
        <v>481.16</v>
      </c>
      <c r="B2332">
        <v>4</v>
      </c>
      <c r="C2332" t="s">
        <v>2483</v>
      </c>
      <c r="D2332" t="s">
        <v>2484</v>
      </c>
      <c r="E2332" t="s">
        <v>1155</v>
      </c>
      <c r="F2332" t="s">
        <v>106</v>
      </c>
      <c r="G2332" t="s">
        <v>790</v>
      </c>
      <c r="H2332" t="s">
        <v>290</v>
      </c>
      <c r="I2332" t="s">
        <v>17</v>
      </c>
      <c r="J2332">
        <v>120.29</v>
      </c>
      <c r="K2332" s="1">
        <v>45725</v>
      </c>
      <c r="L2332" t="s">
        <v>28</v>
      </c>
      <c r="M2332">
        <v>9</v>
      </c>
      <c r="N2332">
        <v>3</v>
      </c>
      <c r="O2332">
        <v>1</v>
      </c>
      <c r="P2332">
        <v>2025</v>
      </c>
    </row>
    <row r="2333" spans="1:16">
      <c r="A2333">
        <v>227.94</v>
      </c>
      <c r="B2333">
        <v>3</v>
      </c>
      <c r="C2333" t="s">
        <v>1425</v>
      </c>
      <c r="D2333" t="s">
        <v>1426</v>
      </c>
      <c r="E2333" t="s">
        <v>1358</v>
      </c>
      <c r="F2333" t="s">
        <v>74</v>
      </c>
      <c r="G2333" t="s">
        <v>943</v>
      </c>
      <c r="H2333" t="s">
        <v>313</v>
      </c>
      <c r="I2333" t="s">
        <v>31</v>
      </c>
      <c r="J2333">
        <v>75.98</v>
      </c>
      <c r="K2333" s="1">
        <v>46079</v>
      </c>
      <c r="L2333" t="s">
        <v>105</v>
      </c>
      <c r="M2333">
        <v>26</v>
      </c>
      <c r="N2333">
        <v>2</v>
      </c>
      <c r="O2333">
        <v>1</v>
      </c>
      <c r="P2333">
        <v>2026</v>
      </c>
    </row>
    <row r="2334" spans="1:16">
      <c r="A2334">
        <v>297.12</v>
      </c>
      <c r="B2334">
        <v>4</v>
      </c>
      <c r="C2334" t="s">
        <v>2129</v>
      </c>
      <c r="D2334" t="s">
        <v>2130</v>
      </c>
      <c r="E2334" t="s">
        <v>998</v>
      </c>
      <c r="F2334" t="s">
        <v>380</v>
      </c>
      <c r="G2334" t="s">
        <v>776</v>
      </c>
      <c r="H2334" t="s">
        <v>54</v>
      </c>
      <c r="I2334" t="s">
        <v>55</v>
      </c>
      <c r="J2334">
        <v>74.28</v>
      </c>
      <c r="K2334" s="1">
        <v>45771</v>
      </c>
      <c r="L2334" t="s">
        <v>105</v>
      </c>
      <c r="M2334">
        <v>24</v>
      </c>
      <c r="N2334">
        <v>4</v>
      </c>
      <c r="O2334">
        <v>2</v>
      </c>
      <c r="P2334">
        <v>2025</v>
      </c>
    </row>
    <row r="2335" spans="1:16">
      <c r="A2335">
        <v>1072.95</v>
      </c>
      <c r="B2335">
        <v>5</v>
      </c>
      <c r="C2335" t="s">
        <v>1617</v>
      </c>
      <c r="D2335" t="s">
        <v>1618</v>
      </c>
      <c r="E2335" t="s">
        <v>1619</v>
      </c>
      <c r="F2335" t="s">
        <v>1189</v>
      </c>
      <c r="G2335" t="s">
        <v>892</v>
      </c>
      <c r="H2335" t="s">
        <v>571</v>
      </c>
      <c r="I2335" t="s">
        <v>23</v>
      </c>
      <c r="J2335">
        <v>214.59</v>
      </c>
      <c r="K2335" s="1">
        <v>46066</v>
      </c>
      <c r="L2335" t="s">
        <v>79</v>
      </c>
      <c r="M2335">
        <v>13</v>
      </c>
      <c r="N2335">
        <v>2</v>
      </c>
      <c r="O2335">
        <v>1</v>
      </c>
      <c r="P2335">
        <v>2026</v>
      </c>
    </row>
    <row r="2336" spans="1:16">
      <c r="A2336">
        <v>443.37</v>
      </c>
      <c r="B2336">
        <v>3</v>
      </c>
      <c r="C2336" t="s">
        <v>1914</v>
      </c>
      <c r="D2336" t="s">
        <v>1915</v>
      </c>
      <c r="E2336" t="s">
        <v>976</v>
      </c>
      <c r="F2336" t="s">
        <v>1199</v>
      </c>
      <c r="G2336" t="s">
        <v>839</v>
      </c>
      <c r="H2336" t="s">
        <v>176</v>
      </c>
      <c r="I2336" t="s">
        <v>21</v>
      </c>
      <c r="J2336">
        <v>147.79</v>
      </c>
      <c r="K2336" s="1">
        <v>45946</v>
      </c>
      <c r="L2336" t="s">
        <v>105</v>
      </c>
      <c r="M2336">
        <v>16</v>
      </c>
      <c r="N2336">
        <v>10</v>
      </c>
      <c r="O2336">
        <v>4</v>
      </c>
      <c r="P2336">
        <v>2025</v>
      </c>
    </row>
    <row r="2337" spans="1:16">
      <c r="A2337">
        <v>102.68</v>
      </c>
      <c r="B2337">
        <v>2</v>
      </c>
      <c r="C2337" t="s">
        <v>3140</v>
      </c>
      <c r="D2337" t="s">
        <v>3141</v>
      </c>
      <c r="E2337" t="s">
        <v>2904</v>
      </c>
      <c r="F2337" t="s">
        <v>562</v>
      </c>
      <c r="G2337" t="s">
        <v>753</v>
      </c>
      <c r="H2337" t="s">
        <v>376</v>
      </c>
      <c r="I2337" t="s">
        <v>51</v>
      </c>
      <c r="J2337">
        <v>51.34</v>
      </c>
      <c r="K2337" s="1">
        <v>45602</v>
      </c>
      <c r="L2337" t="s">
        <v>34</v>
      </c>
      <c r="M2337">
        <v>6</v>
      </c>
      <c r="N2337">
        <v>11</v>
      </c>
      <c r="O2337">
        <v>4</v>
      </c>
      <c r="P2337">
        <v>2024</v>
      </c>
    </row>
    <row r="2338" spans="1:16">
      <c r="A2338">
        <v>182.64</v>
      </c>
      <c r="B2338">
        <v>1</v>
      </c>
      <c r="C2338" t="s">
        <v>1048</v>
      </c>
      <c r="D2338" t="s">
        <v>1049</v>
      </c>
      <c r="E2338" t="s">
        <v>1050</v>
      </c>
      <c r="F2338" t="s">
        <v>29</v>
      </c>
      <c r="G2338" t="s">
        <v>763</v>
      </c>
      <c r="H2338" t="s">
        <v>505</v>
      </c>
      <c r="I2338" t="s">
        <v>100</v>
      </c>
      <c r="J2338">
        <v>182.64</v>
      </c>
      <c r="K2338" s="1">
        <v>45752</v>
      </c>
      <c r="L2338" t="s">
        <v>14</v>
      </c>
      <c r="M2338">
        <v>5</v>
      </c>
      <c r="N2338">
        <v>4</v>
      </c>
      <c r="O2338">
        <v>2</v>
      </c>
      <c r="P2338">
        <v>2025</v>
      </c>
    </row>
    <row r="2339" spans="1:16">
      <c r="A2339">
        <v>488.48</v>
      </c>
      <c r="B2339">
        <v>2</v>
      </c>
      <c r="C2339" t="s">
        <v>1934</v>
      </c>
      <c r="D2339" t="s">
        <v>1935</v>
      </c>
      <c r="E2339" t="s">
        <v>1648</v>
      </c>
      <c r="F2339" t="s">
        <v>1362</v>
      </c>
      <c r="G2339" t="s">
        <v>896</v>
      </c>
      <c r="H2339" t="s">
        <v>61</v>
      </c>
      <c r="I2339" t="s">
        <v>55</v>
      </c>
      <c r="J2339">
        <v>244.24</v>
      </c>
      <c r="K2339" s="1">
        <v>45943</v>
      </c>
      <c r="L2339" t="s">
        <v>93</v>
      </c>
      <c r="M2339">
        <v>13</v>
      </c>
      <c r="N2339">
        <v>10</v>
      </c>
      <c r="O2339">
        <v>4</v>
      </c>
      <c r="P2339">
        <v>2025</v>
      </c>
    </row>
    <row r="2340" spans="1:16">
      <c r="A2340">
        <v>72.23</v>
      </c>
      <c r="B2340">
        <v>1</v>
      </c>
      <c r="C2340" t="s">
        <v>2492</v>
      </c>
      <c r="D2340" t="s">
        <v>2493</v>
      </c>
      <c r="E2340" t="s">
        <v>960</v>
      </c>
      <c r="F2340" t="s">
        <v>869</v>
      </c>
      <c r="G2340" t="s">
        <v>1247</v>
      </c>
      <c r="H2340" t="s">
        <v>616</v>
      </c>
      <c r="I2340" t="s">
        <v>37</v>
      </c>
      <c r="J2340">
        <v>72.23</v>
      </c>
      <c r="K2340" s="1">
        <v>45572</v>
      </c>
      <c r="L2340" t="s">
        <v>93</v>
      </c>
      <c r="M2340">
        <v>7</v>
      </c>
      <c r="N2340">
        <v>10</v>
      </c>
      <c r="O2340">
        <v>4</v>
      </c>
      <c r="P2340">
        <v>2024</v>
      </c>
    </row>
    <row r="2341" spans="1:16">
      <c r="A2341">
        <v>144.04</v>
      </c>
      <c r="B2341">
        <v>2</v>
      </c>
      <c r="C2341" t="s">
        <v>2930</v>
      </c>
      <c r="D2341" t="s">
        <v>2931</v>
      </c>
      <c r="E2341" t="s">
        <v>2354</v>
      </c>
      <c r="F2341" t="s">
        <v>942</v>
      </c>
      <c r="G2341" t="s">
        <v>943</v>
      </c>
      <c r="H2341" t="s">
        <v>108</v>
      </c>
      <c r="I2341" t="s">
        <v>51</v>
      </c>
      <c r="J2341">
        <v>72.02</v>
      </c>
      <c r="K2341" s="1">
        <v>45553</v>
      </c>
      <c r="L2341" t="s">
        <v>34</v>
      </c>
      <c r="M2341">
        <v>18</v>
      </c>
      <c r="N2341">
        <v>9</v>
      </c>
      <c r="O2341">
        <v>3</v>
      </c>
      <c r="P2341">
        <v>2024</v>
      </c>
    </row>
    <row r="2342" spans="1:16">
      <c r="A2342">
        <v>64.53</v>
      </c>
      <c r="B2342">
        <v>3</v>
      </c>
      <c r="C2342" t="s">
        <v>1936</v>
      </c>
      <c r="D2342" t="s">
        <v>1937</v>
      </c>
      <c r="E2342" t="s">
        <v>1938</v>
      </c>
      <c r="F2342" t="s">
        <v>1039</v>
      </c>
      <c r="G2342" t="s">
        <v>758</v>
      </c>
      <c r="H2342" t="s">
        <v>1939</v>
      </c>
      <c r="I2342" t="s">
        <v>57</v>
      </c>
      <c r="J2342">
        <v>21.51</v>
      </c>
      <c r="K2342" s="1">
        <v>45751</v>
      </c>
      <c r="L2342" t="s">
        <v>79</v>
      </c>
      <c r="M2342">
        <v>4</v>
      </c>
      <c r="N2342">
        <v>4</v>
      </c>
      <c r="O2342">
        <v>2</v>
      </c>
      <c r="P2342">
        <v>2025</v>
      </c>
    </row>
    <row r="2343" spans="1:16">
      <c r="A2343">
        <v>1143.7</v>
      </c>
      <c r="B2343">
        <v>5</v>
      </c>
      <c r="C2343" t="s">
        <v>2978</v>
      </c>
      <c r="D2343" t="s">
        <v>2979</v>
      </c>
      <c r="E2343" t="s">
        <v>2306</v>
      </c>
      <c r="F2343" t="s">
        <v>862</v>
      </c>
      <c r="G2343" t="s">
        <v>807</v>
      </c>
      <c r="H2343" t="s">
        <v>566</v>
      </c>
      <c r="I2343" t="s">
        <v>69</v>
      </c>
      <c r="J2343">
        <v>228.74</v>
      </c>
      <c r="K2343" s="1">
        <v>45672</v>
      </c>
      <c r="L2343" t="s">
        <v>34</v>
      </c>
      <c r="M2343">
        <v>15</v>
      </c>
      <c r="N2343">
        <v>1</v>
      </c>
      <c r="O2343">
        <v>1</v>
      </c>
      <c r="P2343">
        <v>2025</v>
      </c>
    </row>
    <row r="2344" spans="1:16">
      <c r="A2344">
        <v>10.48</v>
      </c>
      <c r="B2344">
        <v>1</v>
      </c>
      <c r="C2344" t="s">
        <v>2895</v>
      </c>
      <c r="D2344" t="s">
        <v>2896</v>
      </c>
      <c r="E2344" t="s">
        <v>1987</v>
      </c>
      <c r="F2344" t="s">
        <v>2468</v>
      </c>
      <c r="G2344" t="s">
        <v>763</v>
      </c>
      <c r="H2344" t="s">
        <v>578</v>
      </c>
      <c r="I2344" t="s">
        <v>82</v>
      </c>
      <c r="J2344">
        <v>10.48</v>
      </c>
      <c r="K2344" s="1">
        <v>46028</v>
      </c>
      <c r="L2344" t="s">
        <v>48</v>
      </c>
      <c r="M2344">
        <v>6</v>
      </c>
      <c r="N2344">
        <v>1</v>
      </c>
      <c r="O2344">
        <v>1</v>
      </c>
      <c r="P2344">
        <v>2026</v>
      </c>
    </row>
    <row r="2345" spans="1:16">
      <c r="A2345">
        <v>518.91999999999996</v>
      </c>
      <c r="B2345">
        <v>4</v>
      </c>
      <c r="C2345" t="s">
        <v>1058</v>
      </c>
      <c r="D2345" t="s">
        <v>1059</v>
      </c>
      <c r="E2345" t="s">
        <v>1060</v>
      </c>
      <c r="F2345" t="s">
        <v>1061</v>
      </c>
      <c r="G2345" t="s">
        <v>821</v>
      </c>
      <c r="H2345" t="s">
        <v>20</v>
      </c>
      <c r="I2345" t="s">
        <v>21</v>
      </c>
      <c r="J2345">
        <v>129.72999999999999</v>
      </c>
      <c r="K2345" s="1">
        <v>45614</v>
      </c>
      <c r="L2345" t="s">
        <v>93</v>
      </c>
      <c r="M2345">
        <v>18</v>
      </c>
      <c r="N2345">
        <v>11</v>
      </c>
      <c r="O2345">
        <v>4</v>
      </c>
      <c r="P2345">
        <v>2024</v>
      </c>
    </row>
    <row r="2346" spans="1:16">
      <c r="A2346">
        <v>106.53</v>
      </c>
      <c r="B2346">
        <v>1</v>
      </c>
      <c r="C2346" t="s">
        <v>3082</v>
      </c>
      <c r="D2346" t="s">
        <v>3083</v>
      </c>
      <c r="E2346" t="s">
        <v>751</v>
      </c>
      <c r="F2346" t="s">
        <v>2489</v>
      </c>
      <c r="G2346" t="s">
        <v>1247</v>
      </c>
      <c r="H2346" t="s">
        <v>377</v>
      </c>
      <c r="I2346" t="s">
        <v>27</v>
      </c>
      <c r="J2346">
        <v>106.53</v>
      </c>
      <c r="K2346" s="1">
        <v>45640</v>
      </c>
      <c r="L2346" t="s">
        <v>14</v>
      </c>
      <c r="M2346">
        <v>14</v>
      </c>
      <c r="N2346">
        <v>12</v>
      </c>
      <c r="O2346">
        <v>4</v>
      </c>
      <c r="P2346">
        <v>2024</v>
      </c>
    </row>
    <row r="2347" spans="1:16">
      <c r="A2347">
        <v>270.48</v>
      </c>
      <c r="B2347">
        <v>4</v>
      </c>
      <c r="C2347" t="s">
        <v>2045</v>
      </c>
      <c r="D2347" t="s">
        <v>2046</v>
      </c>
      <c r="E2347" t="s">
        <v>833</v>
      </c>
      <c r="F2347" t="s">
        <v>1061</v>
      </c>
      <c r="G2347" t="s">
        <v>812</v>
      </c>
      <c r="H2347" t="s">
        <v>697</v>
      </c>
      <c r="I2347" t="s">
        <v>17</v>
      </c>
      <c r="J2347">
        <v>67.62</v>
      </c>
      <c r="K2347" s="1">
        <v>46071</v>
      </c>
      <c r="L2347" t="s">
        <v>34</v>
      </c>
      <c r="M2347">
        <v>18</v>
      </c>
      <c r="N2347">
        <v>2</v>
      </c>
      <c r="O2347">
        <v>1</v>
      </c>
      <c r="P2347">
        <v>2026</v>
      </c>
    </row>
    <row r="2348" spans="1:16">
      <c r="A2348">
        <v>47.32</v>
      </c>
      <c r="B2348">
        <v>4</v>
      </c>
      <c r="C2348" t="s">
        <v>2766</v>
      </c>
      <c r="D2348" t="s">
        <v>2767</v>
      </c>
      <c r="E2348" t="s">
        <v>1709</v>
      </c>
      <c r="F2348" t="s">
        <v>608</v>
      </c>
      <c r="G2348" t="s">
        <v>966</v>
      </c>
      <c r="H2348" t="s">
        <v>220</v>
      </c>
      <c r="I2348" t="s">
        <v>97</v>
      </c>
      <c r="J2348">
        <v>11.83</v>
      </c>
      <c r="K2348" s="1">
        <v>45958</v>
      </c>
      <c r="L2348" t="s">
        <v>48</v>
      </c>
      <c r="M2348">
        <v>28</v>
      </c>
      <c r="N2348">
        <v>10</v>
      </c>
      <c r="O2348">
        <v>4</v>
      </c>
      <c r="P2348">
        <v>2025</v>
      </c>
    </row>
    <row r="2349" spans="1:16">
      <c r="A2349">
        <v>222.26</v>
      </c>
      <c r="B2349">
        <v>2</v>
      </c>
      <c r="C2349" t="s">
        <v>3413</v>
      </c>
      <c r="D2349" t="s">
        <v>3414</v>
      </c>
      <c r="E2349" t="s">
        <v>1569</v>
      </c>
      <c r="F2349" t="s">
        <v>929</v>
      </c>
      <c r="G2349" t="s">
        <v>1247</v>
      </c>
      <c r="H2349" t="s">
        <v>269</v>
      </c>
      <c r="I2349" t="s">
        <v>60</v>
      </c>
      <c r="J2349">
        <v>111.13</v>
      </c>
      <c r="K2349" s="1">
        <v>45825</v>
      </c>
      <c r="L2349" t="s">
        <v>48</v>
      </c>
      <c r="M2349">
        <v>17</v>
      </c>
      <c r="N2349">
        <v>6</v>
      </c>
      <c r="O2349">
        <v>2</v>
      </c>
      <c r="P2349">
        <v>2025</v>
      </c>
    </row>
    <row r="2350" spans="1:16">
      <c r="A2350">
        <v>50.48</v>
      </c>
      <c r="B2350">
        <v>4</v>
      </c>
      <c r="C2350" t="s">
        <v>1836</v>
      </c>
      <c r="D2350" t="s">
        <v>1837</v>
      </c>
      <c r="E2350" t="s">
        <v>1838</v>
      </c>
      <c r="F2350" t="s">
        <v>64</v>
      </c>
      <c r="G2350" t="s">
        <v>892</v>
      </c>
      <c r="H2350" t="s">
        <v>256</v>
      </c>
      <c r="I2350" t="s">
        <v>31</v>
      </c>
      <c r="J2350">
        <v>12.62</v>
      </c>
      <c r="K2350" s="1">
        <v>46100</v>
      </c>
      <c r="L2350" t="s">
        <v>105</v>
      </c>
      <c r="M2350">
        <v>19</v>
      </c>
      <c r="N2350">
        <v>3</v>
      </c>
      <c r="O2350">
        <v>1</v>
      </c>
      <c r="P2350">
        <v>2026</v>
      </c>
    </row>
    <row r="2351" spans="1:16">
      <c r="A2351">
        <v>643.08000000000004</v>
      </c>
      <c r="B2351">
        <v>4</v>
      </c>
      <c r="C2351" t="s">
        <v>2941</v>
      </c>
      <c r="D2351" t="s">
        <v>2942</v>
      </c>
      <c r="E2351" t="s">
        <v>2566</v>
      </c>
      <c r="F2351" t="s">
        <v>1415</v>
      </c>
      <c r="G2351" t="s">
        <v>812</v>
      </c>
      <c r="H2351" t="s">
        <v>44</v>
      </c>
      <c r="I2351" t="s">
        <v>31</v>
      </c>
      <c r="J2351">
        <v>160.77000000000001</v>
      </c>
      <c r="K2351" s="1">
        <v>45778</v>
      </c>
      <c r="L2351" t="s">
        <v>105</v>
      </c>
      <c r="M2351">
        <v>1</v>
      </c>
      <c r="N2351">
        <v>5</v>
      </c>
      <c r="O2351">
        <v>2</v>
      </c>
      <c r="P2351">
        <v>2025</v>
      </c>
    </row>
    <row r="2352" spans="1:16">
      <c r="A2352">
        <v>707.55</v>
      </c>
      <c r="B2352">
        <v>5</v>
      </c>
      <c r="C2352" t="s">
        <v>1381</v>
      </c>
      <c r="D2352" t="s">
        <v>1382</v>
      </c>
      <c r="E2352" t="s">
        <v>1383</v>
      </c>
      <c r="F2352" t="s">
        <v>1384</v>
      </c>
      <c r="G2352" t="s">
        <v>908</v>
      </c>
      <c r="H2352" t="s">
        <v>437</v>
      </c>
      <c r="I2352" t="s">
        <v>122</v>
      </c>
      <c r="J2352">
        <v>141.51</v>
      </c>
      <c r="K2352" s="1">
        <v>45835</v>
      </c>
      <c r="L2352" t="s">
        <v>79</v>
      </c>
      <c r="M2352">
        <v>27</v>
      </c>
      <c r="N2352">
        <v>6</v>
      </c>
      <c r="O2352">
        <v>2</v>
      </c>
      <c r="P2352">
        <v>2025</v>
      </c>
    </row>
    <row r="2353" spans="1:16">
      <c r="A2353">
        <v>617.49</v>
      </c>
      <c r="B2353">
        <v>3</v>
      </c>
      <c r="C2353" t="s">
        <v>1963</v>
      </c>
      <c r="D2353" t="s">
        <v>1964</v>
      </c>
      <c r="E2353" t="s">
        <v>1965</v>
      </c>
      <c r="F2353" t="s">
        <v>1002</v>
      </c>
      <c r="G2353" t="s">
        <v>1003</v>
      </c>
      <c r="H2353" t="s">
        <v>246</v>
      </c>
      <c r="I2353" t="s">
        <v>23</v>
      </c>
      <c r="J2353">
        <v>205.83</v>
      </c>
      <c r="K2353" s="1">
        <v>45865</v>
      </c>
      <c r="L2353" t="s">
        <v>28</v>
      </c>
      <c r="M2353">
        <v>27</v>
      </c>
      <c r="N2353">
        <v>7</v>
      </c>
      <c r="O2353">
        <v>3</v>
      </c>
      <c r="P2353">
        <v>2025</v>
      </c>
    </row>
    <row r="2354" spans="1:16">
      <c r="A2354">
        <v>454.44</v>
      </c>
      <c r="B2354">
        <v>2</v>
      </c>
      <c r="C2354" t="s">
        <v>1008</v>
      </c>
      <c r="D2354" t="s">
        <v>1009</v>
      </c>
      <c r="E2354" t="s">
        <v>1010</v>
      </c>
      <c r="F2354" t="s">
        <v>829</v>
      </c>
      <c r="G2354" t="s">
        <v>830</v>
      </c>
      <c r="H2354" t="s">
        <v>1314</v>
      </c>
      <c r="I2354" t="s">
        <v>55</v>
      </c>
      <c r="J2354">
        <v>227.22</v>
      </c>
      <c r="K2354" s="1">
        <v>45573</v>
      </c>
      <c r="L2354" t="s">
        <v>48</v>
      </c>
      <c r="M2354">
        <v>8</v>
      </c>
      <c r="N2354">
        <v>10</v>
      </c>
      <c r="O2354">
        <v>4</v>
      </c>
      <c r="P2354">
        <v>2024</v>
      </c>
    </row>
    <row r="2355" spans="1:16">
      <c r="A2355">
        <v>386.44</v>
      </c>
      <c r="B2355">
        <v>2</v>
      </c>
      <c r="C2355" t="s">
        <v>1814</v>
      </c>
      <c r="D2355" t="s">
        <v>1815</v>
      </c>
      <c r="E2355" t="s">
        <v>824</v>
      </c>
      <c r="F2355" t="s">
        <v>757</v>
      </c>
      <c r="G2355" t="s">
        <v>758</v>
      </c>
      <c r="H2355" t="s">
        <v>430</v>
      </c>
      <c r="I2355" t="s">
        <v>27</v>
      </c>
      <c r="J2355">
        <v>193.22</v>
      </c>
      <c r="K2355" s="1">
        <v>45942</v>
      </c>
      <c r="L2355" t="s">
        <v>28</v>
      </c>
      <c r="M2355">
        <v>12</v>
      </c>
      <c r="N2355">
        <v>10</v>
      </c>
      <c r="O2355">
        <v>4</v>
      </c>
      <c r="P2355">
        <v>2025</v>
      </c>
    </row>
    <row r="2356" spans="1:16">
      <c r="A2356">
        <v>309.88</v>
      </c>
      <c r="B2356">
        <v>4</v>
      </c>
      <c r="C2356" t="s">
        <v>2801</v>
      </c>
      <c r="D2356" t="s">
        <v>2802</v>
      </c>
      <c r="E2356" t="s">
        <v>2535</v>
      </c>
      <c r="F2356" t="s">
        <v>713</v>
      </c>
      <c r="G2356" t="s">
        <v>908</v>
      </c>
      <c r="H2356" t="s">
        <v>638</v>
      </c>
      <c r="I2356" t="s">
        <v>100</v>
      </c>
      <c r="J2356">
        <v>77.47</v>
      </c>
      <c r="K2356" s="1">
        <v>46121</v>
      </c>
      <c r="L2356" t="s">
        <v>105</v>
      </c>
      <c r="M2356">
        <v>9</v>
      </c>
      <c r="N2356">
        <v>4</v>
      </c>
      <c r="O2356">
        <v>2</v>
      </c>
      <c r="P2356">
        <v>2026</v>
      </c>
    </row>
    <row r="2357" spans="1:16">
      <c r="A2357">
        <v>16.36</v>
      </c>
      <c r="B2357">
        <v>1</v>
      </c>
      <c r="C2357" t="s">
        <v>1692</v>
      </c>
      <c r="D2357" t="s">
        <v>1693</v>
      </c>
      <c r="E2357" t="s">
        <v>941</v>
      </c>
      <c r="F2357" t="s">
        <v>211</v>
      </c>
      <c r="G2357" t="s">
        <v>812</v>
      </c>
      <c r="H2357" t="s">
        <v>1183</v>
      </c>
      <c r="I2357" t="s">
        <v>100</v>
      </c>
      <c r="J2357">
        <v>16.36</v>
      </c>
      <c r="K2357" s="1">
        <v>45855</v>
      </c>
      <c r="L2357" t="s">
        <v>105</v>
      </c>
      <c r="M2357">
        <v>17</v>
      </c>
      <c r="N2357">
        <v>7</v>
      </c>
      <c r="O2357">
        <v>3</v>
      </c>
      <c r="P2357">
        <v>2025</v>
      </c>
    </row>
    <row r="2358" spans="1:16">
      <c r="A2358">
        <v>665.15</v>
      </c>
      <c r="B2358">
        <v>5</v>
      </c>
      <c r="C2358" t="s">
        <v>1269</v>
      </c>
      <c r="D2358" t="s">
        <v>1270</v>
      </c>
      <c r="E2358" t="s">
        <v>1271</v>
      </c>
      <c r="F2358" t="s">
        <v>932</v>
      </c>
      <c r="G2358" t="s">
        <v>776</v>
      </c>
      <c r="H2358" t="s">
        <v>112</v>
      </c>
      <c r="I2358" t="s">
        <v>21</v>
      </c>
      <c r="J2358">
        <v>133.03</v>
      </c>
      <c r="K2358" s="1">
        <v>45941</v>
      </c>
      <c r="L2358" t="s">
        <v>14</v>
      </c>
      <c r="M2358">
        <v>11</v>
      </c>
      <c r="N2358">
        <v>10</v>
      </c>
      <c r="O2358">
        <v>4</v>
      </c>
      <c r="P2358">
        <v>2025</v>
      </c>
    </row>
    <row r="2359" spans="1:16">
      <c r="A2359">
        <v>77.47</v>
      </c>
      <c r="B2359">
        <v>1</v>
      </c>
      <c r="C2359" t="s">
        <v>2858</v>
      </c>
      <c r="D2359" t="s">
        <v>2859</v>
      </c>
      <c r="E2359" t="s">
        <v>1418</v>
      </c>
      <c r="F2359" t="s">
        <v>879</v>
      </c>
      <c r="G2359" t="s">
        <v>748</v>
      </c>
      <c r="H2359" t="s">
        <v>638</v>
      </c>
      <c r="I2359" t="s">
        <v>100</v>
      </c>
      <c r="J2359">
        <v>77.47</v>
      </c>
      <c r="K2359" s="1">
        <v>45635</v>
      </c>
      <c r="L2359" t="s">
        <v>93</v>
      </c>
      <c r="M2359">
        <v>9</v>
      </c>
      <c r="N2359">
        <v>12</v>
      </c>
      <c r="O2359">
        <v>4</v>
      </c>
      <c r="P2359">
        <v>2024</v>
      </c>
    </row>
    <row r="2360" spans="1:16">
      <c r="A2360">
        <v>1002.4</v>
      </c>
      <c r="B2360">
        <v>5</v>
      </c>
      <c r="C2360" t="s">
        <v>3394</v>
      </c>
      <c r="D2360" t="s">
        <v>3395</v>
      </c>
      <c r="E2360" t="s">
        <v>2434</v>
      </c>
      <c r="F2360" t="s">
        <v>199</v>
      </c>
      <c r="G2360" t="s">
        <v>781</v>
      </c>
      <c r="H2360" t="s">
        <v>2254</v>
      </c>
      <c r="I2360" t="s">
        <v>43</v>
      </c>
      <c r="J2360">
        <v>200.48</v>
      </c>
      <c r="K2360" s="1">
        <v>45784</v>
      </c>
      <c r="L2360" t="s">
        <v>34</v>
      </c>
      <c r="M2360">
        <v>7</v>
      </c>
      <c r="N2360">
        <v>5</v>
      </c>
      <c r="O2360">
        <v>2</v>
      </c>
      <c r="P2360">
        <v>2025</v>
      </c>
    </row>
    <row r="2361" spans="1:16">
      <c r="A2361">
        <v>15.870000000000001</v>
      </c>
      <c r="B2361">
        <v>3</v>
      </c>
      <c r="C2361" t="s">
        <v>2129</v>
      </c>
      <c r="D2361" t="s">
        <v>2130</v>
      </c>
      <c r="E2361" t="s">
        <v>998</v>
      </c>
      <c r="F2361" t="s">
        <v>380</v>
      </c>
      <c r="G2361" t="s">
        <v>776</v>
      </c>
      <c r="H2361" t="s">
        <v>394</v>
      </c>
      <c r="I2361" t="s">
        <v>122</v>
      </c>
      <c r="J2361">
        <v>5.29</v>
      </c>
      <c r="K2361" s="1">
        <v>45640</v>
      </c>
      <c r="L2361" t="s">
        <v>14</v>
      </c>
      <c r="M2361">
        <v>14</v>
      </c>
      <c r="N2361">
        <v>12</v>
      </c>
      <c r="O2361">
        <v>4</v>
      </c>
      <c r="P2361">
        <v>2024</v>
      </c>
    </row>
    <row r="2362" spans="1:16">
      <c r="A2362">
        <v>429.14</v>
      </c>
      <c r="B2362">
        <v>2</v>
      </c>
      <c r="C2362" t="s">
        <v>1802</v>
      </c>
      <c r="D2362" t="s">
        <v>1803</v>
      </c>
      <c r="E2362" t="s">
        <v>906</v>
      </c>
      <c r="F2362" t="s">
        <v>970</v>
      </c>
      <c r="G2362" t="s">
        <v>790</v>
      </c>
      <c r="H2362" t="s">
        <v>383</v>
      </c>
      <c r="I2362" t="s">
        <v>39</v>
      </c>
      <c r="J2362">
        <v>214.57</v>
      </c>
      <c r="K2362" s="1">
        <v>45812</v>
      </c>
      <c r="L2362" t="s">
        <v>34</v>
      </c>
      <c r="M2362">
        <v>4</v>
      </c>
      <c r="N2362">
        <v>6</v>
      </c>
      <c r="O2362">
        <v>2</v>
      </c>
      <c r="P2362">
        <v>2025</v>
      </c>
    </row>
    <row r="2363" spans="1:16">
      <c r="A2363">
        <v>65.33</v>
      </c>
      <c r="B2363">
        <v>1</v>
      </c>
      <c r="C2363" t="s">
        <v>1592</v>
      </c>
      <c r="D2363" t="s">
        <v>1593</v>
      </c>
      <c r="E2363" t="s">
        <v>882</v>
      </c>
      <c r="F2363" t="s">
        <v>1594</v>
      </c>
      <c r="G2363" t="s">
        <v>1247</v>
      </c>
      <c r="H2363" t="s">
        <v>189</v>
      </c>
      <c r="I2363" t="s">
        <v>43</v>
      </c>
      <c r="J2363">
        <v>65.33</v>
      </c>
      <c r="K2363" s="1">
        <v>46086</v>
      </c>
      <c r="L2363" t="s">
        <v>105</v>
      </c>
      <c r="M2363">
        <v>5</v>
      </c>
      <c r="N2363">
        <v>3</v>
      </c>
      <c r="O2363">
        <v>1</v>
      </c>
      <c r="P2363">
        <v>2026</v>
      </c>
    </row>
    <row r="2364" spans="1:16">
      <c r="A2364">
        <v>165.57</v>
      </c>
      <c r="B2364">
        <v>1</v>
      </c>
      <c r="C2364" t="s">
        <v>958</v>
      </c>
      <c r="D2364" t="s">
        <v>2368</v>
      </c>
      <c r="E2364" t="s">
        <v>2369</v>
      </c>
      <c r="F2364" t="s">
        <v>691</v>
      </c>
      <c r="G2364" t="s">
        <v>776</v>
      </c>
      <c r="H2364" t="s">
        <v>355</v>
      </c>
      <c r="I2364" t="s">
        <v>39</v>
      </c>
      <c r="J2364">
        <v>165.57</v>
      </c>
      <c r="K2364" s="1">
        <v>46128</v>
      </c>
      <c r="L2364" t="s">
        <v>105</v>
      </c>
      <c r="M2364">
        <v>16</v>
      </c>
      <c r="N2364">
        <v>4</v>
      </c>
      <c r="O2364">
        <v>2</v>
      </c>
      <c r="P2364">
        <v>2026</v>
      </c>
    </row>
    <row r="2365" spans="1:16">
      <c r="A2365">
        <v>315.44</v>
      </c>
      <c r="B2365">
        <v>4</v>
      </c>
      <c r="C2365" t="s">
        <v>1463</v>
      </c>
      <c r="D2365" t="s">
        <v>1464</v>
      </c>
      <c r="E2365" t="s">
        <v>882</v>
      </c>
      <c r="F2365" t="s">
        <v>1465</v>
      </c>
      <c r="G2365" t="s">
        <v>817</v>
      </c>
      <c r="H2365" t="s">
        <v>208</v>
      </c>
      <c r="I2365" t="s">
        <v>43</v>
      </c>
      <c r="J2365">
        <v>78.86</v>
      </c>
      <c r="K2365" s="1">
        <v>46273</v>
      </c>
      <c r="L2365" t="s">
        <v>48</v>
      </c>
      <c r="M2365">
        <v>8</v>
      </c>
      <c r="N2365">
        <v>9</v>
      </c>
      <c r="O2365">
        <v>3</v>
      </c>
      <c r="P2365">
        <v>2026</v>
      </c>
    </row>
    <row r="2366" spans="1:16">
      <c r="A2366">
        <v>476.61</v>
      </c>
      <c r="B2366">
        <v>3</v>
      </c>
      <c r="C2366" t="s">
        <v>1141</v>
      </c>
      <c r="D2366" t="s">
        <v>1142</v>
      </c>
      <c r="E2366" t="s">
        <v>1143</v>
      </c>
      <c r="F2366" t="s">
        <v>862</v>
      </c>
      <c r="G2366" t="s">
        <v>908</v>
      </c>
      <c r="H2366" t="s">
        <v>332</v>
      </c>
      <c r="I2366" t="s">
        <v>55</v>
      </c>
      <c r="J2366">
        <v>158.87</v>
      </c>
      <c r="K2366" s="1">
        <v>45906</v>
      </c>
      <c r="L2366" t="s">
        <v>14</v>
      </c>
      <c r="M2366">
        <v>6</v>
      </c>
      <c r="N2366">
        <v>9</v>
      </c>
      <c r="O2366">
        <v>3</v>
      </c>
      <c r="P2366">
        <v>2025</v>
      </c>
    </row>
    <row r="2367" spans="1:16">
      <c r="A2367">
        <v>209.84</v>
      </c>
      <c r="B2367">
        <v>2</v>
      </c>
      <c r="C2367" t="s">
        <v>3112</v>
      </c>
      <c r="D2367" t="s">
        <v>3113</v>
      </c>
      <c r="E2367" t="s">
        <v>3114</v>
      </c>
      <c r="F2367" t="s">
        <v>1107</v>
      </c>
      <c r="G2367" t="s">
        <v>763</v>
      </c>
      <c r="H2367" t="s">
        <v>351</v>
      </c>
      <c r="I2367" t="s">
        <v>57</v>
      </c>
      <c r="J2367">
        <v>104.92</v>
      </c>
      <c r="K2367" s="1">
        <v>45668</v>
      </c>
      <c r="L2367" t="s">
        <v>14</v>
      </c>
      <c r="M2367">
        <v>11</v>
      </c>
      <c r="N2367">
        <v>1</v>
      </c>
      <c r="O2367">
        <v>1</v>
      </c>
      <c r="P2367">
        <v>2025</v>
      </c>
    </row>
    <row r="2368" spans="1:16">
      <c r="A2368">
        <v>233.42</v>
      </c>
      <c r="B2368">
        <v>1</v>
      </c>
      <c r="C2368" t="s">
        <v>1363</v>
      </c>
      <c r="D2368" t="s">
        <v>1364</v>
      </c>
      <c r="E2368" t="s">
        <v>1365</v>
      </c>
      <c r="F2368" t="s">
        <v>965</v>
      </c>
      <c r="G2368" t="s">
        <v>966</v>
      </c>
      <c r="H2368" t="s">
        <v>632</v>
      </c>
      <c r="I2368" t="s">
        <v>57</v>
      </c>
      <c r="J2368">
        <v>233.42</v>
      </c>
      <c r="K2368" s="1">
        <v>46046</v>
      </c>
      <c r="L2368" t="s">
        <v>14</v>
      </c>
      <c r="M2368">
        <v>24</v>
      </c>
      <c r="N2368">
        <v>1</v>
      </c>
      <c r="O2368">
        <v>1</v>
      </c>
      <c r="P2368">
        <v>2026</v>
      </c>
    </row>
    <row r="2369" spans="1:16">
      <c r="A2369">
        <v>426.12</v>
      </c>
      <c r="B2369">
        <v>4</v>
      </c>
      <c r="C2369" t="s">
        <v>2099</v>
      </c>
      <c r="D2369" t="s">
        <v>2100</v>
      </c>
      <c r="E2369" t="s">
        <v>1085</v>
      </c>
      <c r="F2369" t="s">
        <v>1172</v>
      </c>
      <c r="G2369" t="s">
        <v>830</v>
      </c>
      <c r="H2369" t="s">
        <v>377</v>
      </c>
      <c r="I2369" t="s">
        <v>27</v>
      </c>
      <c r="J2369">
        <v>106.53</v>
      </c>
      <c r="K2369" s="1">
        <v>46223</v>
      </c>
      <c r="L2369" t="s">
        <v>93</v>
      </c>
      <c r="M2369">
        <v>20</v>
      </c>
      <c r="N2369">
        <v>7</v>
      </c>
      <c r="O2369">
        <v>3</v>
      </c>
      <c r="P2369">
        <v>2026</v>
      </c>
    </row>
    <row r="2370" spans="1:16">
      <c r="A2370">
        <v>290.85000000000002</v>
      </c>
      <c r="B2370">
        <v>5</v>
      </c>
      <c r="C2370" t="s">
        <v>3106</v>
      </c>
      <c r="D2370" t="s">
        <v>3107</v>
      </c>
      <c r="E2370" t="s">
        <v>2476</v>
      </c>
      <c r="F2370" t="s">
        <v>1722</v>
      </c>
      <c r="G2370" t="s">
        <v>954</v>
      </c>
      <c r="H2370" t="s">
        <v>615</v>
      </c>
      <c r="I2370" t="s">
        <v>100</v>
      </c>
      <c r="J2370">
        <v>58.17</v>
      </c>
      <c r="K2370" s="1">
        <v>45773</v>
      </c>
      <c r="L2370" t="s">
        <v>14</v>
      </c>
      <c r="M2370">
        <v>26</v>
      </c>
      <c r="N2370">
        <v>4</v>
      </c>
      <c r="O2370">
        <v>2</v>
      </c>
      <c r="P2370">
        <v>2025</v>
      </c>
    </row>
    <row r="2371" spans="1:16">
      <c r="A2371">
        <v>438.2</v>
      </c>
      <c r="B2371">
        <v>5</v>
      </c>
      <c r="C2371" t="s">
        <v>2226</v>
      </c>
      <c r="D2371" t="s">
        <v>2227</v>
      </c>
      <c r="E2371" t="s">
        <v>1188</v>
      </c>
      <c r="F2371" t="s">
        <v>1089</v>
      </c>
      <c r="G2371" t="s">
        <v>812</v>
      </c>
      <c r="H2371" t="s">
        <v>561</v>
      </c>
      <c r="I2371" t="s">
        <v>17</v>
      </c>
      <c r="J2371">
        <v>87.64</v>
      </c>
      <c r="K2371" s="1">
        <v>45939</v>
      </c>
      <c r="L2371" t="s">
        <v>105</v>
      </c>
      <c r="M2371">
        <v>9</v>
      </c>
      <c r="N2371">
        <v>10</v>
      </c>
      <c r="O2371">
        <v>4</v>
      </c>
      <c r="P2371">
        <v>2025</v>
      </c>
    </row>
    <row r="2372" spans="1:16">
      <c r="A2372">
        <v>141.36000000000001</v>
      </c>
      <c r="B2372">
        <v>1</v>
      </c>
      <c r="C2372" t="s">
        <v>1062</v>
      </c>
      <c r="D2372" t="s">
        <v>1063</v>
      </c>
      <c r="E2372" t="s">
        <v>1064</v>
      </c>
      <c r="F2372" t="s">
        <v>151</v>
      </c>
      <c r="G2372" t="s">
        <v>1003</v>
      </c>
      <c r="H2372" t="s">
        <v>181</v>
      </c>
      <c r="I2372" t="s">
        <v>82</v>
      </c>
      <c r="J2372">
        <v>141.36000000000001</v>
      </c>
      <c r="K2372" s="1">
        <v>46208</v>
      </c>
      <c r="L2372" t="s">
        <v>28</v>
      </c>
      <c r="M2372">
        <v>5</v>
      </c>
      <c r="N2372">
        <v>7</v>
      </c>
      <c r="O2372">
        <v>3</v>
      </c>
      <c r="P2372">
        <v>2026</v>
      </c>
    </row>
    <row r="2373" spans="1:16">
      <c r="A2373">
        <v>592.16</v>
      </c>
      <c r="B2373">
        <v>4</v>
      </c>
      <c r="C2373" t="s">
        <v>2066</v>
      </c>
      <c r="D2373" t="s">
        <v>2067</v>
      </c>
      <c r="E2373" t="s">
        <v>1192</v>
      </c>
      <c r="F2373" t="s">
        <v>280</v>
      </c>
      <c r="G2373" t="s">
        <v>786</v>
      </c>
      <c r="H2373" t="s">
        <v>260</v>
      </c>
      <c r="I2373" t="s">
        <v>46</v>
      </c>
      <c r="J2373">
        <v>148.04</v>
      </c>
      <c r="K2373" s="1">
        <v>45948</v>
      </c>
      <c r="L2373" t="s">
        <v>14</v>
      </c>
      <c r="M2373">
        <v>18</v>
      </c>
      <c r="N2373">
        <v>10</v>
      </c>
      <c r="O2373">
        <v>4</v>
      </c>
      <c r="P2373">
        <v>2025</v>
      </c>
    </row>
    <row r="2374" spans="1:16">
      <c r="A2374">
        <v>321.54000000000002</v>
      </c>
      <c r="B2374">
        <v>2</v>
      </c>
      <c r="C2374" t="s">
        <v>2951</v>
      </c>
      <c r="D2374" t="s">
        <v>2952</v>
      </c>
      <c r="E2374" t="s">
        <v>969</v>
      </c>
      <c r="F2374" t="s">
        <v>853</v>
      </c>
      <c r="G2374" t="s">
        <v>854</v>
      </c>
      <c r="H2374" t="s">
        <v>44</v>
      </c>
      <c r="I2374" t="s">
        <v>31</v>
      </c>
      <c r="J2374">
        <v>160.77000000000001</v>
      </c>
      <c r="K2374" s="1">
        <v>45888</v>
      </c>
      <c r="L2374" t="s">
        <v>48</v>
      </c>
      <c r="M2374">
        <v>19</v>
      </c>
      <c r="N2374">
        <v>8</v>
      </c>
      <c r="O2374">
        <v>3</v>
      </c>
      <c r="P2374">
        <v>2025</v>
      </c>
    </row>
    <row r="2375" spans="1:16">
      <c r="A2375">
        <v>122.69</v>
      </c>
      <c r="B2375">
        <v>1</v>
      </c>
      <c r="C2375" t="s">
        <v>3469</v>
      </c>
      <c r="D2375" t="s">
        <v>3470</v>
      </c>
      <c r="E2375" t="s">
        <v>1387</v>
      </c>
      <c r="F2375" t="s">
        <v>1246</v>
      </c>
      <c r="G2375" t="s">
        <v>1247</v>
      </c>
      <c r="H2375" t="s">
        <v>134</v>
      </c>
      <c r="I2375" t="s">
        <v>100</v>
      </c>
      <c r="J2375">
        <v>122.69</v>
      </c>
      <c r="K2375" s="1">
        <v>45725</v>
      </c>
      <c r="L2375" t="s">
        <v>28</v>
      </c>
      <c r="M2375">
        <v>9</v>
      </c>
      <c r="N2375">
        <v>3</v>
      </c>
      <c r="O2375">
        <v>1</v>
      </c>
      <c r="P2375">
        <v>2025</v>
      </c>
    </row>
    <row r="2376" spans="1:16">
      <c r="A2376">
        <v>328.54</v>
      </c>
      <c r="B2376">
        <v>2</v>
      </c>
      <c r="C2376" t="s">
        <v>2393</v>
      </c>
      <c r="D2376" t="s">
        <v>2394</v>
      </c>
      <c r="E2376" t="s">
        <v>1348</v>
      </c>
      <c r="F2376" t="s">
        <v>113</v>
      </c>
      <c r="G2376" t="s">
        <v>1247</v>
      </c>
      <c r="H2376" t="s">
        <v>127</v>
      </c>
      <c r="I2376" t="s">
        <v>21</v>
      </c>
      <c r="J2376">
        <v>164.27</v>
      </c>
      <c r="K2376" s="1">
        <v>45695</v>
      </c>
      <c r="L2376" t="s">
        <v>79</v>
      </c>
      <c r="M2376">
        <v>7</v>
      </c>
      <c r="N2376">
        <v>2</v>
      </c>
      <c r="O2376">
        <v>1</v>
      </c>
      <c r="P2376">
        <v>2025</v>
      </c>
    </row>
    <row r="2377" spans="1:16">
      <c r="A2377">
        <v>11.82</v>
      </c>
      <c r="B2377">
        <v>2</v>
      </c>
      <c r="C2377" t="s">
        <v>1802</v>
      </c>
      <c r="D2377" t="s">
        <v>1803</v>
      </c>
      <c r="E2377" t="s">
        <v>906</v>
      </c>
      <c r="F2377" t="s">
        <v>970</v>
      </c>
      <c r="G2377" t="s">
        <v>790</v>
      </c>
      <c r="H2377" t="s">
        <v>590</v>
      </c>
      <c r="I2377" t="s">
        <v>51</v>
      </c>
      <c r="J2377">
        <v>5.91</v>
      </c>
      <c r="K2377" s="1">
        <v>46184</v>
      </c>
      <c r="L2377" t="s">
        <v>105</v>
      </c>
      <c r="M2377">
        <v>11</v>
      </c>
      <c r="N2377">
        <v>6</v>
      </c>
      <c r="O2377">
        <v>2</v>
      </c>
      <c r="P2377">
        <v>2026</v>
      </c>
    </row>
    <row r="2378" spans="1:16">
      <c r="A2378">
        <v>976.96</v>
      </c>
      <c r="B2378">
        <v>4</v>
      </c>
      <c r="C2378" t="s">
        <v>3435</v>
      </c>
      <c r="D2378" t="s">
        <v>3436</v>
      </c>
      <c r="E2378" t="s">
        <v>1216</v>
      </c>
      <c r="F2378" t="s">
        <v>942</v>
      </c>
      <c r="G2378" t="s">
        <v>943</v>
      </c>
      <c r="H2378" t="s">
        <v>61</v>
      </c>
      <c r="I2378" t="s">
        <v>55</v>
      </c>
      <c r="J2378">
        <v>244.24</v>
      </c>
      <c r="K2378" s="1">
        <v>45573</v>
      </c>
      <c r="L2378" t="s">
        <v>48</v>
      </c>
      <c r="M2378">
        <v>8</v>
      </c>
      <c r="N2378">
        <v>10</v>
      </c>
      <c r="O2378">
        <v>4</v>
      </c>
      <c r="P2378">
        <v>2024</v>
      </c>
    </row>
    <row r="2379" spans="1:16">
      <c r="A2379">
        <v>1119.0999999999999</v>
      </c>
      <c r="B2379">
        <v>5</v>
      </c>
      <c r="C2379" t="s">
        <v>1863</v>
      </c>
      <c r="D2379" t="s">
        <v>1864</v>
      </c>
      <c r="E2379" t="s">
        <v>1865</v>
      </c>
      <c r="F2379" t="s">
        <v>1168</v>
      </c>
      <c r="G2379" t="s">
        <v>758</v>
      </c>
      <c r="H2379" t="s">
        <v>588</v>
      </c>
      <c r="I2379" t="s">
        <v>82</v>
      </c>
      <c r="J2379">
        <v>223.82</v>
      </c>
      <c r="K2379" s="1">
        <v>45737</v>
      </c>
      <c r="L2379" t="s">
        <v>79</v>
      </c>
      <c r="M2379">
        <v>21</v>
      </c>
      <c r="N2379">
        <v>3</v>
      </c>
      <c r="O2379">
        <v>1</v>
      </c>
      <c r="P2379">
        <v>2025</v>
      </c>
    </row>
    <row r="2380" spans="1:16">
      <c r="A2380">
        <v>428.52</v>
      </c>
      <c r="B2380">
        <v>3</v>
      </c>
      <c r="C2380" t="s">
        <v>3240</v>
      </c>
      <c r="D2380" t="s">
        <v>3241</v>
      </c>
      <c r="E2380" t="s">
        <v>1798</v>
      </c>
      <c r="F2380" t="s">
        <v>794</v>
      </c>
      <c r="G2380" t="s">
        <v>821</v>
      </c>
      <c r="H2380" t="s">
        <v>465</v>
      </c>
      <c r="I2380" t="s">
        <v>31</v>
      </c>
      <c r="J2380">
        <v>142.84</v>
      </c>
      <c r="K2380" s="1">
        <v>46055</v>
      </c>
      <c r="L2380" t="s">
        <v>93</v>
      </c>
      <c r="M2380">
        <v>2</v>
      </c>
      <c r="N2380">
        <v>2</v>
      </c>
      <c r="O2380">
        <v>1</v>
      </c>
      <c r="P2380">
        <v>2026</v>
      </c>
    </row>
    <row r="2381" spans="1:16">
      <c r="A2381">
        <v>25.24</v>
      </c>
      <c r="B2381">
        <v>2</v>
      </c>
      <c r="C2381" t="s">
        <v>1723</v>
      </c>
      <c r="D2381" t="s">
        <v>1724</v>
      </c>
      <c r="E2381" t="s">
        <v>1725</v>
      </c>
      <c r="F2381" t="s">
        <v>915</v>
      </c>
      <c r="G2381" t="s">
        <v>908</v>
      </c>
      <c r="H2381" t="s">
        <v>256</v>
      </c>
      <c r="I2381" t="s">
        <v>31</v>
      </c>
      <c r="J2381">
        <v>12.62</v>
      </c>
      <c r="K2381" s="1">
        <v>46249</v>
      </c>
      <c r="L2381" t="s">
        <v>14</v>
      </c>
      <c r="M2381">
        <v>15</v>
      </c>
      <c r="N2381">
        <v>8</v>
      </c>
      <c r="O2381">
        <v>3</v>
      </c>
      <c r="P2381">
        <v>2026</v>
      </c>
    </row>
    <row r="2382" spans="1:16">
      <c r="A2382">
        <v>58.16</v>
      </c>
      <c r="B2382">
        <v>4</v>
      </c>
      <c r="C2382" t="s">
        <v>3009</v>
      </c>
      <c r="D2382" t="s">
        <v>3010</v>
      </c>
      <c r="E2382" t="s">
        <v>1616</v>
      </c>
      <c r="F2382" t="s">
        <v>2489</v>
      </c>
      <c r="G2382" t="s">
        <v>1247</v>
      </c>
      <c r="H2382" t="s">
        <v>1349</v>
      </c>
      <c r="I2382" t="s">
        <v>97</v>
      </c>
      <c r="J2382">
        <v>14.54</v>
      </c>
      <c r="K2382" s="1">
        <v>46131</v>
      </c>
      <c r="L2382" t="s">
        <v>28</v>
      </c>
      <c r="M2382">
        <v>19</v>
      </c>
      <c r="N2382">
        <v>4</v>
      </c>
      <c r="O2382">
        <v>2</v>
      </c>
      <c r="P2382">
        <v>2026</v>
      </c>
    </row>
    <row r="2383" spans="1:16">
      <c r="A2383">
        <v>219.26</v>
      </c>
      <c r="B2383">
        <v>1</v>
      </c>
      <c r="C2383" t="s">
        <v>3009</v>
      </c>
      <c r="D2383" t="s">
        <v>3010</v>
      </c>
      <c r="E2383" t="s">
        <v>1616</v>
      </c>
      <c r="F2383" t="s">
        <v>2489</v>
      </c>
      <c r="G2383" t="s">
        <v>1247</v>
      </c>
      <c r="H2383" t="s">
        <v>162</v>
      </c>
      <c r="I2383" t="s">
        <v>51</v>
      </c>
      <c r="J2383">
        <v>219.26</v>
      </c>
      <c r="K2383" s="1">
        <v>45675</v>
      </c>
      <c r="L2383" t="s">
        <v>14</v>
      </c>
      <c r="M2383">
        <v>18</v>
      </c>
      <c r="N2383">
        <v>1</v>
      </c>
      <c r="O2383">
        <v>1</v>
      </c>
      <c r="P2383">
        <v>2025</v>
      </c>
    </row>
    <row r="2384" spans="1:16">
      <c r="A2384">
        <v>418.1</v>
      </c>
      <c r="B2384">
        <v>5</v>
      </c>
      <c r="C2384" t="s">
        <v>2035</v>
      </c>
      <c r="D2384" t="s">
        <v>2036</v>
      </c>
      <c r="E2384" t="s">
        <v>1793</v>
      </c>
      <c r="F2384" t="s">
        <v>1920</v>
      </c>
      <c r="G2384" t="s">
        <v>807</v>
      </c>
      <c r="H2384" t="s">
        <v>649</v>
      </c>
      <c r="I2384" t="s">
        <v>23</v>
      </c>
      <c r="J2384">
        <v>83.62</v>
      </c>
      <c r="K2384" s="1">
        <v>45829</v>
      </c>
      <c r="L2384" t="s">
        <v>14</v>
      </c>
      <c r="M2384">
        <v>21</v>
      </c>
      <c r="N2384">
        <v>6</v>
      </c>
      <c r="O2384">
        <v>2</v>
      </c>
      <c r="P2384">
        <v>2025</v>
      </c>
    </row>
    <row r="2385" spans="1:16">
      <c r="A2385">
        <v>314.52</v>
      </c>
      <c r="B2385">
        <v>2</v>
      </c>
      <c r="C2385" t="s">
        <v>2081</v>
      </c>
      <c r="D2385" t="s">
        <v>2082</v>
      </c>
      <c r="E2385" t="s">
        <v>2083</v>
      </c>
      <c r="F2385" t="s">
        <v>1944</v>
      </c>
      <c r="G2385" t="s">
        <v>1003</v>
      </c>
      <c r="H2385" t="s">
        <v>68</v>
      </c>
      <c r="I2385" t="s">
        <v>69</v>
      </c>
      <c r="J2385">
        <v>157.26</v>
      </c>
      <c r="K2385" s="1">
        <v>46032</v>
      </c>
      <c r="L2385" t="s">
        <v>14</v>
      </c>
      <c r="M2385">
        <v>10</v>
      </c>
      <c r="N2385">
        <v>1</v>
      </c>
      <c r="O2385">
        <v>1</v>
      </c>
      <c r="P2385">
        <v>2026</v>
      </c>
    </row>
    <row r="2386" spans="1:16">
      <c r="A2386">
        <v>202.27</v>
      </c>
      <c r="B2386">
        <v>1</v>
      </c>
      <c r="C2386" t="s">
        <v>930</v>
      </c>
      <c r="D2386" t="s">
        <v>931</v>
      </c>
      <c r="E2386" t="s">
        <v>932</v>
      </c>
      <c r="F2386" t="s">
        <v>280</v>
      </c>
      <c r="G2386" t="s">
        <v>812</v>
      </c>
      <c r="H2386" t="s">
        <v>541</v>
      </c>
      <c r="I2386" t="s">
        <v>43</v>
      </c>
      <c r="J2386">
        <v>202.27</v>
      </c>
      <c r="K2386" s="1">
        <v>45703</v>
      </c>
      <c r="L2386" t="s">
        <v>14</v>
      </c>
      <c r="M2386">
        <v>15</v>
      </c>
      <c r="N2386">
        <v>2</v>
      </c>
      <c r="O2386">
        <v>1</v>
      </c>
      <c r="P2386">
        <v>2025</v>
      </c>
    </row>
    <row r="2387" spans="1:16">
      <c r="A2387">
        <v>5.91</v>
      </c>
      <c r="B2387">
        <v>1</v>
      </c>
      <c r="C2387" t="s">
        <v>2569</v>
      </c>
      <c r="D2387" t="s">
        <v>2570</v>
      </c>
      <c r="E2387" t="s">
        <v>2571</v>
      </c>
      <c r="F2387" t="s">
        <v>1026</v>
      </c>
      <c r="G2387" t="s">
        <v>896</v>
      </c>
      <c r="H2387" t="s">
        <v>590</v>
      </c>
      <c r="I2387" t="s">
        <v>51</v>
      </c>
      <c r="J2387">
        <v>5.91</v>
      </c>
      <c r="K2387" s="1">
        <v>45889</v>
      </c>
      <c r="L2387" t="s">
        <v>34</v>
      </c>
      <c r="M2387">
        <v>20</v>
      </c>
      <c r="N2387">
        <v>8</v>
      </c>
      <c r="O2387">
        <v>3</v>
      </c>
      <c r="P2387">
        <v>2025</v>
      </c>
    </row>
    <row r="2388" spans="1:16">
      <c r="A2388">
        <v>48.76</v>
      </c>
      <c r="B2388">
        <v>1</v>
      </c>
      <c r="C2388" t="s">
        <v>2558</v>
      </c>
      <c r="D2388" t="s">
        <v>2559</v>
      </c>
      <c r="E2388" t="s">
        <v>2560</v>
      </c>
      <c r="F2388" t="s">
        <v>1302</v>
      </c>
      <c r="G2388" t="s">
        <v>786</v>
      </c>
      <c r="H2388" t="s">
        <v>567</v>
      </c>
      <c r="I2388" t="s">
        <v>100</v>
      </c>
      <c r="J2388">
        <v>48.76</v>
      </c>
      <c r="K2388" s="1">
        <v>45837</v>
      </c>
      <c r="L2388" t="s">
        <v>28</v>
      </c>
      <c r="M2388">
        <v>29</v>
      </c>
      <c r="N2388">
        <v>6</v>
      </c>
      <c r="O2388">
        <v>2</v>
      </c>
      <c r="P2388">
        <v>2025</v>
      </c>
    </row>
    <row r="2389" spans="1:16">
      <c r="A2389">
        <v>103.69999999999999</v>
      </c>
      <c r="B2389">
        <v>5</v>
      </c>
      <c r="C2389" t="s">
        <v>3191</v>
      </c>
      <c r="D2389" t="s">
        <v>3192</v>
      </c>
      <c r="E2389" t="s">
        <v>1862</v>
      </c>
      <c r="F2389" t="s">
        <v>1465</v>
      </c>
      <c r="G2389" t="s">
        <v>817</v>
      </c>
      <c r="H2389" t="s">
        <v>70</v>
      </c>
      <c r="I2389" t="s">
        <v>27</v>
      </c>
      <c r="J2389">
        <v>20.74</v>
      </c>
      <c r="K2389" s="1">
        <v>45975</v>
      </c>
      <c r="L2389" t="s">
        <v>79</v>
      </c>
      <c r="M2389">
        <v>14</v>
      </c>
      <c r="N2389">
        <v>11</v>
      </c>
      <c r="O2389">
        <v>4</v>
      </c>
      <c r="P2389">
        <v>2025</v>
      </c>
    </row>
    <row r="2390" spans="1:16">
      <c r="A2390">
        <v>182.26</v>
      </c>
      <c r="B2390">
        <v>1</v>
      </c>
      <c r="C2390" t="s">
        <v>863</v>
      </c>
      <c r="D2390" t="s">
        <v>864</v>
      </c>
      <c r="E2390" t="s">
        <v>865</v>
      </c>
      <c r="F2390" t="s">
        <v>708</v>
      </c>
      <c r="G2390" t="s">
        <v>834</v>
      </c>
      <c r="H2390" t="s">
        <v>378</v>
      </c>
      <c r="I2390" t="s">
        <v>57</v>
      </c>
      <c r="J2390">
        <v>182.26</v>
      </c>
      <c r="K2390" s="1">
        <v>45642</v>
      </c>
      <c r="L2390" t="s">
        <v>93</v>
      </c>
      <c r="M2390">
        <v>16</v>
      </c>
      <c r="N2390">
        <v>12</v>
      </c>
      <c r="O2390">
        <v>4</v>
      </c>
      <c r="P2390">
        <v>2024</v>
      </c>
    </row>
    <row r="2391" spans="1:16">
      <c r="A2391">
        <v>143.24</v>
      </c>
      <c r="B2391">
        <v>2</v>
      </c>
      <c r="C2391" t="s">
        <v>2276</v>
      </c>
      <c r="D2391" t="s">
        <v>2277</v>
      </c>
      <c r="E2391" t="s">
        <v>2004</v>
      </c>
      <c r="F2391" t="s">
        <v>322</v>
      </c>
      <c r="G2391" t="s">
        <v>795</v>
      </c>
      <c r="H2391" t="s">
        <v>680</v>
      </c>
      <c r="I2391" t="s">
        <v>69</v>
      </c>
      <c r="J2391">
        <v>71.62</v>
      </c>
      <c r="K2391" s="1">
        <v>46213</v>
      </c>
      <c r="L2391" t="s">
        <v>79</v>
      </c>
      <c r="M2391">
        <v>10</v>
      </c>
      <c r="N2391">
        <v>7</v>
      </c>
      <c r="O2391">
        <v>3</v>
      </c>
      <c r="P2391">
        <v>2026</v>
      </c>
    </row>
    <row r="2392" spans="1:16">
      <c r="A2392">
        <v>493.92</v>
      </c>
      <c r="B2392">
        <v>4</v>
      </c>
      <c r="C2392" t="s">
        <v>2949</v>
      </c>
      <c r="D2392" t="s">
        <v>2950</v>
      </c>
      <c r="E2392" t="s">
        <v>1562</v>
      </c>
      <c r="F2392" t="s">
        <v>862</v>
      </c>
      <c r="G2392" t="s">
        <v>758</v>
      </c>
      <c r="H2392" t="s">
        <v>575</v>
      </c>
      <c r="I2392" t="s">
        <v>37</v>
      </c>
      <c r="J2392">
        <v>123.48</v>
      </c>
      <c r="K2392" s="1">
        <v>45952</v>
      </c>
      <c r="L2392" t="s">
        <v>34</v>
      </c>
      <c r="M2392">
        <v>22</v>
      </c>
      <c r="N2392">
        <v>10</v>
      </c>
      <c r="O2392">
        <v>4</v>
      </c>
      <c r="P2392">
        <v>2025</v>
      </c>
    </row>
    <row r="2393" spans="1:16">
      <c r="A2393">
        <v>391.91999999999996</v>
      </c>
      <c r="B2393">
        <v>3</v>
      </c>
      <c r="C2393" t="s">
        <v>1951</v>
      </c>
      <c r="D2393" t="s">
        <v>1952</v>
      </c>
      <c r="E2393" t="s">
        <v>1953</v>
      </c>
      <c r="F2393" t="s">
        <v>1882</v>
      </c>
      <c r="G2393" t="s">
        <v>795</v>
      </c>
      <c r="H2393" t="s">
        <v>553</v>
      </c>
      <c r="I2393" t="s">
        <v>100</v>
      </c>
      <c r="J2393">
        <v>130.63999999999999</v>
      </c>
      <c r="K2393" s="1">
        <v>45688</v>
      </c>
      <c r="L2393" t="s">
        <v>79</v>
      </c>
      <c r="M2393">
        <v>31</v>
      </c>
      <c r="N2393">
        <v>1</v>
      </c>
      <c r="O2393">
        <v>1</v>
      </c>
      <c r="P2393">
        <v>2025</v>
      </c>
    </row>
    <row r="2394" spans="1:16">
      <c r="A2394">
        <v>82.96</v>
      </c>
      <c r="B2394">
        <v>4</v>
      </c>
      <c r="C2394" t="s">
        <v>2756</v>
      </c>
      <c r="D2394" t="s">
        <v>2757</v>
      </c>
      <c r="E2394" t="s">
        <v>868</v>
      </c>
      <c r="F2394" t="s">
        <v>829</v>
      </c>
      <c r="G2394" t="s">
        <v>830</v>
      </c>
      <c r="H2394" t="s">
        <v>70</v>
      </c>
      <c r="I2394" t="s">
        <v>27</v>
      </c>
      <c r="J2394">
        <v>20.74</v>
      </c>
      <c r="K2394" s="1">
        <v>45860</v>
      </c>
      <c r="L2394" t="s">
        <v>48</v>
      </c>
      <c r="M2394">
        <v>22</v>
      </c>
      <c r="N2394">
        <v>7</v>
      </c>
      <c r="O2394">
        <v>3</v>
      </c>
      <c r="P2394">
        <v>2025</v>
      </c>
    </row>
    <row r="2395" spans="1:16">
      <c r="A2395">
        <v>655.23</v>
      </c>
      <c r="B2395">
        <v>3</v>
      </c>
      <c r="C2395" t="s">
        <v>2079</v>
      </c>
      <c r="D2395" t="s">
        <v>2080</v>
      </c>
      <c r="E2395" t="s">
        <v>1698</v>
      </c>
      <c r="F2395" t="s">
        <v>1673</v>
      </c>
      <c r="G2395" t="s">
        <v>821</v>
      </c>
      <c r="H2395" t="s">
        <v>411</v>
      </c>
      <c r="I2395" t="s">
        <v>82</v>
      </c>
      <c r="J2395">
        <v>218.41</v>
      </c>
      <c r="K2395" s="1">
        <v>45861</v>
      </c>
      <c r="L2395" t="s">
        <v>34</v>
      </c>
      <c r="M2395">
        <v>23</v>
      </c>
      <c r="N2395">
        <v>7</v>
      </c>
      <c r="O2395">
        <v>3</v>
      </c>
      <c r="P2395">
        <v>2025</v>
      </c>
    </row>
    <row r="2396" spans="1:16">
      <c r="A2396">
        <v>236.81</v>
      </c>
      <c r="B2396">
        <v>1</v>
      </c>
      <c r="C2396" t="s">
        <v>2801</v>
      </c>
      <c r="D2396" t="s">
        <v>2802</v>
      </c>
      <c r="E2396" t="s">
        <v>2535</v>
      </c>
      <c r="F2396" t="s">
        <v>713</v>
      </c>
      <c r="G2396" t="s">
        <v>908</v>
      </c>
      <c r="H2396" t="s">
        <v>84</v>
      </c>
      <c r="I2396" t="s">
        <v>31</v>
      </c>
      <c r="J2396">
        <v>236.81</v>
      </c>
      <c r="K2396" s="1">
        <v>45805</v>
      </c>
      <c r="L2396" t="s">
        <v>34</v>
      </c>
      <c r="M2396">
        <v>28</v>
      </c>
      <c r="N2396">
        <v>5</v>
      </c>
      <c r="O2396">
        <v>2</v>
      </c>
      <c r="P2396">
        <v>2025</v>
      </c>
    </row>
    <row r="2397" spans="1:16">
      <c r="A2397">
        <v>7.62</v>
      </c>
      <c r="B2397">
        <v>3</v>
      </c>
      <c r="C2397" t="s">
        <v>1667</v>
      </c>
      <c r="D2397" t="s">
        <v>1668</v>
      </c>
      <c r="E2397" t="s">
        <v>1669</v>
      </c>
      <c r="F2397" t="s">
        <v>1670</v>
      </c>
      <c r="G2397" t="s">
        <v>1247</v>
      </c>
      <c r="H2397" t="s">
        <v>409</v>
      </c>
      <c r="I2397" t="s">
        <v>39</v>
      </c>
      <c r="J2397">
        <v>2.54</v>
      </c>
      <c r="K2397" s="1">
        <v>46210</v>
      </c>
      <c r="L2397" t="s">
        <v>48</v>
      </c>
      <c r="M2397">
        <v>7</v>
      </c>
      <c r="N2397">
        <v>7</v>
      </c>
      <c r="O2397">
        <v>3</v>
      </c>
      <c r="P2397">
        <v>2026</v>
      </c>
    </row>
    <row r="2398" spans="1:16">
      <c r="A2398">
        <v>321.09000000000003</v>
      </c>
      <c r="B2398">
        <v>3</v>
      </c>
      <c r="C2398" t="s">
        <v>1478</v>
      </c>
      <c r="D2398" t="s">
        <v>1479</v>
      </c>
      <c r="E2398" t="s">
        <v>1263</v>
      </c>
      <c r="F2398" t="s">
        <v>1395</v>
      </c>
      <c r="G2398" t="s">
        <v>776</v>
      </c>
      <c r="H2398" t="s">
        <v>529</v>
      </c>
      <c r="I2398" t="s">
        <v>37</v>
      </c>
      <c r="J2398">
        <v>107.03</v>
      </c>
      <c r="K2398" s="1">
        <v>46122</v>
      </c>
      <c r="L2398" t="s">
        <v>79</v>
      </c>
      <c r="M2398">
        <v>10</v>
      </c>
      <c r="N2398">
        <v>4</v>
      </c>
      <c r="O2398">
        <v>2</v>
      </c>
      <c r="P2398">
        <v>2026</v>
      </c>
    </row>
    <row r="2399" spans="1:16">
      <c r="A2399">
        <v>612.75</v>
      </c>
      <c r="B2399">
        <v>3</v>
      </c>
      <c r="C2399" t="s">
        <v>1958</v>
      </c>
      <c r="D2399" t="s">
        <v>1959</v>
      </c>
      <c r="E2399" t="s">
        <v>1437</v>
      </c>
      <c r="F2399" t="s">
        <v>196</v>
      </c>
      <c r="G2399" t="s">
        <v>1247</v>
      </c>
      <c r="H2399" t="s">
        <v>341</v>
      </c>
      <c r="I2399" t="s">
        <v>21</v>
      </c>
      <c r="J2399">
        <v>204.25</v>
      </c>
      <c r="K2399" s="1">
        <v>45874</v>
      </c>
      <c r="L2399" t="s">
        <v>48</v>
      </c>
      <c r="M2399">
        <v>5</v>
      </c>
      <c r="N2399">
        <v>8</v>
      </c>
      <c r="O2399">
        <v>3</v>
      </c>
      <c r="P2399">
        <v>2025</v>
      </c>
    </row>
    <row r="2400" spans="1:16">
      <c r="A2400">
        <v>230.27</v>
      </c>
      <c r="B2400">
        <v>1</v>
      </c>
      <c r="C2400" t="s">
        <v>2446</v>
      </c>
      <c r="D2400" t="s">
        <v>2447</v>
      </c>
      <c r="E2400" t="s">
        <v>2184</v>
      </c>
      <c r="F2400" t="s">
        <v>74</v>
      </c>
      <c r="G2400" t="s">
        <v>943</v>
      </c>
      <c r="H2400" t="s">
        <v>200</v>
      </c>
      <c r="I2400" t="s">
        <v>17</v>
      </c>
      <c r="J2400">
        <v>230.27</v>
      </c>
      <c r="K2400" s="1">
        <v>45924</v>
      </c>
      <c r="L2400" t="s">
        <v>34</v>
      </c>
      <c r="M2400">
        <v>24</v>
      </c>
      <c r="N2400">
        <v>9</v>
      </c>
      <c r="O2400">
        <v>3</v>
      </c>
      <c r="P2400">
        <v>2025</v>
      </c>
    </row>
    <row r="2401" spans="1:16">
      <c r="A2401">
        <v>112.8</v>
      </c>
      <c r="B2401">
        <v>5</v>
      </c>
      <c r="C2401" t="s">
        <v>923</v>
      </c>
      <c r="D2401" t="s">
        <v>924</v>
      </c>
      <c r="E2401" t="s">
        <v>925</v>
      </c>
      <c r="F2401" t="s">
        <v>772</v>
      </c>
      <c r="G2401" t="s">
        <v>758</v>
      </c>
      <c r="H2401" t="s">
        <v>371</v>
      </c>
      <c r="I2401" t="s">
        <v>21</v>
      </c>
      <c r="J2401">
        <v>22.56</v>
      </c>
      <c r="K2401" s="1">
        <v>46042</v>
      </c>
      <c r="L2401" t="s">
        <v>48</v>
      </c>
      <c r="M2401">
        <v>20</v>
      </c>
      <c r="N2401">
        <v>1</v>
      </c>
      <c r="O2401">
        <v>1</v>
      </c>
      <c r="P2401">
        <v>2026</v>
      </c>
    </row>
    <row r="2402" spans="1:16">
      <c r="A2402">
        <v>630.56999999999994</v>
      </c>
      <c r="B2402">
        <v>3</v>
      </c>
      <c r="C2402" t="s">
        <v>1784</v>
      </c>
      <c r="D2402" t="s">
        <v>1785</v>
      </c>
      <c r="E2402" t="s">
        <v>1786</v>
      </c>
      <c r="F2402" t="s">
        <v>843</v>
      </c>
      <c r="G2402" t="s">
        <v>753</v>
      </c>
      <c r="H2402" t="s">
        <v>157</v>
      </c>
      <c r="I2402" t="s">
        <v>19</v>
      </c>
      <c r="J2402">
        <v>210.19</v>
      </c>
      <c r="K2402" s="1">
        <v>45597</v>
      </c>
      <c r="L2402" t="s">
        <v>79</v>
      </c>
      <c r="M2402">
        <v>1</v>
      </c>
      <c r="N2402">
        <v>11</v>
      </c>
      <c r="O2402">
        <v>4</v>
      </c>
      <c r="P2402">
        <v>2024</v>
      </c>
    </row>
    <row r="2403" spans="1:16">
      <c r="A2403">
        <v>129.88999999999999</v>
      </c>
      <c r="B2403">
        <v>1</v>
      </c>
      <c r="C2403" t="s">
        <v>2824</v>
      </c>
      <c r="D2403" t="s">
        <v>2825</v>
      </c>
      <c r="E2403" t="s">
        <v>2826</v>
      </c>
      <c r="F2403" t="s">
        <v>1327</v>
      </c>
      <c r="G2403" t="s">
        <v>795</v>
      </c>
      <c r="H2403" t="s">
        <v>271</v>
      </c>
      <c r="I2403" t="s">
        <v>25</v>
      </c>
      <c r="J2403">
        <v>129.88999999999999</v>
      </c>
      <c r="K2403" s="1">
        <v>45761</v>
      </c>
      <c r="L2403" t="s">
        <v>93</v>
      </c>
      <c r="M2403">
        <v>14</v>
      </c>
      <c r="N2403">
        <v>4</v>
      </c>
      <c r="O2403">
        <v>2</v>
      </c>
      <c r="P2403">
        <v>2025</v>
      </c>
    </row>
    <row r="2404" spans="1:16">
      <c r="A2404">
        <v>97.52</v>
      </c>
      <c r="B2404">
        <v>2</v>
      </c>
      <c r="C2404" t="s">
        <v>1104</v>
      </c>
      <c r="D2404" t="s">
        <v>1105</v>
      </c>
      <c r="E2404" t="s">
        <v>1106</v>
      </c>
      <c r="F2404" t="s">
        <v>1107</v>
      </c>
      <c r="G2404" t="s">
        <v>892</v>
      </c>
      <c r="H2404" t="s">
        <v>567</v>
      </c>
      <c r="I2404" t="s">
        <v>100</v>
      </c>
      <c r="J2404">
        <v>48.76</v>
      </c>
      <c r="K2404" s="1">
        <v>45818</v>
      </c>
      <c r="L2404" t="s">
        <v>48</v>
      </c>
      <c r="M2404">
        <v>10</v>
      </c>
      <c r="N2404">
        <v>6</v>
      </c>
      <c r="O2404">
        <v>2</v>
      </c>
      <c r="P2404">
        <v>2025</v>
      </c>
    </row>
    <row r="2405" spans="1:16">
      <c r="A2405">
        <v>103.69999999999999</v>
      </c>
      <c r="B2405">
        <v>5</v>
      </c>
      <c r="C2405" t="s">
        <v>3440</v>
      </c>
      <c r="D2405" t="s">
        <v>3441</v>
      </c>
      <c r="E2405" t="s">
        <v>1070</v>
      </c>
      <c r="F2405" t="s">
        <v>1107</v>
      </c>
      <c r="G2405" t="s">
        <v>892</v>
      </c>
      <c r="H2405" t="s">
        <v>70</v>
      </c>
      <c r="I2405" t="s">
        <v>27</v>
      </c>
      <c r="J2405">
        <v>20.74</v>
      </c>
      <c r="K2405" s="1">
        <v>45602</v>
      </c>
      <c r="L2405" t="s">
        <v>34</v>
      </c>
      <c r="M2405">
        <v>6</v>
      </c>
      <c r="N2405">
        <v>11</v>
      </c>
      <c r="O2405">
        <v>4</v>
      </c>
      <c r="P2405">
        <v>2024</v>
      </c>
    </row>
    <row r="2406" spans="1:16">
      <c r="A2406">
        <v>61.86</v>
      </c>
      <c r="B2406">
        <v>3</v>
      </c>
      <c r="C2406" t="s">
        <v>2414</v>
      </c>
      <c r="D2406" t="s">
        <v>2415</v>
      </c>
      <c r="E2406" t="s">
        <v>2416</v>
      </c>
      <c r="F2406" t="s">
        <v>666</v>
      </c>
      <c r="G2406" t="s">
        <v>954</v>
      </c>
      <c r="H2406" t="s">
        <v>96</v>
      </c>
      <c r="I2406" t="s">
        <v>97</v>
      </c>
      <c r="J2406">
        <v>20.62</v>
      </c>
      <c r="K2406" s="1">
        <v>46126</v>
      </c>
      <c r="L2406" t="s">
        <v>48</v>
      </c>
      <c r="M2406">
        <v>14</v>
      </c>
      <c r="N2406">
        <v>4</v>
      </c>
      <c r="O2406">
        <v>2</v>
      </c>
      <c r="P2406">
        <v>2026</v>
      </c>
    </row>
    <row r="2407" spans="1:16">
      <c r="A2407">
        <v>140.44</v>
      </c>
      <c r="B2407">
        <v>4</v>
      </c>
      <c r="C2407" t="s">
        <v>1756</v>
      </c>
      <c r="D2407" t="s">
        <v>1757</v>
      </c>
      <c r="E2407" t="s">
        <v>1679</v>
      </c>
      <c r="F2407" t="s">
        <v>802</v>
      </c>
      <c r="G2407" t="s">
        <v>748</v>
      </c>
      <c r="H2407" t="s">
        <v>400</v>
      </c>
      <c r="I2407" t="s">
        <v>57</v>
      </c>
      <c r="J2407">
        <v>35.11</v>
      </c>
      <c r="K2407" s="1">
        <v>45775</v>
      </c>
      <c r="L2407" t="s">
        <v>93</v>
      </c>
      <c r="M2407">
        <v>28</v>
      </c>
      <c r="N2407">
        <v>4</v>
      </c>
      <c r="O2407">
        <v>2</v>
      </c>
      <c r="P2407">
        <v>2025</v>
      </c>
    </row>
    <row r="2408" spans="1:16">
      <c r="A2408">
        <v>640.84999999999991</v>
      </c>
      <c r="B2408">
        <v>5</v>
      </c>
      <c r="C2408" t="s">
        <v>2719</v>
      </c>
      <c r="D2408" t="s">
        <v>2720</v>
      </c>
      <c r="E2408" t="s">
        <v>2721</v>
      </c>
      <c r="F2408" t="s">
        <v>1061</v>
      </c>
      <c r="G2408" t="s">
        <v>821</v>
      </c>
      <c r="H2408" t="s">
        <v>487</v>
      </c>
      <c r="I2408" t="s">
        <v>19</v>
      </c>
      <c r="J2408">
        <v>128.16999999999999</v>
      </c>
      <c r="K2408" s="1">
        <v>46117</v>
      </c>
      <c r="L2408" t="s">
        <v>28</v>
      </c>
      <c r="M2408">
        <v>5</v>
      </c>
      <c r="N2408">
        <v>4</v>
      </c>
      <c r="O2408">
        <v>2</v>
      </c>
      <c r="P2408">
        <v>2026</v>
      </c>
    </row>
    <row r="2409" spans="1:16">
      <c r="A2409">
        <v>216.06</v>
      </c>
      <c r="B2409">
        <v>3</v>
      </c>
      <c r="C2409" t="s">
        <v>2228</v>
      </c>
      <c r="D2409" t="s">
        <v>2229</v>
      </c>
      <c r="E2409" t="s">
        <v>1192</v>
      </c>
      <c r="F2409" t="s">
        <v>64</v>
      </c>
      <c r="G2409" t="s">
        <v>892</v>
      </c>
      <c r="H2409" t="s">
        <v>108</v>
      </c>
      <c r="I2409" t="s">
        <v>51</v>
      </c>
      <c r="J2409">
        <v>72.02</v>
      </c>
      <c r="K2409" s="1">
        <v>45778</v>
      </c>
      <c r="L2409" t="s">
        <v>105</v>
      </c>
      <c r="M2409">
        <v>1</v>
      </c>
      <c r="N2409">
        <v>5</v>
      </c>
      <c r="O2409">
        <v>2</v>
      </c>
      <c r="P2409">
        <v>2025</v>
      </c>
    </row>
    <row r="2410" spans="1:16">
      <c r="A2410">
        <v>275.56</v>
      </c>
      <c r="B2410">
        <v>4</v>
      </c>
      <c r="C2410" t="s">
        <v>1923</v>
      </c>
      <c r="D2410" t="s">
        <v>1924</v>
      </c>
      <c r="E2410" t="s">
        <v>1925</v>
      </c>
      <c r="F2410" t="s">
        <v>29</v>
      </c>
      <c r="G2410" t="s">
        <v>821</v>
      </c>
      <c r="H2410" t="s">
        <v>606</v>
      </c>
      <c r="I2410" t="s">
        <v>82</v>
      </c>
      <c r="J2410">
        <v>68.89</v>
      </c>
      <c r="K2410" s="1">
        <v>45959</v>
      </c>
      <c r="L2410" t="s">
        <v>34</v>
      </c>
      <c r="M2410">
        <v>29</v>
      </c>
      <c r="N2410">
        <v>10</v>
      </c>
      <c r="O2410">
        <v>4</v>
      </c>
      <c r="P2410">
        <v>2025</v>
      </c>
    </row>
    <row r="2411" spans="1:16">
      <c r="A2411">
        <v>213.16</v>
      </c>
      <c r="B2411">
        <v>2</v>
      </c>
      <c r="C2411" t="s">
        <v>1343</v>
      </c>
      <c r="D2411" t="s">
        <v>1344</v>
      </c>
      <c r="E2411" t="s">
        <v>1345</v>
      </c>
      <c r="F2411" t="s">
        <v>903</v>
      </c>
      <c r="G2411" t="s">
        <v>786</v>
      </c>
      <c r="H2411" t="s">
        <v>670</v>
      </c>
      <c r="I2411" t="s">
        <v>57</v>
      </c>
      <c r="J2411">
        <v>106.58</v>
      </c>
      <c r="K2411" s="1">
        <v>45716</v>
      </c>
      <c r="L2411" t="s">
        <v>79</v>
      </c>
      <c r="M2411">
        <v>28</v>
      </c>
      <c r="N2411">
        <v>2</v>
      </c>
      <c r="O2411">
        <v>1</v>
      </c>
      <c r="P2411">
        <v>2025</v>
      </c>
    </row>
    <row r="2412" spans="1:16">
      <c r="A2412">
        <v>341.14</v>
      </c>
      <c r="B2412">
        <v>2</v>
      </c>
      <c r="C2412" t="s">
        <v>1775</v>
      </c>
      <c r="D2412" t="s">
        <v>1776</v>
      </c>
      <c r="E2412" t="s">
        <v>1777</v>
      </c>
      <c r="F2412" t="s">
        <v>1525</v>
      </c>
      <c r="G2412" t="s">
        <v>763</v>
      </c>
      <c r="H2412" t="s">
        <v>482</v>
      </c>
      <c r="I2412" t="s">
        <v>82</v>
      </c>
      <c r="J2412">
        <v>170.57</v>
      </c>
      <c r="K2412" s="1">
        <v>46044</v>
      </c>
      <c r="L2412" t="s">
        <v>105</v>
      </c>
      <c r="M2412">
        <v>22</v>
      </c>
      <c r="N2412">
        <v>1</v>
      </c>
      <c r="O2412">
        <v>1</v>
      </c>
      <c r="P2412">
        <v>2026</v>
      </c>
    </row>
    <row r="2413" spans="1:16">
      <c r="A2413">
        <v>616.34999999999991</v>
      </c>
      <c r="B2413">
        <v>3</v>
      </c>
      <c r="C2413" t="s">
        <v>2965</v>
      </c>
      <c r="D2413" t="s">
        <v>2966</v>
      </c>
      <c r="E2413" t="s">
        <v>1559</v>
      </c>
      <c r="F2413" t="s">
        <v>1137</v>
      </c>
      <c r="G2413" t="s">
        <v>748</v>
      </c>
      <c r="H2413" t="s">
        <v>107</v>
      </c>
      <c r="I2413" t="s">
        <v>17</v>
      </c>
      <c r="J2413">
        <v>205.45</v>
      </c>
      <c r="K2413" s="1">
        <v>46039</v>
      </c>
      <c r="L2413" t="s">
        <v>14</v>
      </c>
      <c r="M2413">
        <v>17</v>
      </c>
      <c r="N2413">
        <v>1</v>
      </c>
      <c r="O2413">
        <v>1</v>
      </c>
      <c r="P2413">
        <v>2026</v>
      </c>
    </row>
    <row r="2414" spans="1:16">
      <c r="A2414">
        <v>341.3</v>
      </c>
      <c r="B2414">
        <v>5</v>
      </c>
      <c r="C2414" t="s">
        <v>1949</v>
      </c>
      <c r="D2414" t="s">
        <v>1950</v>
      </c>
      <c r="E2414" t="s">
        <v>1335</v>
      </c>
      <c r="F2414" t="s">
        <v>767</v>
      </c>
      <c r="G2414" t="s">
        <v>768</v>
      </c>
      <c r="H2414" t="s">
        <v>306</v>
      </c>
      <c r="I2414" t="s">
        <v>39</v>
      </c>
      <c r="J2414">
        <v>68.260000000000005</v>
      </c>
      <c r="K2414" s="1">
        <v>46088</v>
      </c>
      <c r="L2414" t="s">
        <v>14</v>
      </c>
      <c r="M2414">
        <v>7</v>
      </c>
      <c r="N2414">
        <v>3</v>
      </c>
      <c r="O2414">
        <v>1</v>
      </c>
      <c r="P2414">
        <v>2026</v>
      </c>
    </row>
    <row r="2415" spans="1:16">
      <c r="A2415">
        <v>20.02</v>
      </c>
      <c r="B2415">
        <v>2</v>
      </c>
      <c r="C2415" t="s">
        <v>3067</v>
      </c>
      <c r="D2415" t="s">
        <v>3068</v>
      </c>
      <c r="E2415" t="s">
        <v>3069</v>
      </c>
      <c r="F2415" t="s">
        <v>1600</v>
      </c>
      <c r="G2415" t="s">
        <v>768</v>
      </c>
      <c r="H2415" t="s">
        <v>163</v>
      </c>
      <c r="I2415" t="s">
        <v>97</v>
      </c>
      <c r="J2415">
        <v>10.01</v>
      </c>
      <c r="K2415" s="1">
        <v>45846</v>
      </c>
      <c r="L2415" t="s">
        <v>48</v>
      </c>
      <c r="M2415">
        <v>8</v>
      </c>
      <c r="N2415">
        <v>7</v>
      </c>
      <c r="O2415">
        <v>3</v>
      </c>
      <c r="P2415">
        <v>2025</v>
      </c>
    </row>
    <row r="2416" spans="1:16">
      <c r="A2416">
        <v>65.760000000000005</v>
      </c>
      <c r="B2416">
        <v>3</v>
      </c>
      <c r="C2416" t="s">
        <v>1160</v>
      </c>
      <c r="D2416" t="s">
        <v>1161</v>
      </c>
      <c r="E2416" t="s">
        <v>1162</v>
      </c>
      <c r="F2416" t="s">
        <v>794</v>
      </c>
      <c r="G2416" t="s">
        <v>795</v>
      </c>
      <c r="H2416" t="s">
        <v>217</v>
      </c>
      <c r="I2416" t="s">
        <v>60</v>
      </c>
      <c r="J2416">
        <v>21.92</v>
      </c>
      <c r="K2416" s="1">
        <v>46146</v>
      </c>
      <c r="L2416" t="s">
        <v>93</v>
      </c>
      <c r="M2416">
        <v>4</v>
      </c>
      <c r="N2416">
        <v>5</v>
      </c>
      <c r="O2416">
        <v>2</v>
      </c>
      <c r="P2416">
        <v>2026</v>
      </c>
    </row>
    <row r="2417" spans="1:16">
      <c r="A2417">
        <v>566.20000000000005</v>
      </c>
      <c r="B2417">
        <v>4</v>
      </c>
      <c r="C2417" t="s">
        <v>1769</v>
      </c>
      <c r="D2417" t="s">
        <v>1770</v>
      </c>
      <c r="E2417" t="s">
        <v>1771</v>
      </c>
      <c r="F2417" t="s">
        <v>915</v>
      </c>
      <c r="G2417" t="s">
        <v>768</v>
      </c>
      <c r="H2417" t="s">
        <v>273</v>
      </c>
      <c r="I2417" t="s">
        <v>100</v>
      </c>
      <c r="J2417">
        <v>141.55000000000001</v>
      </c>
      <c r="K2417" s="1">
        <v>45724</v>
      </c>
      <c r="L2417" t="s">
        <v>14</v>
      </c>
      <c r="M2417">
        <v>8</v>
      </c>
      <c r="N2417">
        <v>3</v>
      </c>
      <c r="O2417">
        <v>1</v>
      </c>
      <c r="P2417">
        <v>2025</v>
      </c>
    </row>
    <row r="2418" spans="1:16">
      <c r="A2418">
        <v>100.46</v>
      </c>
      <c r="B2418">
        <v>1</v>
      </c>
      <c r="C2418" t="s">
        <v>2700</v>
      </c>
      <c r="D2418" t="s">
        <v>2701</v>
      </c>
      <c r="E2418" t="s">
        <v>1688</v>
      </c>
      <c r="F2418" t="s">
        <v>635</v>
      </c>
      <c r="G2418" t="s">
        <v>768</v>
      </c>
      <c r="H2418" t="s">
        <v>703</v>
      </c>
      <c r="I2418" t="s">
        <v>60</v>
      </c>
      <c r="J2418">
        <v>100.46</v>
      </c>
      <c r="K2418" s="1">
        <v>46191</v>
      </c>
      <c r="L2418" t="s">
        <v>105</v>
      </c>
      <c r="M2418">
        <v>18</v>
      </c>
      <c r="N2418">
        <v>6</v>
      </c>
      <c r="O2418">
        <v>2</v>
      </c>
      <c r="P2418">
        <v>2026</v>
      </c>
    </row>
    <row r="2419" spans="1:16">
      <c r="A2419">
        <v>61.86</v>
      </c>
      <c r="B2419">
        <v>3</v>
      </c>
      <c r="C2419" t="s">
        <v>3377</v>
      </c>
      <c r="D2419" t="s">
        <v>3378</v>
      </c>
      <c r="E2419" t="s">
        <v>1283</v>
      </c>
      <c r="F2419" t="s">
        <v>644</v>
      </c>
      <c r="G2419" t="s">
        <v>748</v>
      </c>
      <c r="H2419" t="s">
        <v>96</v>
      </c>
      <c r="I2419" t="s">
        <v>97</v>
      </c>
      <c r="J2419">
        <v>20.62</v>
      </c>
      <c r="K2419" s="1">
        <v>46184</v>
      </c>
      <c r="L2419" t="s">
        <v>105</v>
      </c>
      <c r="M2419">
        <v>11</v>
      </c>
      <c r="N2419">
        <v>6</v>
      </c>
      <c r="O2419">
        <v>2</v>
      </c>
      <c r="P2419">
        <v>2026</v>
      </c>
    </row>
    <row r="2420" spans="1:16">
      <c r="A2420">
        <v>198.14</v>
      </c>
      <c r="B2420">
        <v>1</v>
      </c>
      <c r="C2420" t="s">
        <v>3442</v>
      </c>
      <c r="D2420" t="s">
        <v>3443</v>
      </c>
      <c r="E2420" t="s">
        <v>1505</v>
      </c>
      <c r="F2420" t="s">
        <v>106</v>
      </c>
      <c r="G2420" t="s">
        <v>896</v>
      </c>
      <c r="H2420" t="s">
        <v>146</v>
      </c>
      <c r="I2420" t="s">
        <v>97</v>
      </c>
      <c r="J2420">
        <v>198.14</v>
      </c>
      <c r="K2420" s="1">
        <v>45713</v>
      </c>
      <c r="L2420" t="s">
        <v>48</v>
      </c>
      <c r="M2420">
        <v>25</v>
      </c>
      <c r="N2420">
        <v>2</v>
      </c>
      <c r="O2420">
        <v>1</v>
      </c>
      <c r="P2420">
        <v>2025</v>
      </c>
    </row>
    <row r="2421" spans="1:16">
      <c r="A2421">
        <v>972.30000000000007</v>
      </c>
      <c r="B2421">
        <v>5</v>
      </c>
      <c r="C2421" t="s">
        <v>2112</v>
      </c>
      <c r="D2421" t="s">
        <v>2113</v>
      </c>
      <c r="E2421" t="s">
        <v>2114</v>
      </c>
      <c r="F2421" t="s">
        <v>883</v>
      </c>
      <c r="G2421" t="s">
        <v>807</v>
      </c>
      <c r="H2421" t="s">
        <v>486</v>
      </c>
      <c r="I2421" t="s">
        <v>100</v>
      </c>
      <c r="J2421">
        <v>194.46</v>
      </c>
      <c r="K2421" s="1">
        <v>45909</v>
      </c>
      <c r="L2421" t="s">
        <v>48</v>
      </c>
      <c r="M2421">
        <v>9</v>
      </c>
      <c r="N2421">
        <v>9</v>
      </c>
      <c r="O2421">
        <v>3</v>
      </c>
      <c r="P2421">
        <v>2025</v>
      </c>
    </row>
    <row r="2422" spans="1:16">
      <c r="A2422">
        <v>62.94</v>
      </c>
      <c r="B2422">
        <v>3</v>
      </c>
      <c r="C2422" t="s">
        <v>1419</v>
      </c>
      <c r="D2422" t="s">
        <v>1420</v>
      </c>
      <c r="E2422" t="s">
        <v>891</v>
      </c>
      <c r="F2422" t="s">
        <v>1421</v>
      </c>
      <c r="G2422" t="s">
        <v>776</v>
      </c>
      <c r="H2422" t="s">
        <v>456</v>
      </c>
      <c r="I2422" t="s">
        <v>19</v>
      </c>
      <c r="J2422">
        <v>20.98</v>
      </c>
      <c r="K2422" s="1">
        <v>45564</v>
      </c>
      <c r="L2422" t="s">
        <v>28</v>
      </c>
      <c r="M2422">
        <v>29</v>
      </c>
      <c r="N2422">
        <v>9</v>
      </c>
      <c r="O2422">
        <v>3</v>
      </c>
      <c r="P2422">
        <v>2024</v>
      </c>
    </row>
    <row r="2423" spans="1:16">
      <c r="A2423">
        <v>254.76</v>
      </c>
      <c r="B2423">
        <v>2</v>
      </c>
      <c r="C2423" t="s">
        <v>2717</v>
      </c>
      <c r="D2423" t="s">
        <v>2718</v>
      </c>
      <c r="E2423" t="s">
        <v>941</v>
      </c>
      <c r="F2423" t="s">
        <v>1434</v>
      </c>
      <c r="G2423" t="s">
        <v>786</v>
      </c>
      <c r="H2423" t="s">
        <v>1217</v>
      </c>
      <c r="I2423" t="s">
        <v>122</v>
      </c>
      <c r="J2423">
        <v>127.38</v>
      </c>
      <c r="K2423" s="1">
        <v>46073</v>
      </c>
      <c r="L2423" t="s">
        <v>79</v>
      </c>
      <c r="M2423">
        <v>20</v>
      </c>
      <c r="N2423">
        <v>2</v>
      </c>
      <c r="O2423">
        <v>1</v>
      </c>
      <c r="P2423">
        <v>2026</v>
      </c>
    </row>
    <row r="2424" spans="1:16">
      <c r="A2424">
        <v>610.4</v>
      </c>
      <c r="B2424">
        <v>5</v>
      </c>
      <c r="C2424" t="s">
        <v>2304</v>
      </c>
      <c r="D2424" t="s">
        <v>2305</v>
      </c>
      <c r="E2424" t="s">
        <v>2306</v>
      </c>
      <c r="F2424" t="s">
        <v>608</v>
      </c>
      <c r="G2424" t="s">
        <v>966</v>
      </c>
      <c r="H2424" t="s">
        <v>646</v>
      </c>
      <c r="I2424" t="s">
        <v>21</v>
      </c>
      <c r="J2424">
        <v>122.08</v>
      </c>
      <c r="K2424" s="1">
        <v>45956</v>
      </c>
      <c r="L2424" t="s">
        <v>28</v>
      </c>
      <c r="M2424">
        <v>26</v>
      </c>
      <c r="N2424">
        <v>10</v>
      </c>
      <c r="O2424">
        <v>4</v>
      </c>
      <c r="P2424">
        <v>2025</v>
      </c>
    </row>
    <row r="2425" spans="1:16">
      <c r="A2425">
        <v>735.72</v>
      </c>
      <c r="B2425">
        <v>4</v>
      </c>
      <c r="C2425" t="s">
        <v>2106</v>
      </c>
      <c r="D2425" t="s">
        <v>2107</v>
      </c>
      <c r="E2425" t="s">
        <v>2108</v>
      </c>
      <c r="F2425" t="s">
        <v>1395</v>
      </c>
      <c r="G2425" t="s">
        <v>776</v>
      </c>
      <c r="H2425" t="s">
        <v>359</v>
      </c>
      <c r="I2425" t="s">
        <v>23</v>
      </c>
      <c r="J2425">
        <v>183.93</v>
      </c>
      <c r="K2425" s="1">
        <v>46260</v>
      </c>
      <c r="L2425" t="s">
        <v>34</v>
      </c>
      <c r="M2425">
        <v>26</v>
      </c>
      <c r="N2425">
        <v>8</v>
      </c>
      <c r="O2425">
        <v>3</v>
      </c>
      <c r="P2425">
        <v>2026</v>
      </c>
    </row>
    <row r="2426" spans="1:16">
      <c r="A2426">
        <v>133.47999999999999</v>
      </c>
      <c r="B2426">
        <v>4</v>
      </c>
      <c r="C2426" t="s">
        <v>847</v>
      </c>
      <c r="D2426" t="s">
        <v>848</v>
      </c>
      <c r="E2426" t="s">
        <v>849</v>
      </c>
      <c r="F2426" t="s">
        <v>387</v>
      </c>
      <c r="G2426" t="s">
        <v>821</v>
      </c>
      <c r="H2426" t="s">
        <v>388</v>
      </c>
      <c r="I2426" t="s">
        <v>46</v>
      </c>
      <c r="J2426">
        <v>33.369999999999997</v>
      </c>
      <c r="K2426" s="1">
        <v>46195</v>
      </c>
      <c r="L2426" t="s">
        <v>93</v>
      </c>
      <c r="M2426">
        <v>22</v>
      </c>
      <c r="N2426">
        <v>6</v>
      </c>
      <c r="O2426">
        <v>2</v>
      </c>
      <c r="P2426">
        <v>2026</v>
      </c>
    </row>
    <row r="2427" spans="1:16">
      <c r="A2427">
        <v>406.46</v>
      </c>
      <c r="B2427">
        <v>2</v>
      </c>
      <c r="C2427" t="s">
        <v>2936</v>
      </c>
      <c r="D2427" t="s">
        <v>2937</v>
      </c>
      <c r="E2427" t="s">
        <v>1035</v>
      </c>
      <c r="F2427" t="s">
        <v>1395</v>
      </c>
      <c r="G2427" t="s">
        <v>776</v>
      </c>
      <c r="H2427" t="s">
        <v>417</v>
      </c>
      <c r="I2427" t="s">
        <v>51</v>
      </c>
      <c r="J2427">
        <v>203.23</v>
      </c>
      <c r="K2427" s="1">
        <v>46277</v>
      </c>
      <c r="L2427" t="s">
        <v>14</v>
      </c>
      <c r="M2427">
        <v>12</v>
      </c>
      <c r="N2427">
        <v>9</v>
      </c>
      <c r="O2427">
        <v>3</v>
      </c>
      <c r="P2427">
        <v>2026</v>
      </c>
    </row>
    <row r="2428" spans="1:16">
      <c r="A2428">
        <v>67.23</v>
      </c>
      <c r="B2428">
        <v>3</v>
      </c>
      <c r="C2428" t="s">
        <v>3140</v>
      </c>
      <c r="D2428" t="s">
        <v>3141</v>
      </c>
      <c r="E2428" t="s">
        <v>2904</v>
      </c>
      <c r="F2428" t="s">
        <v>562</v>
      </c>
      <c r="G2428" t="s">
        <v>753</v>
      </c>
      <c r="H2428" t="s">
        <v>484</v>
      </c>
      <c r="I2428" t="s">
        <v>25</v>
      </c>
      <c r="J2428">
        <v>22.41</v>
      </c>
      <c r="K2428" s="1">
        <v>46237</v>
      </c>
      <c r="L2428" t="s">
        <v>93</v>
      </c>
      <c r="M2428">
        <v>3</v>
      </c>
      <c r="N2428">
        <v>8</v>
      </c>
      <c r="O2428">
        <v>3</v>
      </c>
      <c r="P2428">
        <v>2026</v>
      </c>
    </row>
    <row r="2429" spans="1:16">
      <c r="A2429">
        <v>173.27</v>
      </c>
      <c r="B2429">
        <v>1</v>
      </c>
      <c r="C2429" t="s">
        <v>1108</v>
      </c>
      <c r="D2429" t="s">
        <v>1109</v>
      </c>
      <c r="E2429" t="s">
        <v>1110</v>
      </c>
      <c r="F2429" t="s">
        <v>1111</v>
      </c>
      <c r="G2429" t="s">
        <v>981</v>
      </c>
      <c r="H2429" t="s">
        <v>185</v>
      </c>
      <c r="I2429" t="s">
        <v>57</v>
      </c>
      <c r="J2429">
        <v>173.27</v>
      </c>
      <c r="K2429" s="1">
        <v>45792</v>
      </c>
      <c r="L2429" t="s">
        <v>105</v>
      </c>
      <c r="M2429">
        <v>15</v>
      </c>
      <c r="N2429">
        <v>5</v>
      </c>
      <c r="O2429">
        <v>2</v>
      </c>
      <c r="P2429">
        <v>2025</v>
      </c>
    </row>
    <row r="2430" spans="1:16">
      <c r="A2430">
        <v>445.02</v>
      </c>
      <c r="B2430">
        <v>2</v>
      </c>
      <c r="C2430" t="s">
        <v>2099</v>
      </c>
      <c r="D2430" t="s">
        <v>2100</v>
      </c>
      <c r="E2430" t="s">
        <v>1085</v>
      </c>
      <c r="F2430" t="s">
        <v>1172</v>
      </c>
      <c r="G2430" t="s">
        <v>830</v>
      </c>
      <c r="H2430" t="s">
        <v>142</v>
      </c>
      <c r="I2430" t="s">
        <v>60</v>
      </c>
      <c r="J2430">
        <v>222.51</v>
      </c>
      <c r="K2430" s="1">
        <v>46158</v>
      </c>
      <c r="L2430" t="s">
        <v>14</v>
      </c>
      <c r="M2430">
        <v>16</v>
      </c>
      <c r="N2430">
        <v>5</v>
      </c>
      <c r="O2430">
        <v>2</v>
      </c>
      <c r="P2430">
        <v>2026</v>
      </c>
    </row>
    <row r="2431" spans="1:16">
      <c r="A2431">
        <v>151.96</v>
      </c>
      <c r="B2431">
        <v>2</v>
      </c>
      <c r="C2431" t="s">
        <v>2995</v>
      </c>
      <c r="D2431" t="s">
        <v>2996</v>
      </c>
      <c r="E2431" t="s">
        <v>2108</v>
      </c>
      <c r="F2431" t="s">
        <v>1039</v>
      </c>
      <c r="G2431" t="s">
        <v>758</v>
      </c>
      <c r="H2431" t="s">
        <v>313</v>
      </c>
      <c r="I2431" t="s">
        <v>31</v>
      </c>
      <c r="J2431">
        <v>75.98</v>
      </c>
      <c r="K2431" s="1">
        <v>45569</v>
      </c>
      <c r="L2431" t="s">
        <v>79</v>
      </c>
      <c r="M2431">
        <v>4</v>
      </c>
      <c r="N2431">
        <v>10</v>
      </c>
      <c r="O2431">
        <v>4</v>
      </c>
      <c r="P2431">
        <v>2024</v>
      </c>
    </row>
    <row r="2432" spans="1:16">
      <c r="A2432">
        <v>84.03</v>
      </c>
      <c r="B2432">
        <v>3</v>
      </c>
      <c r="C2432" t="s">
        <v>1988</v>
      </c>
      <c r="D2432" t="s">
        <v>1989</v>
      </c>
      <c r="E2432" t="s">
        <v>1117</v>
      </c>
      <c r="F2432" t="s">
        <v>829</v>
      </c>
      <c r="G2432" t="s">
        <v>830</v>
      </c>
      <c r="H2432" t="s">
        <v>463</v>
      </c>
      <c r="I2432" t="s">
        <v>43</v>
      </c>
      <c r="J2432">
        <v>28.01</v>
      </c>
      <c r="K2432" s="1">
        <v>45925</v>
      </c>
      <c r="L2432" t="s">
        <v>105</v>
      </c>
      <c r="M2432">
        <v>25</v>
      </c>
      <c r="N2432">
        <v>9</v>
      </c>
      <c r="O2432">
        <v>3</v>
      </c>
      <c r="P2432">
        <v>2025</v>
      </c>
    </row>
    <row r="2433" spans="1:16">
      <c r="A2433">
        <v>800.48</v>
      </c>
      <c r="B2433">
        <v>4</v>
      </c>
      <c r="C2433" t="s">
        <v>2258</v>
      </c>
      <c r="D2433" t="s">
        <v>2259</v>
      </c>
      <c r="E2433" t="s">
        <v>2260</v>
      </c>
      <c r="F2433" t="s">
        <v>772</v>
      </c>
      <c r="G2433" t="s">
        <v>758</v>
      </c>
      <c r="H2433" t="s">
        <v>239</v>
      </c>
      <c r="I2433" t="s">
        <v>23</v>
      </c>
      <c r="J2433">
        <v>200.12</v>
      </c>
      <c r="K2433" s="1">
        <v>45961</v>
      </c>
      <c r="L2433" t="s">
        <v>79</v>
      </c>
      <c r="M2433">
        <v>31</v>
      </c>
      <c r="N2433">
        <v>10</v>
      </c>
      <c r="O2433">
        <v>4</v>
      </c>
      <c r="P2433">
        <v>2025</v>
      </c>
    </row>
    <row r="2434" spans="1:16">
      <c r="A2434">
        <v>469.96</v>
      </c>
      <c r="B2434">
        <v>2</v>
      </c>
      <c r="C2434" t="s">
        <v>2722</v>
      </c>
      <c r="D2434" t="s">
        <v>2723</v>
      </c>
      <c r="E2434" t="s">
        <v>1440</v>
      </c>
      <c r="F2434" t="s">
        <v>380</v>
      </c>
      <c r="G2434" t="s">
        <v>776</v>
      </c>
      <c r="H2434" t="s">
        <v>333</v>
      </c>
      <c r="I2434" t="s">
        <v>37</v>
      </c>
      <c r="J2434">
        <v>234.98</v>
      </c>
      <c r="K2434" s="1">
        <v>45944</v>
      </c>
      <c r="L2434" t="s">
        <v>48</v>
      </c>
      <c r="M2434">
        <v>14</v>
      </c>
      <c r="N2434">
        <v>10</v>
      </c>
      <c r="O2434">
        <v>4</v>
      </c>
      <c r="P2434">
        <v>2025</v>
      </c>
    </row>
    <row r="2435" spans="1:16">
      <c r="A2435">
        <v>263.01</v>
      </c>
      <c r="B2435">
        <v>3</v>
      </c>
      <c r="C2435" t="s">
        <v>1772</v>
      </c>
      <c r="D2435" t="s">
        <v>1773</v>
      </c>
      <c r="E2435" t="s">
        <v>1380</v>
      </c>
      <c r="F2435" t="s">
        <v>1032</v>
      </c>
      <c r="G2435" t="s">
        <v>839</v>
      </c>
      <c r="H2435" t="s">
        <v>1774</v>
      </c>
      <c r="I2435" t="s">
        <v>27</v>
      </c>
      <c r="J2435">
        <v>87.67</v>
      </c>
      <c r="K2435" s="1">
        <v>46064</v>
      </c>
      <c r="L2435" t="s">
        <v>34</v>
      </c>
      <c r="M2435">
        <v>11</v>
      </c>
      <c r="N2435">
        <v>2</v>
      </c>
      <c r="O2435">
        <v>1</v>
      </c>
      <c r="P2435">
        <v>2026</v>
      </c>
    </row>
    <row r="2436" spans="1:16">
      <c r="A2436">
        <v>374.96999999999997</v>
      </c>
      <c r="B2436">
        <v>3</v>
      </c>
      <c r="C2436" t="s">
        <v>2523</v>
      </c>
      <c r="D2436" t="s">
        <v>2524</v>
      </c>
      <c r="E2436" t="s">
        <v>1997</v>
      </c>
      <c r="F2436" t="s">
        <v>1189</v>
      </c>
      <c r="G2436" t="s">
        <v>892</v>
      </c>
      <c r="H2436" t="s">
        <v>512</v>
      </c>
      <c r="I2436" t="s">
        <v>27</v>
      </c>
      <c r="J2436">
        <v>124.99</v>
      </c>
      <c r="K2436" s="1">
        <v>45777</v>
      </c>
      <c r="L2436" t="s">
        <v>34</v>
      </c>
      <c r="M2436">
        <v>30</v>
      </c>
      <c r="N2436">
        <v>4</v>
      </c>
      <c r="O2436">
        <v>2</v>
      </c>
      <c r="P2436">
        <v>2025</v>
      </c>
    </row>
    <row r="2437" spans="1:16">
      <c r="A2437">
        <v>967.09999999999991</v>
      </c>
      <c r="B2437">
        <v>5</v>
      </c>
      <c r="C2437" t="s">
        <v>2492</v>
      </c>
      <c r="D2437" t="s">
        <v>2493</v>
      </c>
      <c r="E2437" t="s">
        <v>960</v>
      </c>
      <c r="F2437" t="s">
        <v>869</v>
      </c>
      <c r="G2437" t="s">
        <v>1247</v>
      </c>
      <c r="H2437" t="s">
        <v>294</v>
      </c>
      <c r="I2437" t="s">
        <v>51</v>
      </c>
      <c r="J2437">
        <v>193.42</v>
      </c>
      <c r="K2437" s="1">
        <v>45899</v>
      </c>
      <c r="L2437" t="s">
        <v>14</v>
      </c>
      <c r="M2437">
        <v>30</v>
      </c>
      <c r="N2437">
        <v>8</v>
      </c>
      <c r="O2437">
        <v>3</v>
      </c>
      <c r="P2437">
        <v>2025</v>
      </c>
    </row>
    <row r="2438" spans="1:16">
      <c r="A2438">
        <v>179.7</v>
      </c>
      <c r="B2438">
        <v>2</v>
      </c>
      <c r="C2438" t="s">
        <v>1918</v>
      </c>
      <c r="D2438" t="s">
        <v>1919</v>
      </c>
      <c r="E2438" t="s">
        <v>935</v>
      </c>
      <c r="F2438" t="s">
        <v>1920</v>
      </c>
      <c r="G2438" t="s">
        <v>807</v>
      </c>
      <c r="H2438" t="s">
        <v>381</v>
      </c>
      <c r="I2438" t="s">
        <v>27</v>
      </c>
      <c r="J2438">
        <v>89.85</v>
      </c>
      <c r="K2438" s="1">
        <v>45858</v>
      </c>
      <c r="L2438" t="s">
        <v>28</v>
      </c>
      <c r="M2438">
        <v>20</v>
      </c>
      <c r="N2438">
        <v>7</v>
      </c>
      <c r="O2438">
        <v>3</v>
      </c>
      <c r="P2438">
        <v>2025</v>
      </c>
    </row>
    <row r="2439" spans="1:16">
      <c r="A2439">
        <v>131.52000000000001</v>
      </c>
      <c r="B2439">
        <v>3</v>
      </c>
      <c r="C2439" t="s">
        <v>1934</v>
      </c>
      <c r="D2439" t="s">
        <v>1935</v>
      </c>
      <c r="E2439" t="s">
        <v>1648</v>
      </c>
      <c r="F2439" t="s">
        <v>1362</v>
      </c>
      <c r="G2439" t="s">
        <v>896</v>
      </c>
      <c r="H2439" t="s">
        <v>335</v>
      </c>
      <c r="I2439" t="s">
        <v>37</v>
      </c>
      <c r="J2439">
        <v>43.84</v>
      </c>
      <c r="K2439" s="1">
        <v>45738</v>
      </c>
      <c r="L2439" t="s">
        <v>14</v>
      </c>
      <c r="M2439">
        <v>22</v>
      </c>
      <c r="N2439">
        <v>3</v>
      </c>
      <c r="O2439">
        <v>1</v>
      </c>
      <c r="P2439">
        <v>2025</v>
      </c>
    </row>
    <row r="2440" spans="1:16">
      <c r="A2440">
        <v>92.31</v>
      </c>
      <c r="B2440">
        <v>3</v>
      </c>
      <c r="C2440" t="s">
        <v>1160</v>
      </c>
      <c r="D2440" t="s">
        <v>1161</v>
      </c>
      <c r="E2440" t="s">
        <v>1162</v>
      </c>
      <c r="F2440" t="s">
        <v>794</v>
      </c>
      <c r="G2440" t="s">
        <v>795</v>
      </c>
      <c r="H2440" t="s">
        <v>522</v>
      </c>
      <c r="I2440" t="s">
        <v>97</v>
      </c>
      <c r="J2440">
        <v>30.77</v>
      </c>
      <c r="K2440" s="1">
        <v>46186</v>
      </c>
      <c r="L2440" t="s">
        <v>14</v>
      </c>
      <c r="M2440">
        <v>13</v>
      </c>
      <c r="N2440">
        <v>6</v>
      </c>
      <c r="O2440">
        <v>2</v>
      </c>
      <c r="P2440">
        <v>2026</v>
      </c>
    </row>
    <row r="2441" spans="1:16">
      <c r="A2441">
        <v>6.85</v>
      </c>
      <c r="B2441">
        <v>1</v>
      </c>
      <c r="C2441" t="s">
        <v>859</v>
      </c>
      <c r="D2441" t="s">
        <v>860</v>
      </c>
      <c r="E2441" t="s">
        <v>861</v>
      </c>
      <c r="F2441" t="s">
        <v>862</v>
      </c>
      <c r="G2441" t="s">
        <v>758</v>
      </c>
      <c r="H2441" t="s">
        <v>673</v>
      </c>
      <c r="I2441" t="s">
        <v>100</v>
      </c>
      <c r="J2441">
        <v>6.85</v>
      </c>
      <c r="K2441" s="1">
        <v>45783</v>
      </c>
      <c r="L2441" t="s">
        <v>48</v>
      </c>
      <c r="M2441">
        <v>6</v>
      </c>
      <c r="N2441">
        <v>5</v>
      </c>
      <c r="O2441">
        <v>2</v>
      </c>
      <c r="P2441">
        <v>2025</v>
      </c>
    </row>
    <row r="2442" spans="1:16">
      <c r="A2442">
        <v>152.89999999999998</v>
      </c>
      <c r="B2442">
        <v>5</v>
      </c>
      <c r="C2442" t="s">
        <v>2336</v>
      </c>
      <c r="D2442" t="s">
        <v>2337</v>
      </c>
      <c r="E2442" t="s">
        <v>2338</v>
      </c>
      <c r="F2442" t="s">
        <v>1811</v>
      </c>
      <c r="G2442" t="s">
        <v>892</v>
      </c>
      <c r="H2442" t="s">
        <v>574</v>
      </c>
      <c r="I2442" t="s">
        <v>19</v>
      </c>
      <c r="J2442">
        <v>30.58</v>
      </c>
      <c r="K2442" s="1">
        <v>45551</v>
      </c>
      <c r="L2442" t="s">
        <v>93</v>
      </c>
      <c r="M2442">
        <v>16</v>
      </c>
      <c r="N2442">
        <v>9</v>
      </c>
      <c r="O2442">
        <v>3</v>
      </c>
      <c r="P2442">
        <v>2024</v>
      </c>
    </row>
    <row r="2443" spans="1:16">
      <c r="A2443">
        <v>33.56</v>
      </c>
      <c r="B2443">
        <v>1</v>
      </c>
      <c r="C2443" t="s">
        <v>3379</v>
      </c>
      <c r="D2443" t="s">
        <v>3380</v>
      </c>
      <c r="E2443" t="s">
        <v>1143</v>
      </c>
      <c r="F2443" t="s">
        <v>953</v>
      </c>
      <c r="G2443" t="s">
        <v>954</v>
      </c>
      <c r="H2443" t="s">
        <v>609</v>
      </c>
      <c r="I2443" t="s">
        <v>27</v>
      </c>
      <c r="J2443">
        <v>33.56</v>
      </c>
      <c r="K2443" s="1">
        <v>46032</v>
      </c>
      <c r="L2443" t="s">
        <v>14</v>
      </c>
      <c r="M2443">
        <v>10</v>
      </c>
      <c r="N2443">
        <v>1</v>
      </c>
      <c r="O2443">
        <v>1</v>
      </c>
      <c r="P2443">
        <v>2026</v>
      </c>
    </row>
    <row r="2444" spans="1:16">
      <c r="A2444">
        <v>263.09999999999997</v>
      </c>
      <c r="B2444">
        <v>5</v>
      </c>
      <c r="C2444" t="s">
        <v>2727</v>
      </c>
      <c r="D2444" t="s">
        <v>2728</v>
      </c>
      <c r="E2444" t="s">
        <v>1619</v>
      </c>
      <c r="F2444" t="s">
        <v>816</v>
      </c>
      <c r="G2444" t="s">
        <v>817</v>
      </c>
      <c r="H2444" t="s">
        <v>270</v>
      </c>
      <c r="I2444" t="s">
        <v>55</v>
      </c>
      <c r="J2444">
        <v>52.62</v>
      </c>
      <c r="K2444" s="1">
        <v>45898</v>
      </c>
      <c r="L2444" t="s">
        <v>79</v>
      </c>
      <c r="M2444">
        <v>29</v>
      </c>
      <c r="N2444">
        <v>8</v>
      </c>
      <c r="O2444">
        <v>3</v>
      </c>
      <c r="P2444">
        <v>2025</v>
      </c>
    </row>
    <row r="2445" spans="1:16">
      <c r="A2445">
        <v>355.38</v>
      </c>
      <c r="B2445">
        <v>2</v>
      </c>
      <c r="C2445" t="s">
        <v>3473</v>
      </c>
      <c r="D2445" t="s">
        <v>3474</v>
      </c>
      <c r="E2445" t="s">
        <v>1074</v>
      </c>
      <c r="F2445" t="s">
        <v>160</v>
      </c>
      <c r="G2445" t="s">
        <v>790</v>
      </c>
      <c r="H2445" t="s">
        <v>52</v>
      </c>
      <c r="I2445" t="s">
        <v>21</v>
      </c>
      <c r="J2445">
        <v>177.69</v>
      </c>
      <c r="K2445" s="1">
        <v>45589</v>
      </c>
      <c r="L2445" t="s">
        <v>105</v>
      </c>
      <c r="M2445">
        <v>24</v>
      </c>
      <c r="N2445">
        <v>10</v>
      </c>
      <c r="O2445">
        <v>4</v>
      </c>
      <c r="P2445">
        <v>2024</v>
      </c>
    </row>
    <row r="2446" spans="1:16">
      <c r="A2446">
        <v>465.25</v>
      </c>
      <c r="B2446">
        <v>5</v>
      </c>
      <c r="C2446" t="s">
        <v>3417</v>
      </c>
      <c r="D2446" t="s">
        <v>3418</v>
      </c>
      <c r="E2446" t="s">
        <v>2721</v>
      </c>
      <c r="F2446" t="s">
        <v>562</v>
      </c>
      <c r="G2446" t="s">
        <v>753</v>
      </c>
      <c r="H2446" t="s">
        <v>350</v>
      </c>
      <c r="I2446" t="s">
        <v>60</v>
      </c>
      <c r="J2446">
        <v>93.05</v>
      </c>
      <c r="K2446" s="1">
        <v>45904</v>
      </c>
      <c r="L2446" t="s">
        <v>105</v>
      </c>
      <c r="M2446">
        <v>4</v>
      </c>
      <c r="N2446">
        <v>9</v>
      </c>
      <c r="O2446">
        <v>3</v>
      </c>
      <c r="P2446">
        <v>2025</v>
      </c>
    </row>
    <row r="2447" spans="1:16">
      <c r="A2447">
        <v>44.01</v>
      </c>
      <c r="B2447">
        <v>1</v>
      </c>
      <c r="C2447" t="s">
        <v>1478</v>
      </c>
      <c r="D2447" t="s">
        <v>1479</v>
      </c>
      <c r="E2447" t="s">
        <v>1263</v>
      </c>
      <c r="F2447" t="s">
        <v>1395</v>
      </c>
      <c r="G2447" t="s">
        <v>776</v>
      </c>
      <c r="H2447" t="s">
        <v>689</v>
      </c>
      <c r="I2447" t="s">
        <v>55</v>
      </c>
      <c r="J2447">
        <v>44.01</v>
      </c>
      <c r="K2447" s="1">
        <v>46129</v>
      </c>
      <c r="L2447" t="s">
        <v>79</v>
      </c>
      <c r="M2447">
        <v>17</v>
      </c>
      <c r="N2447">
        <v>4</v>
      </c>
      <c r="O2447">
        <v>2</v>
      </c>
      <c r="P2447">
        <v>2026</v>
      </c>
    </row>
    <row r="2448" spans="1:16">
      <c r="A2448">
        <v>710.43000000000006</v>
      </c>
      <c r="B2448">
        <v>3</v>
      </c>
      <c r="C2448" t="s">
        <v>3053</v>
      </c>
      <c r="D2448" t="s">
        <v>3054</v>
      </c>
      <c r="E2448" t="s">
        <v>1455</v>
      </c>
      <c r="F2448" t="s">
        <v>767</v>
      </c>
      <c r="G2448" t="s">
        <v>768</v>
      </c>
      <c r="H2448" t="s">
        <v>84</v>
      </c>
      <c r="I2448" t="s">
        <v>31</v>
      </c>
      <c r="J2448">
        <v>236.81</v>
      </c>
      <c r="K2448" s="1">
        <v>45912</v>
      </c>
      <c r="L2448" t="s">
        <v>79</v>
      </c>
      <c r="M2448">
        <v>12</v>
      </c>
      <c r="N2448">
        <v>9</v>
      </c>
      <c r="O2448">
        <v>3</v>
      </c>
      <c r="P2448">
        <v>2025</v>
      </c>
    </row>
    <row r="2449" spans="1:16">
      <c r="A2449">
        <v>909.88</v>
      </c>
      <c r="B2449">
        <v>4</v>
      </c>
      <c r="C2449" t="s">
        <v>2717</v>
      </c>
      <c r="D2449" t="s">
        <v>2718</v>
      </c>
      <c r="E2449" t="s">
        <v>941</v>
      </c>
      <c r="F2449" t="s">
        <v>1434</v>
      </c>
      <c r="G2449" t="s">
        <v>786</v>
      </c>
      <c r="H2449" t="s">
        <v>116</v>
      </c>
      <c r="I2449" t="s">
        <v>57</v>
      </c>
      <c r="J2449">
        <v>227.47</v>
      </c>
      <c r="K2449" s="1">
        <v>45884</v>
      </c>
      <c r="L2449" t="s">
        <v>79</v>
      </c>
      <c r="M2449">
        <v>15</v>
      </c>
      <c r="N2449">
        <v>8</v>
      </c>
      <c r="O2449">
        <v>3</v>
      </c>
      <c r="P2449">
        <v>2025</v>
      </c>
    </row>
    <row r="2450" spans="1:16">
      <c r="A2450">
        <v>105.69</v>
      </c>
      <c r="B2450">
        <v>3</v>
      </c>
      <c r="C2450" t="s">
        <v>2834</v>
      </c>
      <c r="D2450" t="s">
        <v>2835</v>
      </c>
      <c r="E2450" t="s">
        <v>1335</v>
      </c>
      <c r="F2450" t="s">
        <v>1071</v>
      </c>
      <c r="G2450" t="s">
        <v>817</v>
      </c>
      <c r="H2450" t="s">
        <v>261</v>
      </c>
      <c r="I2450" t="s">
        <v>31</v>
      </c>
      <c r="J2450">
        <v>35.229999999999997</v>
      </c>
      <c r="K2450" s="1">
        <v>46150</v>
      </c>
      <c r="L2450" t="s">
        <v>79</v>
      </c>
      <c r="M2450">
        <v>8</v>
      </c>
      <c r="N2450">
        <v>5</v>
      </c>
      <c r="O2450">
        <v>2</v>
      </c>
      <c r="P2450">
        <v>2026</v>
      </c>
    </row>
    <row r="2451" spans="1:16">
      <c r="A2451">
        <v>674.08</v>
      </c>
      <c r="B2451">
        <v>4</v>
      </c>
      <c r="C2451" t="s">
        <v>1319</v>
      </c>
      <c r="D2451" t="s">
        <v>1320</v>
      </c>
      <c r="E2451" t="s">
        <v>1321</v>
      </c>
      <c r="F2451" t="s">
        <v>1061</v>
      </c>
      <c r="G2451" t="s">
        <v>821</v>
      </c>
      <c r="H2451" t="s">
        <v>311</v>
      </c>
      <c r="I2451" t="s">
        <v>46</v>
      </c>
      <c r="J2451">
        <v>168.52</v>
      </c>
      <c r="K2451" s="1">
        <v>46082</v>
      </c>
      <c r="L2451" t="s">
        <v>28</v>
      </c>
      <c r="M2451">
        <v>1</v>
      </c>
      <c r="N2451">
        <v>3</v>
      </c>
      <c r="O2451">
        <v>1</v>
      </c>
      <c r="P2451">
        <v>2026</v>
      </c>
    </row>
    <row r="2452" spans="1:16">
      <c r="A2452">
        <v>968.44</v>
      </c>
      <c r="B2452">
        <v>4</v>
      </c>
      <c r="C2452" t="s">
        <v>1847</v>
      </c>
      <c r="D2452" t="s">
        <v>1848</v>
      </c>
      <c r="E2452" t="s">
        <v>1849</v>
      </c>
      <c r="F2452" t="s">
        <v>825</v>
      </c>
      <c r="G2452" t="s">
        <v>781</v>
      </c>
      <c r="H2452" t="s">
        <v>701</v>
      </c>
      <c r="I2452" t="s">
        <v>51</v>
      </c>
      <c r="J2452">
        <v>242.11</v>
      </c>
      <c r="K2452" s="1">
        <v>45847</v>
      </c>
      <c r="L2452" t="s">
        <v>34</v>
      </c>
      <c r="M2452">
        <v>9</v>
      </c>
      <c r="N2452">
        <v>7</v>
      </c>
      <c r="O2452">
        <v>3</v>
      </c>
      <c r="P2452">
        <v>2025</v>
      </c>
    </row>
    <row r="2453" spans="1:16">
      <c r="A2453">
        <v>11.22</v>
      </c>
      <c r="B2453">
        <v>2</v>
      </c>
      <c r="C2453" t="s">
        <v>944</v>
      </c>
      <c r="D2453" t="s">
        <v>945</v>
      </c>
      <c r="E2453" t="s">
        <v>946</v>
      </c>
      <c r="F2453" t="s">
        <v>199</v>
      </c>
      <c r="G2453" t="s">
        <v>781</v>
      </c>
      <c r="H2453" t="s">
        <v>352</v>
      </c>
      <c r="I2453" t="s">
        <v>82</v>
      </c>
      <c r="J2453">
        <v>5.61</v>
      </c>
      <c r="K2453" s="1">
        <v>45849</v>
      </c>
      <c r="L2453" t="s">
        <v>79</v>
      </c>
      <c r="M2453">
        <v>11</v>
      </c>
      <c r="N2453">
        <v>7</v>
      </c>
      <c r="O2453">
        <v>3</v>
      </c>
      <c r="P2453">
        <v>2025</v>
      </c>
    </row>
    <row r="2454" spans="1:16">
      <c r="A2454">
        <v>117.54</v>
      </c>
      <c r="B2454">
        <v>2</v>
      </c>
      <c r="C2454" t="s">
        <v>3080</v>
      </c>
      <c r="D2454" t="s">
        <v>3081</v>
      </c>
      <c r="E2454" t="s">
        <v>2892</v>
      </c>
      <c r="F2454" t="s">
        <v>513</v>
      </c>
      <c r="G2454" t="s">
        <v>748</v>
      </c>
      <c r="H2454" t="s">
        <v>262</v>
      </c>
      <c r="I2454" t="s">
        <v>21</v>
      </c>
      <c r="J2454">
        <v>58.77</v>
      </c>
      <c r="K2454" s="1">
        <v>46089</v>
      </c>
      <c r="L2454" t="s">
        <v>28</v>
      </c>
      <c r="M2454">
        <v>8</v>
      </c>
      <c r="N2454">
        <v>3</v>
      </c>
      <c r="O2454">
        <v>1</v>
      </c>
      <c r="P2454">
        <v>2026</v>
      </c>
    </row>
    <row r="2455" spans="1:16">
      <c r="A2455">
        <v>223.26</v>
      </c>
      <c r="B2455">
        <v>3</v>
      </c>
      <c r="C2455" t="s">
        <v>2372</v>
      </c>
      <c r="D2455" t="s">
        <v>2373</v>
      </c>
      <c r="E2455" t="s">
        <v>2319</v>
      </c>
      <c r="F2455" t="s">
        <v>713</v>
      </c>
      <c r="G2455" t="s">
        <v>908</v>
      </c>
      <c r="H2455" t="s">
        <v>95</v>
      </c>
      <c r="I2455" t="s">
        <v>46</v>
      </c>
      <c r="J2455">
        <v>74.42</v>
      </c>
      <c r="K2455" s="1">
        <v>46082</v>
      </c>
      <c r="L2455" t="s">
        <v>28</v>
      </c>
      <c r="M2455">
        <v>1</v>
      </c>
      <c r="N2455">
        <v>3</v>
      </c>
      <c r="O2455">
        <v>1</v>
      </c>
      <c r="P2455">
        <v>2026</v>
      </c>
    </row>
    <row r="2456" spans="1:16">
      <c r="A2456">
        <v>131.87</v>
      </c>
      <c r="B2456">
        <v>1</v>
      </c>
      <c r="C2456" t="s">
        <v>863</v>
      </c>
      <c r="D2456" t="s">
        <v>864</v>
      </c>
      <c r="E2456" t="s">
        <v>865</v>
      </c>
      <c r="F2456" t="s">
        <v>708</v>
      </c>
      <c r="G2456" t="s">
        <v>834</v>
      </c>
      <c r="H2456" t="s">
        <v>165</v>
      </c>
      <c r="I2456" t="s">
        <v>69</v>
      </c>
      <c r="J2456">
        <v>131.87</v>
      </c>
      <c r="K2456" s="1">
        <v>45566</v>
      </c>
      <c r="L2456" t="s">
        <v>48</v>
      </c>
      <c r="M2456">
        <v>1</v>
      </c>
      <c r="N2456">
        <v>10</v>
      </c>
      <c r="O2456">
        <v>4</v>
      </c>
      <c r="P2456">
        <v>2024</v>
      </c>
    </row>
    <row r="2457" spans="1:16">
      <c r="A2457">
        <v>302.26</v>
      </c>
      <c r="B2457">
        <v>2</v>
      </c>
      <c r="C2457" t="s">
        <v>791</v>
      </c>
      <c r="D2457" t="s">
        <v>792</v>
      </c>
      <c r="E2457" t="s">
        <v>793</v>
      </c>
      <c r="F2457" t="s">
        <v>794</v>
      </c>
      <c r="G2457" t="s">
        <v>795</v>
      </c>
      <c r="H2457" t="s">
        <v>655</v>
      </c>
      <c r="I2457" t="s">
        <v>82</v>
      </c>
      <c r="J2457">
        <v>151.13</v>
      </c>
      <c r="K2457" s="1">
        <v>46167</v>
      </c>
      <c r="L2457" t="s">
        <v>93</v>
      </c>
      <c r="M2457">
        <v>25</v>
      </c>
      <c r="N2457">
        <v>5</v>
      </c>
      <c r="O2457">
        <v>2</v>
      </c>
      <c r="P2457">
        <v>2026</v>
      </c>
    </row>
    <row r="2458" spans="1:16">
      <c r="A2458">
        <v>319.68</v>
      </c>
      <c r="B2458">
        <v>4</v>
      </c>
      <c r="C2458" t="s">
        <v>1930</v>
      </c>
      <c r="D2458" t="s">
        <v>1931</v>
      </c>
      <c r="E2458" t="s">
        <v>938</v>
      </c>
      <c r="F2458" t="s">
        <v>903</v>
      </c>
      <c r="G2458" t="s">
        <v>786</v>
      </c>
      <c r="H2458" t="s">
        <v>209</v>
      </c>
      <c r="I2458" t="s">
        <v>25</v>
      </c>
      <c r="J2458">
        <v>79.92</v>
      </c>
      <c r="K2458" s="1">
        <v>46094</v>
      </c>
      <c r="L2458" t="s">
        <v>79</v>
      </c>
      <c r="M2458">
        <v>13</v>
      </c>
      <c r="N2458">
        <v>3</v>
      </c>
      <c r="O2458">
        <v>1</v>
      </c>
      <c r="P2458">
        <v>2026</v>
      </c>
    </row>
    <row r="2459" spans="1:16">
      <c r="A2459">
        <v>479.96</v>
      </c>
      <c r="B2459">
        <v>2</v>
      </c>
      <c r="C2459" t="s">
        <v>2070</v>
      </c>
      <c r="D2459" t="s">
        <v>2071</v>
      </c>
      <c r="E2459" t="s">
        <v>1228</v>
      </c>
      <c r="F2459" t="s">
        <v>1670</v>
      </c>
      <c r="G2459" t="s">
        <v>1247</v>
      </c>
      <c r="H2459" t="s">
        <v>702</v>
      </c>
      <c r="I2459" t="s">
        <v>27</v>
      </c>
      <c r="J2459">
        <v>239.98</v>
      </c>
      <c r="K2459" s="1">
        <v>46142</v>
      </c>
      <c r="L2459" t="s">
        <v>105</v>
      </c>
      <c r="M2459">
        <v>30</v>
      </c>
      <c r="N2459">
        <v>4</v>
      </c>
      <c r="O2459">
        <v>2</v>
      </c>
      <c r="P2459">
        <v>2026</v>
      </c>
    </row>
    <row r="2460" spans="1:16">
      <c r="A2460">
        <v>376.12</v>
      </c>
      <c r="B2460">
        <v>4</v>
      </c>
      <c r="C2460" t="s">
        <v>2584</v>
      </c>
      <c r="D2460" t="s">
        <v>2585</v>
      </c>
      <c r="E2460" t="s">
        <v>1444</v>
      </c>
      <c r="F2460" t="s">
        <v>1292</v>
      </c>
      <c r="G2460" t="s">
        <v>1247</v>
      </c>
      <c r="H2460" t="s">
        <v>364</v>
      </c>
      <c r="I2460" t="s">
        <v>21</v>
      </c>
      <c r="J2460">
        <v>94.03</v>
      </c>
      <c r="K2460" s="1">
        <v>46127</v>
      </c>
      <c r="L2460" t="s">
        <v>34</v>
      </c>
      <c r="M2460">
        <v>15</v>
      </c>
      <c r="N2460">
        <v>4</v>
      </c>
      <c r="O2460">
        <v>2</v>
      </c>
      <c r="P2460">
        <v>2026</v>
      </c>
    </row>
    <row r="2461" spans="1:16">
      <c r="A2461">
        <v>473.22</v>
      </c>
      <c r="B2461">
        <v>2</v>
      </c>
      <c r="C2461" t="s">
        <v>1122</v>
      </c>
      <c r="D2461" t="s">
        <v>1123</v>
      </c>
      <c r="E2461" t="s">
        <v>1124</v>
      </c>
      <c r="F2461" t="s">
        <v>15</v>
      </c>
      <c r="G2461" t="s">
        <v>834</v>
      </c>
      <c r="H2461" t="s">
        <v>235</v>
      </c>
      <c r="I2461" t="s">
        <v>19</v>
      </c>
      <c r="J2461">
        <v>236.61</v>
      </c>
      <c r="K2461" s="1">
        <v>45843</v>
      </c>
      <c r="L2461" t="s">
        <v>14</v>
      </c>
      <c r="M2461">
        <v>5</v>
      </c>
      <c r="N2461">
        <v>7</v>
      </c>
      <c r="O2461">
        <v>3</v>
      </c>
      <c r="P2461">
        <v>2025</v>
      </c>
    </row>
    <row r="2462" spans="1:16">
      <c r="A2462">
        <v>713.16</v>
      </c>
      <c r="B2462">
        <v>3</v>
      </c>
      <c r="C2462" t="s">
        <v>2318</v>
      </c>
      <c r="D2462" t="s">
        <v>1094</v>
      </c>
      <c r="E2462" t="s">
        <v>2319</v>
      </c>
      <c r="F2462" t="s">
        <v>829</v>
      </c>
      <c r="G2462" t="s">
        <v>830</v>
      </c>
      <c r="H2462" t="s">
        <v>343</v>
      </c>
      <c r="I2462" t="s">
        <v>46</v>
      </c>
      <c r="J2462">
        <v>237.72</v>
      </c>
      <c r="K2462" s="1">
        <v>45917</v>
      </c>
      <c r="L2462" t="s">
        <v>34</v>
      </c>
      <c r="M2462">
        <v>17</v>
      </c>
      <c r="N2462">
        <v>9</v>
      </c>
      <c r="O2462">
        <v>3</v>
      </c>
      <c r="P2462">
        <v>2025</v>
      </c>
    </row>
    <row r="2463" spans="1:16">
      <c r="A2463">
        <v>859.05</v>
      </c>
      <c r="B2463">
        <v>5</v>
      </c>
      <c r="C2463" t="s">
        <v>3440</v>
      </c>
      <c r="D2463" t="s">
        <v>3441</v>
      </c>
      <c r="E2463" t="s">
        <v>1070</v>
      </c>
      <c r="F2463" t="s">
        <v>1107</v>
      </c>
      <c r="G2463" t="s">
        <v>892</v>
      </c>
      <c r="H2463" t="s">
        <v>129</v>
      </c>
      <c r="I2463" t="s">
        <v>25</v>
      </c>
      <c r="J2463">
        <v>171.81</v>
      </c>
      <c r="K2463" s="1">
        <v>45978</v>
      </c>
      <c r="L2463" t="s">
        <v>93</v>
      </c>
      <c r="M2463">
        <v>17</v>
      </c>
      <c r="N2463">
        <v>11</v>
      </c>
      <c r="O2463">
        <v>4</v>
      </c>
      <c r="P2463">
        <v>2025</v>
      </c>
    </row>
    <row r="2464" spans="1:16">
      <c r="A2464">
        <v>716.91</v>
      </c>
      <c r="B2464">
        <v>3</v>
      </c>
      <c r="C2464" t="s">
        <v>1141</v>
      </c>
      <c r="D2464" t="s">
        <v>1142</v>
      </c>
      <c r="E2464" t="s">
        <v>1143</v>
      </c>
      <c r="F2464" t="s">
        <v>862</v>
      </c>
      <c r="G2464" t="s">
        <v>908</v>
      </c>
      <c r="H2464" t="s">
        <v>180</v>
      </c>
      <c r="I2464" t="s">
        <v>55</v>
      </c>
      <c r="J2464">
        <v>238.97</v>
      </c>
      <c r="K2464" s="1">
        <v>46024</v>
      </c>
      <c r="L2464" t="s">
        <v>79</v>
      </c>
      <c r="M2464">
        <v>2</v>
      </c>
      <c r="N2464">
        <v>1</v>
      </c>
      <c r="O2464">
        <v>1</v>
      </c>
      <c r="P2464">
        <v>2026</v>
      </c>
    </row>
    <row r="2465" spans="1:16">
      <c r="A2465">
        <v>215.25</v>
      </c>
      <c r="B2465">
        <v>3</v>
      </c>
      <c r="C2465" t="s">
        <v>2406</v>
      </c>
      <c r="D2465" t="s">
        <v>2407</v>
      </c>
      <c r="E2465" t="s">
        <v>994</v>
      </c>
      <c r="F2465" t="s">
        <v>478</v>
      </c>
      <c r="G2465" t="s">
        <v>781</v>
      </c>
      <c r="H2465" t="s">
        <v>645</v>
      </c>
      <c r="I2465" t="s">
        <v>51</v>
      </c>
      <c r="J2465">
        <v>71.75</v>
      </c>
      <c r="K2465" s="1">
        <v>46033</v>
      </c>
      <c r="L2465" t="s">
        <v>28</v>
      </c>
      <c r="M2465">
        <v>11</v>
      </c>
      <c r="N2465">
        <v>1</v>
      </c>
      <c r="O2465">
        <v>1</v>
      </c>
      <c r="P2465">
        <v>2026</v>
      </c>
    </row>
    <row r="2466" spans="1:16">
      <c r="A2466">
        <v>301.84999999999997</v>
      </c>
      <c r="B2466">
        <v>5</v>
      </c>
      <c r="C2466" t="s">
        <v>1526</v>
      </c>
      <c r="D2466" t="s">
        <v>1527</v>
      </c>
      <c r="E2466" t="s">
        <v>1031</v>
      </c>
      <c r="F2466" t="s">
        <v>1092</v>
      </c>
      <c r="G2466" t="s">
        <v>763</v>
      </c>
      <c r="H2466" t="s">
        <v>681</v>
      </c>
      <c r="I2466" t="s">
        <v>43</v>
      </c>
      <c r="J2466">
        <v>60.37</v>
      </c>
      <c r="K2466" s="1">
        <v>45989</v>
      </c>
      <c r="L2466" t="s">
        <v>79</v>
      </c>
      <c r="M2466">
        <v>28</v>
      </c>
      <c r="N2466">
        <v>11</v>
      </c>
      <c r="O2466">
        <v>4</v>
      </c>
      <c r="P2466">
        <v>2025</v>
      </c>
    </row>
    <row r="2467" spans="1:16">
      <c r="A2467">
        <v>972.45</v>
      </c>
      <c r="B2467">
        <v>5</v>
      </c>
      <c r="C2467" t="s">
        <v>2758</v>
      </c>
      <c r="D2467" t="s">
        <v>2759</v>
      </c>
      <c r="E2467" t="s">
        <v>1903</v>
      </c>
      <c r="F2467" t="s">
        <v>387</v>
      </c>
      <c r="G2467" t="s">
        <v>821</v>
      </c>
      <c r="H2467" t="s">
        <v>560</v>
      </c>
      <c r="I2467" t="s">
        <v>122</v>
      </c>
      <c r="J2467">
        <v>194.49</v>
      </c>
      <c r="K2467" s="1">
        <v>45935</v>
      </c>
      <c r="L2467" t="s">
        <v>28</v>
      </c>
      <c r="M2467">
        <v>5</v>
      </c>
      <c r="N2467">
        <v>10</v>
      </c>
      <c r="O2467">
        <v>4</v>
      </c>
      <c r="P2467">
        <v>2025</v>
      </c>
    </row>
    <row r="2468" spans="1:16">
      <c r="A2468">
        <v>21.18</v>
      </c>
      <c r="B2468">
        <v>1</v>
      </c>
      <c r="C2468" t="s">
        <v>1758</v>
      </c>
      <c r="D2468" t="s">
        <v>1759</v>
      </c>
      <c r="E2468" t="s">
        <v>1013</v>
      </c>
      <c r="F2468" t="s">
        <v>151</v>
      </c>
      <c r="G2468" t="s">
        <v>1003</v>
      </c>
      <c r="H2468" t="s">
        <v>530</v>
      </c>
      <c r="I2468" t="s">
        <v>37</v>
      </c>
      <c r="J2468">
        <v>21.18</v>
      </c>
      <c r="K2468" s="1">
        <v>45795</v>
      </c>
      <c r="L2468" t="s">
        <v>28</v>
      </c>
      <c r="M2468">
        <v>18</v>
      </c>
      <c r="N2468">
        <v>5</v>
      </c>
      <c r="O2468">
        <v>2</v>
      </c>
      <c r="P2468">
        <v>2025</v>
      </c>
    </row>
    <row r="2469" spans="1:16">
      <c r="A2469">
        <v>676.48</v>
      </c>
      <c r="B2469">
        <v>4</v>
      </c>
      <c r="C2469" t="s">
        <v>3292</v>
      </c>
      <c r="D2469" t="s">
        <v>3293</v>
      </c>
      <c r="E2469" t="s">
        <v>1633</v>
      </c>
      <c r="F2469" t="s">
        <v>513</v>
      </c>
      <c r="G2469" t="s">
        <v>786</v>
      </c>
      <c r="H2469" t="s">
        <v>368</v>
      </c>
      <c r="I2469" t="s">
        <v>31</v>
      </c>
      <c r="J2469">
        <v>169.12</v>
      </c>
      <c r="K2469" s="1">
        <v>46113</v>
      </c>
      <c r="L2469" t="s">
        <v>34</v>
      </c>
      <c r="M2469">
        <v>1</v>
      </c>
      <c r="N2469">
        <v>4</v>
      </c>
      <c r="O2469">
        <v>2</v>
      </c>
      <c r="P2469">
        <v>2026</v>
      </c>
    </row>
    <row r="2470" spans="1:16">
      <c r="A2470">
        <v>111.21</v>
      </c>
      <c r="B2470">
        <v>1</v>
      </c>
      <c r="C2470" t="s">
        <v>1315</v>
      </c>
      <c r="D2470" t="s">
        <v>1316</v>
      </c>
      <c r="E2470" t="s">
        <v>1317</v>
      </c>
      <c r="F2470" t="s">
        <v>1318</v>
      </c>
      <c r="G2470" t="s">
        <v>807</v>
      </c>
      <c r="H2470" t="s">
        <v>254</v>
      </c>
      <c r="I2470" t="s">
        <v>51</v>
      </c>
      <c r="J2470">
        <v>111.21</v>
      </c>
      <c r="K2470" s="1">
        <v>45816</v>
      </c>
      <c r="L2470" t="s">
        <v>28</v>
      </c>
      <c r="M2470">
        <v>8</v>
      </c>
      <c r="N2470">
        <v>6</v>
      </c>
      <c r="O2470">
        <v>2</v>
      </c>
      <c r="P2470">
        <v>2025</v>
      </c>
    </row>
    <row r="2471" spans="1:16">
      <c r="A2471">
        <v>338.52</v>
      </c>
      <c r="B2471">
        <v>4</v>
      </c>
      <c r="C2471" t="s">
        <v>1583</v>
      </c>
      <c r="D2471" t="s">
        <v>1584</v>
      </c>
      <c r="E2471" t="s">
        <v>1585</v>
      </c>
      <c r="F2471" t="s">
        <v>113</v>
      </c>
      <c r="G2471" t="s">
        <v>1247</v>
      </c>
      <c r="H2471" t="s">
        <v>495</v>
      </c>
      <c r="I2471" t="s">
        <v>39</v>
      </c>
      <c r="J2471">
        <v>84.63</v>
      </c>
      <c r="K2471" s="1">
        <v>46265</v>
      </c>
      <c r="L2471" t="s">
        <v>93</v>
      </c>
      <c r="M2471">
        <v>31</v>
      </c>
      <c r="N2471">
        <v>8</v>
      </c>
      <c r="O2471">
        <v>3</v>
      </c>
      <c r="P2471">
        <v>2026</v>
      </c>
    </row>
    <row r="2472" spans="1:16">
      <c r="A2472">
        <v>545.64</v>
      </c>
      <c r="B2472">
        <v>3</v>
      </c>
      <c r="C2472" t="s">
        <v>2342</v>
      </c>
      <c r="D2472" t="s">
        <v>2343</v>
      </c>
      <c r="E2472" t="s">
        <v>211</v>
      </c>
      <c r="F2472" t="s">
        <v>1206</v>
      </c>
      <c r="G2472" t="s">
        <v>943</v>
      </c>
      <c r="H2472" t="s">
        <v>549</v>
      </c>
      <c r="I2472" t="s">
        <v>82</v>
      </c>
      <c r="J2472">
        <v>181.88</v>
      </c>
      <c r="K2472" s="1">
        <v>46032</v>
      </c>
      <c r="L2472" t="s">
        <v>14</v>
      </c>
      <c r="M2472">
        <v>10</v>
      </c>
      <c r="N2472">
        <v>1</v>
      </c>
      <c r="O2472">
        <v>1</v>
      </c>
      <c r="P2472">
        <v>2026</v>
      </c>
    </row>
    <row r="2473" spans="1:16">
      <c r="A2473">
        <v>547.11</v>
      </c>
      <c r="B2473">
        <v>3</v>
      </c>
      <c r="C2473" t="s">
        <v>2801</v>
      </c>
      <c r="D2473" t="s">
        <v>2802</v>
      </c>
      <c r="E2473" t="s">
        <v>2535</v>
      </c>
      <c r="F2473" t="s">
        <v>713</v>
      </c>
      <c r="G2473" t="s">
        <v>908</v>
      </c>
      <c r="H2473" t="s">
        <v>661</v>
      </c>
      <c r="I2473" t="s">
        <v>122</v>
      </c>
      <c r="J2473">
        <v>182.37</v>
      </c>
      <c r="K2473" s="1">
        <v>45698</v>
      </c>
      <c r="L2473" t="s">
        <v>93</v>
      </c>
      <c r="M2473">
        <v>10</v>
      </c>
      <c r="N2473">
        <v>2</v>
      </c>
      <c r="O2473">
        <v>1</v>
      </c>
      <c r="P2473">
        <v>2025</v>
      </c>
    </row>
    <row r="2474" spans="1:16">
      <c r="A2474">
        <v>623.20000000000005</v>
      </c>
      <c r="B2474">
        <v>5</v>
      </c>
      <c r="C2474" t="s">
        <v>3494</v>
      </c>
      <c r="D2474" t="s">
        <v>3495</v>
      </c>
      <c r="E2474" t="s">
        <v>1133</v>
      </c>
      <c r="F2474" t="s">
        <v>816</v>
      </c>
      <c r="G2474" t="s">
        <v>817</v>
      </c>
      <c r="H2474" t="s">
        <v>356</v>
      </c>
      <c r="I2474" t="s">
        <v>69</v>
      </c>
      <c r="J2474">
        <v>124.64</v>
      </c>
      <c r="K2474" s="1">
        <v>45742</v>
      </c>
      <c r="L2474" t="s">
        <v>34</v>
      </c>
      <c r="M2474">
        <v>26</v>
      </c>
      <c r="N2474">
        <v>3</v>
      </c>
      <c r="O2474">
        <v>1</v>
      </c>
      <c r="P2474">
        <v>2025</v>
      </c>
    </row>
    <row r="2475" spans="1:16">
      <c r="A2475">
        <v>9.73</v>
      </c>
      <c r="B2475">
        <v>1</v>
      </c>
      <c r="C2475" t="s">
        <v>1289</v>
      </c>
      <c r="D2475" t="s">
        <v>1290</v>
      </c>
      <c r="E2475" t="s">
        <v>1291</v>
      </c>
      <c r="F2475" t="s">
        <v>1292</v>
      </c>
      <c r="G2475" t="s">
        <v>1247</v>
      </c>
      <c r="H2475" t="s">
        <v>716</v>
      </c>
      <c r="I2475" t="s">
        <v>19</v>
      </c>
      <c r="J2475">
        <v>9.73</v>
      </c>
      <c r="K2475" s="1">
        <v>45707</v>
      </c>
      <c r="L2475" t="s">
        <v>34</v>
      </c>
      <c r="M2475">
        <v>19</v>
      </c>
      <c r="N2475">
        <v>2</v>
      </c>
      <c r="O2475">
        <v>1</v>
      </c>
      <c r="P2475">
        <v>2025</v>
      </c>
    </row>
    <row r="2476" spans="1:16">
      <c r="A2476">
        <v>337.54</v>
      </c>
      <c r="B2476">
        <v>2</v>
      </c>
      <c r="C2476" t="s">
        <v>2602</v>
      </c>
      <c r="D2476" t="s">
        <v>2603</v>
      </c>
      <c r="E2476" t="s">
        <v>932</v>
      </c>
      <c r="F2476" t="s">
        <v>1199</v>
      </c>
      <c r="G2476" t="s">
        <v>839</v>
      </c>
      <c r="H2476" t="s">
        <v>287</v>
      </c>
      <c r="I2476" t="s">
        <v>46</v>
      </c>
      <c r="J2476">
        <v>168.77</v>
      </c>
      <c r="K2476" s="1">
        <v>46076</v>
      </c>
      <c r="L2476" t="s">
        <v>93</v>
      </c>
      <c r="M2476">
        <v>23</v>
      </c>
      <c r="N2476">
        <v>2</v>
      </c>
      <c r="O2476">
        <v>1</v>
      </c>
      <c r="P2476">
        <v>2026</v>
      </c>
    </row>
    <row r="2477" spans="1:16">
      <c r="A2477">
        <v>74.489999999999995</v>
      </c>
      <c r="B2477">
        <v>3</v>
      </c>
      <c r="C2477" t="s">
        <v>2719</v>
      </c>
      <c r="D2477" t="s">
        <v>2720</v>
      </c>
      <c r="E2477" t="s">
        <v>2721</v>
      </c>
      <c r="F2477" t="s">
        <v>1061</v>
      </c>
      <c r="G2477" t="s">
        <v>821</v>
      </c>
      <c r="H2477" t="s">
        <v>338</v>
      </c>
      <c r="I2477" t="s">
        <v>82</v>
      </c>
      <c r="J2477">
        <v>24.83</v>
      </c>
      <c r="K2477" s="1">
        <v>45982</v>
      </c>
      <c r="L2477" t="s">
        <v>79</v>
      </c>
      <c r="M2477">
        <v>21</v>
      </c>
      <c r="N2477">
        <v>11</v>
      </c>
      <c r="O2477">
        <v>4</v>
      </c>
      <c r="P2477">
        <v>2025</v>
      </c>
    </row>
    <row r="2478" spans="1:16">
      <c r="A2478">
        <v>616.6</v>
      </c>
      <c r="B2478">
        <v>4</v>
      </c>
      <c r="C2478" t="s">
        <v>2213</v>
      </c>
      <c r="D2478" t="s">
        <v>2214</v>
      </c>
      <c r="E2478" t="s">
        <v>1556</v>
      </c>
      <c r="F2478" t="s">
        <v>691</v>
      </c>
      <c r="G2478" t="s">
        <v>776</v>
      </c>
      <c r="H2478" t="s">
        <v>599</v>
      </c>
      <c r="I2478" t="s">
        <v>27</v>
      </c>
      <c r="J2478">
        <v>154.15</v>
      </c>
      <c r="K2478" s="1">
        <v>45678</v>
      </c>
      <c r="L2478" t="s">
        <v>48</v>
      </c>
      <c r="M2478">
        <v>21</v>
      </c>
      <c r="N2478">
        <v>1</v>
      </c>
      <c r="O2478">
        <v>1</v>
      </c>
      <c r="P2478">
        <v>2025</v>
      </c>
    </row>
    <row r="2479" spans="1:16">
      <c r="A2479">
        <v>170.59</v>
      </c>
      <c r="B2479">
        <v>1</v>
      </c>
      <c r="C2479" t="s">
        <v>2320</v>
      </c>
      <c r="D2479" t="s">
        <v>2321</v>
      </c>
      <c r="E2479" t="s">
        <v>1657</v>
      </c>
      <c r="F2479" t="s">
        <v>113</v>
      </c>
      <c r="G2479" t="s">
        <v>854</v>
      </c>
      <c r="H2479" t="s">
        <v>735</v>
      </c>
      <c r="I2479" t="s">
        <v>51</v>
      </c>
      <c r="J2479">
        <v>170.59</v>
      </c>
      <c r="K2479" s="1">
        <v>45976</v>
      </c>
      <c r="L2479" t="s">
        <v>14</v>
      </c>
      <c r="M2479">
        <v>15</v>
      </c>
      <c r="N2479">
        <v>11</v>
      </c>
      <c r="O2479">
        <v>4</v>
      </c>
      <c r="P2479">
        <v>2025</v>
      </c>
    </row>
    <row r="2480" spans="1:16">
      <c r="A2480">
        <v>157.34</v>
      </c>
      <c r="B2480">
        <v>1</v>
      </c>
      <c r="C2480" t="s">
        <v>1541</v>
      </c>
      <c r="D2480" t="s">
        <v>1542</v>
      </c>
      <c r="E2480" t="s">
        <v>1305</v>
      </c>
      <c r="F2480" t="s">
        <v>869</v>
      </c>
      <c r="G2480" t="s">
        <v>1247</v>
      </c>
      <c r="H2480" t="s">
        <v>147</v>
      </c>
      <c r="I2480" t="s">
        <v>27</v>
      </c>
      <c r="J2480">
        <v>157.34</v>
      </c>
      <c r="K2480" s="1">
        <v>46115</v>
      </c>
      <c r="L2480" t="s">
        <v>79</v>
      </c>
      <c r="M2480">
        <v>3</v>
      </c>
      <c r="N2480">
        <v>4</v>
      </c>
      <c r="O2480">
        <v>2</v>
      </c>
      <c r="P2480">
        <v>2026</v>
      </c>
    </row>
    <row r="2481" spans="1:16">
      <c r="A2481">
        <v>135.36000000000001</v>
      </c>
      <c r="B2481">
        <v>4</v>
      </c>
      <c r="C2481" t="s">
        <v>2238</v>
      </c>
      <c r="D2481" t="s">
        <v>1357</v>
      </c>
      <c r="E2481" t="s">
        <v>1515</v>
      </c>
      <c r="F2481" t="s">
        <v>1626</v>
      </c>
      <c r="G2481" t="s">
        <v>812</v>
      </c>
      <c r="H2481" t="s">
        <v>692</v>
      </c>
      <c r="I2481" t="s">
        <v>69</v>
      </c>
      <c r="J2481">
        <v>33.840000000000003</v>
      </c>
      <c r="K2481" s="1">
        <v>45774</v>
      </c>
      <c r="L2481" t="s">
        <v>28</v>
      </c>
      <c r="M2481">
        <v>27</v>
      </c>
      <c r="N2481">
        <v>4</v>
      </c>
      <c r="O2481">
        <v>2</v>
      </c>
      <c r="P2481">
        <v>2025</v>
      </c>
    </row>
    <row r="2482" spans="1:16">
      <c r="A2482">
        <v>269.54999999999995</v>
      </c>
      <c r="B2482">
        <v>3</v>
      </c>
      <c r="C2482" t="s">
        <v>967</v>
      </c>
      <c r="D2482" t="s">
        <v>968</v>
      </c>
      <c r="E2482" t="s">
        <v>969</v>
      </c>
      <c r="F2482" t="s">
        <v>970</v>
      </c>
      <c r="G2482" t="s">
        <v>790</v>
      </c>
      <c r="H2482" t="s">
        <v>381</v>
      </c>
      <c r="I2482" t="s">
        <v>27</v>
      </c>
      <c r="J2482">
        <v>89.85</v>
      </c>
      <c r="K2482" s="1">
        <v>45573</v>
      </c>
      <c r="L2482" t="s">
        <v>48</v>
      </c>
      <c r="M2482">
        <v>8</v>
      </c>
      <c r="N2482">
        <v>10</v>
      </c>
      <c r="O2482">
        <v>4</v>
      </c>
      <c r="P2482">
        <v>2024</v>
      </c>
    </row>
    <row r="2483" spans="1:16">
      <c r="A2483">
        <v>157.17000000000002</v>
      </c>
      <c r="B2483">
        <v>3</v>
      </c>
      <c r="C2483" t="s">
        <v>2266</v>
      </c>
      <c r="D2483" t="s">
        <v>2267</v>
      </c>
      <c r="E2483" t="s">
        <v>1440</v>
      </c>
      <c r="F2483" t="s">
        <v>1469</v>
      </c>
      <c r="G2483" t="s">
        <v>908</v>
      </c>
      <c r="H2483" t="s">
        <v>358</v>
      </c>
      <c r="I2483" t="s">
        <v>37</v>
      </c>
      <c r="J2483">
        <v>52.39</v>
      </c>
      <c r="K2483" s="1">
        <v>45685</v>
      </c>
      <c r="L2483" t="s">
        <v>48</v>
      </c>
      <c r="M2483">
        <v>28</v>
      </c>
      <c r="N2483">
        <v>1</v>
      </c>
      <c r="O2483">
        <v>1</v>
      </c>
      <c r="P2483">
        <v>2025</v>
      </c>
    </row>
    <row r="2484" spans="1:16">
      <c r="A2484">
        <v>545.64</v>
      </c>
      <c r="B2484">
        <v>3</v>
      </c>
      <c r="C2484" t="s">
        <v>2363</v>
      </c>
      <c r="D2484" t="s">
        <v>2364</v>
      </c>
      <c r="E2484" t="s">
        <v>2365</v>
      </c>
      <c r="F2484" t="s">
        <v>903</v>
      </c>
      <c r="G2484" t="s">
        <v>786</v>
      </c>
      <c r="H2484" t="s">
        <v>549</v>
      </c>
      <c r="I2484" t="s">
        <v>82</v>
      </c>
      <c r="J2484">
        <v>181.88</v>
      </c>
      <c r="K2484" s="1">
        <v>45885</v>
      </c>
      <c r="L2484" t="s">
        <v>14</v>
      </c>
      <c r="M2484">
        <v>16</v>
      </c>
      <c r="N2484">
        <v>8</v>
      </c>
      <c r="O2484">
        <v>3</v>
      </c>
      <c r="P2484">
        <v>2025</v>
      </c>
    </row>
    <row r="2485" spans="1:16">
      <c r="A2485">
        <v>515.43000000000006</v>
      </c>
      <c r="B2485">
        <v>3</v>
      </c>
      <c r="C2485" t="s">
        <v>1281</v>
      </c>
      <c r="D2485" t="s">
        <v>1282</v>
      </c>
      <c r="E2485" t="s">
        <v>1283</v>
      </c>
      <c r="F2485" t="s">
        <v>691</v>
      </c>
      <c r="G2485" t="s">
        <v>776</v>
      </c>
      <c r="H2485" t="s">
        <v>129</v>
      </c>
      <c r="I2485" t="s">
        <v>25</v>
      </c>
      <c r="J2485">
        <v>171.81</v>
      </c>
      <c r="K2485" s="1">
        <v>45643</v>
      </c>
      <c r="L2485" t="s">
        <v>48</v>
      </c>
      <c r="M2485">
        <v>17</v>
      </c>
      <c r="N2485">
        <v>12</v>
      </c>
      <c r="O2485">
        <v>4</v>
      </c>
      <c r="P2485">
        <v>2024</v>
      </c>
    </row>
    <row r="2486" spans="1:16">
      <c r="A2486">
        <v>225.56</v>
      </c>
      <c r="B2486">
        <v>4</v>
      </c>
      <c r="C2486" t="s">
        <v>873</v>
      </c>
      <c r="D2486" t="s">
        <v>874</v>
      </c>
      <c r="E2486" t="s">
        <v>875</v>
      </c>
      <c r="F2486" t="s">
        <v>387</v>
      </c>
      <c r="G2486" t="s">
        <v>821</v>
      </c>
      <c r="H2486" t="s">
        <v>308</v>
      </c>
      <c r="I2486" t="s">
        <v>19</v>
      </c>
      <c r="J2486">
        <v>56.39</v>
      </c>
      <c r="K2486" s="1">
        <v>45678</v>
      </c>
      <c r="L2486" t="s">
        <v>48</v>
      </c>
      <c r="M2486">
        <v>21</v>
      </c>
      <c r="N2486">
        <v>1</v>
      </c>
      <c r="O2486">
        <v>1</v>
      </c>
      <c r="P2486">
        <v>2025</v>
      </c>
    </row>
    <row r="2487" spans="1:16">
      <c r="A2487">
        <v>127.98</v>
      </c>
      <c r="B2487">
        <v>1</v>
      </c>
      <c r="C2487" t="s">
        <v>1402</v>
      </c>
      <c r="D2487" t="s">
        <v>1403</v>
      </c>
      <c r="E2487" t="s">
        <v>1404</v>
      </c>
      <c r="F2487" t="s">
        <v>691</v>
      </c>
      <c r="G2487" t="s">
        <v>776</v>
      </c>
      <c r="H2487" t="s">
        <v>277</v>
      </c>
      <c r="I2487" t="s">
        <v>122</v>
      </c>
      <c r="J2487">
        <v>127.98</v>
      </c>
      <c r="K2487" s="1">
        <v>46256</v>
      </c>
      <c r="L2487" t="s">
        <v>14</v>
      </c>
      <c r="M2487">
        <v>22</v>
      </c>
      <c r="N2487">
        <v>8</v>
      </c>
      <c r="O2487">
        <v>3</v>
      </c>
      <c r="P2487">
        <v>2026</v>
      </c>
    </row>
    <row r="2488" spans="1:16">
      <c r="A2488">
        <v>58.17</v>
      </c>
      <c r="B2488">
        <v>1</v>
      </c>
      <c r="C2488" t="s">
        <v>1782</v>
      </c>
      <c r="D2488" t="s">
        <v>1783</v>
      </c>
      <c r="E2488" t="s">
        <v>1085</v>
      </c>
      <c r="F2488" t="s">
        <v>1002</v>
      </c>
      <c r="G2488" t="s">
        <v>892</v>
      </c>
      <c r="H2488" t="s">
        <v>615</v>
      </c>
      <c r="I2488" t="s">
        <v>100</v>
      </c>
      <c r="J2488">
        <v>58.17</v>
      </c>
      <c r="K2488" s="1">
        <v>46199</v>
      </c>
      <c r="L2488" t="s">
        <v>79</v>
      </c>
      <c r="M2488">
        <v>26</v>
      </c>
      <c r="N2488">
        <v>6</v>
      </c>
      <c r="O2488">
        <v>2</v>
      </c>
      <c r="P2488">
        <v>2026</v>
      </c>
    </row>
    <row r="2489" spans="1:16">
      <c r="A2489">
        <v>606.68999999999994</v>
      </c>
      <c r="B2489">
        <v>3</v>
      </c>
      <c r="C2489" t="s">
        <v>1900</v>
      </c>
      <c r="D2489" t="s">
        <v>1901</v>
      </c>
      <c r="E2489" t="s">
        <v>1477</v>
      </c>
      <c r="F2489" t="s">
        <v>961</v>
      </c>
      <c r="G2489" t="s">
        <v>753</v>
      </c>
      <c r="H2489" t="s">
        <v>321</v>
      </c>
      <c r="I2489" t="s">
        <v>17</v>
      </c>
      <c r="J2489">
        <v>202.23</v>
      </c>
      <c r="K2489" s="1">
        <v>45666</v>
      </c>
      <c r="L2489" t="s">
        <v>105</v>
      </c>
      <c r="M2489">
        <v>9</v>
      </c>
      <c r="N2489">
        <v>1</v>
      </c>
      <c r="O2489">
        <v>1</v>
      </c>
      <c r="P2489">
        <v>2025</v>
      </c>
    </row>
    <row r="2490" spans="1:16">
      <c r="A2490">
        <v>44.14</v>
      </c>
      <c r="B2490">
        <v>2</v>
      </c>
      <c r="C2490" t="s">
        <v>3292</v>
      </c>
      <c r="D2490" t="s">
        <v>3293</v>
      </c>
      <c r="E2490" t="s">
        <v>1633</v>
      </c>
      <c r="F2490" t="s">
        <v>513</v>
      </c>
      <c r="G2490" t="s">
        <v>786</v>
      </c>
      <c r="H2490" t="s">
        <v>700</v>
      </c>
      <c r="I2490" t="s">
        <v>37</v>
      </c>
      <c r="J2490">
        <v>22.07</v>
      </c>
      <c r="K2490" s="1">
        <v>45976</v>
      </c>
      <c r="L2490" t="s">
        <v>14</v>
      </c>
      <c r="M2490">
        <v>15</v>
      </c>
      <c r="N2490">
        <v>11</v>
      </c>
      <c r="O2490">
        <v>4</v>
      </c>
      <c r="P2490">
        <v>2025</v>
      </c>
    </row>
    <row r="2491" spans="1:16">
      <c r="A2491">
        <v>28.46</v>
      </c>
      <c r="B2491">
        <v>1</v>
      </c>
      <c r="C2491" t="s">
        <v>2613</v>
      </c>
      <c r="D2491" t="s">
        <v>2614</v>
      </c>
      <c r="E2491" t="s">
        <v>2615</v>
      </c>
      <c r="F2491" t="s">
        <v>1574</v>
      </c>
      <c r="G2491" t="s">
        <v>1003</v>
      </c>
      <c r="H2491" t="s">
        <v>250</v>
      </c>
      <c r="I2491" t="s">
        <v>19</v>
      </c>
      <c r="J2491">
        <v>28.46</v>
      </c>
      <c r="K2491" s="1">
        <v>46243</v>
      </c>
      <c r="L2491" t="s">
        <v>28</v>
      </c>
      <c r="M2491">
        <v>9</v>
      </c>
      <c r="N2491">
        <v>8</v>
      </c>
      <c r="O2491">
        <v>3</v>
      </c>
      <c r="P2491">
        <v>2026</v>
      </c>
    </row>
    <row r="2492" spans="1:16">
      <c r="A2492">
        <v>245.01</v>
      </c>
      <c r="B2492">
        <v>1</v>
      </c>
      <c r="C2492" t="s">
        <v>2290</v>
      </c>
      <c r="D2492" t="s">
        <v>2291</v>
      </c>
      <c r="E2492" t="s">
        <v>2292</v>
      </c>
      <c r="F2492" t="s">
        <v>328</v>
      </c>
      <c r="G2492" t="s">
        <v>1003</v>
      </c>
      <c r="H2492" t="s">
        <v>53</v>
      </c>
      <c r="I2492" t="s">
        <v>43</v>
      </c>
      <c r="J2492">
        <v>245.01</v>
      </c>
      <c r="K2492" s="1">
        <v>45765</v>
      </c>
      <c r="L2492" t="s">
        <v>79</v>
      </c>
      <c r="M2492">
        <v>18</v>
      </c>
      <c r="N2492">
        <v>4</v>
      </c>
      <c r="O2492">
        <v>2</v>
      </c>
      <c r="P2492">
        <v>2025</v>
      </c>
    </row>
    <row r="2493" spans="1:16">
      <c r="A2493">
        <v>163.13999999999999</v>
      </c>
      <c r="B2493">
        <v>1</v>
      </c>
      <c r="C2493" t="s">
        <v>1546</v>
      </c>
      <c r="D2493" t="s">
        <v>1547</v>
      </c>
      <c r="E2493" t="s">
        <v>952</v>
      </c>
      <c r="F2493" t="s">
        <v>380</v>
      </c>
      <c r="G2493" t="s">
        <v>776</v>
      </c>
      <c r="H2493" t="s">
        <v>183</v>
      </c>
      <c r="I2493" t="s">
        <v>19</v>
      </c>
      <c r="J2493">
        <v>163.13999999999999</v>
      </c>
      <c r="K2493" s="1">
        <v>46257</v>
      </c>
      <c r="L2493" t="s">
        <v>28</v>
      </c>
      <c r="M2493">
        <v>23</v>
      </c>
      <c r="N2493">
        <v>8</v>
      </c>
      <c r="O2493">
        <v>3</v>
      </c>
      <c r="P2493">
        <v>2026</v>
      </c>
    </row>
    <row r="2494" spans="1:16">
      <c r="A2494">
        <v>690.81000000000006</v>
      </c>
      <c r="B2494">
        <v>3</v>
      </c>
      <c r="C2494" t="s">
        <v>1796</v>
      </c>
      <c r="D2494" t="s">
        <v>1797</v>
      </c>
      <c r="E2494" t="s">
        <v>1798</v>
      </c>
      <c r="F2494" t="s">
        <v>806</v>
      </c>
      <c r="G2494" t="s">
        <v>807</v>
      </c>
      <c r="H2494" t="s">
        <v>200</v>
      </c>
      <c r="I2494" t="s">
        <v>17</v>
      </c>
      <c r="J2494">
        <v>230.27</v>
      </c>
      <c r="K2494" s="1">
        <v>45573</v>
      </c>
      <c r="L2494" t="s">
        <v>48</v>
      </c>
      <c r="M2494">
        <v>8</v>
      </c>
      <c r="N2494">
        <v>10</v>
      </c>
      <c r="O2494">
        <v>4</v>
      </c>
      <c r="P2494">
        <v>2024</v>
      </c>
    </row>
    <row r="2495" spans="1:16">
      <c r="A2495">
        <v>137.47</v>
      </c>
      <c r="B2495">
        <v>1</v>
      </c>
      <c r="C2495" t="s">
        <v>1949</v>
      </c>
      <c r="D2495" t="s">
        <v>1950</v>
      </c>
      <c r="E2495" t="s">
        <v>1335</v>
      </c>
      <c r="F2495" t="s">
        <v>767</v>
      </c>
      <c r="G2495" t="s">
        <v>768</v>
      </c>
      <c r="H2495" t="s">
        <v>379</v>
      </c>
      <c r="I2495" t="s">
        <v>69</v>
      </c>
      <c r="J2495">
        <v>137.47</v>
      </c>
      <c r="K2495" s="1">
        <v>45567</v>
      </c>
      <c r="L2495" t="s">
        <v>34</v>
      </c>
      <c r="M2495">
        <v>2</v>
      </c>
      <c r="N2495">
        <v>10</v>
      </c>
      <c r="O2495">
        <v>4</v>
      </c>
      <c r="P2495">
        <v>2024</v>
      </c>
    </row>
    <row r="2496" spans="1:16">
      <c r="A2496">
        <v>705.52</v>
      </c>
      <c r="B2496">
        <v>4</v>
      </c>
      <c r="C2496" t="s">
        <v>2932</v>
      </c>
      <c r="D2496" t="s">
        <v>2933</v>
      </c>
      <c r="E2496" t="s">
        <v>2538</v>
      </c>
      <c r="F2496" t="s">
        <v>113</v>
      </c>
      <c r="G2496" t="s">
        <v>854</v>
      </c>
      <c r="H2496" t="s">
        <v>384</v>
      </c>
      <c r="I2496" t="s">
        <v>37</v>
      </c>
      <c r="J2496">
        <v>176.38</v>
      </c>
      <c r="K2496" s="1">
        <v>45951</v>
      </c>
      <c r="L2496" t="s">
        <v>48</v>
      </c>
      <c r="M2496">
        <v>21</v>
      </c>
      <c r="N2496">
        <v>10</v>
      </c>
      <c r="O2496">
        <v>4</v>
      </c>
      <c r="P2496">
        <v>2025</v>
      </c>
    </row>
    <row r="2497" spans="1:16">
      <c r="A2497">
        <v>150.58000000000001</v>
      </c>
      <c r="B2497">
        <v>1</v>
      </c>
      <c r="C2497" t="s">
        <v>2514</v>
      </c>
      <c r="D2497" t="s">
        <v>2515</v>
      </c>
      <c r="E2497" t="s">
        <v>2114</v>
      </c>
      <c r="F2497" t="s">
        <v>106</v>
      </c>
      <c r="G2497" t="s">
        <v>790</v>
      </c>
      <c r="H2497" t="s">
        <v>398</v>
      </c>
      <c r="I2497" t="s">
        <v>27</v>
      </c>
      <c r="J2497">
        <v>150.58000000000001</v>
      </c>
      <c r="K2497" s="1">
        <v>46089</v>
      </c>
      <c r="L2497" t="s">
        <v>28</v>
      </c>
      <c r="M2497">
        <v>8</v>
      </c>
      <c r="N2497">
        <v>3</v>
      </c>
      <c r="O2497">
        <v>1</v>
      </c>
      <c r="P2497">
        <v>2026</v>
      </c>
    </row>
    <row r="2498" spans="1:16">
      <c r="A2498">
        <v>84.72</v>
      </c>
      <c r="B2498">
        <v>4</v>
      </c>
      <c r="C2498" t="s">
        <v>2452</v>
      </c>
      <c r="D2498" t="s">
        <v>1151</v>
      </c>
      <c r="E2498" t="s">
        <v>875</v>
      </c>
      <c r="F2498" t="s">
        <v>1236</v>
      </c>
      <c r="G2498" t="s">
        <v>807</v>
      </c>
      <c r="H2498" t="s">
        <v>530</v>
      </c>
      <c r="I2498" t="s">
        <v>37</v>
      </c>
      <c r="J2498">
        <v>21.18</v>
      </c>
      <c r="K2498" s="1">
        <v>46023</v>
      </c>
      <c r="L2498" t="s">
        <v>105</v>
      </c>
      <c r="M2498">
        <v>1</v>
      </c>
      <c r="N2498">
        <v>1</v>
      </c>
      <c r="O2498">
        <v>1</v>
      </c>
      <c r="P2498">
        <v>2026</v>
      </c>
    </row>
    <row r="2499" spans="1:16">
      <c r="A2499">
        <v>46.36</v>
      </c>
      <c r="B2499">
        <v>4</v>
      </c>
      <c r="C2499" t="s">
        <v>2620</v>
      </c>
      <c r="D2499" t="s">
        <v>2621</v>
      </c>
      <c r="E2499" t="s">
        <v>1182</v>
      </c>
      <c r="F2499" t="s">
        <v>2574</v>
      </c>
      <c r="G2499" t="s">
        <v>839</v>
      </c>
      <c r="H2499" t="s">
        <v>579</v>
      </c>
      <c r="I2499" t="s">
        <v>31</v>
      </c>
      <c r="J2499">
        <v>11.59</v>
      </c>
      <c r="K2499" s="1">
        <v>46252</v>
      </c>
      <c r="L2499" t="s">
        <v>48</v>
      </c>
      <c r="M2499">
        <v>18</v>
      </c>
      <c r="N2499">
        <v>8</v>
      </c>
      <c r="O2499">
        <v>3</v>
      </c>
      <c r="P2499">
        <v>2026</v>
      </c>
    </row>
    <row r="2500" spans="1:16">
      <c r="A2500">
        <v>627.79999999999995</v>
      </c>
      <c r="B2500">
        <v>5</v>
      </c>
      <c r="C2500" t="s">
        <v>2068</v>
      </c>
      <c r="D2500" t="s">
        <v>2069</v>
      </c>
      <c r="E2500" t="s">
        <v>1468</v>
      </c>
      <c r="F2500" t="s">
        <v>762</v>
      </c>
      <c r="G2500" t="s">
        <v>763</v>
      </c>
      <c r="H2500" t="s">
        <v>87</v>
      </c>
      <c r="I2500" t="s">
        <v>39</v>
      </c>
      <c r="J2500">
        <v>125.56</v>
      </c>
      <c r="K2500" s="1">
        <v>45941</v>
      </c>
      <c r="L2500" t="s">
        <v>14</v>
      </c>
      <c r="M2500">
        <v>11</v>
      </c>
      <c r="N2500">
        <v>10</v>
      </c>
      <c r="O2500">
        <v>4</v>
      </c>
      <c r="P2500">
        <v>2025</v>
      </c>
    </row>
    <row r="2501" spans="1:16">
      <c r="A2501">
        <v>6.19</v>
      </c>
      <c r="B2501">
        <v>1</v>
      </c>
      <c r="C2501" t="s">
        <v>2422</v>
      </c>
      <c r="D2501" t="s">
        <v>2423</v>
      </c>
      <c r="E2501" t="s">
        <v>2086</v>
      </c>
      <c r="F2501" t="s">
        <v>985</v>
      </c>
      <c r="G2501" t="s">
        <v>817</v>
      </c>
      <c r="H2501" t="s">
        <v>662</v>
      </c>
      <c r="I2501" t="s">
        <v>21</v>
      </c>
      <c r="J2501">
        <v>6.19</v>
      </c>
      <c r="K2501" s="1">
        <v>45722</v>
      </c>
      <c r="L2501" t="s">
        <v>105</v>
      </c>
      <c r="M2501">
        <v>6</v>
      </c>
      <c r="N2501">
        <v>3</v>
      </c>
      <c r="O2501">
        <v>1</v>
      </c>
      <c r="P2501">
        <v>2025</v>
      </c>
    </row>
    <row r="2502" spans="1:16">
      <c r="A2502">
        <v>148.53</v>
      </c>
      <c r="B2502">
        <v>1</v>
      </c>
      <c r="C2502" t="s">
        <v>3300</v>
      </c>
      <c r="D2502" t="s">
        <v>3301</v>
      </c>
      <c r="E2502" t="s">
        <v>1260</v>
      </c>
      <c r="F2502" t="s">
        <v>113</v>
      </c>
      <c r="G2502" t="s">
        <v>854</v>
      </c>
      <c r="H2502" t="s">
        <v>104</v>
      </c>
      <c r="I2502" t="s">
        <v>51</v>
      </c>
      <c r="J2502">
        <v>148.53</v>
      </c>
      <c r="K2502" s="1">
        <v>45803</v>
      </c>
      <c r="L2502" t="s">
        <v>93</v>
      </c>
      <c r="M2502">
        <v>26</v>
      </c>
      <c r="N2502">
        <v>5</v>
      </c>
      <c r="O2502">
        <v>2</v>
      </c>
      <c r="P2502">
        <v>2025</v>
      </c>
    </row>
    <row r="2503" spans="1:16">
      <c r="A2503">
        <v>55.4</v>
      </c>
      <c r="B2503">
        <v>4</v>
      </c>
      <c r="C2503" t="s">
        <v>2081</v>
      </c>
      <c r="D2503" t="s">
        <v>2082</v>
      </c>
      <c r="E2503" t="s">
        <v>2083</v>
      </c>
      <c r="F2503" t="s">
        <v>1944</v>
      </c>
      <c r="G2503" t="s">
        <v>1003</v>
      </c>
      <c r="H2503" t="s">
        <v>233</v>
      </c>
      <c r="I2503" t="s">
        <v>122</v>
      </c>
      <c r="J2503">
        <v>13.85</v>
      </c>
      <c r="K2503" s="1">
        <v>45644</v>
      </c>
      <c r="L2503" t="s">
        <v>34</v>
      </c>
      <c r="M2503">
        <v>18</v>
      </c>
      <c r="N2503">
        <v>12</v>
      </c>
      <c r="O2503">
        <v>4</v>
      </c>
      <c r="P2503">
        <v>2024</v>
      </c>
    </row>
    <row r="2504" spans="1:16">
      <c r="A2504">
        <v>61.16</v>
      </c>
      <c r="B2504">
        <v>2</v>
      </c>
      <c r="C2504" t="s">
        <v>2123</v>
      </c>
      <c r="D2504" t="s">
        <v>2124</v>
      </c>
      <c r="E2504" t="s">
        <v>1291</v>
      </c>
      <c r="F2504" t="s">
        <v>106</v>
      </c>
      <c r="G2504" t="s">
        <v>748</v>
      </c>
      <c r="H2504" t="s">
        <v>574</v>
      </c>
      <c r="I2504" t="s">
        <v>19</v>
      </c>
      <c r="J2504">
        <v>30.58</v>
      </c>
      <c r="K2504" s="1">
        <v>45880</v>
      </c>
      <c r="L2504" t="s">
        <v>93</v>
      </c>
      <c r="M2504">
        <v>11</v>
      </c>
      <c r="N2504">
        <v>8</v>
      </c>
      <c r="O2504">
        <v>3</v>
      </c>
      <c r="P2504">
        <v>2025</v>
      </c>
    </row>
    <row r="2505" spans="1:16">
      <c r="A2505">
        <v>223.82</v>
      </c>
      <c r="B2505">
        <v>1</v>
      </c>
      <c r="C2505" t="s">
        <v>1667</v>
      </c>
      <c r="D2505" t="s">
        <v>1668</v>
      </c>
      <c r="E2505" t="s">
        <v>1669</v>
      </c>
      <c r="F2505" t="s">
        <v>1670</v>
      </c>
      <c r="G2505" t="s">
        <v>1247</v>
      </c>
      <c r="H2505" t="s">
        <v>588</v>
      </c>
      <c r="I2505" t="s">
        <v>82</v>
      </c>
      <c r="J2505">
        <v>223.82</v>
      </c>
      <c r="K2505" s="1">
        <v>45852</v>
      </c>
      <c r="L2505" t="s">
        <v>93</v>
      </c>
      <c r="M2505">
        <v>14</v>
      </c>
      <c r="N2505">
        <v>7</v>
      </c>
      <c r="O2505">
        <v>3</v>
      </c>
      <c r="P2505">
        <v>2025</v>
      </c>
    </row>
    <row r="2506" spans="1:16">
      <c r="A2506">
        <v>162.87</v>
      </c>
      <c r="B2506">
        <v>1</v>
      </c>
      <c r="C2506" t="s">
        <v>1237</v>
      </c>
      <c r="D2506" t="s">
        <v>1238</v>
      </c>
      <c r="E2506" t="s">
        <v>1053</v>
      </c>
      <c r="F2506" t="s">
        <v>1239</v>
      </c>
      <c r="G2506" t="s">
        <v>795</v>
      </c>
      <c r="H2506" t="s">
        <v>236</v>
      </c>
      <c r="I2506" t="s">
        <v>60</v>
      </c>
      <c r="J2506">
        <v>162.87</v>
      </c>
      <c r="K2506" s="1">
        <v>45587</v>
      </c>
      <c r="L2506" t="s">
        <v>48</v>
      </c>
      <c r="M2506">
        <v>22</v>
      </c>
      <c r="N2506">
        <v>10</v>
      </c>
      <c r="O2506">
        <v>4</v>
      </c>
      <c r="P2506">
        <v>2024</v>
      </c>
    </row>
    <row r="2507" spans="1:16">
      <c r="A2507">
        <v>116.34</v>
      </c>
      <c r="B2507">
        <v>2</v>
      </c>
      <c r="C2507" t="s">
        <v>769</v>
      </c>
      <c r="D2507" t="s">
        <v>770</v>
      </c>
      <c r="E2507" t="s">
        <v>771</v>
      </c>
      <c r="F2507" t="s">
        <v>772</v>
      </c>
      <c r="G2507" t="s">
        <v>758</v>
      </c>
      <c r="H2507" t="s">
        <v>615</v>
      </c>
      <c r="I2507" t="s">
        <v>100</v>
      </c>
      <c r="J2507">
        <v>58.17</v>
      </c>
      <c r="K2507" s="1">
        <v>45681</v>
      </c>
      <c r="L2507" t="s">
        <v>79</v>
      </c>
      <c r="M2507">
        <v>24</v>
      </c>
      <c r="N2507">
        <v>1</v>
      </c>
      <c r="O2507">
        <v>1</v>
      </c>
      <c r="P2507">
        <v>2025</v>
      </c>
    </row>
    <row r="2508" spans="1:16">
      <c r="A2508">
        <v>916.1</v>
      </c>
      <c r="B2508">
        <v>5</v>
      </c>
      <c r="C2508" t="s">
        <v>1186</v>
      </c>
      <c r="D2508" t="s">
        <v>1187</v>
      </c>
      <c r="E2508" t="s">
        <v>1188</v>
      </c>
      <c r="F2508" t="s">
        <v>1189</v>
      </c>
      <c r="G2508" t="s">
        <v>892</v>
      </c>
      <c r="H2508" t="s">
        <v>491</v>
      </c>
      <c r="I2508" t="s">
        <v>25</v>
      </c>
      <c r="J2508">
        <v>183.22</v>
      </c>
      <c r="K2508" s="1">
        <v>46202</v>
      </c>
      <c r="L2508" t="s">
        <v>93</v>
      </c>
      <c r="M2508">
        <v>29</v>
      </c>
      <c r="N2508">
        <v>6</v>
      </c>
      <c r="O2508">
        <v>2</v>
      </c>
      <c r="P2508">
        <v>2026</v>
      </c>
    </row>
    <row r="2509" spans="1:16">
      <c r="A2509">
        <v>41.24</v>
      </c>
      <c r="B2509">
        <v>2</v>
      </c>
      <c r="C2509" t="s">
        <v>2506</v>
      </c>
      <c r="D2509" t="s">
        <v>2507</v>
      </c>
      <c r="E2509" t="s">
        <v>1295</v>
      </c>
      <c r="F2509" t="s">
        <v>74</v>
      </c>
      <c r="G2509" t="s">
        <v>943</v>
      </c>
      <c r="H2509" t="s">
        <v>96</v>
      </c>
      <c r="I2509" t="s">
        <v>97</v>
      </c>
      <c r="J2509">
        <v>20.62</v>
      </c>
      <c r="K2509" s="1">
        <v>45948</v>
      </c>
      <c r="L2509" t="s">
        <v>14</v>
      </c>
      <c r="M2509">
        <v>18</v>
      </c>
      <c r="N2509">
        <v>10</v>
      </c>
      <c r="O2509">
        <v>4</v>
      </c>
      <c r="P2509">
        <v>2025</v>
      </c>
    </row>
    <row r="2510" spans="1:16">
      <c r="A2510">
        <v>306.48</v>
      </c>
      <c r="B2510">
        <v>3</v>
      </c>
      <c r="C2510" t="s">
        <v>1328</v>
      </c>
      <c r="D2510" t="s">
        <v>1329</v>
      </c>
      <c r="E2510" t="s">
        <v>1330</v>
      </c>
      <c r="F2510" t="s">
        <v>883</v>
      </c>
      <c r="G2510" t="s">
        <v>807</v>
      </c>
      <c r="H2510" t="s">
        <v>286</v>
      </c>
      <c r="I2510" t="s">
        <v>97</v>
      </c>
      <c r="J2510">
        <v>102.16</v>
      </c>
      <c r="K2510" s="1">
        <v>46083</v>
      </c>
      <c r="L2510" t="s">
        <v>93</v>
      </c>
      <c r="M2510">
        <v>2</v>
      </c>
      <c r="N2510">
        <v>3</v>
      </c>
      <c r="O2510">
        <v>1</v>
      </c>
      <c r="P2510">
        <v>2026</v>
      </c>
    </row>
    <row r="2511" spans="1:16">
      <c r="A2511">
        <v>619.52</v>
      </c>
      <c r="B2511">
        <v>4</v>
      </c>
      <c r="C2511" t="s">
        <v>1360</v>
      </c>
      <c r="D2511" t="s">
        <v>1361</v>
      </c>
      <c r="E2511" t="s">
        <v>932</v>
      </c>
      <c r="F2511" t="s">
        <v>1362</v>
      </c>
      <c r="G2511" t="s">
        <v>896</v>
      </c>
      <c r="H2511" t="s">
        <v>704</v>
      </c>
      <c r="I2511" t="s">
        <v>51</v>
      </c>
      <c r="J2511">
        <v>154.88</v>
      </c>
      <c r="K2511" s="1">
        <v>46013</v>
      </c>
      <c r="L2511" t="s">
        <v>93</v>
      </c>
      <c r="M2511">
        <v>22</v>
      </c>
      <c r="N2511">
        <v>12</v>
      </c>
      <c r="O2511">
        <v>4</v>
      </c>
      <c r="P2511">
        <v>2025</v>
      </c>
    </row>
    <row r="2512" spans="1:16">
      <c r="A2512">
        <v>353.06</v>
      </c>
      <c r="B2512">
        <v>2</v>
      </c>
      <c r="C2512" t="s">
        <v>2630</v>
      </c>
      <c r="D2512" t="s">
        <v>2631</v>
      </c>
      <c r="E2512" t="s">
        <v>1633</v>
      </c>
      <c r="F2512" t="s">
        <v>1421</v>
      </c>
      <c r="G2512" t="s">
        <v>776</v>
      </c>
      <c r="H2512" t="s">
        <v>631</v>
      </c>
      <c r="I2512" t="s">
        <v>39</v>
      </c>
      <c r="J2512">
        <v>176.53</v>
      </c>
      <c r="K2512" s="1">
        <v>45595</v>
      </c>
      <c r="L2512" t="s">
        <v>34</v>
      </c>
      <c r="M2512">
        <v>30</v>
      </c>
      <c r="N2512">
        <v>10</v>
      </c>
      <c r="O2512">
        <v>4</v>
      </c>
      <c r="P2512">
        <v>2024</v>
      </c>
    </row>
    <row r="2513" spans="1:16">
      <c r="A2513">
        <v>444.52</v>
      </c>
      <c r="B2513">
        <v>4</v>
      </c>
      <c r="C2513" t="s">
        <v>1883</v>
      </c>
      <c r="D2513" t="s">
        <v>1884</v>
      </c>
      <c r="E2513" t="s">
        <v>1885</v>
      </c>
      <c r="F2513" t="s">
        <v>1886</v>
      </c>
      <c r="G2513" t="s">
        <v>753</v>
      </c>
      <c r="H2513" t="s">
        <v>269</v>
      </c>
      <c r="I2513" t="s">
        <v>60</v>
      </c>
      <c r="J2513">
        <v>111.13</v>
      </c>
      <c r="K2513" s="1">
        <v>46123</v>
      </c>
      <c r="L2513" t="s">
        <v>14</v>
      </c>
      <c r="M2513">
        <v>11</v>
      </c>
      <c r="N2513">
        <v>4</v>
      </c>
      <c r="O2513">
        <v>2</v>
      </c>
      <c r="P2513">
        <v>2026</v>
      </c>
    </row>
    <row r="2514" spans="1:16">
      <c r="A2514">
        <v>65.260000000000005</v>
      </c>
      <c r="B2514">
        <v>1</v>
      </c>
      <c r="C2514" t="s">
        <v>2664</v>
      </c>
      <c r="D2514" t="s">
        <v>2665</v>
      </c>
      <c r="E2514" t="s">
        <v>2666</v>
      </c>
      <c r="F2514" t="s">
        <v>869</v>
      </c>
      <c r="G2514" t="s">
        <v>807</v>
      </c>
      <c r="H2514" t="s">
        <v>78</v>
      </c>
      <c r="I2514" t="s">
        <v>51</v>
      </c>
      <c r="J2514">
        <v>65.260000000000005</v>
      </c>
      <c r="K2514" s="1">
        <v>45839</v>
      </c>
      <c r="L2514" t="s">
        <v>48</v>
      </c>
      <c r="M2514">
        <v>1</v>
      </c>
      <c r="N2514">
        <v>7</v>
      </c>
      <c r="O2514">
        <v>3</v>
      </c>
      <c r="P2514">
        <v>2025</v>
      </c>
    </row>
    <row r="2515" spans="1:16">
      <c r="A2515">
        <v>727.52</v>
      </c>
      <c r="B2515">
        <v>4</v>
      </c>
      <c r="C2515" t="s">
        <v>1650</v>
      </c>
      <c r="D2515" t="s">
        <v>1651</v>
      </c>
      <c r="E2515" t="s">
        <v>1652</v>
      </c>
      <c r="F2515" t="s">
        <v>1239</v>
      </c>
      <c r="G2515" t="s">
        <v>795</v>
      </c>
      <c r="H2515" t="s">
        <v>549</v>
      </c>
      <c r="I2515" t="s">
        <v>82</v>
      </c>
      <c r="J2515">
        <v>181.88</v>
      </c>
      <c r="K2515" s="1">
        <v>45976</v>
      </c>
      <c r="L2515" t="s">
        <v>14</v>
      </c>
      <c r="M2515">
        <v>15</v>
      </c>
      <c r="N2515">
        <v>11</v>
      </c>
      <c r="O2515">
        <v>4</v>
      </c>
      <c r="P2515">
        <v>2025</v>
      </c>
    </row>
    <row r="2516" spans="1:16">
      <c r="A2516">
        <v>106.32</v>
      </c>
      <c r="B2516">
        <v>3</v>
      </c>
      <c r="C2516" t="s">
        <v>1065</v>
      </c>
      <c r="D2516" t="s">
        <v>1066</v>
      </c>
      <c r="E2516" t="s">
        <v>984</v>
      </c>
      <c r="F2516" t="s">
        <v>1067</v>
      </c>
      <c r="G2516" t="s">
        <v>854</v>
      </c>
      <c r="H2516" t="s">
        <v>173</v>
      </c>
      <c r="I2516" t="s">
        <v>55</v>
      </c>
      <c r="J2516">
        <v>35.44</v>
      </c>
      <c r="K2516" s="1">
        <v>45874</v>
      </c>
      <c r="L2516" t="s">
        <v>48</v>
      </c>
      <c r="M2516">
        <v>5</v>
      </c>
      <c r="N2516">
        <v>8</v>
      </c>
      <c r="O2516">
        <v>3</v>
      </c>
      <c r="P2516">
        <v>2025</v>
      </c>
    </row>
    <row r="2517" spans="1:16">
      <c r="A2517">
        <v>976.96</v>
      </c>
      <c r="B2517">
        <v>4</v>
      </c>
      <c r="C2517" t="s">
        <v>912</v>
      </c>
      <c r="D2517" t="s">
        <v>913</v>
      </c>
      <c r="E2517" t="s">
        <v>914</v>
      </c>
      <c r="F2517" t="s">
        <v>915</v>
      </c>
      <c r="G2517" t="s">
        <v>768</v>
      </c>
      <c r="H2517" t="s">
        <v>61</v>
      </c>
      <c r="I2517" t="s">
        <v>55</v>
      </c>
      <c r="J2517">
        <v>244.24</v>
      </c>
      <c r="K2517" s="1">
        <v>46128</v>
      </c>
      <c r="L2517" t="s">
        <v>105</v>
      </c>
      <c r="M2517">
        <v>16</v>
      </c>
      <c r="N2517">
        <v>4</v>
      </c>
      <c r="O2517">
        <v>2</v>
      </c>
      <c r="P2517">
        <v>2026</v>
      </c>
    </row>
    <row r="2518" spans="1:16">
      <c r="A2518">
        <v>454.94</v>
      </c>
      <c r="B2518">
        <v>2</v>
      </c>
      <c r="C2518" t="s">
        <v>2711</v>
      </c>
      <c r="D2518" t="s">
        <v>2712</v>
      </c>
      <c r="E2518" t="s">
        <v>798</v>
      </c>
      <c r="F2518" t="s">
        <v>1649</v>
      </c>
      <c r="G2518" t="s">
        <v>790</v>
      </c>
      <c r="H2518" t="s">
        <v>116</v>
      </c>
      <c r="I2518" t="s">
        <v>57</v>
      </c>
      <c r="J2518">
        <v>227.47</v>
      </c>
      <c r="K2518" s="1">
        <v>45701</v>
      </c>
      <c r="L2518" t="s">
        <v>105</v>
      </c>
      <c r="M2518">
        <v>13</v>
      </c>
      <c r="N2518">
        <v>2</v>
      </c>
      <c r="O2518">
        <v>1</v>
      </c>
      <c r="P2518">
        <v>2025</v>
      </c>
    </row>
    <row r="2519" spans="1:16">
      <c r="A2519">
        <v>209.56</v>
      </c>
      <c r="B2519">
        <v>4</v>
      </c>
      <c r="C2519" t="s">
        <v>2865</v>
      </c>
      <c r="D2519" t="s">
        <v>2866</v>
      </c>
      <c r="E2519" t="s">
        <v>1085</v>
      </c>
      <c r="F2519" t="s">
        <v>608</v>
      </c>
      <c r="G2519" t="s">
        <v>966</v>
      </c>
      <c r="H2519" t="s">
        <v>358</v>
      </c>
      <c r="I2519" t="s">
        <v>37</v>
      </c>
      <c r="J2519">
        <v>52.39</v>
      </c>
      <c r="K2519" s="1">
        <v>45783</v>
      </c>
      <c r="L2519" t="s">
        <v>48</v>
      </c>
      <c r="M2519">
        <v>6</v>
      </c>
      <c r="N2519">
        <v>5</v>
      </c>
      <c r="O2519">
        <v>2</v>
      </c>
      <c r="P2519">
        <v>2025</v>
      </c>
    </row>
    <row r="2520" spans="1:16">
      <c r="A2520">
        <v>106.56</v>
      </c>
      <c r="B2520">
        <v>2</v>
      </c>
      <c r="C2520" t="s">
        <v>1916</v>
      </c>
      <c r="D2520" t="s">
        <v>1917</v>
      </c>
      <c r="E2520" t="s">
        <v>1195</v>
      </c>
      <c r="F2520" t="s">
        <v>1384</v>
      </c>
      <c r="G2520" t="s">
        <v>908</v>
      </c>
      <c r="H2520" t="s">
        <v>459</v>
      </c>
      <c r="I2520" t="s">
        <v>43</v>
      </c>
      <c r="J2520">
        <v>53.28</v>
      </c>
      <c r="K2520" s="1">
        <v>45561</v>
      </c>
      <c r="L2520" t="s">
        <v>105</v>
      </c>
      <c r="M2520">
        <v>26</v>
      </c>
      <c r="N2520">
        <v>9</v>
      </c>
      <c r="O2520">
        <v>3</v>
      </c>
      <c r="P2520">
        <v>2024</v>
      </c>
    </row>
    <row r="2521" spans="1:16">
      <c r="A2521">
        <v>242.81</v>
      </c>
      <c r="B2521">
        <v>1</v>
      </c>
      <c r="C2521" t="s">
        <v>3175</v>
      </c>
      <c r="D2521" t="s">
        <v>3176</v>
      </c>
      <c r="E2521" t="s">
        <v>882</v>
      </c>
      <c r="F2521" t="s">
        <v>392</v>
      </c>
      <c r="G2521" t="s">
        <v>834</v>
      </c>
      <c r="H2521" t="s">
        <v>329</v>
      </c>
      <c r="I2521" t="s">
        <v>82</v>
      </c>
      <c r="J2521">
        <v>242.81</v>
      </c>
      <c r="K2521" s="1">
        <v>45881</v>
      </c>
      <c r="L2521" t="s">
        <v>48</v>
      </c>
      <c r="M2521">
        <v>12</v>
      </c>
      <c r="N2521">
        <v>8</v>
      </c>
      <c r="O2521">
        <v>3</v>
      </c>
      <c r="P2521">
        <v>2025</v>
      </c>
    </row>
    <row r="2522" spans="1:16">
      <c r="A2522">
        <v>56.2</v>
      </c>
      <c r="B2522">
        <v>4</v>
      </c>
      <c r="C2522" t="s">
        <v>2270</v>
      </c>
      <c r="D2522" t="s">
        <v>2271</v>
      </c>
      <c r="E2522" t="s">
        <v>2272</v>
      </c>
      <c r="F2522" t="s">
        <v>1591</v>
      </c>
      <c r="G2522" t="s">
        <v>966</v>
      </c>
      <c r="H2522" t="s">
        <v>435</v>
      </c>
      <c r="I2522" t="s">
        <v>51</v>
      </c>
      <c r="J2522">
        <v>14.05</v>
      </c>
      <c r="K2522" s="1">
        <v>46166</v>
      </c>
      <c r="L2522" t="s">
        <v>28</v>
      </c>
      <c r="M2522">
        <v>24</v>
      </c>
      <c r="N2522">
        <v>5</v>
      </c>
      <c r="O2522">
        <v>2</v>
      </c>
      <c r="P2522">
        <v>2026</v>
      </c>
    </row>
    <row r="2523" spans="1:16">
      <c r="A2523">
        <v>62.199999999999996</v>
      </c>
      <c r="B2523">
        <v>5</v>
      </c>
      <c r="C2523" t="s">
        <v>1985</v>
      </c>
      <c r="D2523" t="s">
        <v>1986</v>
      </c>
      <c r="E2523" t="s">
        <v>1987</v>
      </c>
      <c r="F2523" t="s">
        <v>785</v>
      </c>
      <c r="G2523" t="s">
        <v>786</v>
      </c>
      <c r="H2523" t="s">
        <v>310</v>
      </c>
      <c r="I2523" t="s">
        <v>60</v>
      </c>
      <c r="J2523">
        <v>12.44</v>
      </c>
      <c r="K2523" s="1">
        <v>45788</v>
      </c>
      <c r="L2523" t="s">
        <v>28</v>
      </c>
      <c r="M2523">
        <v>11</v>
      </c>
      <c r="N2523">
        <v>5</v>
      </c>
      <c r="O2523">
        <v>2</v>
      </c>
      <c r="P2523">
        <v>2025</v>
      </c>
    </row>
    <row r="2524" spans="1:16">
      <c r="A2524">
        <v>45.21</v>
      </c>
      <c r="B2524">
        <v>1</v>
      </c>
      <c r="C2524" t="s">
        <v>1453</v>
      </c>
      <c r="D2524" t="s">
        <v>1454</v>
      </c>
      <c r="E2524" t="s">
        <v>1455</v>
      </c>
      <c r="F2524" t="s">
        <v>980</v>
      </c>
      <c r="G2524" t="s">
        <v>981</v>
      </c>
      <c r="H2524" t="s">
        <v>542</v>
      </c>
      <c r="I2524" t="s">
        <v>46</v>
      </c>
      <c r="J2524">
        <v>45.21</v>
      </c>
      <c r="K2524" s="1">
        <v>46099</v>
      </c>
      <c r="L2524" t="s">
        <v>34</v>
      </c>
      <c r="M2524">
        <v>18</v>
      </c>
      <c r="N2524">
        <v>3</v>
      </c>
      <c r="O2524">
        <v>1</v>
      </c>
      <c r="P2524">
        <v>2026</v>
      </c>
    </row>
    <row r="2525" spans="1:16">
      <c r="A2525">
        <v>467.12</v>
      </c>
      <c r="B2525">
        <v>2</v>
      </c>
      <c r="C2525" t="s">
        <v>2202</v>
      </c>
      <c r="D2525" t="s">
        <v>2203</v>
      </c>
      <c r="E2525" t="s">
        <v>2204</v>
      </c>
      <c r="F2525" t="s">
        <v>1026</v>
      </c>
      <c r="G2525" t="s">
        <v>896</v>
      </c>
      <c r="H2525" t="s">
        <v>247</v>
      </c>
      <c r="I2525" t="s">
        <v>55</v>
      </c>
      <c r="J2525">
        <v>233.56</v>
      </c>
      <c r="K2525" s="1">
        <v>46230</v>
      </c>
      <c r="L2525" t="s">
        <v>93</v>
      </c>
      <c r="M2525">
        <v>27</v>
      </c>
      <c r="N2525">
        <v>7</v>
      </c>
      <c r="O2525">
        <v>3</v>
      </c>
      <c r="P2525">
        <v>2026</v>
      </c>
    </row>
    <row r="2526" spans="1:16">
      <c r="A2526">
        <v>129.88999999999999</v>
      </c>
      <c r="B2526">
        <v>1</v>
      </c>
      <c r="C2526" t="s">
        <v>1207</v>
      </c>
      <c r="D2526" t="s">
        <v>1208</v>
      </c>
      <c r="E2526" t="s">
        <v>935</v>
      </c>
      <c r="F2526" t="s">
        <v>1209</v>
      </c>
      <c r="G2526" t="s">
        <v>776</v>
      </c>
      <c r="H2526" t="s">
        <v>271</v>
      </c>
      <c r="I2526" t="s">
        <v>25</v>
      </c>
      <c r="J2526">
        <v>129.88999999999999</v>
      </c>
      <c r="K2526" s="1">
        <v>46039</v>
      </c>
      <c r="L2526" t="s">
        <v>14</v>
      </c>
      <c r="M2526">
        <v>17</v>
      </c>
      <c r="N2526">
        <v>1</v>
      </c>
      <c r="O2526">
        <v>1</v>
      </c>
      <c r="P2526">
        <v>2026</v>
      </c>
    </row>
    <row r="2527" spans="1:16">
      <c r="A2527">
        <v>735.72</v>
      </c>
      <c r="B2527">
        <v>4</v>
      </c>
      <c r="C2527" t="s">
        <v>2439</v>
      </c>
      <c r="D2527" t="s">
        <v>2440</v>
      </c>
      <c r="E2527" t="s">
        <v>1716</v>
      </c>
      <c r="F2527" t="s">
        <v>2441</v>
      </c>
      <c r="G2527" t="s">
        <v>834</v>
      </c>
      <c r="H2527" t="s">
        <v>359</v>
      </c>
      <c r="I2527" t="s">
        <v>23</v>
      </c>
      <c r="J2527">
        <v>183.93</v>
      </c>
      <c r="K2527" s="1">
        <v>45758</v>
      </c>
      <c r="L2527" t="s">
        <v>79</v>
      </c>
      <c r="M2527">
        <v>11</v>
      </c>
      <c r="N2527">
        <v>4</v>
      </c>
      <c r="O2527">
        <v>2</v>
      </c>
      <c r="P2527">
        <v>2025</v>
      </c>
    </row>
    <row r="2528" spans="1:16">
      <c r="A2528">
        <v>42.56</v>
      </c>
      <c r="B2528">
        <v>2</v>
      </c>
      <c r="C2528" t="s">
        <v>2255</v>
      </c>
      <c r="D2528" t="s">
        <v>2177</v>
      </c>
      <c r="E2528" t="s">
        <v>766</v>
      </c>
      <c r="F2528" t="s">
        <v>49</v>
      </c>
      <c r="G2528" t="s">
        <v>892</v>
      </c>
      <c r="H2528" t="s">
        <v>317</v>
      </c>
      <c r="I2528" t="s">
        <v>100</v>
      </c>
      <c r="J2528">
        <v>21.28</v>
      </c>
      <c r="K2528" s="1">
        <v>45577</v>
      </c>
      <c r="L2528" t="s">
        <v>14</v>
      </c>
      <c r="M2528">
        <v>12</v>
      </c>
      <c r="N2528">
        <v>10</v>
      </c>
      <c r="O2528">
        <v>4</v>
      </c>
      <c r="P2528">
        <v>2024</v>
      </c>
    </row>
    <row r="2529" spans="1:16">
      <c r="A2529">
        <v>143.78</v>
      </c>
      <c r="B2529">
        <v>1</v>
      </c>
      <c r="C2529" t="s">
        <v>2496</v>
      </c>
      <c r="D2529" t="s">
        <v>2497</v>
      </c>
      <c r="E2529" t="s">
        <v>2498</v>
      </c>
      <c r="F2529" t="s">
        <v>1302</v>
      </c>
      <c r="G2529" t="s">
        <v>786</v>
      </c>
      <c r="H2529" t="s">
        <v>346</v>
      </c>
      <c r="I2529" t="s">
        <v>23</v>
      </c>
      <c r="J2529">
        <v>143.78</v>
      </c>
      <c r="K2529" s="1">
        <v>45903</v>
      </c>
      <c r="L2529" t="s">
        <v>34</v>
      </c>
      <c r="M2529">
        <v>3</v>
      </c>
      <c r="N2529">
        <v>9</v>
      </c>
      <c r="O2529">
        <v>3</v>
      </c>
      <c r="P2529">
        <v>2025</v>
      </c>
    </row>
    <row r="2530" spans="1:16">
      <c r="A2530">
        <v>34.89</v>
      </c>
      <c r="B2530">
        <v>3</v>
      </c>
      <c r="C2530" t="s">
        <v>2236</v>
      </c>
      <c r="D2530" t="s">
        <v>1523</v>
      </c>
      <c r="E2530" t="s">
        <v>2237</v>
      </c>
      <c r="F2530" t="s">
        <v>1339</v>
      </c>
      <c r="G2530" t="s">
        <v>1247</v>
      </c>
      <c r="H2530" t="s">
        <v>301</v>
      </c>
      <c r="I2530" t="s">
        <v>69</v>
      </c>
      <c r="J2530">
        <v>11.63</v>
      </c>
      <c r="K2530" s="1">
        <v>45621</v>
      </c>
      <c r="L2530" t="s">
        <v>93</v>
      </c>
      <c r="M2530">
        <v>25</v>
      </c>
      <c r="N2530">
        <v>11</v>
      </c>
      <c r="O2530">
        <v>4</v>
      </c>
      <c r="P2530">
        <v>2024</v>
      </c>
    </row>
    <row r="2531" spans="1:16">
      <c r="A2531">
        <v>157.85999999999999</v>
      </c>
      <c r="B2531">
        <v>3</v>
      </c>
      <c r="C2531" t="s">
        <v>3354</v>
      </c>
      <c r="D2531" t="s">
        <v>3355</v>
      </c>
      <c r="E2531" t="s">
        <v>1569</v>
      </c>
      <c r="F2531" t="s">
        <v>280</v>
      </c>
      <c r="G2531" t="s">
        <v>786</v>
      </c>
      <c r="H2531" t="s">
        <v>270</v>
      </c>
      <c r="I2531" t="s">
        <v>55</v>
      </c>
      <c r="J2531">
        <v>52.62</v>
      </c>
      <c r="K2531" s="1">
        <v>46185</v>
      </c>
      <c r="L2531" t="s">
        <v>79</v>
      </c>
      <c r="M2531">
        <v>12</v>
      </c>
      <c r="N2531">
        <v>6</v>
      </c>
      <c r="O2531">
        <v>2</v>
      </c>
      <c r="P2531">
        <v>2026</v>
      </c>
    </row>
    <row r="2532" spans="1:16">
      <c r="A2532">
        <v>244.82</v>
      </c>
      <c r="B2532">
        <v>1</v>
      </c>
      <c r="C2532" t="s">
        <v>2785</v>
      </c>
      <c r="D2532" t="s">
        <v>2786</v>
      </c>
      <c r="E2532" t="s">
        <v>2787</v>
      </c>
      <c r="F2532" t="s">
        <v>838</v>
      </c>
      <c r="G2532" t="s">
        <v>839</v>
      </c>
      <c r="H2532" t="s">
        <v>627</v>
      </c>
      <c r="I2532" t="s">
        <v>51</v>
      </c>
      <c r="J2532">
        <v>244.82</v>
      </c>
      <c r="K2532" s="1">
        <v>45793</v>
      </c>
      <c r="L2532" t="s">
        <v>79</v>
      </c>
      <c r="M2532">
        <v>16</v>
      </c>
      <c r="N2532">
        <v>5</v>
      </c>
      <c r="O2532">
        <v>2</v>
      </c>
      <c r="P2532">
        <v>2025</v>
      </c>
    </row>
    <row r="2533" spans="1:16">
      <c r="A2533">
        <v>58.150000000000006</v>
      </c>
      <c r="B2533">
        <v>5</v>
      </c>
      <c r="C2533" t="s">
        <v>1129</v>
      </c>
      <c r="D2533" t="s">
        <v>1130</v>
      </c>
      <c r="E2533" t="s">
        <v>949</v>
      </c>
      <c r="F2533" t="s">
        <v>903</v>
      </c>
      <c r="G2533" t="s">
        <v>834</v>
      </c>
      <c r="H2533" t="s">
        <v>301</v>
      </c>
      <c r="I2533" t="s">
        <v>69</v>
      </c>
      <c r="J2533">
        <v>11.63</v>
      </c>
      <c r="K2533" s="1">
        <v>46170</v>
      </c>
      <c r="L2533" t="s">
        <v>105</v>
      </c>
      <c r="M2533">
        <v>28</v>
      </c>
      <c r="N2533">
        <v>5</v>
      </c>
      <c r="O2533">
        <v>2</v>
      </c>
      <c r="P2533">
        <v>2026</v>
      </c>
    </row>
    <row r="2534" spans="1:16">
      <c r="A2534">
        <v>324.32</v>
      </c>
      <c r="B2534">
        <v>2</v>
      </c>
      <c r="C2534" t="s">
        <v>1730</v>
      </c>
      <c r="D2534" t="s">
        <v>1731</v>
      </c>
      <c r="E2534" t="s">
        <v>1143</v>
      </c>
      <c r="F2534" t="s">
        <v>1327</v>
      </c>
      <c r="G2534" t="s">
        <v>795</v>
      </c>
      <c r="H2534" t="s">
        <v>651</v>
      </c>
      <c r="I2534" t="s">
        <v>122</v>
      </c>
      <c r="J2534">
        <v>162.16</v>
      </c>
      <c r="K2534" s="1">
        <v>45567</v>
      </c>
      <c r="L2534" t="s">
        <v>34</v>
      </c>
      <c r="M2534">
        <v>2</v>
      </c>
      <c r="N2534">
        <v>10</v>
      </c>
      <c r="O2534">
        <v>4</v>
      </c>
      <c r="P2534">
        <v>2024</v>
      </c>
    </row>
    <row r="2535" spans="1:16">
      <c r="A2535">
        <v>954.12</v>
      </c>
      <c r="B2535">
        <v>4</v>
      </c>
      <c r="C2535" t="s">
        <v>2481</v>
      </c>
      <c r="D2535" t="s">
        <v>2482</v>
      </c>
      <c r="E2535" t="s">
        <v>1060</v>
      </c>
      <c r="F2535" t="s">
        <v>1002</v>
      </c>
      <c r="G2535" t="s">
        <v>892</v>
      </c>
      <c r="H2535" t="s">
        <v>660</v>
      </c>
      <c r="I2535" t="s">
        <v>25</v>
      </c>
      <c r="J2535">
        <v>238.53</v>
      </c>
      <c r="K2535" s="1">
        <v>46087</v>
      </c>
      <c r="L2535" t="s">
        <v>79</v>
      </c>
      <c r="M2535">
        <v>6</v>
      </c>
      <c r="N2535">
        <v>3</v>
      </c>
      <c r="O2535">
        <v>1</v>
      </c>
      <c r="P2535">
        <v>2026</v>
      </c>
    </row>
    <row r="2536" spans="1:16">
      <c r="A2536">
        <v>102.86</v>
      </c>
      <c r="B2536">
        <v>1</v>
      </c>
      <c r="C2536" t="s">
        <v>3070</v>
      </c>
      <c r="D2536" t="s">
        <v>3071</v>
      </c>
      <c r="E2536" t="s">
        <v>798</v>
      </c>
      <c r="F2536" t="s">
        <v>980</v>
      </c>
      <c r="G2536" t="s">
        <v>981</v>
      </c>
      <c r="H2536" t="s">
        <v>460</v>
      </c>
      <c r="I2536" t="s">
        <v>69</v>
      </c>
      <c r="J2536">
        <v>102.86</v>
      </c>
      <c r="K2536" s="1">
        <v>45772</v>
      </c>
      <c r="L2536" t="s">
        <v>79</v>
      </c>
      <c r="M2536">
        <v>25</v>
      </c>
      <c r="N2536">
        <v>4</v>
      </c>
      <c r="O2536">
        <v>2</v>
      </c>
      <c r="P2536">
        <v>2025</v>
      </c>
    </row>
    <row r="2537" spans="1:16">
      <c r="A2537">
        <v>62.48</v>
      </c>
      <c r="B2537">
        <v>4</v>
      </c>
      <c r="C2537" t="s">
        <v>1782</v>
      </c>
      <c r="D2537" t="s">
        <v>1783</v>
      </c>
      <c r="E2537" t="s">
        <v>1085</v>
      </c>
      <c r="F2537" t="s">
        <v>1002</v>
      </c>
      <c r="G2537" t="s">
        <v>892</v>
      </c>
      <c r="H2537" t="s">
        <v>248</v>
      </c>
      <c r="I2537" t="s">
        <v>100</v>
      </c>
      <c r="J2537">
        <v>15.62</v>
      </c>
      <c r="K2537" s="1">
        <v>45683</v>
      </c>
      <c r="L2537" t="s">
        <v>28</v>
      </c>
      <c r="M2537">
        <v>26</v>
      </c>
      <c r="N2537">
        <v>1</v>
      </c>
      <c r="O2537">
        <v>1</v>
      </c>
      <c r="P2537">
        <v>2025</v>
      </c>
    </row>
    <row r="2538" spans="1:16">
      <c r="A2538">
        <v>55.679999999999993</v>
      </c>
      <c r="B2538">
        <v>3</v>
      </c>
      <c r="C2538" t="s">
        <v>2194</v>
      </c>
      <c r="D2538" t="s">
        <v>2195</v>
      </c>
      <c r="E2538" t="s">
        <v>914</v>
      </c>
      <c r="F2538" t="s">
        <v>414</v>
      </c>
      <c r="G2538" t="s">
        <v>795</v>
      </c>
      <c r="H2538" t="s">
        <v>672</v>
      </c>
      <c r="I2538" t="s">
        <v>55</v>
      </c>
      <c r="J2538">
        <v>18.559999999999999</v>
      </c>
      <c r="K2538" s="1">
        <v>46046</v>
      </c>
      <c r="L2538" t="s">
        <v>14</v>
      </c>
      <c r="M2538">
        <v>24</v>
      </c>
      <c r="N2538">
        <v>1</v>
      </c>
      <c r="O2538">
        <v>1</v>
      </c>
      <c r="P2538">
        <v>2026</v>
      </c>
    </row>
    <row r="2539" spans="1:16">
      <c r="A2539">
        <v>902.92</v>
      </c>
      <c r="B2539">
        <v>4</v>
      </c>
      <c r="C2539" t="s">
        <v>1072</v>
      </c>
      <c r="D2539" t="s">
        <v>1073</v>
      </c>
      <c r="E2539" t="s">
        <v>1074</v>
      </c>
      <c r="F2539" t="s">
        <v>1002</v>
      </c>
      <c r="G2539" t="s">
        <v>1003</v>
      </c>
      <c r="H2539" t="s">
        <v>444</v>
      </c>
      <c r="I2539" t="s">
        <v>37</v>
      </c>
      <c r="J2539">
        <v>225.73</v>
      </c>
      <c r="K2539" s="1">
        <v>45993</v>
      </c>
      <c r="L2539" t="s">
        <v>48</v>
      </c>
      <c r="M2539">
        <v>2</v>
      </c>
      <c r="N2539">
        <v>12</v>
      </c>
      <c r="O2539">
        <v>4</v>
      </c>
      <c r="P2539">
        <v>2025</v>
      </c>
    </row>
    <row r="2540" spans="1:16">
      <c r="A2540">
        <v>135.46</v>
      </c>
      <c r="B2540">
        <v>1</v>
      </c>
      <c r="C2540" t="s">
        <v>1237</v>
      </c>
      <c r="D2540" t="s">
        <v>1238</v>
      </c>
      <c r="E2540" t="s">
        <v>1053</v>
      </c>
      <c r="F2540" t="s">
        <v>1239</v>
      </c>
      <c r="G2540" t="s">
        <v>795</v>
      </c>
      <c r="H2540" t="s">
        <v>503</v>
      </c>
      <c r="I2540" t="s">
        <v>43</v>
      </c>
      <c r="J2540">
        <v>135.46</v>
      </c>
      <c r="K2540" s="1">
        <v>45760</v>
      </c>
      <c r="L2540" t="s">
        <v>28</v>
      </c>
      <c r="M2540">
        <v>13</v>
      </c>
      <c r="N2540">
        <v>4</v>
      </c>
      <c r="O2540">
        <v>2</v>
      </c>
      <c r="P2540">
        <v>2025</v>
      </c>
    </row>
    <row r="2541" spans="1:16">
      <c r="A2541">
        <v>127.38</v>
      </c>
      <c r="B2541">
        <v>1</v>
      </c>
      <c r="C2541" t="s">
        <v>3494</v>
      </c>
      <c r="D2541" t="s">
        <v>3495</v>
      </c>
      <c r="E2541" t="s">
        <v>1133</v>
      </c>
      <c r="F2541" t="s">
        <v>816</v>
      </c>
      <c r="G2541" t="s">
        <v>817</v>
      </c>
      <c r="H2541" t="s">
        <v>1217</v>
      </c>
      <c r="I2541" t="s">
        <v>122</v>
      </c>
      <c r="J2541">
        <v>127.38</v>
      </c>
      <c r="K2541" s="1">
        <v>46082</v>
      </c>
      <c r="L2541" t="s">
        <v>28</v>
      </c>
      <c r="M2541">
        <v>1</v>
      </c>
      <c r="N2541">
        <v>3</v>
      </c>
      <c r="O2541">
        <v>1</v>
      </c>
      <c r="P2541">
        <v>2026</v>
      </c>
    </row>
    <row r="2542" spans="1:16">
      <c r="A2542">
        <v>122.08</v>
      </c>
      <c r="B2542">
        <v>1</v>
      </c>
      <c r="C2542" t="s">
        <v>1153</v>
      </c>
      <c r="D2542" t="s">
        <v>1154</v>
      </c>
      <c r="E2542" t="s">
        <v>1155</v>
      </c>
      <c r="F2542" t="s">
        <v>1156</v>
      </c>
      <c r="G2542" t="s">
        <v>821</v>
      </c>
      <c r="H2542" t="s">
        <v>646</v>
      </c>
      <c r="I2542" t="s">
        <v>21</v>
      </c>
      <c r="J2542">
        <v>122.08</v>
      </c>
      <c r="K2542" s="1">
        <v>45711</v>
      </c>
      <c r="L2542" t="s">
        <v>28</v>
      </c>
      <c r="M2542">
        <v>23</v>
      </c>
      <c r="N2542">
        <v>2</v>
      </c>
      <c r="O2542">
        <v>1</v>
      </c>
      <c r="P2542">
        <v>2025</v>
      </c>
    </row>
    <row r="2543" spans="1:16">
      <c r="A2543">
        <v>616.44000000000005</v>
      </c>
      <c r="B2543">
        <v>4</v>
      </c>
      <c r="C2543" t="s">
        <v>1658</v>
      </c>
      <c r="D2543" t="s">
        <v>1659</v>
      </c>
      <c r="E2543" t="s">
        <v>1660</v>
      </c>
      <c r="F2543" t="s">
        <v>785</v>
      </c>
      <c r="G2543" t="s">
        <v>786</v>
      </c>
      <c r="H2543" t="s">
        <v>161</v>
      </c>
      <c r="I2543" t="s">
        <v>37</v>
      </c>
      <c r="J2543">
        <v>154.11000000000001</v>
      </c>
      <c r="K2543" s="1">
        <v>45842</v>
      </c>
      <c r="L2543" t="s">
        <v>79</v>
      </c>
      <c r="M2543">
        <v>4</v>
      </c>
      <c r="N2543">
        <v>7</v>
      </c>
      <c r="O2543">
        <v>3</v>
      </c>
      <c r="P2543">
        <v>2025</v>
      </c>
    </row>
    <row r="2544" spans="1:16">
      <c r="A2544">
        <v>11.39</v>
      </c>
      <c r="B2544">
        <v>1</v>
      </c>
      <c r="C2544" t="s">
        <v>1051</v>
      </c>
      <c r="D2544" t="s">
        <v>1052</v>
      </c>
      <c r="E2544" t="s">
        <v>1053</v>
      </c>
      <c r="F2544" t="s">
        <v>1054</v>
      </c>
      <c r="G2544" t="s">
        <v>892</v>
      </c>
      <c r="H2544" t="s">
        <v>325</v>
      </c>
      <c r="I2544" t="s">
        <v>55</v>
      </c>
      <c r="J2544">
        <v>11.39</v>
      </c>
      <c r="K2544" s="1">
        <v>45817</v>
      </c>
      <c r="L2544" t="s">
        <v>93</v>
      </c>
      <c r="M2544">
        <v>9</v>
      </c>
      <c r="N2544">
        <v>6</v>
      </c>
      <c r="O2544">
        <v>2</v>
      </c>
      <c r="P2544">
        <v>2025</v>
      </c>
    </row>
    <row r="2545" spans="1:16">
      <c r="A2545">
        <v>565.04999999999995</v>
      </c>
      <c r="B2545">
        <v>3</v>
      </c>
      <c r="C2545" t="s">
        <v>2266</v>
      </c>
      <c r="D2545" t="s">
        <v>2267</v>
      </c>
      <c r="E2545" t="s">
        <v>1440</v>
      </c>
      <c r="F2545" t="s">
        <v>1469</v>
      </c>
      <c r="G2545" t="s">
        <v>908</v>
      </c>
      <c r="H2545" t="s">
        <v>699</v>
      </c>
      <c r="I2545" t="s">
        <v>100</v>
      </c>
      <c r="J2545">
        <v>188.35</v>
      </c>
      <c r="K2545" s="1">
        <v>45729</v>
      </c>
      <c r="L2545" t="s">
        <v>105</v>
      </c>
      <c r="M2545">
        <v>13</v>
      </c>
      <c r="N2545">
        <v>3</v>
      </c>
      <c r="O2545">
        <v>1</v>
      </c>
      <c r="P2545">
        <v>2025</v>
      </c>
    </row>
    <row r="2546" spans="1:16">
      <c r="A2546">
        <v>184.98</v>
      </c>
      <c r="B2546">
        <v>2</v>
      </c>
      <c r="C2546" t="s">
        <v>1762</v>
      </c>
      <c r="D2546" t="s">
        <v>1763</v>
      </c>
      <c r="E2546" t="s">
        <v>1706</v>
      </c>
      <c r="F2546" t="s">
        <v>953</v>
      </c>
      <c r="G2546" t="s">
        <v>954</v>
      </c>
      <c r="H2546" t="s">
        <v>36</v>
      </c>
      <c r="I2546" t="s">
        <v>37</v>
      </c>
      <c r="J2546">
        <v>92.49</v>
      </c>
      <c r="K2546" s="1">
        <v>45946</v>
      </c>
      <c r="L2546" t="s">
        <v>105</v>
      </c>
      <c r="M2546">
        <v>16</v>
      </c>
      <c r="N2546">
        <v>10</v>
      </c>
      <c r="O2546">
        <v>4</v>
      </c>
      <c r="P2546">
        <v>2025</v>
      </c>
    </row>
    <row r="2547" spans="1:16">
      <c r="A2547">
        <v>18.02</v>
      </c>
      <c r="B2547">
        <v>2</v>
      </c>
      <c r="C2547" t="s">
        <v>3150</v>
      </c>
      <c r="D2547" t="s">
        <v>3151</v>
      </c>
      <c r="E2547" t="s">
        <v>1231</v>
      </c>
      <c r="F2547" t="s">
        <v>562</v>
      </c>
      <c r="G2547" t="s">
        <v>753</v>
      </c>
      <c r="H2547" t="s">
        <v>455</v>
      </c>
      <c r="I2547" t="s">
        <v>69</v>
      </c>
      <c r="J2547">
        <v>9.01</v>
      </c>
      <c r="K2547" s="1">
        <v>46212</v>
      </c>
      <c r="L2547" t="s">
        <v>105</v>
      </c>
      <c r="M2547">
        <v>9</v>
      </c>
      <c r="N2547">
        <v>7</v>
      </c>
      <c r="O2547">
        <v>3</v>
      </c>
      <c r="P2547">
        <v>2026</v>
      </c>
    </row>
    <row r="2548" spans="1:16">
      <c r="A2548">
        <v>135.24</v>
      </c>
      <c r="B2548">
        <v>2</v>
      </c>
      <c r="C2548" t="s">
        <v>936</v>
      </c>
      <c r="D2548" t="s">
        <v>937</v>
      </c>
      <c r="E2548" t="s">
        <v>938</v>
      </c>
      <c r="F2548" t="s">
        <v>794</v>
      </c>
      <c r="G2548" t="s">
        <v>795</v>
      </c>
      <c r="H2548" t="s">
        <v>697</v>
      </c>
      <c r="I2548" t="s">
        <v>17</v>
      </c>
      <c r="J2548">
        <v>67.62</v>
      </c>
      <c r="K2548" s="1">
        <v>45824</v>
      </c>
      <c r="L2548" t="s">
        <v>93</v>
      </c>
      <c r="M2548">
        <v>16</v>
      </c>
      <c r="N2548">
        <v>6</v>
      </c>
      <c r="O2548">
        <v>2</v>
      </c>
      <c r="P2548">
        <v>2025</v>
      </c>
    </row>
    <row r="2549" spans="1:16">
      <c r="A2549">
        <v>463.68</v>
      </c>
      <c r="B2549">
        <v>2</v>
      </c>
      <c r="C2549" t="s">
        <v>1894</v>
      </c>
      <c r="D2549" t="s">
        <v>1895</v>
      </c>
      <c r="E2549" t="s">
        <v>1387</v>
      </c>
      <c r="F2549" t="s">
        <v>1213</v>
      </c>
      <c r="G2549" t="s">
        <v>839</v>
      </c>
      <c r="H2549" t="s">
        <v>626</v>
      </c>
      <c r="I2549" t="s">
        <v>17</v>
      </c>
      <c r="J2549">
        <v>231.84</v>
      </c>
      <c r="K2549" s="1">
        <v>45823</v>
      </c>
      <c r="L2549" t="s">
        <v>28</v>
      </c>
      <c r="M2549">
        <v>15</v>
      </c>
      <c r="N2549">
        <v>6</v>
      </c>
      <c r="O2549">
        <v>2</v>
      </c>
      <c r="P2549">
        <v>2025</v>
      </c>
    </row>
    <row r="2550" spans="1:16">
      <c r="A2550">
        <v>1093.8</v>
      </c>
      <c r="B2550">
        <v>5</v>
      </c>
      <c r="C2550" t="s">
        <v>2389</v>
      </c>
      <c r="D2550" t="s">
        <v>2390</v>
      </c>
      <c r="E2550" t="s">
        <v>1925</v>
      </c>
      <c r="F2550" t="s">
        <v>816</v>
      </c>
      <c r="G2550" t="s">
        <v>817</v>
      </c>
      <c r="H2550" t="s">
        <v>67</v>
      </c>
      <c r="I2550" t="s">
        <v>31</v>
      </c>
      <c r="J2550">
        <v>218.76</v>
      </c>
      <c r="K2550" s="1">
        <v>45594</v>
      </c>
      <c r="L2550" t="s">
        <v>48</v>
      </c>
      <c r="M2550">
        <v>29</v>
      </c>
      <c r="N2550">
        <v>10</v>
      </c>
      <c r="O2550">
        <v>4</v>
      </c>
      <c r="P2550">
        <v>2024</v>
      </c>
    </row>
    <row r="2551" spans="1:16">
      <c r="A2551">
        <v>475.14</v>
      </c>
      <c r="B2551">
        <v>3</v>
      </c>
      <c r="C2551" t="s">
        <v>2523</v>
      </c>
      <c r="D2551" t="s">
        <v>2524</v>
      </c>
      <c r="E2551" t="s">
        <v>1997</v>
      </c>
      <c r="F2551" t="s">
        <v>1189</v>
      </c>
      <c r="G2551" t="s">
        <v>892</v>
      </c>
      <c r="H2551" t="s">
        <v>172</v>
      </c>
      <c r="I2551" t="s">
        <v>46</v>
      </c>
      <c r="J2551">
        <v>158.38</v>
      </c>
      <c r="K2551" s="1">
        <v>46051</v>
      </c>
      <c r="L2551" t="s">
        <v>105</v>
      </c>
      <c r="M2551">
        <v>29</v>
      </c>
      <c r="N2551">
        <v>1</v>
      </c>
      <c r="O2551">
        <v>1</v>
      </c>
      <c r="P2551">
        <v>2026</v>
      </c>
    </row>
    <row r="2552" spans="1:16">
      <c r="A2552">
        <v>65.02</v>
      </c>
      <c r="B2552">
        <v>1</v>
      </c>
      <c r="C2552" t="s">
        <v>2888</v>
      </c>
      <c r="D2552" t="s">
        <v>2889</v>
      </c>
      <c r="E2552" t="s">
        <v>2114</v>
      </c>
      <c r="F2552" t="s">
        <v>929</v>
      </c>
      <c r="G2552" t="s">
        <v>830</v>
      </c>
      <c r="H2552" t="s">
        <v>510</v>
      </c>
      <c r="I2552" t="s">
        <v>43</v>
      </c>
      <c r="J2552">
        <v>65.02</v>
      </c>
      <c r="K2552" s="1">
        <v>46262</v>
      </c>
      <c r="L2552" t="s">
        <v>79</v>
      </c>
      <c r="M2552">
        <v>28</v>
      </c>
      <c r="N2552">
        <v>8</v>
      </c>
      <c r="O2552">
        <v>3</v>
      </c>
      <c r="P2552">
        <v>2026</v>
      </c>
    </row>
    <row r="2553" spans="1:16">
      <c r="A2553">
        <v>548.04</v>
      </c>
      <c r="B2553">
        <v>4</v>
      </c>
      <c r="C2553" t="s">
        <v>1560</v>
      </c>
      <c r="D2553" t="s">
        <v>1561</v>
      </c>
      <c r="E2553" t="s">
        <v>1562</v>
      </c>
      <c r="F2553" t="s">
        <v>151</v>
      </c>
      <c r="G2553" t="s">
        <v>1003</v>
      </c>
      <c r="H2553" t="s">
        <v>138</v>
      </c>
      <c r="I2553" t="s">
        <v>97</v>
      </c>
      <c r="J2553">
        <v>137.01</v>
      </c>
      <c r="K2553" s="1">
        <v>45914</v>
      </c>
      <c r="L2553" t="s">
        <v>28</v>
      </c>
      <c r="M2553">
        <v>14</v>
      </c>
      <c r="N2553">
        <v>9</v>
      </c>
      <c r="O2553">
        <v>3</v>
      </c>
      <c r="P2553">
        <v>2025</v>
      </c>
    </row>
    <row r="2554" spans="1:16">
      <c r="A2554">
        <v>236.61</v>
      </c>
      <c r="B2554">
        <v>1</v>
      </c>
      <c r="C2554" t="s">
        <v>1011</v>
      </c>
      <c r="D2554" t="s">
        <v>1012</v>
      </c>
      <c r="E2554" t="s">
        <v>1013</v>
      </c>
      <c r="F2554" t="s">
        <v>883</v>
      </c>
      <c r="G2554" t="s">
        <v>807</v>
      </c>
      <c r="H2554" t="s">
        <v>235</v>
      </c>
      <c r="I2554" t="s">
        <v>19</v>
      </c>
      <c r="J2554">
        <v>236.61</v>
      </c>
      <c r="K2554" s="1">
        <v>45605</v>
      </c>
      <c r="L2554" t="s">
        <v>14</v>
      </c>
      <c r="M2554">
        <v>9</v>
      </c>
      <c r="N2554">
        <v>11</v>
      </c>
      <c r="O2554">
        <v>4</v>
      </c>
      <c r="P2554">
        <v>2024</v>
      </c>
    </row>
    <row r="2555" spans="1:16">
      <c r="A2555">
        <v>88.92</v>
      </c>
      <c r="B2555">
        <v>1</v>
      </c>
      <c r="C2555" t="s">
        <v>926</v>
      </c>
      <c r="D2555" t="s">
        <v>927</v>
      </c>
      <c r="E2555" t="s">
        <v>928</v>
      </c>
      <c r="F2555" t="s">
        <v>929</v>
      </c>
      <c r="G2555" t="s">
        <v>830</v>
      </c>
      <c r="H2555" t="s">
        <v>664</v>
      </c>
      <c r="I2555" t="s">
        <v>23</v>
      </c>
      <c r="J2555">
        <v>88.92</v>
      </c>
      <c r="K2555" s="1">
        <v>46072</v>
      </c>
      <c r="L2555" t="s">
        <v>105</v>
      </c>
      <c r="M2555">
        <v>19</v>
      </c>
      <c r="N2555">
        <v>2</v>
      </c>
      <c r="O2555">
        <v>1</v>
      </c>
      <c r="P2555">
        <v>2026</v>
      </c>
    </row>
    <row r="2556" spans="1:16">
      <c r="A2556">
        <v>371.84</v>
      </c>
      <c r="B2556">
        <v>2</v>
      </c>
      <c r="C2556" t="s">
        <v>2606</v>
      </c>
      <c r="D2556" t="s">
        <v>2607</v>
      </c>
      <c r="E2556" t="s">
        <v>2078</v>
      </c>
      <c r="F2556" t="s">
        <v>1032</v>
      </c>
      <c r="G2556" t="s">
        <v>839</v>
      </c>
      <c r="H2556" t="s">
        <v>683</v>
      </c>
      <c r="I2556" t="s">
        <v>55</v>
      </c>
      <c r="J2556">
        <v>185.92</v>
      </c>
      <c r="K2556" s="1">
        <v>45685</v>
      </c>
      <c r="L2556" t="s">
        <v>48</v>
      </c>
      <c r="M2556">
        <v>28</v>
      </c>
      <c r="N2556">
        <v>1</v>
      </c>
      <c r="O2556">
        <v>1</v>
      </c>
      <c r="P2556">
        <v>2025</v>
      </c>
    </row>
    <row r="2557" spans="1:16">
      <c r="A2557">
        <v>178.68</v>
      </c>
      <c r="B2557">
        <v>3</v>
      </c>
      <c r="C2557" t="s">
        <v>2556</v>
      </c>
      <c r="D2557" t="s">
        <v>2557</v>
      </c>
      <c r="E2557" t="s">
        <v>976</v>
      </c>
      <c r="F2557" t="s">
        <v>136</v>
      </c>
      <c r="G2557" t="s">
        <v>776</v>
      </c>
      <c r="H2557" t="s">
        <v>573</v>
      </c>
      <c r="I2557" t="s">
        <v>55</v>
      </c>
      <c r="J2557">
        <v>59.56</v>
      </c>
      <c r="K2557" s="1">
        <v>45644</v>
      </c>
      <c r="L2557" t="s">
        <v>34</v>
      </c>
      <c r="M2557">
        <v>18</v>
      </c>
      <c r="N2557">
        <v>12</v>
      </c>
      <c r="O2557">
        <v>4</v>
      </c>
      <c r="P2557">
        <v>2024</v>
      </c>
    </row>
    <row r="2558" spans="1:16">
      <c r="A2558">
        <v>301.84999999999997</v>
      </c>
      <c r="B2558">
        <v>5</v>
      </c>
      <c r="C2558" t="s">
        <v>2724</v>
      </c>
      <c r="D2558" t="s">
        <v>2725</v>
      </c>
      <c r="E2558" t="s">
        <v>2726</v>
      </c>
      <c r="F2558" t="s">
        <v>965</v>
      </c>
      <c r="G2558" t="s">
        <v>966</v>
      </c>
      <c r="H2558" t="s">
        <v>681</v>
      </c>
      <c r="I2558" t="s">
        <v>43</v>
      </c>
      <c r="J2558">
        <v>60.37</v>
      </c>
      <c r="K2558" s="1">
        <v>46007</v>
      </c>
      <c r="L2558" t="s">
        <v>48</v>
      </c>
      <c r="M2558">
        <v>16</v>
      </c>
      <c r="N2558">
        <v>12</v>
      </c>
      <c r="O2558">
        <v>4</v>
      </c>
      <c r="P2558">
        <v>2025</v>
      </c>
    </row>
    <row r="2559" spans="1:16">
      <c r="A2559">
        <v>484.86</v>
      </c>
      <c r="B2559">
        <v>3</v>
      </c>
      <c r="C2559" t="s">
        <v>1932</v>
      </c>
      <c r="D2559" t="s">
        <v>1933</v>
      </c>
      <c r="E2559" t="s">
        <v>1380</v>
      </c>
      <c r="F2559" t="s">
        <v>1054</v>
      </c>
      <c r="G2559" t="s">
        <v>892</v>
      </c>
      <c r="H2559" t="s">
        <v>224</v>
      </c>
      <c r="I2559" t="s">
        <v>39</v>
      </c>
      <c r="J2559">
        <v>161.62</v>
      </c>
      <c r="K2559" s="1">
        <v>45860</v>
      </c>
      <c r="L2559" t="s">
        <v>48</v>
      </c>
      <c r="M2559">
        <v>22</v>
      </c>
      <c r="N2559">
        <v>7</v>
      </c>
      <c r="O2559">
        <v>3</v>
      </c>
      <c r="P2559">
        <v>2025</v>
      </c>
    </row>
    <row r="2560" spans="1:16">
      <c r="A2560">
        <v>159.24</v>
      </c>
      <c r="B2560">
        <v>4</v>
      </c>
      <c r="C2560" t="s">
        <v>1368</v>
      </c>
      <c r="D2560" t="s">
        <v>1369</v>
      </c>
      <c r="E2560" t="s">
        <v>1370</v>
      </c>
      <c r="F2560" t="s">
        <v>1371</v>
      </c>
      <c r="G2560" t="s">
        <v>786</v>
      </c>
      <c r="H2560" t="s">
        <v>154</v>
      </c>
      <c r="I2560" t="s">
        <v>37</v>
      </c>
      <c r="J2560">
        <v>39.81</v>
      </c>
      <c r="K2560" s="1">
        <v>45707</v>
      </c>
      <c r="L2560" t="s">
        <v>34</v>
      </c>
      <c r="M2560">
        <v>19</v>
      </c>
      <c r="N2560">
        <v>2</v>
      </c>
      <c r="O2560">
        <v>1</v>
      </c>
      <c r="P2560">
        <v>2025</v>
      </c>
    </row>
    <row r="2561" spans="1:16">
      <c r="A2561">
        <v>732.72</v>
      </c>
      <c r="B2561">
        <v>3</v>
      </c>
      <c r="C2561" t="s">
        <v>3007</v>
      </c>
      <c r="D2561" t="s">
        <v>3008</v>
      </c>
      <c r="E2561" t="s">
        <v>1053</v>
      </c>
      <c r="F2561" t="s">
        <v>113</v>
      </c>
      <c r="G2561" t="s">
        <v>854</v>
      </c>
      <c r="H2561" t="s">
        <v>61</v>
      </c>
      <c r="I2561" t="s">
        <v>55</v>
      </c>
      <c r="J2561">
        <v>244.24</v>
      </c>
      <c r="K2561" s="1">
        <v>45774</v>
      </c>
      <c r="L2561" t="s">
        <v>28</v>
      </c>
      <c r="M2561">
        <v>27</v>
      </c>
      <c r="N2561">
        <v>4</v>
      </c>
      <c r="O2561">
        <v>2</v>
      </c>
      <c r="P2561">
        <v>2025</v>
      </c>
    </row>
    <row r="2562" spans="1:16">
      <c r="A2562">
        <v>858.36</v>
      </c>
      <c r="B2562">
        <v>4</v>
      </c>
      <c r="C2562" t="s">
        <v>1557</v>
      </c>
      <c r="D2562" t="s">
        <v>1558</v>
      </c>
      <c r="E2562" t="s">
        <v>1559</v>
      </c>
      <c r="F2562" t="s">
        <v>635</v>
      </c>
      <c r="G2562" t="s">
        <v>768</v>
      </c>
      <c r="H2562" t="s">
        <v>571</v>
      </c>
      <c r="I2562" t="s">
        <v>23</v>
      </c>
      <c r="J2562">
        <v>214.59</v>
      </c>
      <c r="K2562" s="1">
        <v>45605</v>
      </c>
      <c r="L2562" t="s">
        <v>14</v>
      </c>
      <c r="M2562">
        <v>9</v>
      </c>
      <c r="N2562">
        <v>11</v>
      </c>
      <c r="O2562">
        <v>4</v>
      </c>
      <c r="P2562">
        <v>2024</v>
      </c>
    </row>
    <row r="2563" spans="1:16">
      <c r="A2563">
        <v>316.76</v>
      </c>
      <c r="B2563">
        <v>2</v>
      </c>
      <c r="C2563" t="s">
        <v>2453</v>
      </c>
      <c r="D2563" t="s">
        <v>832</v>
      </c>
      <c r="E2563" t="s">
        <v>756</v>
      </c>
      <c r="F2563" t="s">
        <v>1280</v>
      </c>
      <c r="G2563" t="s">
        <v>908</v>
      </c>
      <c r="H2563" t="s">
        <v>172</v>
      </c>
      <c r="I2563" t="s">
        <v>46</v>
      </c>
      <c r="J2563">
        <v>158.38</v>
      </c>
      <c r="K2563" s="1">
        <v>46267</v>
      </c>
      <c r="L2563" t="s">
        <v>34</v>
      </c>
      <c r="M2563">
        <v>2</v>
      </c>
      <c r="N2563">
        <v>9</v>
      </c>
      <c r="O2563">
        <v>3</v>
      </c>
      <c r="P2563">
        <v>2026</v>
      </c>
    </row>
    <row r="2564" spans="1:16">
      <c r="A2564">
        <v>319.68</v>
      </c>
      <c r="B2564">
        <v>4</v>
      </c>
      <c r="C2564" t="s">
        <v>2660</v>
      </c>
      <c r="D2564" t="s">
        <v>2661</v>
      </c>
      <c r="E2564" t="s">
        <v>1616</v>
      </c>
      <c r="F2564" t="s">
        <v>1920</v>
      </c>
      <c r="G2564" t="s">
        <v>807</v>
      </c>
      <c r="H2564" t="s">
        <v>209</v>
      </c>
      <c r="I2564" t="s">
        <v>25</v>
      </c>
      <c r="J2564">
        <v>79.92</v>
      </c>
      <c r="K2564" s="1">
        <v>45985</v>
      </c>
      <c r="L2564" t="s">
        <v>93</v>
      </c>
      <c r="M2564">
        <v>24</v>
      </c>
      <c r="N2564">
        <v>11</v>
      </c>
      <c r="O2564">
        <v>4</v>
      </c>
      <c r="P2564">
        <v>2025</v>
      </c>
    </row>
    <row r="2565" spans="1:16">
      <c r="A2565">
        <v>513.1</v>
      </c>
      <c r="B2565">
        <v>5</v>
      </c>
      <c r="C2565" t="s">
        <v>912</v>
      </c>
      <c r="D2565" t="s">
        <v>913</v>
      </c>
      <c r="E2565" t="s">
        <v>914</v>
      </c>
      <c r="F2565" t="s">
        <v>915</v>
      </c>
      <c r="G2565" t="s">
        <v>768</v>
      </c>
      <c r="H2565" t="s">
        <v>348</v>
      </c>
      <c r="I2565" t="s">
        <v>60</v>
      </c>
      <c r="J2565">
        <v>102.62</v>
      </c>
      <c r="K2565" s="1">
        <v>45583</v>
      </c>
      <c r="L2565" t="s">
        <v>79</v>
      </c>
      <c r="M2565">
        <v>18</v>
      </c>
      <c r="N2565">
        <v>10</v>
      </c>
      <c r="O2565">
        <v>4</v>
      </c>
      <c r="P2565">
        <v>2024</v>
      </c>
    </row>
    <row r="2566" spans="1:16">
      <c r="A2566">
        <v>680.91</v>
      </c>
      <c r="B2566">
        <v>3</v>
      </c>
      <c r="C2566" t="s">
        <v>1486</v>
      </c>
      <c r="D2566" t="s">
        <v>1487</v>
      </c>
      <c r="E2566" t="s">
        <v>1042</v>
      </c>
      <c r="F2566" t="s">
        <v>196</v>
      </c>
      <c r="G2566" t="s">
        <v>830</v>
      </c>
      <c r="H2566" t="s">
        <v>283</v>
      </c>
      <c r="I2566" t="s">
        <v>100</v>
      </c>
      <c r="J2566">
        <v>226.97</v>
      </c>
      <c r="K2566" s="1">
        <v>45661</v>
      </c>
      <c r="L2566" t="s">
        <v>14</v>
      </c>
      <c r="M2566">
        <v>4</v>
      </c>
      <c r="N2566">
        <v>1</v>
      </c>
      <c r="O2566">
        <v>1</v>
      </c>
      <c r="P2566">
        <v>2025</v>
      </c>
    </row>
    <row r="2567" spans="1:16">
      <c r="A2567">
        <v>120.05000000000001</v>
      </c>
      <c r="B2567">
        <v>5</v>
      </c>
      <c r="C2567" t="s">
        <v>904</v>
      </c>
      <c r="D2567" t="s">
        <v>905</v>
      </c>
      <c r="E2567" t="s">
        <v>906</v>
      </c>
      <c r="F2567" t="s">
        <v>907</v>
      </c>
      <c r="G2567" t="s">
        <v>908</v>
      </c>
      <c r="H2567" t="s">
        <v>188</v>
      </c>
      <c r="I2567" t="s">
        <v>57</v>
      </c>
      <c r="J2567">
        <v>24.01</v>
      </c>
      <c r="K2567" s="1">
        <v>45851</v>
      </c>
      <c r="L2567" t="s">
        <v>28</v>
      </c>
      <c r="M2567">
        <v>13</v>
      </c>
      <c r="N2567">
        <v>7</v>
      </c>
      <c r="O2567">
        <v>3</v>
      </c>
      <c r="P2567">
        <v>2025</v>
      </c>
    </row>
    <row r="2568" spans="1:16">
      <c r="A2568">
        <v>493.4</v>
      </c>
      <c r="B2568">
        <v>4</v>
      </c>
      <c r="C2568" t="s">
        <v>1240</v>
      </c>
      <c r="D2568" t="s">
        <v>1241</v>
      </c>
      <c r="E2568" t="s">
        <v>1242</v>
      </c>
      <c r="F2568" t="s">
        <v>1092</v>
      </c>
      <c r="G2568" t="s">
        <v>763</v>
      </c>
      <c r="H2568" t="s">
        <v>630</v>
      </c>
      <c r="I2568" t="s">
        <v>69</v>
      </c>
      <c r="J2568">
        <v>123.35</v>
      </c>
      <c r="K2568" s="1">
        <v>46164</v>
      </c>
      <c r="L2568" t="s">
        <v>79</v>
      </c>
      <c r="M2568">
        <v>22</v>
      </c>
      <c r="N2568">
        <v>5</v>
      </c>
      <c r="O2568">
        <v>2</v>
      </c>
      <c r="P2568">
        <v>2026</v>
      </c>
    </row>
    <row r="2569" spans="1:16">
      <c r="A2569">
        <v>174.51</v>
      </c>
      <c r="B2569">
        <v>3</v>
      </c>
      <c r="C2569" t="s">
        <v>2516</v>
      </c>
      <c r="D2569" t="s">
        <v>2517</v>
      </c>
      <c r="E2569" t="s">
        <v>1793</v>
      </c>
      <c r="F2569" t="s">
        <v>106</v>
      </c>
      <c r="G2569" t="s">
        <v>896</v>
      </c>
      <c r="H2569" t="s">
        <v>615</v>
      </c>
      <c r="I2569" t="s">
        <v>100</v>
      </c>
      <c r="J2569">
        <v>58.17</v>
      </c>
      <c r="K2569" s="1">
        <v>46221</v>
      </c>
      <c r="L2569" t="s">
        <v>14</v>
      </c>
      <c r="M2569">
        <v>18</v>
      </c>
      <c r="N2569">
        <v>7</v>
      </c>
      <c r="O2569">
        <v>3</v>
      </c>
      <c r="P2569">
        <v>2026</v>
      </c>
    </row>
    <row r="2570" spans="1:16">
      <c r="A2570">
        <v>190.48</v>
      </c>
      <c r="B2570">
        <v>4</v>
      </c>
      <c r="C2570" t="s">
        <v>2938</v>
      </c>
      <c r="D2570" t="s">
        <v>2939</v>
      </c>
      <c r="E2570" t="s">
        <v>2940</v>
      </c>
      <c r="F2570" t="s">
        <v>915</v>
      </c>
      <c r="G2570" t="s">
        <v>768</v>
      </c>
      <c r="H2570" t="s">
        <v>508</v>
      </c>
      <c r="I2570" t="s">
        <v>43</v>
      </c>
      <c r="J2570">
        <v>47.62</v>
      </c>
      <c r="K2570" s="1">
        <v>46123</v>
      </c>
      <c r="L2570" t="s">
        <v>14</v>
      </c>
      <c r="M2570">
        <v>11</v>
      </c>
      <c r="N2570">
        <v>4</v>
      </c>
      <c r="O2570">
        <v>2</v>
      </c>
      <c r="P2570">
        <v>2026</v>
      </c>
    </row>
    <row r="2571" spans="1:16">
      <c r="A2571">
        <v>19.190000000000001</v>
      </c>
      <c r="B2571">
        <v>1</v>
      </c>
      <c r="C2571" t="s">
        <v>1663</v>
      </c>
      <c r="D2571" t="s">
        <v>1664</v>
      </c>
      <c r="E2571" t="s">
        <v>1665</v>
      </c>
      <c r="F2571" t="s">
        <v>1666</v>
      </c>
      <c r="G2571" t="s">
        <v>830</v>
      </c>
      <c r="H2571" t="s">
        <v>71</v>
      </c>
      <c r="I2571" t="s">
        <v>23</v>
      </c>
      <c r="J2571">
        <v>19.190000000000001</v>
      </c>
      <c r="K2571" s="1">
        <v>46115</v>
      </c>
      <c r="L2571" t="s">
        <v>79</v>
      </c>
      <c r="M2571">
        <v>3</v>
      </c>
      <c r="N2571">
        <v>4</v>
      </c>
      <c r="O2571">
        <v>2</v>
      </c>
      <c r="P2571">
        <v>2026</v>
      </c>
    </row>
    <row r="2572" spans="1:16">
      <c r="A2572">
        <v>190.76</v>
      </c>
      <c r="B2572">
        <v>1</v>
      </c>
      <c r="C2572" t="s">
        <v>2456</v>
      </c>
      <c r="D2572" t="s">
        <v>2457</v>
      </c>
      <c r="E2572" t="s">
        <v>882</v>
      </c>
      <c r="F2572" t="s">
        <v>1280</v>
      </c>
      <c r="G2572" t="s">
        <v>908</v>
      </c>
      <c r="H2572" t="s">
        <v>1430</v>
      </c>
      <c r="I2572" t="s">
        <v>60</v>
      </c>
      <c r="J2572">
        <v>190.76</v>
      </c>
      <c r="K2572" s="1">
        <v>45943</v>
      </c>
      <c r="L2572" t="s">
        <v>93</v>
      </c>
      <c r="M2572">
        <v>13</v>
      </c>
      <c r="N2572">
        <v>10</v>
      </c>
      <c r="O2572">
        <v>4</v>
      </c>
      <c r="P2572">
        <v>2025</v>
      </c>
    </row>
    <row r="2573" spans="1:16">
      <c r="A2573">
        <v>113.85</v>
      </c>
      <c r="B2573">
        <v>5</v>
      </c>
      <c r="C2573" t="s">
        <v>1248</v>
      </c>
      <c r="D2573" t="s">
        <v>1249</v>
      </c>
      <c r="E2573" t="s">
        <v>861</v>
      </c>
      <c r="F2573" t="s">
        <v>1032</v>
      </c>
      <c r="G2573" t="s">
        <v>839</v>
      </c>
      <c r="H2573" t="s">
        <v>1250</v>
      </c>
      <c r="I2573" t="s">
        <v>23</v>
      </c>
      <c r="J2573">
        <v>22.77</v>
      </c>
      <c r="K2573" s="1">
        <v>46255</v>
      </c>
      <c r="L2573" t="s">
        <v>79</v>
      </c>
      <c r="M2573">
        <v>21</v>
      </c>
      <c r="N2573">
        <v>8</v>
      </c>
      <c r="O2573">
        <v>3</v>
      </c>
      <c r="P2573">
        <v>2026</v>
      </c>
    </row>
    <row r="2574" spans="1:16">
      <c r="A2574">
        <v>22.58</v>
      </c>
      <c r="B2574">
        <v>2</v>
      </c>
      <c r="C2574" t="s">
        <v>1623</v>
      </c>
      <c r="D2574" t="s">
        <v>1624</v>
      </c>
      <c r="E2574" t="s">
        <v>1625</v>
      </c>
      <c r="F2574" t="s">
        <v>1626</v>
      </c>
      <c r="G2574" t="s">
        <v>812</v>
      </c>
      <c r="H2574" t="s">
        <v>596</v>
      </c>
      <c r="I2574" t="s">
        <v>39</v>
      </c>
      <c r="J2574">
        <v>11.29</v>
      </c>
      <c r="K2574" s="1">
        <v>45616</v>
      </c>
      <c r="L2574" t="s">
        <v>34</v>
      </c>
      <c r="M2574">
        <v>20</v>
      </c>
      <c r="N2574">
        <v>11</v>
      </c>
      <c r="O2574">
        <v>4</v>
      </c>
      <c r="P2574">
        <v>2024</v>
      </c>
    </row>
    <row r="2575" spans="1:16">
      <c r="A2575">
        <v>126.21000000000001</v>
      </c>
      <c r="B2575">
        <v>3</v>
      </c>
      <c r="C2575" t="s">
        <v>944</v>
      </c>
      <c r="D2575" t="s">
        <v>945</v>
      </c>
      <c r="E2575" t="s">
        <v>946</v>
      </c>
      <c r="F2575" t="s">
        <v>199</v>
      </c>
      <c r="G2575" t="s">
        <v>781</v>
      </c>
      <c r="H2575" t="s">
        <v>629</v>
      </c>
      <c r="I2575" t="s">
        <v>43</v>
      </c>
      <c r="J2575">
        <v>42.07</v>
      </c>
      <c r="K2575" s="1">
        <v>46225</v>
      </c>
      <c r="L2575" t="s">
        <v>34</v>
      </c>
      <c r="M2575">
        <v>22</v>
      </c>
      <c r="N2575">
        <v>7</v>
      </c>
      <c r="O2575">
        <v>3</v>
      </c>
      <c r="P2575">
        <v>2026</v>
      </c>
    </row>
    <row r="2576" spans="1:16">
      <c r="A2576">
        <v>243.88</v>
      </c>
      <c r="B2576">
        <v>2</v>
      </c>
      <c r="C2576" t="s">
        <v>769</v>
      </c>
      <c r="D2576" t="s">
        <v>770</v>
      </c>
      <c r="E2576" t="s">
        <v>771</v>
      </c>
      <c r="F2576" t="s">
        <v>772</v>
      </c>
      <c r="G2576" t="s">
        <v>758</v>
      </c>
      <c r="H2576" t="s">
        <v>245</v>
      </c>
      <c r="I2576" t="s">
        <v>43</v>
      </c>
      <c r="J2576">
        <v>121.94</v>
      </c>
      <c r="K2576" s="1">
        <v>46040</v>
      </c>
      <c r="L2576" t="s">
        <v>28</v>
      </c>
      <c r="M2576">
        <v>18</v>
      </c>
      <c r="N2576">
        <v>1</v>
      </c>
      <c r="O2576">
        <v>1</v>
      </c>
      <c r="P2576">
        <v>2026</v>
      </c>
    </row>
    <row r="2577" spans="1:16">
      <c r="A2577">
        <v>80.94</v>
      </c>
      <c r="B2577">
        <v>3</v>
      </c>
      <c r="C2577" t="s">
        <v>3171</v>
      </c>
      <c r="D2577" t="s">
        <v>3172</v>
      </c>
      <c r="E2577" t="s">
        <v>998</v>
      </c>
      <c r="F2577" t="s">
        <v>747</v>
      </c>
      <c r="G2577" t="s">
        <v>748</v>
      </c>
      <c r="H2577" t="s">
        <v>458</v>
      </c>
      <c r="I2577" t="s">
        <v>37</v>
      </c>
      <c r="J2577">
        <v>26.98</v>
      </c>
      <c r="K2577" s="1">
        <v>45869</v>
      </c>
      <c r="L2577" t="s">
        <v>105</v>
      </c>
      <c r="M2577">
        <v>31</v>
      </c>
      <c r="N2577">
        <v>7</v>
      </c>
      <c r="O2577">
        <v>3</v>
      </c>
      <c r="P2577">
        <v>2025</v>
      </c>
    </row>
    <row r="2578" spans="1:16">
      <c r="A2578">
        <v>84.63</v>
      </c>
      <c r="B2578">
        <v>1</v>
      </c>
      <c r="C2578" t="s">
        <v>2453</v>
      </c>
      <c r="D2578" t="s">
        <v>832</v>
      </c>
      <c r="E2578" t="s">
        <v>756</v>
      </c>
      <c r="F2578" t="s">
        <v>1280</v>
      </c>
      <c r="G2578" t="s">
        <v>908</v>
      </c>
      <c r="H2578" t="s">
        <v>495</v>
      </c>
      <c r="I2578" t="s">
        <v>39</v>
      </c>
      <c r="J2578">
        <v>84.63</v>
      </c>
      <c r="K2578" s="1">
        <v>45807</v>
      </c>
      <c r="L2578" t="s">
        <v>79</v>
      </c>
      <c r="M2578">
        <v>30</v>
      </c>
      <c r="N2578">
        <v>5</v>
      </c>
      <c r="O2578">
        <v>2</v>
      </c>
      <c r="P2578">
        <v>2025</v>
      </c>
    </row>
    <row r="2579" spans="1:16">
      <c r="A2579">
        <v>202.98</v>
      </c>
      <c r="B2579">
        <v>3</v>
      </c>
      <c r="C2579" t="s">
        <v>2041</v>
      </c>
      <c r="D2579" t="s">
        <v>2042</v>
      </c>
      <c r="E2579" t="s">
        <v>2043</v>
      </c>
      <c r="F2579" t="s">
        <v>2044</v>
      </c>
      <c r="G2579" t="s">
        <v>748</v>
      </c>
      <c r="H2579" t="s">
        <v>2624</v>
      </c>
      <c r="I2579" t="s">
        <v>82</v>
      </c>
      <c r="J2579">
        <v>67.66</v>
      </c>
      <c r="K2579" s="1">
        <v>45696</v>
      </c>
      <c r="L2579" t="s">
        <v>14</v>
      </c>
      <c r="M2579">
        <v>8</v>
      </c>
      <c r="N2579">
        <v>2</v>
      </c>
      <c r="O2579">
        <v>1</v>
      </c>
      <c r="P2579">
        <v>2025</v>
      </c>
    </row>
    <row r="2580" spans="1:16">
      <c r="A2580">
        <v>958.6</v>
      </c>
      <c r="B2580">
        <v>5</v>
      </c>
      <c r="C2580" t="s">
        <v>2288</v>
      </c>
      <c r="D2580" t="s">
        <v>2289</v>
      </c>
      <c r="E2580" t="s">
        <v>1821</v>
      </c>
      <c r="F2580" t="s">
        <v>666</v>
      </c>
      <c r="G2580" t="s">
        <v>954</v>
      </c>
      <c r="H2580" t="s">
        <v>667</v>
      </c>
      <c r="I2580" t="s">
        <v>51</v>
      </c>
      <c r="J2580">
        <v>191.72</v>
      </c>
      <c r="K2580" s="1">
        <v>45971</v>
      </c>
      <c r="L2580" t="s">
        <v>93</v>
      </c>
      <c r="M2580">
        <v>10</v>
      </c>
      <c r="N2580">
        <v>11</v>
      </c>
      <c r="O2580">
        <v>4</v>
      </c>
      <c r="P2580">
        <v>2025</v>
      </c>
    </row>
    <row r="2581" spans="1:16">
      <c r="A2581">
        <v>445.02</v>
      </c>
      <c r="B2581">
        <v>2</v>
      </c>
      <c r="C2581" t="s">
        <v>2836</v>
      </c>
      <c r="D2581" t="s">
        <v>2837</v>
      </c>
      <c r="E2581" t="s">
        <v>1829</v>
      </c>
      <c r="F2581" t="s">
        <v>1156</v>
      </c>
      <c r="G2581" t="s">
        <v>821</v>
      </c>
      <c r="H2581" t="s">
        <v>142</v>
      </c>
      <c r="I2581" t="s">
        <v>60</v>
      </c>
      <c r="J2581">
        <v>222.51</v>
      </c>
      <c r="K2581" s="1">
        <v>45818</v>
      </c>
      <c r="L2581" t="s">
        <v>48</v>
      </c>
      <c r="M2581">
        <v>10</v>
      </c>
      <c r="N2581">
        <v>6</v>
      </c>
      <c r="O2581">
        <v>2</v>
      </c>
      <c r="P2581">
        <v>2025</v>
      </c>
    </row>
    <row r="2582" spans="1:16">
      <c r="A2582">
        <v>62.199999999999996</v>
      </c>
      <c r="B2582">
        <v>5</v>
      </c>
      <c r="C2582" t="s">
        <v>2653</v>
      </c>
      <c r="D2582" t="s">
        <v>2654</v>
      </c>
      <c r="E2582" t="s">
        <v>2315</v>
      </c>
      <c r="F2582" t="s">
        <v>780</v>
      </c>
      <c r="G2582" t="s">
        <v>781</v>
      </c>
      <c r="H2582" t="s">
        <v>310</v>
      </c>
      <c r="I2582" t="s">
        <v>60</v>
      </c>
      <c r="J2582">
        <v>12.44</v>
      </c>
      <c r="K2582" s="1">
        <v>46271</v>
      </c>
      <c r="L2582" t="s">
        <v>28</v>
      </c>
      <c r="M2582">
        <v>6</v>
      </c>
      <c r="N2582">
        <v>9</v>
      </c>
      <c r="O2582">
        <v>3</v>
      </c>
      <c r="P2582">
        <v>2026</v>
      </c>
    </row>
    <row r="2583" spans="1:16">
      <c r="A2583">
        <v>832.05</v>
      </c>
      <c r="B2583">
        <v>5</v>
      </c>
      <c r="C2583" t="s">
        <v>2072</v>
      </c>
      <c r="D2583" t="s">
        <v>2073</v>
      </c>
      <c r="E2583" t="s">
        <v>1709</v>
      </c>
      <c r="F2583" t="s">
        <v>961</v>
      </c>
      <c r="G2583" t="s">
        <v>807</v>
      </c>
      <c r="H2583" t="s">
        <v>285</v>
      </c>
      <c r="I2583" t="s">
        <v>17</v>
      </c>
      <c r="J2583">
        <v>166.41</v>
      </c>
      <c r="K2583" s="1">
        <v>45685</v>
      </c>
      <c r="L2583" t="s">
        <v>48</v>
      </c>
      <c r="M2583">
        <v>28</v>
      </c>
      <c r="N2583">
        <v>1</v>
      </c>
      <c r="O2583">
        <v>1</v>
      </c>
      <c r="P2583">
        <v>2025</v>
      </c>
    </row>
    <row r="2584" spans="1:16">
      <c r="A2584">
        <v>398.65000000000003</v>
      </c>
      <c r="B2584">
        <v>5</v>
      </c>
      <c r="C2584" t="s">
        <v>2209</v>
      </c>
      <c r="D2584" t="s">
        <v>2210</v>
      </c>
      <c r="E2584" t="s">
        <v>1035</v>
      </c>
      <c r="F2584" t="s">
        <v>1630</v>
      </c>
      <c r="G2584" t="s">
        <v>763</v>
      </c>
      <c r="H2584" t="s">
        <v>621</v>
      </c>
      <c r="I2584" t="s">
        <v>19</v>
      </c>
      <c r="J2584">
        <v>79.73</v>
      </c>
      <c r="K2584" s="1">
        <v>45589</v>
      </c>
      <c r="L2584" t="s">
        <v>105</v>
      </c>
      <c r="M2584">
        <v>24</v>
      </c>
      <c r="N2584">
        <v>10</v>
      </c>
      <c r="O2584">
        <v>4</v>
      </c>
      <c r="P2584">
        <v>2024</v>
      </c>
    </row>
    <row r="2585" spans="1:16">
      <c r="A2585">
        <v>82.48</v>
      </c>
      <c r="B2585">
        <v>4</v>
      </c>
      <c r="C2585" t="s">
        <v>2591</v>
      </c>
      <c r="D2585" t="s">
        <v>2592</v>
      </c>
      <c r="E2585" t="s">
        <v>875</v>
      </c>
      <c r="F2585" t="s">
        <v>985</v>
      </c>
      <c r="G2585" t="s">
        <v>817</v>
      </c>
      <c r="H2585" t="s">
        <v>96</v>
      </c>
      <c r="I2585" t="s">
        <v>97</v>
      </c>
      <c r="J2585">
        <v>20.62</v>
      </c>
      <c r="K2585" s="1">
        <v>45653</v>
      </c>
      <c r="L2585" t="s">
        <v>79</v>
      </c>
      <c r="M2585">
        <v>27</v>
      </c>
      <c r="N2585">
        <v>12</v>
      </c>
      <c r="O2585">
        <v>4</v>
      </c>
      <c r="P2585">
        <v>2024</v>
      </c>
    </row>
    <row r="2586" spans="1:16">
      <c r="A2586">
        <v>734.32</v>
      </c>
      <c r="B2586">
        <v>4</v>
      </c>
      <c r="C2586" t="s">
        <v>2664</v>
      </c>
      <c r="D2586" t="s">
        <v>2665</v>
      </c>
      <c r="E2586" t="s">
        <v>2666</v>
      </c>
      <c r="F2586" t="s">
        <v>869</v>
      </c>
      <c r="G2586" t="s">
        <v>807</v>
      </c>
      <c r="H2586" t="s">
        <v>641</v>
      </c>
      <c r="I2586" t="s">
        <v>46</v>
      </c>
      <c r="J2586">
        <v>183.58</v>
      </c>
      <c r="K2586" s="1">
        <v>45708</v>
      </c>
      <c r="L2586" t="s">
        <v>105</v>
      </c>
      <c r="M2586">
        <v>20</v>
      </c>
      <c r="N2586">
        <v>2</v>
      </c>
      <c r="O2586">
        <v>1</v>
      </c>
      <c r="P2586">
        <v>2025</v>
      </c>
    </row>
    <row r="2587" spans="1:16">
      <c r="A2587">
        <v>66.739999999999995</v>
      </c>
      <c r="B2587">
        <v>2</v>
      </c>
      <c r="C2587" t="s">
        <v>2420</v>
      </c>
      <c r="D2587" t="s">
        <v>2421</v>
      </c>
      <c r="E2587" t="s">
        <v>1001</v>
      </c>
      <c r="F2587" t="s">
        <v>1254</v>
      </c>
      <c r="G2587" t="s">
        <v>781</v>
      </c>
      <c r="H2587" t="s">
        <v>388</v>
      </c>
      <c r="I2587" t="s">
        <v>46</v>
      </c>
      <c r="J2587">
        <v>33.369999999999997</v>
      </c>
      <c r="K2587" s="1">
        <v>46259</v>
      </c>
      <c r="L2587" t="s">
        <v>48</v>
      </c>
      <c r="M2587">
        <v>25</v>
      </c>
      <c r="N2587">
        <v>8</v>
      </c>
      <c r="O2587">
        <v>3</v>
      </c>
      <c r="P2587">
        <v>2026</v>
      </c>
    </row>
    <row r="2588" spans="1:16">
      <c r="A2588">
        <v>386.15999999999997</v>
      </c>
      <c r="B2588">
        <v>3</v>
      </c>
      <c r="C2588" t="s">
        <v>1055</v>
      </c>
      <c r="D2588" t="s">
        <v>1056</v>
      </c>
      <c r="E2588" t="s">
        <v>1057</v>
      </c>
      <c r="F2588" t="s">
        <v>380</v>
      </c>
      <c r="G2588" t="s">
        <v>776</v>
      </c>
      <c r="H2588" t="s">
        <v>693</v>
      </c>
      <c r="I2588" t="s">
        <v>46</v>
      </c>
      <c r="J2588">
        <v>128.72</v>
      </c>
      <c r="K2588" s="1">
        <v>45679</v>
      </c>
      <c r="L2588" t="s">
        <v>34</v>
      </c>
      <c r="M2588">
        <v>22</v>
      </c>
      <c r="N2588">
        <v>1</v>
      </c>
      <c r="O2588">
        <v>1</v>
      </c>
      <c r="P2588">
        <v>2025</v>
      </c>
    </row>
    <row r="2589" spans="1:16">
      <c r="A2589">
        <v>823.32</v>
      </c>
      <c r="B2589">
        <v>4</v>
      </c>
      <c r="C2589" t="s">
        <v>1442</v>
      </c>
      <c r="D2589" t="s">
        <v>1443</v>
      </c>
      <c r="E2589" t="s">
        <v>1444</v>
      </c>
      <c r="F2589" t="s">
        <v>380</v>
      </c>
      <c r="G2589" t="s">
        <v>896</v>
      </c>
      <c r="H2589" t="s">
        <v>246</v>
      </c>
      <c r="I2589" t="s">
        <v>23</v>
      </c>
      <c r="J2589">
        <v>205.83</v>
      </c>
      <c r="K2589" s="1">
        <v>45805</v>
      </c>
      <c r="L2589" t="s">
        <v>34</v>
      </c>
      <c r="M2589">
        <v>28</v>
      </c>
      <c r="N2589">
        <v>5</v>
      </c>
      <c r="O2589">
        <v>2</v>
      </c>
      <c r="P2589">
        <v>2025</v>
      </c>
    </row>
    <row r="2590" spans="1:16">
      <c r="A2590">
        <v>134.9</v>
      </c>
      <c r="B2590">
        <v>5</v>
      </c>
      <c r="C2590" t="s">
        <v>1375</v>
      </c>
      <c r="D2590" t="s">
        <v>1376</v>
      </c>
      <c r="E2590" t="s">
        <v>1377</v>
      </c>
      <c r="F2590" t="s">
        <v>1061</v>
      </c>
      <c r="G2590" t="s">
        <v>834</v>
      </c>
      <c r="H2590" t="s">
        <v>458</v>
      </c>
      <c r="I2590" t="s">
        <v>37</v>
      </c>
      <c r="J2590">
        <v>26.98</v>
      </c>
      <c r="K2590" s="1">
        <v>46118</v>
      </c>
      <c r="L2590" t="s">
        <v>93</v>
      </c>
      <c r="M2590">
        <v>6</v>
      </c>
      <c r="N2590">
        <v>4</v>
      </c>
      <c r="O2590">
        <v>2</v>
      </c>
      <c r="P2590">
        <v>2026</v>
      </c>
    </row>
    <row r="2591" spans="1:16">
      <c r="A2591">
        <v>169.28</v>
      </c>
      <c r="B2591">
        <v>4</v>
      </c>
      <c r="C2591" t="s">
        <v>1040</v>
      </c>
      <c r="D2591" t="s">
        <v>1041</v>
      </c>
      <c r="E2591" t="s">
        <v>1042</v>
      </c>
      <c r="F2591" t="s">
        <v>942</v>
      </c>
      <c r="G2591" t="s">
        <v>943</v>
      </c>
      <c r="H2591" t="s">
        <v>415</v>
      </c>
      <c r="I2591" t="s">
        <v>43</v>
      </c>
      <c r="J2591">
        <v>42.32</v>
      </c>
      <c r="K2591" s="1">
        <v>45776</v>
      </c>
      <c r="L2591" t="s">
        <v>48</v>
      </c>
      <c r="M2591">
        <v>29</v>
      </c>
      <c r="N2591">
        <v>4</v>
      </c>
      <c r="O2591">
        <v>2</v>
      </c>
      <c r="P2591">
        <v>2025</v>
      </c>
    </row>
    <row r="2592" spans="1:16">
      <c r="A2592">
        <v>789.04</v>
      </c>
      <c r="B2592">
        <v>4</v>
      </c>
      <c r="C2592" t="s">
        <v>2226</v>
      </c>
      <c r="D2592" t="s">
        <v>2227</v>
      </c>
      <c r="E2592" t="s">
        <v>1188</v>
      </c>
      <c r="F2592" t="s">
        <v>1089</v>
      </c>
      <c r="G2592" t="s">
        <v>812</v>
      </c>
      <c r="H2592" t="s">
        <v>293</v>
      </c>
      <c r="I2592" t="s">
        <v>100</v>
      </c>
      <c r="J2592">
        <v>197.26</v>
      </c>
      <c r="K2592" s="1">
        <v>46094</v>
      </c>
      <c r="L2592" t="s">
        <v>79</v>
      </c>
      <c r="M2592">
        <v>13</v>
      </c>
      <c r="N2592">
        <v>3</v>
      </c>
      <c r="O2592">
        <v>1</v>
      </c>
      <c r="P2592">
        <v>2026</v>
      </c>
    </row>
    <row r="2593" spans="1:16">
      <c r="A2593">
        <v>183.93</v>
      </c>
      <c r="B2593">
        <v>1</v>
      </c>
      <c r="C2593" t="s">
        <v>2863</v>
      </c>
      <c r="D2593" t="s">
        <v>2864</v>
      </c>
      <c r="E2593" t="s">
        <v>2114</v>
      </c>
      <c r="F2593" t="s">
        <v>1594</v>
      </c>
      <c r="G2593" t="s">
        <v>1247</v>
      </c>
      <c r="H2593" t="s">
        <v>359</v>
      </c>
      <c r="I2593" t="s">
        <v>23</v>
      </c>
      <c r="J2593">
        <v>183.93</v>
      </c>
      <c r="K2593" s="1">
        <v>46003</v>
      </c>
      <c r="L2593" t="s">
        <v>79</v>
      </c>
      <c r="M2593">
        <v>12</v>
      </c>
      <c r="N2593">
        <v>12</v>
      </c>
      <c r="O2593">
        <v>4</v>
      </c>
      <c r="P2593">
        <v>2025</v>
      </c>
    </row>
    <row r="2594" spans="1:16">
      <c r="A2594">
        <v>214.86</v>
      </c>
      <c r="B2594">
        <v>3</v>
      </c>
      <c r="C2594" t="s">
        <v>2506</v>
      </c>
      <c r="D2594" t="s">
        <v>2507</v>
      </c>
      <c r="E2594" t="s">
        <v>1295</v>
      </c>
      <c r="F2594" t="s">
        <v>74</v>
      </c>
      <c r="G2594" t="s">
        <v>943</v>
      </c>
      <c r="H2594" t="s">
        <v>680</v>
      </c>
      <c r="I2594" t="s">
        <v>69</v>
      </c>
      <c r="J2594">
        <v>71.62</v>
      </c>
      <c r="K2594" s="1">
        <v>46274</v>
      </c>
      <c r="L2594" t="s">
        <v>34</v>
      </c>
      <c r="M2594">
        <v>9</v>
      </c>
      <c r="N2594">
        <v>9</v>
      </c>
      <c r="O2594">
        <v>3</v>
      </c>
      <c r="P2594">
        <v>2026</v>
      </c>
    </row>
    <row r="2595" spans="1:16">
      <c r="A2595">
        <v>194.43</v>
      </c>
      <c r="B2595">
        <v>3</v>
      </c>
      <c r="C2595" t="s">
        <v>1378</v>
      </c>
      <c r="D2595" t="s">
        <v>1379</v>
      </c>
      <c r="E2595" t="s">
        <v>1380</v>
      </c>
      <c r="F2595" t="s">
        <v>757</v>
      </c>
      <c r="G2595" t="s">
        <v>758</v>
      </c>
      <c r="H2595" t="s">
        <v>471</v>
      </c>
      <c r="I2595" t="s">
        <v>19</v>
      </c>
      <c r="J2595">
        <v>64.81</v>
      </c>
      <c r="K2595" s="1">
        <v>46052</v>
      </c>
      <c r="L2595" t="s">
        <v>79</v>
      </c>
      <c r="M2595">
        <v>30</v>
      </c>
      <c r="N2595">
        <v>1</v>
      </c>
      <c r="O2595">
        <v>1</v>
      </c>
      <c r="P2595">
        <v>2026</v>
      </c>
    </row>
    <row r="2596" spans="1:16">
      <c r="A2596">
        <v>10.01</v>
      </c>
      <c r="B2596">
        <v>1</v>
      </c>
      <c r="C2596" t="s">
        <v>1093</v>
      </c>
      <c r="D2596" t="s">
        <v>1094</v>
      </c>
      <c r="E2596" t="s">
        <v>1095</v>
      </c>
      <c r="F2596" t="s">
        <v>862</v>
      </c>
      <c r="G2596" t="s">
        <v>758</v>
      </c>
      <c r="H2596" t="s">
        <v>163</v>
      </c>
      <c r="I2596" t="s">
        <v>97</v>
      </c>
      <c r="J2596">
        <v>10.01</v>
      </c>
      <c r="K2596" s="1">
        <v>45548</v>
      </c>
      <c r="L2596" t="s">
        <v>79</v>
      </c>
      <c r="M2596">
        <v>13</v>
      </c>
      <c r="N2596">
        <v>9</v>
      </c>
      <c r="O2596">
        <v>3</v>
      </c>
      <c r="P2596">
        <v>2024</v>
      </c>
    </row>
    <row r="2597" spans="1:16">
      <c r="A2597">
        <v>385.24</v>
      </c>
      <c r="B2597">
        <v>4</v>
      </c>
      <c r="C2597" t="s">
        <v>1287</v>
      </c>
      <c r="D2597" t="s">
        <v>1288</v>
      </c>
      <c r="E2597" t="s">
        <v>1050</v>
      </c>
      <c r="F2597" t="s">
        <v>64</v>
      </c>
      <c r="G2597" t="s">
        <v>892</v>
      </c>
      <c r="H2597" t="s">
        <v>237</v>
      </c>
      <c r="I2597" t="s">
        <v>27</v>
      </c>
      <c r="J2597">
        <v>96.31</v>
      </c>
      <c r="K2597" s="1">
        <v>46019</v>
      </c>
      <c r="L2597" t="s">
        <v>28</v>
      </c>
      <c r="M2597">
        <v>28</v>
      </c>
      <c r="N2597">
        <v>12</v>
      </c>
      <c r="O2597">
        <v>4</v>
      </c>
      <c r="P2597">
        <v>2025</v>
      </c>
    </row>
    <row r="2598" spans="1:16">
      <c r="A2598">
        <v>63.239999999999995</v>
      </c>
      <c r="B2598">
        <v>3</v>
      </c>
      <c r="C2598" t="s">
        <v>982</v>
      </c>
      <c r="D2598" t="s">
        <v>983</v>
      </c>
      <c r="E2598" t="s">
        <v>984</v>
      </c>
      <c r="F2598" t="s">
        <v>985</v>
      </c>
      <c r="G2598" t="s">
        <v>817</v>
      </c>
      <c r="H2598" t="s">
        <v>223</v>
      </c>
      <c r="I2598" t="s">
        <v>19</v>
      </c>
      <c r="J2598">
        <v>21.08</v>
      </c>
      <c r="K2598" s="1">
        <v>45650</v>
      </c>
      <c r="L2598" t="s">
        <v>48</v>
      </c>
      <c r="M2598">
        <v>24</v>
      </c>
      <c r="N2598">
        <v>12</v>
      </c>
      <c r="O2598">
        <v>4</v>
      </c>
      <c r="P2598">
        <v>2024</v>
      </c>
    </row>
    <row r="2599" spans="1:16">
      <c r="A2599">
        <v>29.55</v>
      </c>
      <c r="B2599">
        <v>5</v>
      </c>
      <c r="C2599" t="s">
        <v>2472</v>
      </c>
      <c r="D2599" t="s">
        <v>2473</v>
      </c>
      <c r="E2599" t="s">
        <v>2253</v>
      </c>
      <c r="F2599" t="s">
        <v>767</v>
      </c>
      <c r="G2599" t="s">
        <v>768</v>
      </c>
      <c r="H2599" t="s">
        <v>590</v>
      </c>
      <c r="I2599" t="s">
        <v>51</v>
      </c>
      <c r="J2599">
        <v>5.91</v>
      </c>
      <c r="K2599" s="1">
        <v>45827</v>
      </c>
      <c r="L2599" t="s">
        <v>105</v>
      </c>
      <c r="M2599">
        <v>19</v>
      </c>
      <c r="N2599">
        <v>6</v>
      </c>
      <c r="O2599">
        <v>2</v>
      </c>
      <c r="P2599">
        <v>2025</v>
      </c>
    </row>
    <row r="2600" spans="1:16">
      <c r="A2600">
        <v>314.68</v>
      </c>
      <c r="B2600">
        <v>2</v>
      </c>
      <c r="C2600" t="s">
        <v>1483</v>
      </c>
      <c r="D2600" t="s">
        <v>1484</v>
      </c>
      <c r="E2600" t="s">
        <v>1485</v>
      </c>
      <c r="F2600" t="s">
        <v>802</v>
      </c>
      <c r="G2600" t="s">
        <v>748</v>
      </c>
      <c r="H2600" t="s">
        <v>147</v>
      </c>
      <c r="I2600" t="s">
        <v>27</v>
      </c>
      <c r="J2600">
        <v>157.34</v>
      </c>
      <c r="K2600" s="1">
        <v>46033</v>
      </c>
      <c r="L2600" t="s">
        <v>28</v>
      </c>
      <c r="M2600">
        <v>11</v>
      </c>
      <c r="N2600">
        <v>1</v>
      </c>
      <c r="O2600">
        <v>1</v>
      </c>
      <c r="P2600">
        <v>2026</v>
      </c>
    </row>
    <row r="2601" spans="1:16">
      <c r="A2601">
        <v>169.17000000000002</v>
      </c>
      <c r="B2601">
        <v>3</v>
      </c>
      <c r="C2601" t="s">
        <v>2347</v>
      </c>
      <c r="D2601" t="s">
        <v>2348</v>
      </c>
      <c r="E2601" t="s">
        <v>891</v>
      </c>
      <c r="F2601" t="s">
        <v>965</v>
      </c>
      <c r="G2601" t="s">
        <v>966</v>
      </c>
      <c r="H2601" t="s">
        <v>308</v>
      </c>
      <c r="I2601" t="s">
        <v>19</v>
      </c>
      <c r="J2601">
        <v>56.39</v>
      </c>
      <c r="K2601" s="1">
        <v>45953</v>
      </c>
      <c r="L2601" t="s">
        <v>105</v>
      </c>
      <c r="M2601">
        <v>23</v>
      </c>
      <c r="N2601">
        <v>10</v>
      </c>
      <c r="O2601">
        <v>4</v>
      </c>
      <c r="P2601">
        <v>2025</v>
      </c>
    </row>
    <row r="2602" spans="1:16">
      <c r="A2602">
        <v>91.88</v>
      </c>
      <c r="B2602">
        <v>4</v>
      </c>
      <c r="C2602" t="s">
        <v>2018</v>
      </c>
      <c r="D2602" t="s">
        <v>2019</v>
      </c>
      <c r="E2602" t="s">
        <v>2020</v>
      </c>
      <c r="F2602" t="s">
        <v>635</v>
      </c>
      <c r="G2602" t="s">
        <v>768</v>
      </c>
      <c r="H2602" t="s">
        <v>90</v>
      </c>
      <c r="I2602" t="s">
        <v>23</v>
      </c>
      <c r="J2602">
        <v>22.97</v>
      </c>
      <c r="K2602" s="1">
        <v>45785</v>
      </c>
      <c r="L2602" t="s">
        <v>105</v>
      </c>
      <c r="M2602">
        <v>8</v>
      </c>
      <c r="N2602">
        <v>5</v>
      </c>
      <c r="O2602">
        <v>2</v>
      </c>
      <c r="P2602">
        <v>2025</v>
      </c>
    </row>
    <row r="2603" spans="1:16">
      <c r="A2603">
        <v>68.02</v>
      </c>
      <c r="B2603">
        <v>1</v>
      </c>
      <c r="C2603" t="s">
        <v>3065</v>
      </c>
      <c r="D2603" t="s">
        <v>3066</v>
      </c>
      <c r="E2603" t="s">
        <v>1374</v>
      </c>
      <c r="F2603" t="s">
        <v>942</v>
      </c>
      <c r="G2603" t="s">
        <v>943</v>
      </c>
      <c r="H2603" t="s">
        <v>490</v>
      </c>
      <c r="I2603" t="s">
        <v>43</v>
      </c>
      <c r="J2603">
        <v>68.02</v>
      </c>
      <c r="K2603" s="1">
        <v>45924</v>
      </c>
      <c r="L2603" t="s">
        <v>34</v>
      </c>
      <c r="M2603">
        <v>24</v>
      </c>
      <c r="N2603">
        <v>9</v>
      </c>
      <c r="O2603">
        <v>3</v>
      </c>
      <c r="P2603">
        <v>2025</v>
      </c>
    </row>
    <row r="2604" spans="1:16">
      <c r="A2604">
        <v>35.130000000000003</v>
      </c>
      <c r="B2604">
        <v>1</v>
      </c>
      <c r="C2604" t="s">
        <v>2402</v>
      </c>
      <c r="D2604" t="s">
        <v>2403</v>
      </c>
      <c r="E2604" t="s">
        <v>1263</v>
      </c>
      <c r="F2604" t="s">
        <v>929</v>
      </c>
      <c r="G2604" t="s">
        <v>830</v>
      </c>
      <c r="H2604" t="s">
        <v>559</v>
      </c>
      <c r="I2604" t="s">
        <v>97</v>
      </c>
      <c r="J2604">
        <v>35.130000000000003</v>
      </c>
      <c r="K2604" s="1">
        <v>46142</v>
      </c>
      <c r="L2604" t="s">
        <v>105</v>
      </c>
      <c r="M2604">
        <v>30</v>
      </c>
      <c r="N2604">
        <v>4</v>
      </c>
      <c r="O2604">
        <v>2</v>
      </c>
      <c r="P2604">
        <v>2026</v>
      </c>
    </row>
    <row r="2605" spans="1:16">
      <c r="A2605">
        <v>145.63</v>
      </c>
      <c r="B2605">
        <v>1</v>
      </c>
      <c r="C2605" t="s">
        <v>2350</v>
      </c>
      <c r="D2605" t="s">
        <v>2351</v>
      </c>
      <c r="E2605" t="s">
        <v>2346</v>
      </c>
      <c r="F2605" t="s">
        <v>1306</v>
      </c>
      <c r="G2605" t="s">
        <v>966</v>
      </c>
      <c r="H2605" t="s">
        <v>191</v>
      </c>
      <c r="I2605" t="s">
        <v>60</v>
      </c>
      <c r="J2605">
        <v>145.63</v>
      </c>
      <c r="K2605" s="1">
        <v>45653</v>
      </c>
      <c r="L2605" t="s">
        <v>79</v>
      </c>
      <c r="M2605">
        <v>27</v>
      </c>
      <c r="N2605">
        <v>12</v>
      </c>
      <c r="O2605">
        <v>4</v>
      </c>
      <c r="P2605">
        <v>2024</v>
      </c>
    </row>
    <row r="2606" spans="1:16">
      <c r="A2606">
        <v>237.63</v>
      </c>
      <c r="B2606">
        <v>1</v>
      </c>
      <c r="C2606" t="s">
        <v>1333</v>
      </c>
      <c r="D2606" t="s">
        <v>1334</v>
      </c>
      <c r="E2606" t="s">
        <v>1335</v>
      </c>
      <c r="F2606" t="s">
        <v>1302</v>
      </c>
      <c r="G2606" t="s">
        <v>786</v>
      </c>
      <c r="H2606" t="s">
        <v>375</v>
      </c>
      <c r="I2606" t="s">
        <v>31</v>
      </c>
      <c r="J2606">
        <v>237.63</v>
      </c>
      <c r="K2606" s="1">
        <v>46232</v>
      </c>
      <c r="L2606" t="s">
        <v>34</v>
      </c>
      <c r="M2606">
        <v>29</v>
      </c>
      <c r="N2606">
        <v>7</v>
      </c>
      <c r="O2606">
        <v>3</v>
      </c>
      <c r="P2606">
        <v>2026</v>
      </c>
    </row>
    <row r="2607" spans="1:16">
      <c r="A2607">
        <v>234.78</v>
      </c>
      <c r="B2607">
        <v>1</v>
      </c>
      <c r="C2607" t="s">
        <v>2200</v>
      </c>
      <c r="D2607" t="s">
        <v>2201</v>
      </c>
      <c r="E2607" t="s">
        <v>1140</v>
      </c>
      <c r="F2607" t="s">
        <v>1811</v>
      </c>
      <c r="G2607" t="s">
        <v>892</v>
      </c>
      <c r="H2607" t="s">
        <v>45</v>
      </c>
      <c r="I2607" t="s">
        <v>46</v>
      </c>
      <c r="J2607">
        <v>234.78</v>
      </c>
      <c r="K2607" s="1">
        <v>45679</v>
      </c>
      <c r="L2607" t="s">
        <v>34</v>
      </c>
      <c r="M2607">
        <v>22</v>
      </c>
      <c r="N2607">
        <v>1</v>
      </c>
      <c r="O2607">
        <v>1</v>
      </c>
      <c r="P2607">
        <v>2025</v>
      </c>
    </row>
    <row r="2608" spans="1:16">
      <c r="A2608">
        <v>11.63</v>
      </c>
      <c r="B2608">
        <v>1</v>
      </c>
      <c r="C2608" t="s">
        <v>3425</v>
      </c>
      <c r="D2608" t="s">
        <v>3426</v>
      </c>
      <c r="E2608" t="s">
        <v>1311</v>
      </c>
      <c r="F2608" t="s">
        <v>644</v>
      </c>
      <c r="G2608" t="s">
        <v>748</v>
      </c>
      <c r="H2608" t="s">
        <v>301</v>
      </c>
      <c r="I2608" t="s">
        <v>69</v>
      </c>
      <c r="J2608">
        <v>11.63</v>
      </c>
      <c r="K2608" s="1">
        <v>45948</v>
      </c>
      <c r="L2608" t="s">
        <v>14</v>
      </c>
      <c r="M2608">
        <v>18</v>
      </c>
      <c r="N2608">
        <v>10</v>
      </c>
      <c r="O2608">
        <v>4</v>
      </c>
      <c r="P2608">
        <v>2025</v>
      </c>
    </row>
    <row r="2609" spans="1:16">
      <c r="A2609">
        <v>122.08</v>
      </c>
      <c r="B2609">
        <v>1</v>
      </c>
      <c r="C2609" t="s">
        <v>1422</v>
      </c>
      <c r="D2609" t="s">
        <v>1423</v>
      </c>
      <c r="E2609" t="s">
        <v>1424</v>
      </c>
      <c r="F2609" t="s">
        <v>1039</v>
      </c>
      <c r="G2609" t="s">
        <v>758</v>
      </c>
      <c r="H2609" t="s">
        <v>646</v>
      </c>
      <c r="I2609" t="s">
        <v>21</v>
      </c>
      <c r="J2609">
        <v>122.08</v>
      </c>
      <c r="K2609" s="1">
        <v>45729</v>
      </c>
      <c r="L2609" t="s">
        <v>105</v>
      </c>
      <c r="M2609">
        <v>13</v>
      </c>
      <c r="N2609">
        <v>3</v>
      </c>
      <c r="O2609">
        <v>1</v>
      </c>
      <c r="P2609">
        <v>2025</v>
      </c>
    </row>
    <row r="2610" spans="1:16">
      <c r="A2610">
        <v>168.64999999999998</v>
      </c>
      <c r="B2610">
        <v>5</v>
      </c>
      <c r="C2610" t="s">
        <v>1388</v>
      </c>
      <c r="D2610" t="s">
        <v>1389</v>
      </c>
      <c r="E2610" t="s">
        <v>1390</v>
      </c>
      <c r="F2610" t="s">
        <v>322</v>
      </c>
      <c r="G2610" t="s">
        <v>795</v>
      </c>
      <c r="H2610" t="s">
        <v>527</v>
      </c>
      <c r="I2610" t="s">
        <v>27</v>
      </c>
      <c r="J2610">
        <v>33.729999999999997</v>
      </c>
      <c r="K2610" s="1">
        <v>45883</v>
      </c>
      <c r="L2610" t="s">
        <v>105</v>
      </c>
      <c r="M2610">
        <v>14</v>
      </c>
      <c r="N2610">
        <v>8</v>
      </c>
      <c r="O2610">
        <v>3</v>
      </c>
      <c r="P2610">
        <v>2025</v>
      </c>
    </row>
    <row r="2611" spans="1:16">
      <c r="A2611">
        <v>313.72000000000003</v>
      </c>
      <c r="B2611">
        <v>2</v>
      </c>
      <c r="C2611" t="s">
        <v>1405</v>
      </c>
      <c r="D2611" t="s">
        <v>1406</v>
      </c>
      <c r="E2611" t="s">
        <v>846</v>
      </c>
      <c r="F2611" t="s">
        <v>1371</v>
      </c>
      <c r="G2611" t="s">
        <v>786</v>
      </c>
      <c r="H2611" t="s">
        <v>602</v>
      </c>
      <c r="I2611" t="s">
        <v>17</v>
      </c>
      <c r="J2611">
        <v>156.86000000000001</v>
      </c>
      <c r="K2611" s="1">
        <v>46072</v>
      </c>
      <c r="L2611" t="s">
        <v>105</v>
      </c>
      <c r="M2611">
        <v>19</v>
      </c>
      <c r="N2611">
        <v>2</v>
      </c>
      <c r="O2611">
        <v>1</v>
      </c>
      <c r="P2611">
        <v>2026</v>
      </c>
    </row>
    <row r="2612" spans="1:16">
      <c r="A2612">
        <v>52.39</v>
      </c>
      <c r="B2612">
        <v>1</v>
      </c>
      <c r="C2612" t="s">
        <v>992</v>
      </c>
      <c r="D2612" t="s">
        <v>993</v>
      </c>
      <c r="E2612" t="s">
        <v>994</v>
      </c>
      <c r="F2612" t="s">
        <v>995</v>
      </c>
      <c r="G2612" t="s">
        <v>781</v>
      </c>
      <c r="H2612" t="s">
        <v>358</v>
      </c>
      <c r="I2612" t="s">
        <v>37</v>
      </c>
      <c r="J2612">
        <v>52.39</v>
      </c>
      <c r="K2612" s="1">
        <v>46177</v>
      </c>
      <c r="L2612" t="s">
        <v>105</v>
      </c>
      <c r="M2612">
        <v>4</v>
      </c>
      <c r="N2612">
        <v>6</v>
      </c>
      <c r="O2612">
        <v>2</v>
      </c>
      <c r="P2612">
        <v>2026</v>
      </c>
    </row>
    <row r="2613" spans="1:16">
      <c r="A2613">
        <v>58.150000000000006</v>
      </c>
      <c r="B2613">
        <v>5</v>
      </c>
      <c r="C2613" t="s">
        <v>3331</v>
      </c>
      <c r="D2613" t="s">
        <v>3332</v>
      </c>
      <c r="E2613" t="s">
        <v>2726</v>
      </c>
      <c r="F2613" t="s">
        <v>1342</v>
      </c>
      <c r="G2613" t="s">
        <v>776</v>
      </c>
      <c r="H2613" t="s">
        <v>301</v>
      </c>
      <c r="I2613" t="s">
        <v>69</v>
      </c>
      <c r="J2613">
        <v>11.63</v>
      </c>
      <c r="K2613" s="1">
        <v>45990</v>
      </c>
      <c r="L2613" t="s">
        <v>14</v>
      </c>
      <c r="M2613">
        <v>29</v>
      </c>
      <c r="N2613">
        <v>11</v>
      </c>
      <c r="O2613">
        <v>4</v>
      </c>
      <c r="P2613">
        <v>2025</v>
      </c>
    </row>
    <row r="2614" spans="1:16">
      <c r="A2614">
        <v>898.36</v>
      </c>
      <c r="B2614">
        <v>4</v>
      </c>
      <c r="C2614" t="s">
        <v>1393</v>
      </c>
      <c r="D2614" t="s">
        <v>1394</v>
      </c>
      <c r="E2614" t="s">
        <v>1182</v>
      </c>
      <c r="F2614" t="s">
        <v>1395</v>
      </c>
      <c r="G2614" t="s">
        <v>776</v>
      </c>
      <c r="H2614" t="s">
        <v>121</v>
      </c>
      <c r="I2614" t="s">
        <v>122</v>
      </c>
      <c r="J2614">
        <v>224.59</v>
      </c>
      <c r="K2614" s="1">
        <v>45995</v>
      </c>
      <c r="L2614" t="s">
        <v>105</v>
      </c>
      <c r="M2614">
        <v>4</v>
      </c>
      <c r="N2614">
        <v>12</v>
      </c>
      <c r="O2614">
        <v>4</v>
      </c>
      <c r="P2614">
        <v>2025</v>
      </c>
    </row>
    <row r="2615" spans="1:16">
      <c r="A2615">
        <v>263.09999999999997</v>
      </c>
      <c r="B2615">
        <v>5</v>
      </c>
      <c r="C2615" t="s">
        <v>2273</v>
      </c>
      <c r="D2615" t="s">
        <v>2274</v>
      </c>
      <c r="E2615" t="s">
        <v>2275</v>
      </c>
      <c r="F2615" t="s">
        <v>1339</v>
      </c>
      <c r="G2615" t="s">
        <v>1247</v>
      </c>
      <c r="H2615" t="s">
        <v>270</v>
      </c>
      <c r="I2615" t="s">
        <v>55</v>
      </c>
      <c r="J2615">
        <v>52.62</v>
      </c>
      <c r="K2615" s="1">
        <v>45919</v>
      </c>
      <c r="L2615" t="s">
        <v>79</v>
      </c>
      <c r="M2615">
        <v>19</v>
      </c>
      <c r="N2615">
        <v>9</v>
      </c>
      <c r="O2615">
        <v>3</v>
      </c>
      <c r="P2615">
        <v>2025</v>
      </c>
    </row>
    <row r="2616" spans="1:16">
      <c r="A2616">
        <v>101.19</v>
      </c>
      <c r="B2616">
        <v>3</v>
      </c>
      <c r="C2616" t="s">
        <v>2858</v>
      </c>
      <c r="D2616" t="s">
        <v>2859</v>
      </c>
      <c r="E2616" t="s">
        <v>1418</v>
      </c>
      <c r="F2616" t="s">
        <v>879</v>
      </c>
      <c r="G2616" t="s">
        <v>748</v>
      </c>
      <c r="H2616" t="s">
        <v>527</v>
      </c>
      <c r="I2616" t="s">
        <v>27</v>
      </c>
      <c r="J2616">
        <v>33.729999999999997</v>
      </c>
      <c r="K2616" s="1">
        <v>45686</v>
      </c>
      <c r="L2616" t="s">
        <v>34</v>
      </c>
      <c r="M2616">
        <v>29</v>
      </c>
      <c r="N2616">
        <v>1</v>
      </c>
      <c r="O2616">
        <v>1</v>
      </c>
      <c r="P2616">
        <v>2025</v>
      </c>
    </row>
    <row r="2617" spans="1:16">
      <c r="A2617">
        <v>694.92</v>
      </c>
      <c r="B2617">
        <v>3</v>
      </c>
      <c r="C2617" t="s">
        <v>2836</v>
      </c>
      <c r="D2617" t="s">
        <v>2837</v>
      </c>
      <c r="E2617" t="s">
        <v>1829</v>
      </c>
      <c r="F2617" t="s">
        <v>1156</v>
      </c>
      <c r="G2617" t="s">
        <v>821</v>
      </c>
      <c r="H2617" t="s">
        <v>658</v>
      </c>
      <c r="I2617" t="s">
        <v>69</v>
      </c>
      <c r="J2617">
        <v>231.64</v>
      </c>
      <c r="K2617" s="1">
        <v>46090</v>
      </c>
      <c r="L2617" t="s">
        <v>93</v>
      </c>
      <c r="M2617">
        <v>9</v>
      </c>
      <c r="N2617">
        <v>3</v>
      </c>
      <c r="O2617">
        <v>1</v>
      </c>
      <c r="P2617">
        <v>2026</v>
      </c>
    </row>
    <row r="2618" spans="1:16">
      <c r="A2618">
        <v>370.04999999999995</v>
      </c>
      <c r="B2618">
        <v>3</v>
      </c>
      <c r="C2618" t="s">
        <v>2039</v>
      </c>
      <c r="D2618" t="s">
        <v>2040</v>
      </c>
      <c r="E2618" t="s">
        <v>878</v>
      </c>
      <c r="F2618" t="s">
        <v>780</v>
      </c>
      <c r="G2618" t="s">
        <v>781</v>
      </c>
      <c r="H2618" t="s">
        <v>630</v>
      </c>
      <c r="I2618" t="s">
        <v>69</v>
      </c>
      <c r="J2618">
        <v>123.35</v>
      </c>
      <c r="K2618" s="1">
        <v>45864</v>
      </c>
      <c r="L2618" t="s">
        <v>14</v>
      </c>
      <c r="M2618">
        <v>26</v>
      </c>
      <c r="N2618">
        <v>7</v>
      </c>
      <c r="O2618">
        <v>3</v>
      </c>
      <c r="P2618">
        <v>2025</v>
      </c>
    </row>
    <row r="2619" spans="1:16">
      <c r="A2619">
        <v>496.71</v>
      </c>
      <c r="B2619">
        <v>3</v>
      </c>
      <c r="C2619" t="s">
        <v>2758</v>
      </c>
      <c r="D2619" t="s">
        <v>2759</v>
      </c>
      <c r="E2619" t="s">
        <v>1903</v>
      </c>
      <c r="F2619" t="s">
        <v>387</v>
      </c>
      <c r="G2619" t="s">
        <v>821</v>
      </c>
      <c r="H2619" t="s">
        <v>355</v>
      </c>
      <c r="I2619" t="s">
        <v>39</v>
      </c>
      <c r="J2619">
        <v>165.57</v>
      </c>
      <c r="K2619" s="1">
        <v>46187</v>
      </c>
      <c r="L2619" t="s">
        <v>28</v>
      </c>
      <c r="M2619">
        <v>14</v>
      </c>
      <c r="N2619">
        <v>6</v>
      </c>
      <c r="O2619">
        <v>2</v>
      </c>
      <c r="P2619">
        <v>2026</v>
      </c>
    </row>
    <row r="2620" spans="1:16">
      <c r="A2620">
        <v>45.94</v>
      </c>
      <c r="B2620">
        <v>2</v>
      </c>
      <c r="C2620" t="s">
        <v>1806</v>
      </c>
      <c r="D2620" t="s">
        <v>1807</v>
      </c>
      <c r="E2620" t="s">
        <v>1235</v>
      </c>
      <c r="F2620" t="s">
        <v>1061</v>
      </c>
      <c r="G2620" t="s">
        <v>834</v>
      </c>
      <c r="H2620" t="s">
        <v>90</v>
      </c>
      <c r="I2620" t="s">
        <v>23</v>
      </c>
      <c r="J2620">
        <v>22.97</v>
      </c>
      <c r="K2620" s="1">
        <v>45614</v>
      </c>
      <c r="L2620" t="s">
        <v>93</v>
      </c>
      <c r="M2620">
        <v>18</v>
      </c>
      <c r="N2620">
        <v>11</v>
      </c>
      <c r="O2620">
        <v>4</v>
      </c>
      <c r="P2620">
        <v>2024</v>
      </c>
    </row>
    <row r="2621" spans="1:16">
      <c r="A2621">
        <v>67.679999999999993</v>
      </c>
      <c r="B2621">
        <v>3</v>
      </c>
      <c r="C2621" t="s">
        <v>1782</v>
      </c>
      <c r="D2621" t="s">
        <v>1783</v>
      </c>
      <c r="E2621" t="s">
        <v>1085</v>
      </c>
      <c r="F2621" t="s">
        <v>1002</v>
      </c>
      <c r="G2621" t="s">
        <v>892</v>
      </c>
      <c r="H2621" t="s">
        <v>371</v>
      </c>
      <c r="I2621" t="s">
        <v>21</v>
      </c>
      <c r="J2621">
        <v>22.56</v>
      </c>
      <c r="K2621" s="1">
        <v>46204</v>
      </c>
      <c r="L2621" t="s">
        <v>34</v>
      </c>
      <c r="M2621">
        <v>1</v>
      </c>
      <c r="N2621">
        <v>7</v>
      </c>
      <c r="O2621">
        <v>3</v>
      </c>
      <c r="P2621">
        <v>2026</v>
      </c>
    </row>
    <row r="2622" spans="1:16">
      <c r="A2622">
        <v>291.26</v>
      </c>
      <c r="B2622">
        <v>2</v>
      </c>
      <c r="C2622" t="s">
        <v>2196</v>
      </c>
      <c r="D2622" t="s">
        <v>2197</v>
      </c>
      <c r="E2622" t="s">
        <v>1777</v>
      </c>
      <c r="F2622" t="s">
        <v>953</v>
      </c>
      <c r="G2622" t="s">
        <v>954</v>
      </c>
      <c r="H2622" t="s">
        <v>191</v>
      </c>
      <c r="I2622" t="s">
        <v>60</v>
      </c>
      <c r="J2622">
        <v>145.63</v>
      </c>
      <c r="K2622" s="1">
        <v>45879</v>
      </c>
      <c r="L2622" t="s">
        <v>28</v>
      </c>
      <c r="M2622">
        <v>10</v>
      </c>
      <c r="N2622">
        <v>8</v>
      </c>
      <c r="O2622">
        <v>3</v>
      </c>
      <c r="P2622">
        <v>2025</v>
      </c>
    </row>
    <row r="2623" spans="1:16">
      <c r="A2623">
        <v>65.44</v>
      </c>
      <c r="B2623">
        <v>4</v>
      </c>
      <c r="C2623" t="s">
        <v>2680</v>
      </c>
      <c r="D2623" t="s">
        <v>2681</v>
      </c>
      <c r="E2623" t="s">
        <v>1260</v>
      </c>
      <c r="F2623" t="s">
        <v>825</v>
      </c>
      <c r="G2623" t="s">
        <v>781</v>
      </c>
      <c r="H2623" t="s">
        <v>1183</v>
      </c>
      <c r="I2623" t="s">
        <v>100</v>
      </c>
      <c r="J2623">
        <v>16.36</v>
      </c>
      <c r="K2623" s="1">
        <v>45966</v>
      </c>
      <c r="L2623" t="s">
        <v>34</v>
      </c>
      <c r="M2623">
        <v>5</v>
      </c>
      <c r="N2623">
        <v>11</v>
      </c>
      <c r="O2623">
        <v>4</v>
      </c>
      <c r="P2623">
        <v>2025</v>
      </c>
    </row>
    <row r="2624" spans="1:16">
      <c r="A2624">
        <v>72.849999999999994</v>
      </c>
      <c r="B2624">
        <v>5</v>
      </c>
      <c r="C2624" t="s">
        <v>2606</v>
      </c>
      <c r="D2624" t="s">
        <v>2607</v>
      </c>
      <c r="E2624" t="s">
        <v>2078</v>
      </c>
      <c r="F2624" t="s">
        <v>1032</v>
      </c>
      <c r="G2624" t="s">
        <v>839</v>
      </c>
      <c r="H2624" t="s">
        <v>166</v>
      </c>
      <c r="I2624" t="s">
        <v>23</v>
      </c>
      <c r="J2624">
        <v>14.57</v>
      </c>
      <c r="K2624" s="1">
        <v>46273</v>
      </c>
      <c r="L2624" t="s">
        <v>48</v>
      </c>
      <c r="M2624">
        <v>8</v>
      </c>
      <c r="N2624">
        <v>9</v>
      </c>
      <c r="O2624">
        <v>3</v>
      </c>
      <c r="P2624">
        <v>2026</v>
      </c>
    </row>
    <row r="2625" spans="1:16">
      <c r="A2625">
        <v>3.09</v>
      </c>
      <c r="B2625">
        <v>3</v>
      </c>
      <c r="C2625" t="s">
        <v>1065</v>
      </c>
      <c r="D2625" t="s">
        <v>1066</v>
      </c>
      <c r="E2625" t="s">
        <v>984</v>
      </c>
      <c r="F2625" t="s">
        <v>1067</v>
      </c>
      <c r="G2625" t="s">
        <v>854</v>
      </c>
      <c r="H2625" t="s">
        <v>711</v>
      </c>
      <c r="I2625" t="s">
        <v>122</v>
      </c>
      <c r="J2625">
        <v>1.03</v>
      </c>
      <c r="K2625" s="1">
        <v>45567</v>
      </c>
      <c r="L2625" t="s">
        <v>34</v>
      </c>
      <c r="M2625">
        <v>2</v>
      </c>
      <c r="N2625">
        <v>10</v>
      </c>
      <c r="O2625">
        <v>4</v>
      </c>
      <c r="P2625">
        <v>2024</v>
      </c>
    </row>
    <row r="2626" spans="1:16">
      <c r="A2626">
        <v>51.42</v>
      </c>
      <c r="B2626">
        <v>3</v>
      </c>
      <c r="C2626" t="s">
        <v>1221</v>
      </c>
      <c r="D2626" t="s">
        <v>1222</v>
      </c>
      <c r="E2626" t="s">
        <v>1098</v>
      </c>
      <c r="F2626" t="s">
        <v>802</v>
      </c>
      <c r="G2626" t="s">
        <v>748</v>
      </c>
      <c r="H2626" t="s">
        <v>633</v>
      </c>
      <c r="I2626" t="s">
        <v>17</v>
      </c>
      <c r="J2626">
        <v>17.14</v>
      </c>
      <c r="K2626" s="1">
        <v>46111</v>
      </c>
      <c r="L2626" t="s">
        <v>93</v>
      </c>
      <c r="M2626">
        <v>30</v>
      </c>
      <c r="N2626">
        <v>3</v>
      </c>
      <c r="O2626">
        <v>1</v>
      </c>
      <c r="P2626">
        <v>2026</v>
      </c>
    </row>
    <row r="2627" spans="1:16">
      <c r="A2627">
        <v>640.84999999999991</v>
      </c>
      <c r="B2627">
        <v>5</v>
      </c>
      <c r="C2627" t="s">
        <v>1431</v>
      </c>
      <c r="D2627" t="s">
        <v>1432</v>
      </c>
      <c r="E2627" t="s">
        <v>1433</v>
      </c>
      <c r="F2627" t="s">
        <v>1434</v>
      </c>
      <c r="G2627" t="s">
        <v>786</v>
      </c>
      <c r="H2627" t="s">
        <v>487</v>
      </c>
      <c r="I2627" t="s">
        <v>19</v>
      </c>
      <c r="J2627">
        <v>128.16999999999999</v>
      </c>
      <c r="K2627" s="1">
        <v>46075</v>
      </c>
      <c r="L2627" t="s">
        <v>28</v>
      </c>
      <c r="M2627">
        <v>22</v>
      </c>
      <c r="N2627">
        <v>2</v>
      </c>
      <c r="O2627">
        <v>1</v>
      </c>
      <c r="P2627">
        <v>2026</v>
      </c>
    </row>
    <row r="2628" spans="1:16">
      <c r="A2628">
        <v>129.30000000000001</v>
      </c>
      <c r="B2628">
        <v>5</v>
      </c>
      <c r="C2628" t="s">
        <v>2783</v>
      </c>
      <c r="D2628" t="s">
        <v>2784</v>
      </c>
      <c r="E2628" t="s">
        <v>1050</v>
      </c>
      <c r="F2628" t="s">
        <v>1107</v>
      </c>
      <c r="G2628" t="s">
        <v>763</v>
      </c>
      <c r="H2628" t="s">
        <v>282</v>
      </c>
      <c r="I2628" t="s">
        <v>21</v>
      </c>
      <c r="J2628">
        <v>25.86</v>
      </c>
      <c r="K2628" s="1">
        <v>45704</v>
      </c>
      <c r="L2628" t="s">
        <v>28</v>
      </c>
      <c r="M2628">
        <v>16</v>
      </c>
      <c r="N2628">
        <v>2</v>
      </c>
      <c r="O2628">
        <v>1</v>
      </c>
      <c r="P2628">
        <v>2025</v>
      </c>
    </row>
    <row r="2629" spans="1:16">
      <c r="A2629">
        <v>216.1</v>
      </c>
      <c r="B2629">
        <v>2</v>
      </c>
      <c r="C2629" t="s">
        <v>2678</v>
      </c>
      <c r="D2629" t="s">
        <v>2679</v>
      </c>
      <c r="E2629" t="s">
        <v>1291</v>
      </c>
      <c r="F2629" t="s">
        <v>1740</v>
      </c>
      <c r="G2629" t="s">
        <v>954</v>
      </c>
      <c r="H2629" t="s">
        <v>682</v>
      </c>
      <c r="I2629" t="s">
        <v>23</v>
      </c>
      <c r="J2629">
        <v>108.05</v>
      </c>
      <c r="K2629" s="1">
        <v>46074</v>
      </c>
      <c r="L2629" t="s">
        <v>14</v>
      </c>
      <c r="M2629">
        <v>21</v>
      </c>
      <c r="N2629">
        <v>2</v>
      </c>
      <c r="O2629">
        <v>1</v>
      </c>
      <c r="P2629">
        <v>2026</v>
      </c>
    </row>
    <row r="2630" spans="1:16">
      <c r="A2630">
        <v>112.04</v>
      </c>
      <c r="B2630">
        <v>4</v>
      </c>
      <c r="C2630" t="s">
        <v>2680</v>
      </c>
      <c r="D2630" t="s">
        <v>2681</v>
      </c>
      <c r="E2630" t="s">
        <v>1260</v>
      </c>
      <c r="F2630" t="s">
        <v>825</v>
      </c>
      <c r="G2630" t="s">
        <v>781</v>
      </c>
      <c r="H2630" t="s">
        <v>463</v>
      </c>
      <c r="I2630" t="s">
        <v>43</v>
      </c>
      <c r="J2630">
        <v>28.01</v>
      </c>
      <c r="K2630" s="1">
        <v>46060</v>
      </c>
      <c r="L2630" t="s">
        <v>14</v>
      </c>
      <c r="M2630">
        <v>7</v>
      </c>
      <c r="N2630">
        <v>2</v>
      </c>
      <c r="O2630">
        <v>1</v>
      </c>
      <c r="P2630">
        <v>2026</v>
      </c>
    </row>
    <row r="2631" spans="1:16">
      <c r="A2631">
        <v>36.1</v>
      </c>
      <c r="B2631">
        <v>2</v>
      </c>
      <c r="C2631" t="s">
        <v>2458</v>
      </c>
      <c r="D2631" t="s">
        <v>2459</v>
      </c>
      <c r="E2631" t="s">
        <v>1801</v>
      </c>
      <c r="F2631" t="s">
        <v>713</v>
      </c>
      <c r="G2631" t="s">
        <v>908</v>
      </c>
      <c r="H2631" t="s">
        <v>30</v>
      </c>
      <c r="I2631" t="s">
        <v>31</v>
      </c>
      <c r="J2631">
        <v>18.05</v>
      </c>
      <c r="K2631" s="1">
        <v>45737</v>
      </c>
      <c r="L2631" t="s">
        <v>79</v>
      </c>
      <c r="M2631">
        <v>21</v>
      </c>
      <c r="N2631">
        <v>3</v>
      </c>
      <c r="O2631">
        <v>1</v>
      </c>
      <c r="P2631">
        <v>2025</v>
      </c>
    </row>
    <row r="2632" spans="1:16">
      <c r="A2632">
        <v>183.24</v>
      </c>
      <c r="B2632">
        <v>3</v>
      </c>
      <c r="C2632" t="s">
        <v>2286</v>
      </c>
      <c r="D2632" t="s">
        <v>2287</v>
      </c>
      <c r="E2632" t="s">
        <v>1909</v>
      </c>
      <c r="F2632" t="s">
        <v>160</v>
      </c>
      <c r="G2632" t="s">
        <v>790</v>
      </c>
      <c r="H2632" t="s">
        <v>385</v>
      </c>
      <c r="I2632" t="s">
        <v>39</v>
      </c>
      <c r="J2632">
        <v>61.08</v>
      </c>
      <c r="K2632" s="1">
        <v>45744</v>
      </c>
      <c r="L2632" t="s">
        <v>79</v>
      </c>
      <c r="M2632">
        <v>28</v>
      </c>
      <c r="N2632">
        <v>3</v>
      </c>
      <c r="O2632">
        <v>1</v>
      </c>
      <c r="P2632">
        <v>2025</v>
      </c>
    </row>
    <row r="2633" spans="1:16">
      <c r="A2633">
        <v>45.94</v>
      </c>
      <c r="B2633">
        <v>2</v>
      </c>
      <c r="C2633" t="s">
        <v>2276</v>
      </c>
      <c r="D2633" t="s">
        <v>2277</v>
      </c>
      <c r="E2633" t="s">
        <v>2004</v>
      </c>
      <c r="F2633" t="s">
        <v>322</v>
      </c>
      <c r="G2633" t="s">
        <v>795</v>
      </c>
      <c r="H2633" t="s">
        <v>90</v>
      </c>
      <c r="I2633" t="s">
        <v>23</v>
      </c>
      <c r="J2633">
        <v>22.97</v>
      </c>
      <c r="K2633" s="1">
        <v>45573</v>
      </c>
      <c r="L2633" t="s">
        <v>48</v>
      </c>
      <c r="M2633">
        <v>8</v>
      </c>
      <c r="N2633">
        <v>10</v>
      </c>
      <c r="O2633">
        <v>4</v>
      </c>
      <c r="P2633">
        <v>2024</v>
      </c>
    </row>
    <row r="2634" spans="1:16">
      <c r="A2634">
        <v>215.45</v>
      </c>
      <c r="B2634">
        <v>1</v>
      </c>
      <c r="C2634" t="s">
        <v>1758</v>
      </c>
      <c r="D2634" t="s">
        <v>1759</v>
      </c>
      <c r="E2634" t="s">
        <v>1013</v>
      </c>
      <c r="F2634" t="s">
        <v>151</v>
      </c>
      <c r="G2634" t="s">
        <v>1003</v>
      </c>
      <c r="H2634" t="s">
        <v>395</v>
      </c>
      <c r="I2634" t="s">
        <v>19</v>
      </c>
      <c r="J2634">
        <v>215.45</v>
      </c>
      <c r="K2634" s="1">
        <v>45665</v>
      </c>
      <c r="L2634" t="s">
        <v>34</v>
      </c>
      <c r="M2634">
        <v>8</v>
      </c>
      <c r="N2634">
        <v>1</v>
      </c>
      <c r="O2634">
        <v>1</v>
      </c>
      <c r="P2634">
        <v>2025</v>
      </c>
    </row>
    <row r="2635" spans="1:16">
      <c r="A2635">
        <v>460.54</v>
      </c>
      <c r="B2635">
        <v>2</v>
      </c>
      <c r="C2635" t="s">
        <v>2104</v>
      </c>
      <c r="D2635" t="s">
        <v>2105</v>
      </c>
      <c r="E2635" t="s">
        <v>991</v>
      </c>
      <c r="F2635" t="s">
        <v>29</v>
      </c>
      <c r="G2635" t="s">
        <v>821</v>
      </c>
      <c r="H2635" t="s">
        <v>200</v>
      </c>
      <c r="I2635" t="s">
        <v>17</v>
      </c>
      <c r="J2635">
        <v>230.27</v>
      </c>
      <c r="K2635" s="1">
        <v>46121</v>
      </c>
      <c r="L2635" t="s">
        <v>105</v>
      </c>
      <c r="M2635">
        <v>9</v>
      </c>
      <c r="N2635">
        <v>4</v>
      </c>
      <c r="O2635">
        <v>2</v>
      </c>
      <c r="P2635">
        <v>2026</v>
      </c>
    </row>
    <row r="2636" spans="1:16">
      <c r="A2636">
        <v>309.48</v>
      </c>
      <c r="B2636">
        <v>2</v>
      </c>
      <c r="C2636" t="s">
        <v>1125</v>
      </c>
      <c r="D2636" t="s">
        <v>1126</v>
      </c>
      <c r="E2636" t="s">
        <v>1127</v>
      </c>
      <c r="F2636" t="s">
        <v>1128</v>
      </c>
      <c r="G2636" t="s">
        <v>954</v>
      </c>
      <c r="H2636" t="s">
        <v>547</v>
      </c>
      <c r="I2636" t="s">
        <v>97</v>
      </c>
      <c r="J2636">
        <v>154.74</v>
      </c>
      <c r="K2636" s="1">
        <v>45878</v>
      </c>
      <c r="L2636" t="s">
        <v>14</v>
      </c>
      <c r="M2636">
        <v>9</v>
      </c>
      <c r="N2636">
        <v>8</v>
      </c>
      <c r="O2636">
        <v>3</v>
      </c>
      <c r="P2636">
        <v>2025</v>
      </c>
    </row>
    <row r="2637" spans="1:16">
      <c r="A2637">
        <v>162.16</v>
      </c>
      <c r="B2637">
        <v>1</v>
      </c>
      <c r="C2637" t="s">
        <v>1966</v>
      </c>
      <c r="D2637" t="s">
        <v>1967</v>
      </c>
      <c r="E2637" t="s">
        <v>1968</v>
      </c>
      <c r="F2637" t="s">
        <v>1421</v>
      </c>
      <c r="G2637" t="s">
        <v>776</v>
      </c>
      <c r="H2637" t="s">
        <v>651</v>
      </c>
      <c r="I2637" t="s">
        <v>122</v>
      </c>
      <c r="J2637">
        <v>162.16</v>
      </c>
      <c r="K2637" s="1">
        <v>45831</v>
      </c>
      <c r="L2637" t="s">
        <v>93</v>
      </c>
      <c r="M2637">
        <v>23</v>
      </c>
      <c r="N2637">
        <v>6</v>
      </c>
      <c r="O2637">
        <v>2</v>
      </c>
      <c r="P2637">
        <v>2025</v>
      </c>
    </row>
    <row r="2638" spans="1:16">
      <c r="A2638">
        <v>288.08</v>
      </c>
      <c r="B2638">
        <v>4</v>
      </c>
      <c r="C2638" t="s">
        <v>2627</v>
      </c>
      <c r="D2638" t="s">
        <v>2628</v>
      </c>
      <c r="E2638" t="s">
        <v>2629</v>
      </c>
      <c r="F2638" t="s">
        <v>2332</v>
      </c>
      <c r="G2638" t="s">
        <v>1003</v>
      </c>
      <c r="H2638" t="s">
        <v>108</v>
      </c>
      <c r="I2638" t="s">
        <v>51</v>
      </c>
      <c r="J2638">
        <v>72.02</v>
      </c>
      <c r="K2638" s="1">
        <v>46158</v>
      </c>
      <c r="L2638" t="s">
        <v>14</v>
      </c>
      <c r="M2638">
        <v>16</v>
      </c>
      <c r="N2638">
        <v>5</v>
      </c>
      <c r="O2638">
        <v>2</v>
      </c>
      <c r="P2638">
        <v>2026</v>
      </c>
    </row>
    <row r="2639" spans="1:16">
      <c r="A2639">
        <v>410.54</v>
      </c>
      <c r="B2639">
        <v>2</v>
      </c>
      <c r="C2639" t="s">
        <v>1027</v>
      </c>
      <c r="D2639" t="s">
        <v>1028</v>
      </c>
      <c r="E2639" t="s">
        <v>805</v>
      </c>
      <c r="F2639" t="s">
        <v>825</v>
      </c>
      <c r="G2639" t="s">
        <v>781</v>
      </c>
      <c r="H2639" t="s">
        <v>404</v>
      </c>
      <c r="I2639" t="s">
        <v>37</v>
      </c>
      <c r="J2639">
        <v>205.27</v>
      </c>
      <c r="K2639" s="1">
        <v>46166</v>
      </c>
      <c r="L2639" t="s">
        <v>28</v>
      </c>
      <c r="M2639">
        <v>24</v>
      </c>
      <c r="N2639">
        <v>5</v>
      </c>
      <c r="O2639">
        <v>2</v>
      </c>
      <c r="P2639">
        <v>2026</v>
      </c>
    </row>
    <row r="2640" spans="1:16">
      <c r="A2640">
        <v>197.06</v>
      </c>
      <c r="B2640">
        <v>1</v>
      </c>
      <c r="C2640" t="s">
        <v>3280</v>
      </c>
      <c r="D2640" t="s">
        <v>3281</v>
      </c>
      <c r="E2640" t="s">
        <v>2615</v>
      </c>
      <c r="F2640" t="s">
        <v>387</v>
      </c>
      <c r="G2640" t="s">
        <v>821</v>
      </c>
      <c r="H2640" t="s">
        <v>179</v>
      </c>
      <c r="I2640" t="s">
        <v>37</v>
      </c>
      <c r="J2640">
        <v>197.06</v>
      </c>
      <c r="K2640" s="1">
        <v>45960</v>
      </c>
      <c r="L2640" t="s">
        <v>105</v>
      </c>
      <c r="M2640">
        <v>30</v>
      </c>
      <c r="N2640">
        <v>10</v>
      </c>
      <c r="O2640">
        <v>4</v>
      </c>
      <c r="P2640">
        <v>2025</v>
      </c>
    </row>
    <row r="2641" spans="1:16">
      <c r="A2641">
        <v>313.72000000000003</v>
      </c>
      <c r="B2641">
        <v>2</v>
      </c>
      <c r="C2641" t="s">
        <v>2976</v>
      </c>
      <c r="D2641" t="s">
        <v>2977</v>
      </c>
      <c r="E2641" t="s">
        <v>2692</v>
      </c>
      <c r="F2641" t="s">
        <v>619</v>
      </c>
      <c r="G2641" t="s">
        <v>758</v>
      </c>
      <c r="H2641" t="s">
        <v>602</v>
      </c>
      <c r="I2641" t="s">
        <v>17</v>
      </c>
      <c r="J2641">
        <v>156.86000000000001</v>
      </c>
      <c r="K2641" s="1">
        <v>45892</v>
      </c>
      <c r="L2641" t="s">
        <v>14</v>
      </c>
      <c r="M2641">
        <v>23</v>
      </c>
      <c r="N2641">
        <v>8</v>
      </c>
      <c r="O2641">
        <v>3</v>
      </c>
      <c r="P2641">
        <v>2025</v>
      </c>
    </row>
    <row r="2642" spans="1:16">
      <c r="A2642">
        <v>1171.55</v>
      </c>
      <c r="B2642">
        <v>5</v>
      </c>
      <c r="C2642" t="s">
        <v>1104</v>
      </c>
      <c r="D2642" t="s">
        <v>1105</v>
      </c>
      <c r="E2642" t="s">
        <v>1106</v>
      </c>
      <c r="F2642" t="s">
        <v>1107</v>
      </c>
      <c r="G2642" t="s">
        <v>892</v>
      </c>
      <c r="H2642" t="s">
        <v>150</v>
      </c>
      <c r="I2642" t="s">
        <v>60</v>
      </c>
      <c r="J2642">
        <v>234.31</v>
      </c>
      <c r="K2642" s="1">
        <v>45993</v>
      </c>
      <c r="L2642" t="s">
        <v>48</v>
      </c>
      <c r="M2642">
        <v>2</v>
      </c>
      <c r="N2642">
        <v>12</v>
      </c>
      <c r="O2642">
        <v>4</v>
      </c>
      <c r="P2642">
        <v>2025</v>
      </c>
    </row>
    <row r="2643" spans="1:16">
      <c r="A2643">
        <v>105.39000000000001</v>
      </c>
      <c r="B2643">
        <v>3</v>
      </c>
      <c r="C2643" t="s">
        <v>2595</v>
      </c>
      <c r="D2643" t="s">
        <v>2596</v>
      </c>
      <c r="E2643" t="s">
        <v>1556</v>
      </c>
      <c r="F2643" t="s">
        <v>1199</v>
      </c>
      <c r="G2643" t="s">
        <v>839</v>
      </c>
      <c r="H2643" t="s">
        <v>559</v>
      </c>
      <c r="I2643" t="s">
        <v>97</v>
      </c>
      <c r="J2643">
        <v>35.130000000000003</v>
      </c>
      <c r="K2643" s="1">
        <v>45660</v>
      </c>
      <c r="L2643" t="s">
        <v>79</v>
      </c>
      <c r="M2643">
        <v>3</v>
      </c>
      <c r="N2643">
        <v>1</v>
      </c>
      <c r="O2643">
        <v>1</v>
      </c>
      <c r="P2643">
        <v>2025</v>
      </c>
    </row>
    <row r="2644" spans="1:16">
      <c r="A2644">
        <v>152.88</v>
      </c>
      <c r="B2644">
        <v>2</v>
      </c>
      <c r="C2644" t="s">
        <v>982</v>
      </c>
      <c r="D2644" t="s">
        <v>983</v>
      </c>
      <c r="E2644" t="s">
        <v>984</v>
      </c>
      <c r="F2644" t="s">
        <v>985</v>
      </c>
      <c r="G2644" t="s">
        <v>817</v>
      </c>
      <c r="H2644" t="s">
        <v>92</v>
      </c>
      <c r="I2644" t="s">
        <v>51</v>
      </c>
      <c r="J2644">
        <v>76.44</v>
      </c>
      <c r="K2644" s="1">
        <v>45615</v>
      </c>
      <c r="L2644" t="s">
        <v>48</v>
      </c>
      <c r="M2644">
        <v>19</v>
      </c>
      <c r="N2644">
        <v>11</v>
      </c>
      <c r="O2644">
        <v>4</v>
      </c>
      <c r="P2644">
        <v>2024</v>
      </c>
    </row>
    <row r="2645" spans="1:16">
      <c r="A2645">
        <v>148.04</v>
      </c>
      <c r="B2645">
        <v>1</v>
      </c>
      <c r="C2645" t="s">
        <v>2242</v>
      </c>
      <c r="D2645" t="s">
        <v>2243</v>
      </c>
      <c r="E2645" t="s">
        <v>1124</v>
      </c>
      <c r="F2645" t="s">
        <v>1626</v>
      </c>
      <c r="G2645" t="s">
        <v>812</v>
      </c>
      <c r="H2645" t="s">
        <v>260</v>
      </c>
      <c r="I2645" t="s">
        <v>46</v>
      </c>
      <c r="J2645">
        <v>148.04</v>
      </c>
      <c r="K2645" s="1">
        <v>45857</v>
      </c>
      <c r="L2645" t="s">
        <v>14</v>
      </c>
      <c r="M2645">
        <v>19</v>
      </c>
      <c r="N2645">
        <v>7</v>
      </c>
      <c r="O2645">
        <v>3</v>
      </c>
      <c r="P2645">
        <v>2025</v>
      </c>
    </row>
    <row r="2646" spans="1:16">
      <c r="A2646">
        <v>1174.8999999999999</v>
      </c>
      <c r="B2646">
        <v>5</v>
      </c>
      <c r="C2646" t="s">
        <v>2293</v>
      </c>
      <c r="D2646" t="s">
        <v>2294</v>
      </c>
      <c r="E2646" t="s">
        <v>2103</v>
      </c>
      <c r="F2646" t="s">
        <v>879</v>
      </c>
      <c r="G2646" t="s">
        <v>748</v>
      </c>
      <c r="H2646" t="s">
        <v>333</v>
      </c>
      <c r="I2646" t="s">
        <v>37</v>
      </c>
      <c r="J2646">
        <v>234.98</v>
      </c>
      <c r="K2646" s="1">
        <v>46224</v>
      </c>
      <c r="L2646" t="s">
        <v>48</v>
      </c>
      <c r="M2646">
        <v>21</v>
      </c>
      <c r="N2646">
        <v>7</v>
      </c>
      <c r="O2646">
        <v>3</v>
      </c>
      <c r="P2646">
        <v>2026</v>
      </c>
    </row>
    <row r="2647" spans="1:16">
      <c r="A2647">
        <v>346.64</v>
      </c>
      <c r="B2647">
        <v>2</v>
      </c>
      <c r="C2647" t="s">
        <v>1307</v>
      </c>
      <c r="D2647" t="s">
        <v>1308</v>
      </c>
      <c r="E2647" t="s">
        <v>1212</v>
      </c>
      <c r="F2647" t="s">
        <v>151</v>
      </c>
      <c r="G2647" t="s">
        <v>1003</v>
      </c>
      <c r="H2647" t="s">
        <v>303</v>
      </c>
      <c r="I2647" t="s">
        <v>19</v>
      </c>
      <c r="J2647">
        <v>173.32</v>
      </c>
      <c r="K2647" s="1">
        <v>45605</v>
      </c>
      <c r="L2647" t="s">
        <v>14</v>
      </c>
      <c r="M2647">
        <v>9</v>
      </c>
      <c r="N2647">
        <v>11</v>
      </c>
      <c r="O2647">
        <v>4</v>
      </c>
      <c r="P2647">
        <v>2024</v>
      </c>
    </row>
    <row r="2648" spans="1:16">
      <c r="A2648">
        <v>729.15000000000009</v>
      </c>
      <c r="B2648">
        <v>5</v>
      </c>
      <c r="C2648" t="s">
        <v>2993</v>
      </c>
      <c r="D2648" t="s">
        <v>2994</v>
      </c>
      <c r="E2648" t="s">
        <v>805</v>
      </c>
      <c r="F2648" t="s">
        <v>1318</v>
      </c>
      <c r="G2648" t="s">
        <v>807</v>
      </c>
      <c r="H2648" t="s">
        <v>171</v>
      </c>
      <c r="I2648" t="s">
        <v>46</v>
      </c>
      <c r="J2648">
        <v>145.83000000000001</v>
      </c>
      <c r="K2648" s="1">
        <v>45860</v>
      </c>
      <c r="L2648" t="s">
        <v>48</v>
      </c>
      <c r="M2648">
        <v>22</v>
      </c>
      <c r="N2648">
        <v>7</v>
      </c>
      <c r="O2648">
        <v>3</v>
      </c>
      <c r="P2648">
        <v>2025</v>
      </c>
    </row>
    <row r="2649" spans="1:16">
      <c r="A2649">
        <v>573.84</v>
      </c>
      <c r="B2649">
        <v>4</v>
      </c>
      <c r="C2649" t="s">
        <v>1144</v>
      </c>
      <c r="D2649" t="s">
        <v>1145</v>
      </c>
      <c r="E2649" t="s">
        <v>1146</v>
      </c>
      <c r="F2649" t="s">
        <v>1128</v>
      </c>
      <c r="G2649" t="s">
        <v>954</v>
      </c>
      <c r="H2649" t="s">
        <v>299</v>
      </c>
      <c r="I2649" t="s">
        <v>57</v>
      </c>
      <c r="J2649">
        <v>143.46</v>
      </c>
      <c r="K2649" s="1">
        <v>45581</v>
      </c>
      <c r="L2649" t="s">
        <v>34</v>
      </c>
      <c r="M2649">
        <v>16</v>
      </c>
      <c r="N2649">
        <v>10</v>
      </c>
      <c r="O2649">
        <v>4</v>
      </c>
      <c r="P2649">
        <v>2024</v>
      </c>
    </row>
    <row r="2650" spans="1:16">
      <c r="A2650">
        <v>169.20000000000002</v>
      </c>
      <c r="B2650">
        <v>5</v>
      </c>
      <c r="C2650" t="s">
        <v>2805</v>
      </c>
      <c r="D2650" t="s">
        <v>2806</v>
      </c>
      <c r="E2650" t="s">
        <v>2141</v>
      </c>
      <c r="F2650" t="s">
        <v>995</v>
      </c>
      <c r="G2650" t="s">
        <v>781</v>
      </c>
      <c r="H2650" t="s">
        <v>692</v>
      </c>
      <c r="I2650" t="s">
        <v>69</v>
      </c>
      <c r="J2650">
        <v>33.840000000000003</v>
      </c>
      <c r="K2650" s="1">
        <v>45703</v>
      </c>
      <c r="L2650" t="s">
        <v>14</v>
      </c>
      <c r="M2650">
        <v>15</v>
      </c>
      <c r="N2650">
        <v>2</v>
      </c>
      <c r="O2650">
        <v>1</v>
      </c>
      <c r="P2650">
        <v>2025</v>
      </c>
    </row>
    <row r="2651" spans="1:16">
      <c r="A2651">
        <v>710.84999999999991</v>
      </c>
      <c r="B2651">
        <v>3</v>
      </c>
      <c r="C2651" t="s">
        <v>2724</v>
      </c>
      <c r="D2651" t="s">
        <v>2725</v>
      </c>
      <c r="E2651" t="s">
        <v>2726</v>
      </c>
      <c r="F2651" t="s">
        <v>965</v>
      </c>
      <c r="G2651" t="s">
        <v>966</v>
      </c>
      <c r="H2651" t="s">
        <v>50</v>
      </c>
      <c r="I2651" t="s">
        <v>51</v>
      </c>
      <c r="J2651">
        <v>236.95</v>
      </c>
      <c r="K2651" s="1">
        <v>45747</v>
      </c>
      <c r="L2651" t="s">
        <v>93</v>
      </c>
      <c r="M2651">
        <v>31</v>
      </c>
      <c r="N2651">
        <v>3</v>
      </c>
      <c r="O2651">
        <v>1</v>
      </c>
      <c r="P2651">
        <v>2025</v>
      </c>
    </row>
    <row r="2652" spans="1:16">
      <c r="A2652">
        <v>68.89</v>
      </c>
      <c r="B2652">
        <v>1</v>
      </c>
      <c r="C2652" t="s">
        <v>847</v>
      </c>
      <c r="D2652" t="s">
        <v>848</v>
      </c>
      <c r="E2652" t="s">
        <v>849</v>
      </c>
      <c r="F2652" t="s">
        <v>387</v>
      </c>
      <c r="G2652" t="s">
        <v>821</v>
      </c>
      <c r="H2652" t="s">
        <v>606</v>
      </c>
      <c r="I2652" t="s">
        <v>82</v>
      </c>
      <c r="J2652">
        <v>68.89</v>
      </c>
      <c r="K2652" s="1">
        <v>46087</v>
      </c>
      <c r="L2652" t="s">
        <v>79</v>
      </c>
      <c r="M2652">
        <v>6</v>
      </c>
      <c r="N2652">
        <v>3</v>
      </c>
      <c r="O2652">
        <v>1</v>
      </c>
      <c r="P2652">
        <v>2026</v>
      </c>
    </row>
    <row r="2653" spans="1:16">
      <c r="A2653">
        <v>193.05</v>
      </c>
      <c r="B2653">
        <v>5</v>
      </c>
      <c r="C2653" t="s">
        <v>2567</v>
      </c>
      <c r="D2653" t="s">
        <v>2568</v>
      </c>
      <c r="E2653" t="s">
        <v>1512</v>
      </c>
      <c r="F2653" t="s">
        <v>106</v>
      </c>
      <c r="G2653" t="s">
        <v>748</v>
      </c>
      <c r="H2653" t="s">
        <v>58</v>
      </c>
      <c r="I2653" t="s">
        <v>25</v>
      </c>
      <c r="J2653">
        <v>38.61</v>
      </c>
      <c r="K2653" s="1">
        <v>46165</v>
      </c>
      <c r="L2653" t="s">
        <v>14</v>
      </c>
      <c r="M2653">
        <v>23</v>
      </c>
      <c r="N2653">
        <v>5</v>
      </c>
      <c r="O2653">
        <v>2</v>
      </c>
      <c r="P2653">
        <v>2026</v>
      </c>
    </row>
    <row r="2654" spans="1:16">
      <c r="A2654">
        <v>391.91999999999996</v>
      </c>
      <c r="B2654">
        <v>3</v>
      </c>
      <c r="C2654" t="s">
        <v>1923</v>
      </c>
      <c r="D2654" t="s">
        <v>2593</v>
      </c>
      <c r="E2654" t="s">
        <v>2594</v>
      </c>
      <c r="F2654" t="s">
        <v>708</v>
      </c>
      <c r="G2654" t="s">
        <v>834</v>
      </c>
      <c r="H2654" t="s">
        <v>553</v>
      </c>
      <c r="I2654" t="s">
        <v>100</v>
      </c>
      <c r="J2654">
        <v>130.63999999999999</v>
      </c>
      <c r="K2654" s="1">
        <v>45618</v>
      </c>
      <c r="L2654" t="s">
        <v>79</v>
      </c>
      <c r="M2654">
        <v>22</v>
      </c>
      <c r="N2654">
        <v>11</v>
      </c>
      <c r="O2654">
        <v>4</v>
      </c>
      <c r="P2654">
        <v>2024</v>
      </c>
    </row>
    <row r="2655" spans="1:16">
      <c r="A2655">
        <v>227.84</v>
      </c>
      <c r="B2655">
        <v>2</v>
      </c>
      <c r="C2655" t="s">
        <v>822</v>
      </c>
      <c r="D2655" t="s">
        <v>823</v>
      </c>
      <c r="E2655" t="s">
        <v>824</v>
      </c>
      <c r="F2655" t="s">
        <v>825</v>
      </c>
      <c r="G2655" t="s">
        <v>781</v>
      </c>
      <c r="H2655" t="s">
        <v>110</v>
      </c>
      <c r="I2655" t="s">
        <v>51</v>
      </c>
      <c r="J2655">
        <v>113.92</v>
      </c>
      <c r="K2655" s="1">
        <v>46091</v>
      </c>
      <c r="L2655" t="s">
        <v>48</v>
      </c>
      <c r="M2655">
        <v>10</v>
      </c>
      <c r="N2655">
        <v>3</v>
      </c>
      <c r="O2655">
        <v>1</v>
      </c>
      <c r="P2655">
        <v>2026</v>
      </c>
    </row>
    <row r="2656" spans="1:16">
      <c r="A2656">
        <v>413.45</v>
      </c>
      <c r="B2656">
        <v>5</v>
      </c>
      <c r="C2656" t="s">
        <v>1663</v>
      </c>
      <c r="D2656" t="s">
        <v>1664</v>
      </c>
      <c r="E2656" t="s">
        <v>1665</v>
      </c>
      <c r="F2656" t="s">
        <v>1666</v>
      </c>
      <c r="G2656" t="s">
        <v>830</v>
      </c>
      <c r="H2656" t="s">
        <v>650</v>
      </c>
      <c r="I2656" t="s">
        <v>37</v>
      </c>
      <c r="J2656">
        <v>82.69</v>
      </c>
      <c r="K2656" s="1">
        <v>45603</v>
      </c>
      <c r="L2656" t="s">
        <v>105</v>
      </c>
      <c r="M2656">
        <v>7</v>
      </c>
      <c r="N2656">
        <v>11</v>
      </c>
      <c r="O2656">
        <v>4</v>
      </c>
      <c r="P2656">
        <v>2024</v>
      </c>
    </row>
    <row r="2657" spans="1:16">
      <c r="A2657">
        <v>292.22000000000003</v>
      </c>
      <c r="B2657">
        <v>2</v>
      </c>
      <c r="C2657" t="s">
        <v>1099</v>
      </c>
      <c r="D2657" t="s">
        <v>1100</v>
      </c>
      <c r="E2657" t="s">
        <v>1035</v>
      </c>
      <c r="F2657" t="s">
        <v>211</v>
      </c>
      <c r="G2657" t="s">
        <v>812</v>
      </c>
      <c r="H2657" t="s">
        <v>382</v>
      </c>
      <c r="I2657" t="s">
        <v>122</v>
      </c>
      <c r="J2657">
        <v>146.11000000000001</v>
      </c>
      <c r="K2657" s="1">
        <v>45583</v>
      </c>
      <c r="L2657" t="s">
        <v>79</v>
      </c>
      <c r="M2657">
        <v>18</v>
      </c>
      <c r="N2657">
        <v>10</v>
      </c>
      <c r="O2657">
        <v>4</v>
      </c>
      <c r="P2657">
        <v>2024</v>
      </c>
    </row>
    <row r="2658" spans="1:16">
      <c r="A2658">
        <v>489.41999999999996</v>
      </c>
      <c r="B2658">
        <v>3</v>
      </c>
      <c r="C2658" t="s">
        <v>2664</v>
      </c>
      <c r="D2658" t="s">
        <v>2665</v>
      </c>
      <c r="E2658" t="s">
        <v>2666</v>
      </c>
      <c r="F2658" t="s">
        <v>869</v>
      </c>
      <c r="G2658" t="s">
        <v>807</v>
      </c>
      <c r="H2658" t="s">
        <v>183</v>
      </c>
      <c r="I2658" t="s">
        <v>19</v>
      </c>
      <c r="J2658">
        <v>163.13999999999999</v>
      </c>
      <c r="K2658" s="1">
        <v>46093</v>
      </c>
      <c r="L2658" t="s">
        <v>105</v>
      </c>
      <c r="M2658">
        <v>12</v>
      </c>
      <c r="N2658">
        <v>3</v>
      </c>
      <c r="O2658">
        <v>1</v>
      </c>
      <c r="P2658">
        <v>2026</v>
      </c>
    </row>
    <row r="2659" spans="1:16">
      <c r="A2659">
        <v>168.77</v>
      </c>
      <c r="B2659">
        <v>1</v>
      </c>
      <c r="C2659" t="s">
        <v>2843</v>
      </c>
      <c r="D2659" t="s">
        <v>2844</v>
      </c>
      <c r="E2659" t="s">
        <v>2845</v>
      </c>
      <c r="F2659" t="s">
        <v>345</v>
      </c>
      <c r="G2659" t="s">
        <v>892</v>
      </c>
      <c r="H2659" t="s">
        <v>287</v>
      </c>
      <c r="I2659" t="s">
        <v>46</v>
      </c>
      <c r="J2659">
        <v>168.77</v>
      </c>
      <c r="K2659" s="1">
        <v>45714</v>
      </c>
      <c r="L2659" t="s">
        <v>34</v>
      </c>
      <c r="M2659">
        <v>26</v>
      </c>
      <c r="N2659">
        <v>2</v>
      </c>
      <c r="O2659">
        <v>1</v>
      </c>
      <c r="P2659">
        <v>2025</v>
      </c>
    </row>
    <row r="2660" spans="1:16">
      <c r="A2660">
        <v>309.88</v>
      </c>
      <c r="B2660">
        <v>4</v>
      </c>
      <c r="C2660" t="s">
        <v>2016</v>
      </c>
      <c r="D2660" t="s">
        <v>2017</v>
      </c>
      <c r="E2660" t="s">
        <v>1585</v>
      </c>
      <c r="F2660" t="s">
        <v>29</v>
      </c>
      <c r="G2660" t="s">
        <v>763</v>
      </c>
      <c r="H2660" t="s">
        <v>638</v>
      </c>
      <c r="I2660" t="s">
        <v>100</v>
      </c>
      <c r="J2660">
        <v>77.47</v>
      </c>
      <c r="K2660" s="1">
        <v>45868</v>
      </c>
      <c r="L2660" t="s">
        <v>34</v>
      </c>
      <c r="M2660">
        <v>30</v>
      </c>
      <c r="N2660">
        <v>7</v>
      </c>
      <c r="O2660">
        <v>3</v>
      </c>
      <c r="P2660">
        <v>2025</v>
      </c>
    </row>
    <row r="2661" spans="1:16">
      <c r="A2661">
        <v>88.02</v>
      </c>
      <c r="B2661">
        <v>2</v>
      </c>
      <c r="C2661" t="s">
        <v>1839</v>
      </c>
      <c r="D2661" t="s">
        <v>1840</v>
      </c>
      <c r="E2661" t="s">
        <v>902</v>
      </c>
      <c r="F2661" t="s">
        <v>1841</v>
      </c>
      <c r="G2661" t="s">
        <v>753</v>
      </c>
      <c r="H2661" t="s">
        <v>689</v>
      </c>
      <c r="I2661" t="s">
        <v>55</v>
      </c>
      <c r="J2661">
        <v>44.01</v>
      </c>
      <c r="K2661" s="1">
        <v>45658</v>
      </c>
      <c r="L2661" t="s">
        <v>34</v>
      </c>
      <c r="M2661">
        <v>1</v>
      </c>
      <c r="N2661">
        <v>1</v>
      </c>
      <c r="O2661">
        <v>1</v>
      </c>
      <c r="P2661">
        <v>2025</v>
      </c>
    </row>
    <row r="2662" spans="1:16">
      <c r="A2662">
        <v>682.28</v>
      </c>
      <c r="B2662">
        <v>4</v>
      </c>
      <c r="C2662" t="s">
        <v>1180</v>
      </c>
      <c r="D2662" t="s">
        <v>1181</v>
      </c>
      <c r="E2662" t="s">
        <v>1182</v>
      </c>
      <c r="F2662" t="s">
        <v>953</v>
      </c>
      <c r="G2662" t="s">
        <v>954</v>
      </c>
      <c r="H2662" t="s">
        <v>482</v>
      </c>
      <c r="I2662" t="s">
        <v>82</v>
      </c>
      <c r="J2662">
        <v>170.57</v>
      </c>
      <c r="K2662" s="1">
        <v>46017</v>
      </c>
      <c r="L2662" t="s">
        <v>79</v>
      </c>
      <c r="M2662">
        <v>26</v>
      </c>
      <c r="N2662">
        <v>12</v>
      </c>
      <c r="O2662">
        <v>4</v>
      </c>
      <c r="P2662">
        <v>2025</v>
      </c>
    </row>
    <row r="2663" spans="1:16">
      <c r="A2663">
        <v>255.96</v>
      </c>
      <c r="B2663">
        <v>2</v>
      </c>
      <c r="C2663" t="s">
        <v>1889</v>
      </c>
      <c r="D2663" t="s">
        <v>1890</v>
      </c>
      <c r="E2663" t="s">
        <v>1202</v>
      </c>
      <c r="F2663" t="s">
        <v>1591</v>
      </c>
      <c r="G2663" t="s">
        <v>966</v>
      </c>
      <c r="H2663" t="s">
        <v>277</v>
      </c>
      <c r="I2663" t="s">
        <v>122</v>
      </c>
      <c r="J2663">
        <v>127.98</v>
      </c>
      <c r="K2663" s="1">
        <v>45994</v>
      </c>
      <c r="L2663" t="s">
        <v>34</v>
      </c>
      <c r="M2663">
        <v>3</v>
      </c>
      <c r="N2663">
        <v>12</v>
      </c>
      <c r="O2663">
        <v>4</v>
      </c>
      <c r="P2663">
        <v>2025</v>
      </c>
    </row>
    <row r="2664" spans="1:16">
      <c r="A2664">
        <v>227.94</v>
      </c>
      <c r="B2664">
        <v>3</v>
      </c>
      <c r="C2664" t="s">
        <v>1214</v>
      </c>
      <c r="D2664" t="s">
        <v>1215</v>
      </c>
      <c r="E2664" t="s">
        <v>1216</v>
      </c>
      <c r="F2664" t="s">
        <v>199</v>
      </c>
      <c r="G2664" t="s">
        <v>781</v>
      </c>
      <c r="H2664" t="s">
        <v>313</v>
      </c>
      <c r="I2664" t="s">
        <v>31</v>
      </c>
      <c r="J2664">
        <v>75.98</v>
      </c>
      <c r="K2664" s="1">
        <v>45979</v>
      </c>
      <c r="L2664" t="s">
        <v>48</v>
      </c>
      <c r="M2664">
        <v>18</v>
      </c>
      <c r="N2664">
        <v>11</v>
      </c>
      <c r="O2664">
        <v>4</v>
      </c>
      <c r="P2664">
        <v>2025</v>
      </c>
    </row>
    <row r="2665" spans="1:16">
      <c r="A2665">
        <v>140.82</v>
      </c>
      <c r="B2665">
        <v>3</v>
      </c>
      <c r="C2665" t="s">
        <v>2671</v>
      </c>
      <c r="D2665" t="s">
        <v>2672</v>
      </c>
      <c r="E2665" t="s">
        <v>1182</v>
      </c>
      <c r="F2665" t="s">
        <v>328</v>
      </c>
      <c r="G2665" t="s">
        <v>1247</v>
      </c>
      <c r="H2665" t="s">
        <v>365</v>
      </c>
      <c r="I2665" t="s">
        <v>51</v>
      </c>
      <c r="J2665">
        <v>46.94</v>
      </c>
      <c r="K2665" s="1">
        <v>45909</v>
      </c>
      <c r="L2665" t="s">
        <v>48</v>
      </c>
      <c r="M2665">
        <v>9</v>
      </c>
      <c r="N2665">
        <v>9</v>
      </c>
      <c r="O2665">
        <v>3</v>
      </c>
      <c r="P2665">
        <v>2025</v>
      </c>
    </row>
    <row r="2666" spans="1:16">
      <c r="A2666">
        <v>1225.05</v>
      </c>
      <c r="B2666">
        <v>5</v>
      </c>
      <c r="C2666" t="s">
        <v>3318</v>
      </c>
      <c r="D2666" t="s">
        <v>3319</v>
      </c>
      <c r="E2666" t="s">
        <v>1345</v>
      </c>
      <c r="F2666" t="s">
        <v>1306</v>
      </c>
      <c r="G2666" t="s">
        <v>966</v>
      </c>
      <c r="H2666" t="s">
        <v>53</v>
      </c>
      <c r="I2666" t="s">
        <v>43</v>
      </c>
      <c r="J2666">
        <v>245.01</v>
      </c>
      <c r="K2666" s="1">
        <v>45910</v>
      </c>
      <c r="L2666" t="s">
        <v>34</v>
      </c>
      <c r="M2666">
        <v>10</v>
      </c>
      <c r="N2666">
        <v>9</v>
      </c>
      <c r="O2666">
        <v>3</v>
      </c>
      <c r="P2666">
        <v>2025</v>
      </c>
    </row>
    <row r="2667" spans="1:16">
      <c r="A2667">
        <v>132.03</v>
      </c>
      <c r="B2667">
        <v>3</v>
      </c>
      <c r="C2667" t="s">
        <v>2266</v>
      </c>
      <c r="D2667" t="s">
        <v>2267</v>
      </c>
      <c r="E2667" t="s">
        <v>1440</v>
      </c>
      <c r="F2667" t="s">
        <v>1469</v>
      </c>
      <c r="G2667" t="s">
        <v>908</v>
      </c>
      <c r="H2667" t="s">
        <v>689</v>
      </c>
      <c r="I2667" t="s">
        <v>55</v>
      </c>
      <c r="J2667">
        <v>44.01</v>
      </c>
      <c r="K2667" s="1">
        <v>45783</v>
      </c>
      <c r="L2667" t="s">
        <v>48</v>
      </c>
      <c r="M2667">
        <v>6</v>
      </c>
      <c r="N2667">
        <v>5</v>
      </c>
      <c r="O2667">
        <v>2</v>
      </c>
      <c r="P2667">
        <v>2025</v>
      </c>
    </row>
    <row r="2668" spans="1:16">
      <c r="A2668">
        <v>640.84999999999991</v>
      </c>
      <c r="B2668">
        <v>5</v>
      </c>
      <c r="C2668" t="s">
        <v>2355</v>
      </c>
      <c r="D2668" t="s">
        <v>2356</v>
      </c>
      <c r="E2668" t="s">
        <v>2306</v>
      </c>
      <c r="F2668" t="s">
        <v>757</v>
      </c>
      <c r="G2668" t="s">
        <v>758</v>
      </c>
      <c r="H2668" t="s">
        <v>487</v>
      </c>
      <c r="I2668" t="s">
        <v>19</v>
      </c>
      <c r="J2668">
        <v>128.16999999999999</v>
      </c>
      <c r="K2668" s="1">
        <v>45643</v>
      </c>
      <c r="L2668" t="s">
        <v>48</v>
      </c>
      <c r="M2668">
        <v>17</v>
      </c>
      <c r="N2668">
        <v>12</v>
      </c>
      <c r="O2668">
        <v>4</v>
      </c>
      <c r="P2668">
        <v>2024</v>
      </c>
    </row>
    <row r="2669" spans="1:16">
      <c r="A2669">
        <v>430.9</v>
      </c>
      <c r="B2669">
        <v>2</v>
      </c>
      <c r="C2669" t="s">
        <v>2632</v>
      </c>
      <c r="D2669" t="s">
        <v>2633</v>
      </c>
      <c r="E2669" t="s">
        <v>1965</v>
      </c>
      <c r="F2669" t="s">
        <v>869</v>
      </c>
      <c r="G2669" t="s">
        <v>1247</v>
      </c>
      <c r="H2669" t="s">
        <v>395</v>
      </c>
      <c r="I2669" t="s">
        <v>19</v>
      </c>
      <c r="J2669">
        <v>215.45</v>
      </c>
      <c r="K2669" s="1">
        <v>46163</v>
      </c>
      <c r="L2669" t="s">
        <v>105</v>
      </c>
      <c r="M2669">
        <v>21</v>
      </c>
      <c r="N2669">
        <v>5</v>
      </c>
      <c r="O2669">
        <v>2</v>
      </c>
      <c r="P2669">
        <v>2026</v>
      </c>
    </row>
    <row r="2670" spans="1:16">
      <c r="A2670">
        <v>1074.75</v>
      </c>
      <c r="B2670">
        <v>5</v>
      </c>
      <c r="C2670" t="s">
        <v>3140</v>
      </c>
      <c r="D2670" t="s">
        <v>3141</v>
      </c>
      <c r="E2670" t="s">
        <v>2904</v>
      </c>
      <c r="F2670" t="s">
        <v>562</v>
      </c>
      <c r="G2670" t="s">
        <v>753</v>
      </c>
      <c r="H2670" t="s">
        <v>195</v>
      </c>
      <c r="I2670" t="s">
        <v>31</v>
      </c>
      <c r="J2670">
        <v>214.95</v>
      </c>
      <c r="K2670" s="1">
        <v>45938</v>
      </c>
      <c r="L2670" t="s">
        <v>34</v>
      </c>
      <c r="M2670">
        <v>8</v>
      </c>
      <c r="N2670">
        <v>10</v>
      </c>
      <c r="O2670">
        <v>4</v>
      </c>
      <c r="P2670">
        <v>2025</v>
      </c>
    </row>
    <row r="2671" spans="1:16">
      <c r="A2671">
        <v>239.98</v>
      </c>
      <c r="B2671">
        <v>1</v>
      </c>
      <c r="C2671" t="s">
        <v>2875</v>
      </c>
      <c r="D2671" t="s">
        <v>2876</v>
      </c>
      <c r="E2671" t="s">
        <v>1925</v>
      </c>
      <c r="F2671" t="s">
        <v>1189</v>
      </c>
      <c r="G2671" t="s">
        <v>892</v>
      </c>
      <c r="H2671" t="s">
        <v>702</v>
      </c>
      <c r="I2671" t="s">
        <v>27</v>
      </c>
      <c r="J2671">
        <v>239.98</v>
      </c>
      <c r="K2671" s="1">
        <v>45841</v>
      </c>
      <c r="L2671" t="s">
        <v>105</v>
      </c>
      <c r="M2671">
        <v>3</v>
      </c>
      <c r="N2671">
        <v>7</v>
      </c>
      <c r="O2671">
        <v>3</v>
      </c>
      <c r="P2671">
        <v>2025</v>
      </c>
    </row>
    <row r="2672" spans="1:16">
      <c r="A2672">
        <v>372.12</v>
      </c>
      <c r="B2672">
        <v>3</v>
      </c>
      <c r="C2672" t="s">
        <v>933</v>
      </c>
      <c r="D2672" t="s">
        <v>934</v>
      </c>
      <c r="E2672" t="s">
        <v>935</v>
      </c>
      <c r="F2672" t="s">
        <v>322</v>
      </c>
      <c r="G2672" t="s">
        <v>795</v>
      </c>
      <c r="H2672" t="s">
        <v>543</v>
      </c>
      <c r="I2672" t="s">
        <v>37</v>
      </c>
      <c r="J2672">
        <v>124.04</v>
      </c>
      <c r="K2672" s="1">
        <v>45767</v>
      </c>
      <c r="L2672" t="s">
        <v>28</v>
      </c>
      <c r="M2672">
        <v>20</v>
      </c>
      <c r="N2672">
        <v>4</v>
      </c>
      <c r="O2672">
        <v>2</v>
      </c>
      <c r="P2672">
        <v>2025</v>
      </c>
    </row>
    <row r="2673" spans="1:16">
      <c r="A2673">
        <v>324.05</v>
      </c>
      <c r="B2673">
        <v>5</v>
      </c>
      <c r="C2673" t="s">
        <v>3224</v>
      </c>
      <c r="D2673" t="s">
        <v>3225</v>
      </c>
      <c r="E2673" t="s">
        <v>1031</v>
      </c>
      <c r="F2673" t="s">
        <v>1236</v>
      </c>
      <c r="G2673" t="s">
        <v>807</v>
      </c>
      <c r="H2673" t="s">
        <v>471</v>
      </c>
      <c r="I2673" t="s">
        <v>19</v>
      </c>
      <c r="J2673">
        <v>64.81</v>
      </c>
      <c r="K2673" s="1">
        <v>46035</v>
      </c>
      <c r="L2673" t="s">
        <v>48</v>
      </c>
      <c r="M2673">
        <v>13</v>
      </c>
      <c r="N2673">
        <v>1</v>
      </c>
      <c r="O2673">
        <v>1</v>
      </c>
      <c r="P2673">
        <v>2026</v>
      </c>
    </row>
    <row r="2674" spans="1:16">
      <c r="A2674">
        <v>723.68</v>
      </c>
      <c r="B2674">
        <v>4</v>
      </c>
      <c r="C2674" t="s">
        <v>1696</v>
      </c>
      <c r="D2674" t="s">
        <v>1697</v>
      </c>
      <c r="E2674" t="s">
        <v>1698</v>
      </c>
      <c r="F2674" t="s">
        <v>1172</v>
      </c>
      <c r="G2674" t="s">
        <v>830</v>
      </c>
      <c r="H2674" t="s">
        <v>324</v>
      </c>
      <c r="I2674" t="s">
        <v>17</v>
      </c>
      <c r="J2674">
        <v>180.92</v>
      </c>
      <c r="K2674" s="1">
        <v>46201</v>
      </c>
      <c r="L2674" t="s">
        <v>28</v>
      </c>
      <c r="M2674">
        <v>28</v>
      </c>
      <c r="N2674">
        <v>6</v>
      </c>
      <c r="O2674">
        <v>2</v>
      </c>
      <c r="P2674">
        <v>2026</v>
      </c>
    </row>
    <row r="2675" spans="1:16">
      <c r="A2675">
        <v>105.9</v>
      </c>
      <c r="B2675">
        <v>5</v>
      </c>
      <c r="C2675" t="s">
        <v>1671</v>
      </c>
      <c r="D2675" t="s">
        <v>1672</v>
      </c>
      <c r="E2675" t="s">
        <v>1013</v>
      </c>
      <c r="F2675" t="s">
        <v>1673</v>
      </c>
      <c r="G2675" t="s">
        <v>821</v>
      </c>
      <c r="H2675" t="s">
        <v>712</v>
      </c>
      <c r="I2675" t="s">
        <v>60</v>
      </c>
      <c r="J2675">
        <v>21.18</v>
      </c>
      <c r="K2675" s="1">
        <v>45605</v>
      </c>
      <c r="L2675" t="s">
        <v>14</v>
      </c>
      <c r="M2675">
        <v>9</v>
      </c>
      <c r="N2675">
        <v>11</v>
      </c>
      <c r="O2675">
        <v>4</v>
      </c>
      <c r="P2675">
        <v>2024</v>
      </c>
    </row>
    <row r="2676" spans="1:16">
      <c r="A2676">
        <v>87.64</v>
      </c>
      <c r="B2676">
        <v>1</v>
      </c>
      <c r="C2676" t="s">
        <v>1945</v>
      </c>
      <c r="D2676" t="s">
        <v>1946</v>
      </c>
      <c r="E2676" t="s">
        <v>1556</v>
      </c>
      <c r="F2676" t="s">
        <v>1061</v>
      </c>
      <c r="G2676" t="s">
        <v>834</v>
      </c>
      <c r="H2676" t="s">
        <v>561</v>
      </c>
      <c r="I2676" t="s">
        <v>17</v>
      </c>
      <c r="J2676">
        <v>87.64</v>
      </c>
      <c r="K2676" s="1">
        <v>46236</v>
      </c>
      <c r="L2676" t="s">
        <v>28</v>
      </c>
      <c r="M2676">
        <v>2</v>
      </c>
      <c r="N2676">
        <v>8</v>
      </c>
      <c r="O2676">
        <v>3</v>
      </c>
      <c r="P2676">
        <v>2026</v>
      </c>
    </row>
    <row r="2677" spans="1:16">
      <c r="A2677">
        <v>861.8</v>
      </c>
      <c r="B2677">
        <v>4</v>
      </c>
      <c r="C2677" t="s">
        <v>2325</v>
      </c>
      <c r="D2677" t="s">
        <v>2326</v>
      </c>
      <c r="E2677" t="s">
        <v>2117</v>
      </c>
      <c r="F2677" t="s">
        <v>548</v>
      </c>
      <c r="G2677" t="s">
        <v>790</v>
      </c>
      <c r="H2677" t="s">
        <v>395</v>
      </c>
      <c r="I2677" t="s">
        <v>19</v>
      </c>
      <c r="J2677">
        <v>215.45</v>
      </c>
      <c r="K2677" s="1">
        <v>46025</v>
      </c>
      <c r="L2677" t="s">
        <v>14</v>
      </c>
      <c r="M2677">
        <v>3</v>
      </c>
      <c r="N2677">
        <v>1</v>
      </c>
      <c r="O2677">
        <v>1</v>
      </c>
      <c r="P2677">
        <v>2026</v>
      </c>
    </row>
    <row r="2678" spans="1:16">
      <c r="A2678">
        <v>900.2</v>
      </c>
      <c r="B2678">
        <v>4</v>
      </c>
      <c r="C2678" t="s">
        <v>2146</v>
      </c>
      <c r="D2678" t="s">
        <v>2147</v>
      </c>
      <c r="E2678" t="s">
        <v>2148</v>
      </c>
      <c r="F2678" t="s">
        <v>1525</v>
      </c>
      <c r="G2678" t="s">
        <v>763</v>
      </c>
      <c r="H2678" t="s">
        <v>320</v>
      </c>
      <c r="I2678" t="s">
        <v>21</v>
      </c>
      <c r="J2678">
        <v>225.05</v>
      </c>
      <c r="K2678" s="1">
        <v>46019</v>
      </c>
      <c r="L2678" t="s">
        <v>28</v>
      </c>
      <c r="M2678">
        <v>28</v>
      </c>
      <c r="N2678">
        <v>12</v>
      </c>
      <c r="O2678">
        <v>4</v>
      </c>
      <c r="P2678">
        <v>2025</v>
      </c>
    </row>
    <row r="2679" spans="1:16">
      <c r="A2679">
        <v>574.48</v>
      </c>
      <c r="B2679">
        <v>4</v>
      </c>
      <c r="C2679" t="s">
        <v>1072</v>
      </c>
      <c r="D2679" t="s">
        <v>1073</v>
      </c>
      <c r="E2679" t="s">
        <v>1074</v>
      </c>
      <c r="F2679" t="s">
        <v>1002</v>
      </c>
      <c r="G2679" t="s">
        <v>1003</v>
      </c>
      <c r="H2679" t="s">
        <v>326</v>
      </c>
      <c r="I2679" t="s">
        <v>97</v>
      </c>
      <c r="J2679">
        <v>143.62</v>
      </c>
      <c r="K2679" s="1">
        <v>45720</v>
      </c>
      <c r="L2679" t="s">
        <v>48</v>
      </c>
      <c r="M2679">
        <v>4</v>
      </c>
      <c r="N2679">
        <v>3</v>
      </c>
      <c r="O2679">
        <v>1</v>
      </c>
      <c r="P2679">
        <v>2025</v>
      </c>
    </row>
    <row r="2680" spans="1:16">
      <c r="A2680">
        <v>401.95</v>
      </c>
      <c r="B2680">
        <v>5</v>
      </c>
      <c r="C2680" t="s">
        <v>2928</v>
      </c>
      <c r="D2680" t="s">
        <v>2929</v>
      </c>
      <c r="E2680" t="s">
        <v>2354</v>
      </c>
      <c r="F2680" t="s">
        <v>843</v>
      </c>
      <c r="G2680" t="s">
        <v>753</v>
      </c>
      <c r="H2680" t="s">
        <v>130</v>
      </c>
      <c r="I2680" t="s">
        <v>69</v>
      </c>
      <c r="J2680">
        <v>80.39</v>
      </c>
      <c r="K2680" s="1">
        <v>45879</v>
      </c>
      <c r="L2680" t="s">
        <v>28</v>
      </c>
      <c r="M2680">
        <v>10</v>
      </c>
      <c r="N2680">
        <v>8</v>
      </c>
      <c r="O2680">
        <v>3</v>
      </c>
      <c r="P2680">
        <v>2025</v>
      </c>
    </row>
    <row r="2681" spans="1:16">
      <c r="A2681">
        <v>181.88</v>
      </c>
      <c r="B2681">
        <v>1</v>
      </c>
      <c r="C2681" t="s">
        <v>3246</v>
      </c>
      <c r="D2681" t="s">
        <v>3247</v>
      </c>
      <c r="E2681" t="s">
        <v>1192</v>
      </c>
      <c r="F2681" t="s">
        <v>29</v>
      </c>
      <c r="G2681" t="s">
        <v>821</v>
      </c>
      <c r="H2681" t="s">
        <v>549</v>
      </c>
      <c r="I2681" t="s">
        <v>82</v>
      </c>
      <c r="J2681">
        <v>181.88</v>
      </c>
      <c r="K2681" s="1">
        <v>46055</v>
      </c>
      <c r="L2681" t="s">
        <v>93</v>
      </c>
      <c r="M2681">
        <v>2</v>
      </c>
      <c r="N2681">
        <v>2</v>
      </c>
      <c r="O2681">
        <v>1</v>
      </c>
      <c r="P2681">
        <v>2026</v>
      </c>
    </row>
    <row r="2682" spans="1:16">
      <c r="A2682">
        <v>674.08</v>
      </c>
      <c r="B2682">
        <v>4</v>
      </c>
      <c r="C2682" t="s">
        <v>2194</v>
      </c>
      <c r="D2682" t="s">
        <v>2195</v>
      </c>
      <c r="E2682" t="s">
        <v>914</v>
      </c>
      <c r="F2682" t="s">
        <v>414</v>
      </c>
      <c r="G2682" t="s">
        <v>795</v>
      </c>
      <c r="H2682" t="s">
        <v>311</v>
      </c>
      <c r="I2682" t="s">
        <v>46</v>
      </c>
      <c r="J2682">
        <v>168.52</v>
      </c>
      <c r="K2682" s="1">
        <v>45975</v>
      </c>
      <c r="L2682" t="s">
        <v>79</v>
      </c>
      <c r="M2682">
        <v>14</v>
      </c>
      <c r="N2682">
        <v>11</v>
      </c>
      <c r="O2682">
        <v>4</v>
      </c>
      <c r="P2682">
        <v>2025</v>
      </c>
    </row>
    <row r="2683" spans="1:16">
      <c r="A2683">
        <v>309.48</v>
      </c>
      <c r="B2683">
        <v>2</v>
      </c>
      <c r="C2683" t="s">
        <v>2290</v>
      </c>
      <c r="D2683" t="s">
        <v>2291</v>
      </c>
      <c r="E2683" t="s">
        <v>2292</v>
      </c>
      <c r="F2683" t="s">
        <v>328</v>
      </c>
      <c r="G2683" t="s">
        <v>1003</v>
      </c>
      <c r="H2683" t="s">
        <v>547</v>
      </c>
      <c r="I2683" t="s">
        <v>97</v>
      </c>
      <c r="J2683">
        <v>154.74</v>
      </c>
      <c r="K2683" s="1">
        <v>45670</v>
      </c>
      <c r="L2683" t="s">
        <v>93</v>
      </c>
      <c r="M2683">
        <v>13</v>
      </c>
      <c r="N2683">
        <v>1</v>
      </c>
      <c r="O2683">
        <v>1</v>
      </c>
      <c r="P2683">
        <v>2025</v>
      </c>
    </row>
    <row r="2684" spans="1:16">
      <c r="A2684">
        <v>969.44</v>
      </c>
      <c r="B2684">
        <v>4</v>
      </c>
      <c r="C2684" t="s">
        <v>2983</v>
      </c>
      <c r="D2684" t="s">
        <v>2570</v>
      </c>
      <c r="E2684" t="s">
        <v>1965</v>
      </c>
      <c r="F2684" t="s">
        <v>869</v>
      </c>
      <c r="G2684" t="s">
        <v>812</v>
      </c>
      <c r="H2684" t="s">
        <v>115</v>
      </c>
      <c r="I2684" t="s">
        <v>55</v>
      </c>
      <c r="J2684">
        <v>242.36</v>
      </c>
      <c r="K2684" s="1">
        <v>45782</v>
      </c>
      <c r="L2684" t="s">
        <v>93</v>
      </c>
      <c r="M2684">
        <v>5</v>
      </c>
      <c r="N2684">
        <v>5</v>
      </c>
      <c r="O2684">
        <v>2</v>
      </c>
      <c r="P2684">
        <v>2025</v>
      </c>
    </row>
    <row r="2685" spans="1:16">
      <c r="A2685">
        <v>821.35</v>
      </c>
      <c r="B2685">
        <v>5</v>
      </c>
      <c r="C2685" t="s">
        <v>2752</v>
      </c>
      <c r="D2685" t="s">
        <v>2753</v>
      </c>
      <c r="E2685" t="s">
        <v>2754</v>
      </c>
      <c r="F2685" t="s">
        <v>1327</v>
      </c>
      <c r="G2685" t="s">
        <v>795</v>
      </c>
      <c r="H2685" t="s">
        <v>127</v>
      </c>
      <c r="I2685" t="s">
        <v>21</v>
      </c>
      <c r="J2685">
        <v>164.27</v>
      </c>
      <c r="K2685" s="1">
        <v>45816</v>
      </c>
      <c r="L2685" t="s">
        <v>28</v>
      </c>
      <c r="M2685">
        <v>8</v>
      </c>
      <c r="N2685">
        <v>6</v>
      </c>
      <c r="O2685">
        <v>2</v>
      </c>
      <c r="P2685">
        <v>2025</v>
      </c>
    </row>
    <row r="2686" spans="1:16">
      <c r="A2686">
        <v>890.04</v>
      </c>
      <c r="B2686">
        <v>4</v>
      </c>
      <c r="C2686" t="s">
        <v>2424</v>
      </c>
      <c r="D2686" t="s">
        <v>2425</v>
      </c>
      <c r="E2686" t="s">
        <v>960</v>
      </c>
      <c r="F2686" t="s">
        <v>29</v>
      </c>
      <c r="G2686" t="s">
        <v>821</v>
      </c>
      <c r="H2686" t="s">
        <v>142</v>
      </c>
      <c r="I2686" t="s">
        <v>60</v>
      </c>
      <c r="J2686">
        <v>222.51</v>
      </c>
      <c r="K2686" s="1">
        <v>46017</v>
      </c>
      <c r="L2686" t="s">
        <v>79</v>
      </c>
      <c r="M2686">
        <v>26</v>
      </c>
      <c r="N2686">
        <v>12</v>
      </c>
      <c r="O2686">
        <v>4</v>
      </c>
      <c r="P2686">
        <v>2025</v>
      </c>
    </row>
    <row r="2687" spans="1:16">
      <c r="A2687">
        <v>67.56</v>
      </c>
      <c r="B2687">
        <v>2</v>
      </c>
      <c r="C2687" t="s">
        <v>1746</v>
      </c>
      <c r="D2687" t="s">
        <v>1747</v>
      </c>
      <c r="E2687" t="s">
        <v>1050</v>
      </c>
      <c r="F2687" t="s">
        <v>1469</v>
      </c>
      <c r="G2687" t="s">
        <v>908</v>
      </c>
      <c r="H2687" t="s">
        <v>625</v>
      </c>
      <c r="I2687" t="s">
        <v>43</v>
      </c>
      <c r="J2687">
        <v>33.78</v>
      </c>
      <c r="K2687" s="1">
        <v>45671</v>
      </c>
      <c r="L2687" t="s">
        <v>48</v>
      </c>
      <c r="M2687">
        <v>14</v>
      </c>
      <c r="N2687">
        <v>1</v>
      </c>
      <c r="O2687">
        <v>1</v>
      </c>
      <c r="P2687">
        <v>2025</v>
      </c>
    </row>
    <row r="2688" spans="1:16">
      <c r="A2688">
        <v>84.32</v>
      </c>
      <c r="B2688">
        <v>4</v>
      </c>
      <c r="C2688" t="s">
        <v>930</v>
      </c>
      <c r="D2688" t="s">
        <v>931</v>
      </c>
      <c r="E2688" t="s">
        <v>932</v>
      </c>
      <c r="F2688" t="s">
        <v>280</v>
      </c>
      <c r="G2688" t="s">
        <v>812</v>
      </c>
      <c r="H2688" t="s">
        <v>223</v>
      </c>
      <c r="I2688" t="s">
        <v>19</v>
      </c>
      <c r="J2688">
        <v>21.08</v>
      </c>
      <c r="K2688" s="1">
        <v>46022</v>
      </c>
      <c r="L2688" t="s">
        <v>34</v>
      </c>
      <c r="M2688">
        <v>31</v>
      </c>
      <c r="N2688">
        <v>12</v>
      </c>
      <c r="O2688">
        <v>4</v>
      </c>
      <c r="P2688">
        <v>2025</v>
      </c>
    </row>
    <row r="2689" spans="1:16">
      <c r="A2689">
        <v>242.36</v>
      </c>
      <c r="B2689">
        <v>1</v>
      </c>
      <c r="C2689" t="s">
        <v>3396</v>
      </c>
      <c r="D2689" t="s">
        <v>3397</v>
      </c>
      <c r="E2689" t="s">
        <v>1688</v>
      </c>
      <c r="F2689" t="s">
        <v>106</v>
      </c>
      <c r="G2689" t="s">
        <v>896</v>
      </c>
      <c r="H2689" t="s">
        <v>115</v>
      </c>
      <c r="I2689" t="s">
        <v>55</v>
      </c>
      <c r="J2689">
        <v>242.36</v>
      </c>
      <c r="K2689" s="1">
        <v>45996</v>
      </c>
      <c r="L2689" t="s">
        <v>79</v>
      </c>
      <c r="M2689">
        <v>5</v>
      </c>
      <c r="N2689">
        <v>12</v>
      </c>
      <c r="O2689">
        <v>4</v>
      </c>
      <c r="P2689">
        <v>2025</v>
      </c>
    </row>
    <row r="2690" spans="1:16">
      <c r="A2690">
        <v>363.42</v>
      </c>
      <c r="B2690">
        <v>3</v>
      </c>
      <c r="C2690" t="s">
        <v>3304</v>
      </c>
      <c r="D2690" t="s">
        <v>3305</v>
      </c>
      <c r="E2690" t="s">
        <v>798</v>
      </c>
      <c r="F2690" t="s">
        <v>29</v>
      </c>
      <c r="G2690" t="s">
        <v>763</v>
      </c>
      <c r="H2690" t="s">
        <v>640</v>
      </c>
      <c r="I2690" t="s">
        <v>82</v>
      </c>
      <c r="J2690">
        <v>121.14</v>
      </c>
      <c r="K2690" s="1">
        <v>45958</v>
      </c>
      <c r="L2690" t="s">
        <v>48</v>
      </c>
      <c r="M2690">
        <v>28</v>
      </c>
      <c r="N2690">
        <v>10</v>
      </c>
      <c r="O2690">
        <v>4</v>
      </c>
      <c r="P2690">
        <v>2025</v>
      </c>
    </row>
    <row r="2691" spans="1:16">
      <c r="A2691">
        <v>381.52</v>
      </c>
      <c r="B2691">
        <v>2</v>
      </c>
      <c r="C2691" t="s">
        <v>2750</v>
      </c>
      <c r="D2691" t="s">
        <v>2751</v>
      </c>
      <c r="E2691" t="s">
        <v>1619</v>
      </c>
      <c r="F2691" t="s">
        <v>1984</v>
      </c>
      <c r="G2691" t="s">
        <v>768</v>
      </c>
      <c r="H2691" t="s">
        <v>1430</v>
      </c>
      <c r="I2691" t="s">
        <v>60</v>
      </c>
      <c r="J2691">
        <v>190.76</v>
      </c>
      <c r="K2691" s="1">
        <v>45776</v>
      </c>
      <c r="L2691" t="s">
        <v>48</v>
      </c>
      <c r="M2691">
        <v>29</v>
      </c>
      <c r="N2691">
        <v>4</v>
      </c>
      <c r="O2691">
        <v>2</v>
      </c>
      <c r="P2691">
        <v>2025</v>
      </c>
    </row>
    <row r="2692" spans="1:16">
      <c r="A2692">
        <v>725.93999999999994</v>
      </c>
      <c r="B2692">
        <v>3</v>
      </c>
      <c r="C2692" t="s">
        <v>1275</v>
      </c>
      <c r="D2692" t="s">
        <v>1276</v>
      </c>
      <c r="E2692" t="s">
        <v>1245</v>
      </c>
      <c r="F2692" t="s">
        <v>965</v>
      </c>
      <c r="G2692" t="s">
        <v>839</v>
      </c>
      <c r="H2692" t="s">
        <v>203</v>
      </c>
      <c r="I2692" t="s">
        <v>100</v>
      </c>
      <c r="J2692">
        <v>241.98</v>
      </c>
      <c r="K2692" s="1">
        <v>45953</v>
      </c>
      <c r="L2692" t="s">
        <v>105</v>
      </c>
      <c r="M2692">
        <v>23</v>
      </c>
      <c r="N2692">
        <v>10</v>
      </c>
      <c r="O2692">
        <v>4</v>
      </c>
      <c r="P2692">
        <v>2025</v>
      </c>
    </row>
    <row r="2693" spans="1:16">
      <c r="A2693">
        <v>162.15</v>
      </c>
      <c r="B2693">
        <v>5</v>
      </c>
      <c r="C2693" t="s">
        <v>876</v>
      </c>
      <c r="D2693" t="s">
        <v>877</v>
      </c>
      <c r="E2693" t="s">
        <v>878</v>
      </c>
      <c r="F2693" t="s">
        <v>879</v>
      </c>
      <c r="G2693" t="s">
        <v>748</v>
      </c>
      <c r="H2693" t="s">
        <v>77</v>
      </c>
      <c r="I2693" t="s">
        <v>17</v>
      </c>
      <c r="J2693">
        <v>32.43</v>
      </c>
      <c r="K2693" s="1">
        <v>46114</v>
      </c>
      <c r="L2693" t="s">
        <v>105</v>
      </c>
      <c r="M2693">
        <v>2</v>
      </c>
      <c r="N2693">
        <v>4</v>
      </c>
      <c r="O2693">
        <v>2</v>
      </c>
      <c r="P2693">
        <v>2026</v>
      </c>
    </row>
    <row r="2694" spans="1:16">
      <c r="A2694">
        <v>220.85</v>
      </c>
      <c r="B2694">
        <v>1</v>
      </c>
      <c r="C2694" t="s">
        <v>2494</v>
      </c>
      <c r="D2694" t="s">
        <v>2495</v>
      </c>
      <c r="E2694" t="s">
        <v>2065</v>
      </c>
      <c r="F2694" t="s">
        <v>1339</v>
      </c>
      <c r="G2694" t="s">
        <v>1247</v>
      </c>
      <c r="H2694" t="s">
        <v>309</v>
      </c>
      <c r="I2694" t="s">
        <v>100</v>
      </c>
      <c r="J2694">
        <v>220.85</v>
      </c>
      <c r="K2694" s="1">
        <v>46141</v>
      </c>
      <c r="L2694" t="s">
        <v>34</v>
      </c>
      <c r="M2694">
        <v>29</v>
      </c>
      <c r="N2694">
        <v>4</v>
      </c>
      <c r="O2694">
        <v>2</v>
      </c>
      <c r="P2694">
        <v>2026</v>
      </c>
    </row>
    <row r="2695" spans="1:16">
      <c r="A2695">
        <v>205.24</v>
      </c>
      <c r="B2695">
        <v>2</v>
      </c>
      <c r="C2695" t="s">
        <v>2914</v>
      </c>
      <c r="D2695" t="s">
        <v>2915</v>
      </c>
      <c r="E2695" t="s">
        <v>2503</v>
      </c>
      <c r="F2695" t="s">
        <v>1061</v>
      </c>
      <c r="G2695" t="s">
        <v>834</v>
      </c>
      <c r="H2695" t="s">
        <v>348</v>
      </c>
      <c r="I2695" t="s">
        <v>60</v>
      </c>
      <c r="J2695">
        <v>102.62</v>
      </c>
      <c r="K2695" s="1">
        <v>45985</v>
      </c>
      <c r="L2695" t="s">
        <v>93</v>
      </c>
      <c r="M2695">
        <v>24</v>
      </c>
      <c r="N2695">
        <v>11</v>
      </c>
      <c r="O2695">
        <v>4</v>
      </c>
      <c r="P2695">
        <v>2025</v>
      </c>
    </row>
    <row r="2696" spans="1:16">
      <c r="A2696">
        <v>99.390000000000015</v>
      </c>
      <c r="B2696">
        <v>3</v>
      </c>
      <c r="C2696" t="s">
        <v>3335</v>
      </c>
      <c r="D2696" t="s">
        <v>3336</v>
      </c>
      <c r="E2696" t="s">
        <v>1146</v>
      </c>
      <c r="F2696" t="s">
        <v>838</v>
      </c>
      <c r="G2696" t="s">
        <v>839</v>
      </c>
      <c r="H2696" t="s">
        <v>164</v>
      </c>
      <c r="I2696" t="s">
        <v>46</v>
      </c>
      <c r="J2696">
        <v>33.130000000000003</v>
      </c>
      <c r="K2696" s="1">
        <v>46052</v>
      </c>
      <c r="L2696" t="s">
        <v>79</v>
      </c>
      <c r="M2696">
        <v>30</v>
      </c>
      <c r="N2696">
        <v>1</v>
      </c>
      <c r="O2696">
        <v>1</v>
      </c>
      <c r="P2696">
        <v>2026</v>
      </c>
    </row>
    <row r="2697" spans="1:16">
      <c r="A2697">
        <v>729.68999999999994</v>
      </c>
      <c r="B2697">
        <v>3</v>
      </c>
      <c r="C2697" t="s">
        <v>1658</v>
      </c>
      <c r="D2697" t="s">
        <v>1659</v>
      </c>
      <c r="E2697" t="s">
        <v>1660</v>
      </c>
      <c r="F2697" t="s">
        <v>785</v>
      </c>
      <c r="G2697" t="s">
        <v>786</v>
      </c>
      <c r="H2697" t="s">
        <v>126</v>
      </c>
      <c r="I2697" t="s">
        <v>43</v>
      </c>
      <c r="J2697">
        <v>243.23</v>
      </c>
      <c r="K2697" s="1">
        <v>46170</v>
      </c>
      <c r="L2697" t="s">
        <v>105</v>
      </c>
      <c r="M2697">
        <v>28</v>
      </c>
      <c r="N2697">
        <v>5</v>
      </c>
      <c r="O2697">
        <v>2</v>
      </c>
      <c r="P2697">
        <v>2026</v>
      </c>
    </row>
    <row r="2698" spans="1:16">
      <c r="A2698">
        <v>101.19</v>
      </c>
      <c r="B2698">
        <v>3</v>
      </c>
      <c r="C2698" t="s">
        <v>1419</v>
      </c>
      <c r="D2698" t="s">
        <v>1420</v>
      </c>
      <c r="E2698" t="s">
        <v>891</v>
      </c>
      <c r="F2698" t="s">
        <v>1421</v>
      </c>
      <c r="G2698" t="s">
        <v>776</v>
      </c>
      <c r="H2698" t="s">
        <v>527</v>
      </c>
      <c r="I2698" t="s">
        <v>27</v>
      </c>
      <c r="J2698">
        <v>33.729999999999997</v>
      </c>
      <c r="K2698" s="1">
        <v>46103</v>
      </c>
      <c r="L2698" t="s">
        <v>28</v>
      </c>
      <c r="M2698">
        <v>22</v>
      </c>
      <c r="N2698">
        <v>3</v>
      </c>
      <c r="O2698">
        <v>1</v>
      </c>
      <c r="P2698">
        <v>2026</v>
      </c>
    </row>
    <row r="2699" spans="1:16">
      <c r="A2699">
        <v>579.66</v>
      </c>
      <c r="B2699">
        <v>3</v>
      </c>
      <c r="C2699" t="s">
        <v>2263</v>
      </c>
      <c r="D2699" t="s">
        <v>2264</v>
      </c>
      <c r="E2699" t="s">
        <v>957</v>
      </c>
      <c r="F2699" t="s">
        <v>2265</v>
      </c>
      <c r="G2699" t="s">
        <v>830</v>
      </c>
      <c r="H2699" t="s">
        <v>430</v>
      </c>
      <c r="I2699" t="s">
        <v>27</v>
      </c>
      <c r="J2699">
        <v>193.22</v>
      </c>
      <c r="K2699" s="1">
        <v>45746</v>
      </c>
      <c r="L2699" t="s">
        <v>28</v>
      </c>
      <c r="M2699">
        <v>30</v>
      </c>
      <c r="N2699">
        <v>3</v>
      </c>
      <c r="O2699">
        <v>1</v>
      </c>
      <c r="P2699">
        <v>2025</v>
      </c>
    </row>
    <row r="2700" spans="1:16">
      <c r="A2700">
        <v>241.99</v>
      </c>
      <c r="B2700">
        <v>1</v>
      </c>
      <c r="C2700" t="s">
        <v>2087</v>
      </c>
      <c r="D2700" t="s">
        <v>2088</v>
      </c>
      <c r="E2700" t="s">
        <v>820</v>
      </c>
      <c r="F2700" t="s">
        <v>995</v>
      </c>
      <c r="G2700" t="s">
        <v>781</v>
      </c>
      <c r="H2700" t="s">
        <v>521</v>
      </c>
      <c r="I2700" t="s">
        <v>17</v>
      </c>
      <c r="J2700">
        <v>241.99</v>
      </c>
      <c r="K2700" s="1">
        <v>46066</v>
      </c>
      <c r="L2700" t="s">
        <v>79</v>
      </c>
      <c r="M2700">
        <v>13</v>
      </c>
      <c r="N2700">
        <v>2</v>
      </c>
      <c r="O2700">
        <v>1</v>
      </c>
      <c r="P2700">
        <v>2026</v>
      </c>
    </row>
    <row r="2701" spans="1:16">
      <c r="A2701">
        <v>901.56</v>
      </c>
      <c r="B2701">
        <v>4</v>
      </c>
      <c r="C2701" t="s">
        <v>1789</v>
      </c>
      <c r="D2701" t="s">
        <v>1790</v>
      </c>
      <c r="E2701" t="s">
        <v>1791</v>
      </c>
      <c r="F2701" t="s">
        <v>1630</v>
      </c>
      <c r="G2701" t="s">
        <v>763</v>
      </c>
      <c r="H2701" t="s">
        <v>152</v>
      </c>
      <c r="I2701" t="s">
        <v>19</v>
      </c>
      <c r="J2701">
        <v>225.39</v>
      </c>
      <c r="K2701" s="1">
        <v>46039</v>
      </c>
      <c r="L2701" t="s">
        <v>14</v>
      </c>
      <c r="M2701">
        <v>17</v>
      </c>
      <c r="N2701">
        <v>1</v>
      </c>
      <c r="O2701">
        <v>1</v>
      </c>
      <c r="P2701">
        <v>2026</v>
      </c>
    </row>
    <row r="2702" spans="1:16">
      <c r="A2702">
        <v>762.44</v>
      </c>
      <c r="B2702">
        <v>4</v>
      </c>
      <c r="C2702" t="s">
        <v>2063</v>
      </c>
      <c r="D2702" t="s">
        <v>2064</v>
      </c>
      <c r="E2702" t="s">
        <v>2065</v>
      </c>
      <c r="F2702" t="s">
        <v>1156</v>
      </c>
      <c r="G2702" t="s">
        <v>821</v>
      </c>
      <c r="H2702" t="s">
        <v>156</v>
      </c>
      <c r="I2702" t="s">
        <v>57</v>
      </c>
      <c r="J2702">
        <v>190.61</v>
      </c>
      <c r="K2702" s="1">
        <v>45842</v>
      </c>
      <c r="L2702" t="s">
        <v>79</v>
      </c>
      <c r="M2702">
        <v>4</v>
      </c>
      <c r="N2702">
        <v>7</v>
      </c>
      <c r="O2702">
        <v>3</v>
      </c>
      <c r="P2702">
        <v>2025</v>
      </c>
    </row>
    <row r="2703" spans="1:16">
      <c r="A2703">
        <v>481.77</v>
      </c>
      <c r="B2703">
        <v>3</v>
      </c>
      <c r="C2703" t="s">
        <v>3029</v>
      </c>
      <c r="D2703" t="s">
        <v>760</v>
      </c>
      <c r="E2703" t="s">
        <v>1228</v>
      </c>
      <c r="F2703" t="s">
        <v>1886</v>
      </c>
      <c r="G2703" t="s">
        <v>753</v>
      </c>
      <c r="H2703" t="s">
        <v>267</v>
      </c>
      <c r="I2703" t="s">
        <v>25</v>
      </c>
      <c r="J2703">
        <v>160.59</v>
      </c>
      <c r="K2703" s="1">
        <v>45957</v>
      </c>
      <c r="L2703" t="s">
        <v>93</v>
      </c>
      <c r="M2703">
        <v>27</v>
      </c>
      <c r="N2703">
        <v>10</v>
      </c>
      <c r="O2703">
        <v>4</v>
      </c>
      <c r="P2703">
        <v>2025</v>
      </c>
    </row>
    <row r="2704" spans="1:16">
      <c r="A2704">
        <v>226.12</v>
      </c>
      <c r="B2704">
        <v>4</v>
      </c>
      <c r="C2704" t="s">
        <v>2558</v>
      </c>
      <c r="D2704" t="s">
        <v>2559</v>
      </c>
      <c r="E2704" t="s">
        <v>2560</v>
      </c>
      <c r="F2704" t="s">
        <v>1302</v>
      </c>
      <c r="G2704" t="s">
        <v>786</v>
      </c>
      <c r="H2704" t="s">
        <v>123</v>
      </c>
      <c r="I2704" t="s">
        <v>43</v>
      </c>
      <c r="J2704">
        <v>56.53</v>
      </c>
      <c r="K2704" s="1">
        <v>45603</v>
      </c>
      <c r="L2704" t="s">
        <v>105</v>
      </c>
      <c r="M2704">
        <v>7</v>
      </c>
      <c r="N2704">
        <v>11</v>
      </c>
      <c r="O2704">
        <v>4</v>
      </c>
      <c r="P2704">
        <v>2024</v>
      </c>
    </row>
    <row r="2705" spans="1:16">
      <c r="A2705">
        <v>1128.6499999999999</v>
      </c>
      <c r="B2705">
        <v>5</v>
      </c>
      <c r="C2705" t="s">
        <v>971</v>
      </c>
      <c r="D2705" t="s">
        <v>972</v>
      </c>
      <c r="E2705" t="s">
        <v>973</v>
      </c>
      <c r="F2705" t="s">
        <v>562</v>
      </c>
      <c r="G2705" t="s">
        <v>753</v>
      </c>
      <c r="H2705" t="s">
        <v>444</v>
      </c>
      <c r="I2705" t="s">
        <v>37</v>
      </c>
      <c r="J2705">
        <v>225.73</v>
      </c>
      <c r="K2705" s="1">
        <v>45653</v>
      </c>
      <c r="L2705" t="s">
        <v>79</v>
      </c>
      <c r="M2705">
        <v>27</v>
      </c>
      <c r="N2705">
        <v>12</v>
      </c>
      <c r="O2705">
        <v>4</v>
      </c>
      <c r="P2705">
        <v>2024</v>
      </c>
    </row>
    <row r="2706" spans="1:16">
      <c r="A2706">
        <v>350.56</v>
      </c>
      <c r="B2706">
        <v>4</v>
      </c>
      <c r="C2706" t="s">
        <v>2995</v>
      </c>
      <c r="D2706" t="s">
        <v>2996</v>
      </c>
      <c r="E2706" t="s">
        <v>2108</v>
      </c>
      <c r="F2706" t="s">
        <v>1039</v>
      </c>
      <c r="G2706" t="s">
        <v>758</v>
      </c>
      <c r="H2706" t="s">
        <v>561</v>
      </c>
      <c r="I2706" t="s">
        <v>17</v>
      </c>
      <c r="J2706">
        <v>87.64</v>
      </c>
      <c r="K2706" s="1">
        <v>46216</v>
      </c>
      <c r="L2706" t="s">
        <v>93</v>
      </c>
      <c r="M2706">
        <v>13</v>
      </c>
      <c r="N2706">
        <v>7</v>
      </c>
      <c r="O2706">
        <v>3</v>
      </c>
      <c r="P2706">
        <v>2026</v>
      </c>
    </row>
    <row r="2707" spans="1:16">
      <c r="A2707">
        <v>38.04</v>
      </c>
      <c r="B2707">
        <v>4</v>
      </c>
      <c r="C2707" t="s">
        <v>2851</v>
      </c>
      <c r="D2707" t="s">
        <v>2852</v>
      </c>
      <c r="E2707" t="s">
        <v>1418</v>
      </c>
      <c r="F2707" t="s">
        <v>106</v>
      </c>
      <c r="G2707" t="s">
        <v>896</v>
      </c>
      <c r="H2707" t="s">
        <v>727</v>
      </c>
      <c r="I2707" t="s">
        <v>97</v>
      </c>
      <c r="J2707">
        <v>9.51</v>
      </c>
      <c r="K2707" s="1">
        <v>46160</v>
      </c>
      <c r="L2707" t="s">
        <v>93</v>
      </c>
      <c r="M2707">
        <v>18</v>
      </c>
      <c r="N2707">
        <v>5</v>
      </c>
      <c r="O2707">
        <v>2</v>
      </c>
      <c r="P2707">
        <v>2026</v>
      </c>
    </row>
    <row r="2708" spans="1:16">
      <c r="A2708">
        <v>62.7</v>
      </c>
      <c r="B2708">
        <v>2</v>
      </c>
      <c r="C2708" t="s">
        <v>880</v>
      </c>
      <c r="D2708" t="s">
        <v>881</v>
      </c>
      <c r="E2708" t="s">
        <v>882</v>
      </c>
      <c r="F2708" t="s">
        <v>883</v>
      </c>
      <c r="G2708" t="s">
        <v>807</v>
      </c>
      <c r="H2708" t="s">
        <v>557</v>
      </c>
      <c r="I2708" t="s">
        <v>46</v>
      </c>
      <c r="J2708">
        <v>31.35</v>
      </c>
      <c r="K2708" s="1">
        <v>45932</v>
      </c>
      <c r="L2708" t="s">
        <v>105</v>
      </c>
      <c r="M2708">
        <v>2</v>
      </c>
      <c r="N2708">
        <v>10</v>
      </c>
      <c r="O2708">
        <v>4</v>
      </c>
      <c r="P2708">
        <v>2025</v>
      </c>
    </row>
    <row r="2709" spans="1:16">
      <c r="A2709">
        <v>230.27</v>
      </c>
      <c r="B2709">
        <v>1</v>
      </c>
      <c r="C2709" t="s">
        <v>3258</v>
      </c>
      <c r="D2709" t="s">
        <v>3259</v>
      </c>
      <c r="E2709" t="s">
        <v>820</v>
      </c>
      <c r="F2709" t="s">
        <v>794</v>
      </c>
      <c r="G2709" t="s">
        <v>795</v>
      </c>
      <c r="H2709" t="s">
        <v>200</v>
      </c>
      <c r="I2709" t="s">
        <v>17</v>
      </c>
      <c r="J2709">
        <v>230.27</v>
      </c>
      <c r="K2709" s="1">
        <v>46018</v>
      </c>
      <c r="L2709" t="s">
        <v>14</v>
      </c>
      <c r="M2709">
        <v>27</v>
      </c>
      <c r="N2709">
        <v>12</v>
      </c>
      <c r="O2709">
        <v>4</v>
      </c>
      <c r="P2709">
        <v>2025</v>
      </c>
    </row>
    <row r="2710" spans="1:16">
      <c r="A2710">
        <v>1143.3</v>
      </c>
      <c r="B2710">
        <v>5</v>
      </c>
      <c r="C2710" t="s">
        <v>3029</v>
      </c>
      <c r="D2710" t="s">
        <v>760</v>
      </c>
      <c r="E2710" t="s">
        <v>1228</v>
      </c>
      <c r="F2710" t="s">
        <v>1886</v>
      </c>
      <c r="G2710" t="s">
        <v>753</v>
      </c>
      <c r="H2710" t="s">
        <v>480</v>
      </c>
      <c r="I2710" t="s">
        <v>57</v>
      </c>
      <c r="J2710">
        <v>228.66</v>
      </c>
      <c r="K2710" s="1">
        <v>45895</v>
      </c>
      <c r="L2710" t="s">
        <v>48</v>
      </c>
      <c r="M2710">
        <v>26</v>
      </c>
      <c r="N2710">
        <v>8</v>
      </c>
      <c r="O2710">
        <v>3</v>
      </c>
      <c r="P2710">
        <v>2025</v>
      </c>
    </row>
    <row r="2711" spans="1:16">
      <c r="A2711">
        <v>31.24</v>
      </c>
      <c r="B2711">
        <v>2</v>
      </c>
      <c r="C2711" t="s">
        <v>2762</v>
      </c>
      <c r="D2711" t="s">
        <v>2763</v>
      </c>
      <c r="E2711" t="s">
        <v>1162</v>
      </c>
      <c r="F2711" t="s">
        <v>392</v>
      </c>
      <c r="G2711" t="s">
        <v>943</v>
      </c>
      <c r="H2711" t="s">
        <v>248</v>
      </c>
      <c r="I2711" t="s">
        <v>100</v>
      </c>
      <c r="J2711">
        <v>15.62</v>
      </c>
      <c r="K2711" s="1">
        <v>46257</v>
      </c>
      <c r="L2711" t="s">
        <v>28</v>
      </c>
      <c r="M2711">
        <v>23</v>
      </c>
      <c r="N2711">
        <v>8</v>
      </c>
      <c r="O2711">
        <v>3</v>
      </c>
      <c r="P2711">
        <v>2026</v>
      </c>
    </row>
    <row r="2712" spans="1:16">
      <c r="A2712">
        <v>243.64</v>
      </c>
      <c r="B2712">
        <v>4</v>
      </c>
      <c r="C2712" t="s">
        <v>3148</v>
      </c>
      <c r="D2712" t="s">
        <v>3149</v>
      </c>
      <c r="E2712" t="s">
        <v>1709</v>
      </c>
      <c r="F2712" t="s">
        <v>691</v>
      </c>
      <c r="G2712" t="s">
        <v>776</v>
      </c>
      <c r="H2712" t="s">
        <v>550</v>
      </c>
      <c r="I2712" t="s">
        <v>55</v>
      </c>
      <c r="J2712">
        <v>60.91</v>
      </c>
      <c r="K2712" s="1">
        <v>46079</v>
      </c>
      <c r="L2712" t="s">
        <v>105</v>
      </c>
      <c r="M2712">
        <v>26</v>
      </c>
      <c r="N2712">
        <v>2</v>
      </c>
      <c r="O2712">
        <v>1</v>
      </c>
      <c r="P2712">
        <v>2026</v>
      </c>
    </row>
    <row r="2713" spans="1:16">
      <c r="A2713">
        <v>287.56</v>
      </c>
      <c r="B2713">
        <v>2</v>
      </c>
      <c r="C2713" t="s">
        <v>2189</v>
      </c>
      <c r="D2713" t="s">
        <v>2190</v>
      </c>
      <c r="E2713" t="s">
        <v>2191</v>
      </c>
      <c r="F2713" t="s">
        <v>1410</v>
      </c>
      <c r="G2713" t="s">
        <v>812</v>
      </c>
      <c r="H2713" t="s">
        <v>346</v>
      </c>
      <c r="I2713" t="s">
        <v>23</v>
      </c>
      <c r="J2713">
        <v>143.78</v>
      </c>
      <c r="K2713" s="1">
        <v>45778</v>
      </c>
      <c r="L2713" t="s">
        <v>105</v>
      </c>
      <c r="M2713">
        <v>1</v>
      </c>
      <c r="N2713">
        <v>5</v>
      </c>
      <c r="O2713">
        <v>2</v>
      </c>
      <c r="P2713">
        <v>2025</v>
      </c>
    </row>
    <row r="2714" spans="1:16">
      <c r="A2714">
        <v>95.95</v>
      </c>
      <c r="B2714">
        <v>5</v>
      </c>
      <c r="C2714" t="s">
        <v>1692</v>
      </c>
      <c r="D2714" t="s">
        <v>1693</v>
      </c>
      <c r="E2714" t="s">
        <v>941</v>
      </c>
      <c r="F2714" t="s">
        <v>211</v>
      </c>
      <c r="G2714" t="s">
        <v>812</v>
      </c>
      <c r="H2714" t="s">
        <v>71</v>
      </c>
      <c r="I2714" t="s">
        <v>23</v>
      </c>
      <c r="J2714">
        <v>19.190000000000001</v>
      </c>
      <c r="K2714" s="1">
        <v>45554</v>
      </c>
      <c r="L2714" t="s">
        <v>105</v>
      </c>
      <c r="M2714">
        <v>19</v>
      </c>
      <c r="N2714">
        <v>9</v>
      </c>
      <c r="O2714">
        <v>3</v>
      </c>
      <c r="P2714">
        <v>2024</v>
      </c>
    </row>
    <row r="2715" spans="1:16">
      <c r="A2715">
        <v>515.64</v>
      </c>
      <c r="B2715">
        <v>3</v>
      </c>
      <c r="C2715" t="s">
        <v>1914</v>
      </c>
      <c r="D2715" t="s">
        <v>1915</v>
      </c>
      <c r="E2715" t="s">
        <v>976</v>
      </c>
      <c r="F2715" t="s">
        <v>1199</v>
      </c>
      <c r="G2715" t="s">
        <v>839</v>
      </c>
      <c r="H2715" t="s">
        <v>525</v>
      </c>
      <c r="I2715" t="s">
        <v>17</v>
      </c>
      <c r="J2715">
        <v>171.88</v>
      </c>
      <c r="K2715" s="1">
        <v>46143</v>
      </c>
      <c r="L2715" t="s">
        <v>79</v>
      </c>
      <c r="M2715">
        <v>1</v>
      </c>
      <c r="N2715">
        <v>5</v>
      </c>
      <c r="O2715">
        <v>2</v>
      </c>
      <c r="P2715">
        <v>2026</v>
      </c>
    </row>
    <row r="2716" spans="1:16">
      <c r="A2716">
        <v>253.89</v>
      </c>
      <c r="B2716">
        <v>3</v>
      </c>
      <c r="C2716" t="s">
        <v>3229</v>
      </c>
      <c r="D2716" t="s">
        <v>3230</v>
      </c>
      <c r="E2716" t="s">
        <v>911</v>
      </c>
      <c r="F2716" t="s">
        <v>1540</v>
      </c>
      <c r="G2716" t="s">
        <v>768</v>
      </c>
      <c r="H2716" t="s">
        <v>528</v>
      </c>
      <c r="I2716" t="s">
        <v>69</v>
      </c>
      <c r="J2716">
        <v>84.63</v>
      </c>
      <c r="K2716" s="1">
        <v>45767</v>
      </c>
      <c r="L2716" t="s">
        <v>28</v>
      </c>
      <c r="M2716">
        <v>20</v>
      </c>
      <c r="N2716">
        <v>4</v>
      </c>
      <c r="O2716">
        <v>2</v>
      </c>
      <c r="P2716">
        <v>2025</v>
      </c>
    </row>
    <row r="2717" spans="1:16">
      <c r="A2717">
        <v>769.92</v>
      </c>
      <c r="B2717">
        <v>4</v>
      </c>
      <c r="C2717" t="s">
        <v>1079</v>
      </c>
      <c r="D2717" t="s">
        <v>1080</v>
      </c>
      <c r="E2717" t="s">
        <v>1081</v>
      </c>
      <c r="F2717" t="s">
        <v>772</v>
      </c>
      <c r="G2717" t="s">
        <v>758</v>
      </c>
      <c r="H2717" t="s">
        <v>159</v>
      </c>
      <c r="I2717" t="s">
        <v>21</v>
      </c>
      <c r="J2717">
        <v>192.48</v>
      </c>
      <c r="K2717" s="1">
        <v>46198</v>
      </c>
      <c r="L2717" t="s">
        <v>105</v>
      </c>
      <c r="M2717">
        <v>25</v>
      </c>
      <c r="N2717">
        <v>6</v>
      </c>
      <c r="O2717">
        <v>2</v>
      </c>
      <c r="P2717">
        <v>2026</v>
      </c>
    </row>
    <row r="2718" spans="1:16">
      <c r="A2718">
        <v>181.88</v>
      </c>
      <c r="B2718">
        <v>1</v>
      </c>
      <c r="C2718" t="s">
        <v>2408</v>
      </c>
      <c r="D2718" t="s">
        <v>2409</v>
      </c>
      <c r="E2718" t="s">
        <v>2241</v>
      </c>
      <c r="F2718" t="s">
        <v>136</v>
      </c>
      <c r="G2718" t="s">
        <v>954</v>
      </c>
      <c r="H2718" t="s">
        <v>549</v>
      </c>
      <c r="I2718" t="s">
        <v>82</v>
      </c>
      <c r="J2718">
        <v>181.88</v>
      </c>
      <c r="K2718" s="1">
        <v>46063</v>
      </c>
      <c r="L2718" t="s">
        <v>48</v>
      </c>
      <c r="M2718">
        <v>10</v>
      </c>
      <c r="N2718">
        <v>2</v>
      </c>
      <c r="O2718">
        <v>1</v>
      </c>
      <c r="P2718">
        <v>2026</v>
      </c>
    </row>
    <row r="2719" spans="1:16">
      <c r="A2719">
        <v>240.96</v>
      </c>
      <c r="B2719">
        <v>1</v>
      </c>
      <c r="C2719" t="s">
        <v>2131</v>
      </c>
      <c r="D2719" t="s">
        <v>2132</v>
      </c>
      <c r="E2719" t="s">
        <v>2133</v>
      </c>
      <c r="F2719" t="s">
        <v>929</v>
      </c>
      <c r="G2719" t="s">
        <v>830</v>
      </c>
      <c r="H2719" t="s">
        <v>357</v>
      </c>
      <c r="I2719" t="s">
        <v>39</v>
      </c>
      <c r="J2719">
        <v>240.96</v>
      </c>
      <c r="K2719" s="1">
        <v>45659</v>
      </c>
      <c r="L2719" t="s">
        <v>105</v>
      </c>
      <c r="M2719">
        <v>2</v>
      </c>
      <c r="N2719">
        <v>1</v>
      </c>
      <c r="O2719">
        <v>1</v>
      </c>
      <c r="P2719">
        <v>2025</v>
      </c>
    </row>
    <row r="2720" spans="1:16">
      <c r="A2720">
        <v>606.68999999999994</v>
      </c>
      <c r="B2720">
        <v>3</v>
      </c>
      <c r="C2720" t="s">
        <v>2812</v>
      </c>
      <c r="D2720" t="s">
        <v>2813</v>
      </c>
      <c r="E2720" t="s">
        <v>2098</v>
      </c>
      <c r="F2720" t="s">
        <v>953</v>
      </c>
      <c r="G2720" t="s">
        <v>954</v>
      </c>
      <c r="H2720" t="s">
        <v>321</v>
      </c>
      <c r="I2720" t="s">
        <v>17</v>
      </c>
      <c r="J2720">
        <v>202.23</v>
      </c>
      <c r="K2720" s="1">
        <v>45553</v>
      </c>
      <c r="L2720" t="s">
        <v>34</v>
      </c>
      <c r="M2720">
        <v>18</v>
      </c>
      <c r="N2720">
        <v>9</v>
      </c>
      <c r="O2720">
        <v>3</v>
      </c>
      <c r="P2720">
        <v>2024</v>
      </c>
    </row>
    <row r="2721" spans="1:16">
      <c r="A2721">
        <v>393.3</v>
      </c>
      <c r="B2721">
        <v>2</v>
      </c>
      <c r="C2721" t="s">
        <v>2439</v>
      </c>
      <c r="D2721" t="s">
        <v>2440</v>
      </c>
      <c r="E2721" t="s">
        <v>1716</v>
      </c>
      <c r="F2721" t="s">
        <v>2441</v>
      </c>
      <c r="G2721" t="s">
        <v>834</v>
      </c>
      <c r="H2721" t="s">
        <v>226</v>
      </c>
      <c r="I2721" t="s">
        <v>97</v>
      </c>
      <c r="J2721">
        <v>196.65</v>
      </c>
      <c r="K2721" s="1">
        <v>45671</v>
      </c>
      <c r="L2721" t="s">
        <v>48</v>
      </c>
      <c r="M2721">
        <v>14</v>
      </c>
      <c r="N2721">
        <v>1</v>
      </c>
      <c r="O2721">
        <v>1</v>
      </c>
      <c r="P2721">
        <v>2025</v>
      </c>
    </row>
    <row r="2722" spans="1:16">
      <c r="A2722">
        <v>1216.1499999999999</v>
      </c>
      <c r="B2722">
        <v>5</v>
      </c>
      <c r="C2722" t="s">
        <v>1963</v>
      </c>
      <c r="D2722" t="s">
        <v>1964</v>
      </c>
      <c r="E2722" t="s">
        <v>1965</v>
      </c>
      <c r="F2722" t="s">
        <v>1002</v>
      </c>
      <c r="G2722" t="s">
        <v>1003</v>
      </c>
      <c r="H2722" t="s">
        <v>126</v>
      </c>
      <c r="I2722" t="s">
        <v>43</v>
      </c>
      <c r="J2722">
        <v>243.23</v>
      </c>
      <c r="K2722" s="1">
        <v>46079</v>
      </c>
      <c r="L2722" t="s">
        <v>105</v>
      </c>
      <c r="M2722">
        <v>26</v>
      </c>
      <c r="N2722">
        <v>2</v>
      </c>
      <c r="O2722">
        <v>1</v>
      </c>
      <c r="P2722">
        <v>2026</v>
      </c>
    </row>
    <row r="2723" spans="1:16">
      <c r="A2723">
        <v>1125.6999999999998</v>
      </c>
      <c r="B2723">
        <v>5</v>
      </c>
      <c r="C2723" t="s">
        <v>1036</v>
      </c>
      <c r="D2723" t="s">
        <v>1037</v>
      </c>
      <c r="E2723" t="s">
        <v>1038</v>
      </c>
      <c r="F2723" t="s">
        <v>1039</v>
      </c>
      <c r="G2723" t="s">
        <v>758</v>
      </c>
      <c r="H2723" t="s">
        <v>281</v>
      </c>
      <c r="I2723" t="s">
        <v>51</v>
      </c>
      <c r="J2723">
        <v>225.14</v>
      </c>
      <c r="K2723" s="1">
        <v>45775</v>
      </c>
      <c r="L2723" t="s">
        <v>93</v>
      </c>
      <c r="M2723">
        <v>28</v>
      </c>
      <c r="N2723">
        <v>4</v>
      </c>
      <c r="O2723">
        <v>2</v>
      </c>
      <c r="P2723">
        <v>2025</v>
      </c>
    </row>
    <row r="2724" spans="1:16">
      <c r="A2724">
        <v>556.04999999999995</v>
      </c>
      <c r="B2724">
        <v>5</v>
      </c>
      <c r="C2724" t="s">
        <v>1677</v>
      </c>
      <c r="D2724" t="s">
        <v>1678</v>
      </c>
      <c r="E2724" t="s">
        <v>1679</v>
      </c>
      <c r="F2724" t="s">
        <v>767</v>
      </c>
      <c r="G2724" t="s">
        <v>768</v>
      </c>
      <c r="H2724" t="s">
        <v>254</v>
      </c>
      <c r="I2724" t="s">
        <v>51</v>
      </c>
      <c r="J2724">
        <v>111.21</v>
      </c>
      <c r="K2724" s="1">
        <v>46152</v>
      </c>
      <c r="L2724" t="s">
        <v>28</v>
      </c>
      <c r="M2724">
        <v>10</v>
      </c>
      <c r="N2724">
        <v>5</v>
      </c>
      <c r="O2724">
        <v>2</v>
      </c>
      <c r="P2724">
        <v>2026</v>
      </c>
    </row>
    <row r="2725" spans="1:16">
      <c r="A2725">
        <v>33.17</v>
      </c>
      <c r="B2725">
        <v>1</v>
      </c>
      <c r="C2725" t="s">
        <v>1857</v>
      </c>
      <c r="D2725" t="s">
        <v>1858</v>
      </c>
      <c r="E2725" t="s">
        <v>1859</v>
      </c>
      <c r="F2725" t="s">
        <v>15</v>
      </c>
      <c r="G2725" t="s">
        <v>834</v>
      </c>
      <c r="H2725" t="s">
        <v>481</v>
      </c>
      <c r="I2725" t="s">
        <v>69</v>
      </c>
      <c r="J2725">
        <v>33.17</v>
      </c>
      <c r="K2725" s="1">
        <v>45873</v>
      </c>
      <c r="L2725" t="s">
        <v>93</v>
      </c>
      <c r="M2725">
        <v>4</v>
      </c>
      <c r="N2725">
        <v>8</v>
      </c>
      <c r="O2725">
        <v>3</v>
      </c>
      <c r="P2725">
        <v>2025</v>
      </c>
    </row>
    <row r="2726" spans="1:16">
      <c r="A2726">
        <v>87.62</v>
      </c>
      <c r="B2726">
        <v>1</v>
      </c>
      <c r="C2726" t="s">
        <v>2149</v>
      </c>
      <c r="D2726" t="s">
        <v>2150</v>
      </c>
      <c r="E2726" t="s">
        <v>1645</v>
      </c>
      <c r="F2726" t="s">
        <v>64</v>
      </c>
      <c r="G2726" t="s">
        <v>892</v>
      </c>
      <c r="H2726" t="s">
        <v>59</v>
      </c>
      <c r="I2726" t="s">
        <v>60</v>
      </c>
      <c r="J2726">
        <v>87.62</v>
      </c>
      <c r="K2726" s="1">
        <v>45735</v>
      </c>
      <c r="L2726" t="s">
        <v>34</v>
      </c>
      <c r="M2726">
        <v>19</v>
      </c>
      <c r="N2726">
        <v>3</v>
      </c>
      <c r="O2726">
        <v>1</v>
      </c>
      <c r="P2726">
        <v>2025</v>
      </c>
    </row>
    <row r="2727" spans="1:16">
      <c r="A2727">
        <v>747.36</v>
      </c>
      <c r="B2727">
        <v>3</v>
      </c>
      <c r="C2727" t="s">
        <v>3302</v>
      </c>
      <c r="D2727" t="s">
        <v>3303</v>
      </c>
      <c r="E2727" t="s">
        <v>1622</v>
      </c>
      <c r="F2727" t="s">
        <v>1302</v>
      </c>
      <c r="G2727" t="s">
        <v>786</v>
      </c>
      <c r="H2727" t="s">
        <v>65</v>
      </c>
      <c r="I2727" t="s">
        <v>60</v>
      </c>
      <c r="J2727">
        <v>249.12</v>
      </c>
      <c r="K2727" s="1">
        <v>46182</v>
      </c>
      <c r="L2727" t="s">
        <v>48</v>
      </c>
      <c r="M2727">
        <v>9</v>
      </c>
      <c r="N2727">
        <v>6</v>
      </c>
      <c r="O2727">
        <v>2</v>
      </c>
      <c r="P2727">
        <v>2026</v>
      </c>
    </row>
    <row r="2728" spans="1:16">
      <c r="A2728">
        <v>602.13</v>
      </c>
      <c r="B2728">
        <v>3</v>
      </c>
      <c r="C2728" t="s">
        <v>1343</v>
      </c>
      <c r="D2728" t="s">
        <v>1344</v>
      </c>
      <c r="E2728" t="s">
        <v>1345</v>
      </c>
      <c r="F2728" t="s">
        <v>903</v>
      </c>
      <c r="G2728" t="s">
        <v>786</v>
      </c>
      <c r="H2728" t="s">
        <v>298</v>
      </c>
      <c r="I2728" t="s">
        <v>31</v>
      </c>
      <c r="J2728">
        <v>200.71</v>
      </c>
      <c r="K2728" s="1">
        <v>46143</v>
      </c>
      <c r="L2728" t="s">
        <v>79</v>
      </c>
      <c r="M2728">
        <v>1</v>
      </c>
      <c r="N2728">
        <v>5</v>
      </c>
      <c r="O2728">
        <v>2</v>
      </c>
      <c r="P2728">
        <v>2026</v>
      </c>
    </row>
    <row r="2729" spans="1:16">
      <c r="A2729">
        <v>239.49</v>
      </c>
      <c r="B2729">
        <v>3</v>
      </c>
      <c r="C2729" t="s">
        <v>1921</v>
      </c>
      <c r="D2729" t="s">
        <v>1922</v>
      </c>
      <c r="E2729" t="s">
        <v>761</v>
      </c>
      <c r="F2729" t="s">
        <v>113</v>
      </c>
      <c r="G2729" t="s">
        <v>1247</v>
      </c>
      <c r="H2729" t="s">
        <v>234</v>
      </c>
      <c r="I2729" t="s">
        <v>82</v>
      </c>
      <c r="J2729">
        <v>79.83</v>
      </c>
      <c r="K2729" s="1">
        <v>46211</v>
      </c>
      <c r="L2729" t="s">
        <v>34</v>
      </c>
      <c r="M2729">
        <v>8</v>
      </c>
      <c r="N2729">
        <v>7</v>
      </c>
      <c r="O2729">
        <v>3</v>
      </c>
      <c r="P2729">
        <v>2026</v>
      </c>
    </row>
    <row r="2730" spans="1:16">
      <c r="A2730">
        <v>155.85000000000002</v>
      </c>
      <c r="B2730">
        <v>3</v>
      </c>
      <c r="C2730" t="s">
        <v>2180</v>
      </c>
      <c r="D2730" t="s">
        <v>2181</v>
      </c>
      <c r="E2730" t="s">
        <v>1455</v>
      </c>
      <c r="F2730" t="s">
        <v>1239</v>
      </c>
      <c r="G2730" t="s">
        <v>795</v>
      </c>
      <c r="H2730" t="s">
        <v>315</v>
      </c>
      <c r="I2730" t="s">
        <v>27</v>
      </c>
      <c r="J2730">
        <v>51.95</v>
      </c>
      <c r="K2730" s="1">
        <v>45778</v>
      </c>
      <c r="L2730" t="s">
        <v>105</v>
      </c>
      <c r="M2730">
        <v>1</v>
      </c>
      <c r="N2730">
        <v>5</v>
      </c>
      <c r="O2730">
        <v>2</v>
      </c>
      <c r="P2730">
        <v>2025</v>
      </c>
    </row>
    <row r="2731" spans="1:16">
      <c r="A2731">
        <v>676.16</v>
      </c>
      <c r="B2731">
        <v>4</v>
      </c>
      <c r="C2731" t="s">
        <v>2579</v>
      </c>
      <c r="D2731" t="s">
        <v>2580</v>
      </c>
      <c r="E2731" t="s">
        <v>2581</v>
      </c>
      <c r="F2731" t="s">
        <v>562</v>
      </c>
      <c r="G2731" t="s">
        <v>753</v>
      </c>
      <c r="H2731" t="s">
        <v>443</v>
      </c>
      <c r="I2731" t="s">
        <v>55</v>
      </c>
      <c r="J2731">
        <v>169.04</v>
      </c>
      <c r="K2731" s="1">
        <v>45965</v>
      </c>
      <c r="L2731" t="s">
        <v>48</v>
      </c>
      <c r="M2731">
        <v>4</v>
      </c>
      <c r="N2731">
        <v>11</v>
      </c>
      <c r="O2731">
        <v>4</v>
      </c>
      <c r="P2731">
        <v>2025</v>
      </c>
    </row>
    <row r="2732" spans="1:16">
      <c r="A2732">
        <v>67.56</v>
      </c>
      <c r="B2732">
        <v>2</v>
      </c>
      <c r="C2732" t="s">
        <v>1255</v>
      </c>
      <c r="D2732" t="s">
        <v>1256</v>
      </c>
      <c r="E2732" t="s">
        <v>969</v>
      </c>
      <c r="F2732" t="s">
        <v>1257</v>
      </c>
      <c r="G2732" t="s">
        <v>839</v>
      </c>
      <c r="H2732" t="s">
        <v>625</v>
      </c>
      <c r="I2732" t="s">
        <v>43</v>
      </c>
      <c r="J2732">
        <v>33.78</v>
      </c>
      <c r="K2732" s="1">
        <v>45704</v>
      </c>
      <c r="L2732" t="s">
        <v>28</v>
      </c>
      <c r="M2732">
        <v>16</v>
      </c>
      <c r="N2732">
        <v>2</v>
      </c>
      <c r="O2732">
        <v>1</v>
      </c>
      <c r="P2732">
        <v>2025</v>
      </c>
    </row>
    <row r="2733" spans="1:16">
      <c r="A2733">
        <v>169.26</v>
      </c>
      <c r="B2733">
        <v>2</v>
      </c>
      <c r="C2733" t="s">
        <v>1792</v>
      </c>
      <c r="D2733" t="s">
        <v>1178</v>
      </c>
      <c r="E2733" t="s">
        <v>1793</v>
      </c>
      <c r="F2733" t="s">
        <v>862</v>
      </c>
      <c r="G2733" t="s">
        <v>908</v>
      </c>
      <c r="H2733" t="s">
        <v>495</v>
      </c>
      <c r="I2733" t="s">
        <v>39</v>
      </c>
      <c r="J2733">
        <v>84.63</v>
      </c>
      <c r="K2733" s="1">
        <v>46045</v>
      </c>
      <c r="L2733" t="s">
        <v>79</v>
      </c>
      <c r="M2733">
        <v>23</v>
      </c>
      <c r="N2733">
        <v>1</v>
      </c>
      <c r="O2733">
        <v>1</v>
      </c>
      <c r="P2733">
        <v>2026</v>
      </c>
    </row>
    <row r="2734" spans="1:16">
      <c r="A2734">
        <v>565.91999999999996</v>
      </c>
      <c r="B2734">
        <v>4</v>
      </c>
      <c r="C2734" t="s">
        <v>1985</v>
      </c>
      <c r="D2734" t="s">
        <v>1986</v>
      </c>
      <c r="E2734" t="s">
        <v>1987</v>
      </c>
      <c r="F2734" t="s">
        <v>785</v>
      </c>
      <c r="G2734" t="s">
        <v>786</v>
      </c>
      <c r="H2734" t="s">
        <v>240</v>
      </c>
      <c r="I2734" t="s">
        <v>23</v>
      </c>
      <c r="J2734">
        <v>141.47999999999999</v>
      </c>
      <c r="K2734" s="1">
        <v>46274</v>
      </c>
      <c r="L2734" t="s">
        <v>34</v>
      </c>
      <c r="M2734">
        <v>9</v>
      </c>
      <c r="N2734">
        <v>9</v>
      </c>
      <c r="O2734">
        <v>3</v>
      </c>
      <c r="P2734">
        <v>2026</v>
      </c>
    </row>
    <row r="2735" spans="1:16">
      <c r="A2735">
        <v>151.94999999999999</v>
      </c>
      <c r="B2735">
        <v>3</v>
      </c>
      <c r="C2735" t="s">
        <v>3157</v>
      </c>
      <c r="D2735" t="s">
        <v>3158</v>
      </c>
      <c r="E2735" t="s">
        <v>2117</v>
      </c>
      <c r="F2735" t="s">
        <v>953</v>
      </c>
      <c r="G2735" t="s">
        <v>954</v>
      </c>
      <c r="H2735" t="s">
        <v>403</v>
      </c>
      <c r="I2735" t="s">
        <v>23</v>
      </c>
      <c r="J2735">
        <v>50.65</v>
      </c>
      <c r="K2735" s="1">
        <v>45962</v>
      </c>
      <c r="L2735" t="s">
        <v>14</v>
      </c>
      <c r="M2735">
        <v>1</v>
      </c>
      <c r="N2735">
        <v>11</v>
      </c>
      <c r="O2735">
        <v>4</v>
      </c>
      <c r="P2735">
        <v>2025</v>
      </c>
    </row>
    <row r="2736" spans="1:16">
      <c r="A2736">
        <v>92.68</v>
      </c>
      <c r="B2736">
        <v>4</v>
      </c>
      <c r="C2736" t="s">
        <v>2352</v>
      </c>
      <c r="D2736" t="s">
        <v>2353</v>
      </c>
      <c r="E2736" t="s">
        <v>2354</v>
      </c>
      <c r="F2736" t="s">
        <v>635</v>
      </c>
      <c r="G2736" t="s">
        <v>768</v>
      </c>
      <c r="H2736" t="s">
        <v>726</v>
      </c>
      <c r="I2736" t="s">
        <v>100</v>
      </c>
      <c r="J2736">
        <v>23.17</v>
      </c>
      <c r="K2736" s="1">
        <v>45613</v>
      </c>
      <c r="L2736" t="s">
        <v>28</v>
      </c>
      <c r="M2736">
        <v>17</v>
      </c>
      <c r="N2736">
        <v>11</v>
      </c>
      <c r="O2736">
        <v>4</v>
      </c>
      <c r="P2736">
        <v>2024</v>
      </c>
    </row>
    <row r="2737" spans="1:16">
      <c r="A2737">
        <v>138.78</v>
      </c>
      <c r="B2737">
        <v>3</v>
      </c>
      <c r="C2737" t="s">
        <v>2921</v>
      </c>
      <c r="D2737" t="s">
        <v>2922</v>
      </c>
      <c r="E2737" t="s">
        <v>1149</v>
      </c>
      <c r="F2737" t="s">
        <v>380</v>
      </c>
      <c r="G2737" t="s">
        <v>776</v>
      </c>
      <c r="H2737" t="s">
        <v>190</v>
      </c>
      <c r="I2737" t="s">
        <v>39</v>
      </c>
      <c r="J2737">
        <v>46.26</v>
      </c>
      <c r="K2737" s="1">
        <v>45862</v>
      </c>
      <c r="L2737" t="s">
        <v>105</v>
      </c>
      <c r="M2737">
        <v>24</v>
      </c>
      <c r="N2737">
        <v>7</v>
      </c>
      <c r="O2737">
        <v>3</v>
      </c>
      <c r="P2737">
        <v>2025</v>
      </c>
    </row>
    <row r="2738" spans="1:16">
      <c r="A2738">
        <v>195.78000000000003</v>
      </c>
      <c r="B2738">
        <v>3</v>
      </c>
      <c r="C2738" t="s">
        <v>900</v>
      </c>
      <c r="D2738" t="s">
        <v>901</v>
      </c>
      <c r="E2738" t="s">
        <v>902</v>
      </c>
      <c r="F2738" t="s">
        <v>903</v>
      </c>
      <c r="G2738" t="s">
        <v>786</v>
      </c>
      <c r="H2738" t="s">
        <v>78</v>
      </c>
      <c r="I2738" t="s">
        <v>51</v>
      </c>
      <c r="J2738">
        <v>65.260000000000005</v>
      </c>
      <c r="K2738" s="1">
        <v>45587</v>
      </c>
      <c r="L2738" t="s">
        <v>48</v>
      </c>
      <c r="M2738">
        <v>22</v>
      </c>
      <c r="N2738">
        <v>10</v>
      </c>
      <c r="O2738">
        <v>4</v>
      </c>
      <c r="P2738">
        <v>2024</v>
      </c>
    </row>
    <row r="2739" spans="1:16">
      <c r="A2739">
        <v>251.4</v>
      </c>
      <c r="B2739">
        <v>5</v>
      </c>
      <c r="C2739" t="s">
        <v>1488</v>
      </c>
      <c r="D2739" t="s">
        <v>1489</v>
      </c>
      <c r="E2739" t="s">
        <v>1490</v>
      </c>
      <c r="F2739" t="s">
        <v>280</v>
      </c>
      <c r="G2739" t="s">
        <v>812</v>
      </c>
      <c r="H2739" t="s">
        <v>519</v>
      </c>
      <c r="I2739" t="s">
        <v>51</v>
      </c>
      <c r="J2739">
        <v>50.28</v>
      </c>
      <c r="K2739" s="1">
        <v>45850</v>
      </c>
      <c r="L2739" t="s">
        <v>14</v>
      </c>
      <c r="M2739">
        <v>12</v>
      </c>
      <c r="N2739">
        <v>7</v>
      </c>
      <c r="O2739">
        <v>3</v>
      </c>
      <c r="P2739">
        <v>2025</v>
      </c>
    </row>
    <row r="2740" spans="1:16">
      <c r="A2740">
        <v>57.95</v>
      </c>
      <c r="B2740">
        <v>5</v>
      </c>
      <c r="C2740" t="s">
        <v>3242</v>
      </c>
      <c r="D2740" t="s">
        <v>3243</v>
      </c>
      <c r="E2740" t="s">
        <v>861</v>
      </c>
      <c r="F2740" t="s">
        <v>961</v>
      </c>
      <c r="G2740" t="s">
        <v>807</v>
      </c>
      <c r="H2740" t="s">
        <v>579</v>
      </c>
      <c r="I2740" t="s">
        <v>31</v>
      </c>
      <c r="J2740">
        <v>11.59</v>
      </c>
      <c r="K2740" s="1">
        <v>46248</v>
      </c>
      <c r="L2740" t="s">
        <v>79</v>
      </c>
      <c r="M2740">
        <v>14</v>
      </c>
      <c r="N2740">
        <v>8</v>
      </c>
      <c r="O2740">
        <v>3</v>
      </c>
      <c r="P2740">
        <v>2026</v>
      </c>
    </row>
    <row r="2741" spans="1:16">
      <c r="A2741">
        <v>1119.0999999999999</v>
      </c>
      <c r="B2741">
        <v>5</v>
      </c>
      <c r="C2741" t="s">
        <v>1748</v>
      </c>
      <c r="D2741" t="s">
        <v>1749</v>
      </c>
      <c r="E2741" t="s">
        <v>766</v>
      </c>
      <c r="F2741" t="s">
        <v>980</v>
      </c>
      <c r="G2741" t="s">
        <v>981</v>
      </c>
      <c r="H2741" t="s">
        <v>588</v>
      </c>
      <c r="I2741" t="s">
        <v>82</v>
      </c>
      <c r="J2741">
        <v>223.82</v>
      </c>
      <c r="K2741" s="1">
        <v>46164</v>
      </c>
      <c r="L2741" t="s">
        <v>79</v>
      </c>
      <c r="M2741">
        <v>22</v>
      </c>
      <c r="N2741">
        <v>5</v>
      </c>
      <c r="O2741">
        <v>2</v>
      </c>
      <c r="P2741">
        <v>2026</v>
      </c>
    </row>
    <row r="2742" spans="1:16">
      <c r="A2742">
        <v>725.93999999999994</v>
      </c>
      <c r="B2742">
        <v>3</v>
      </c>
      <c r="C2742" t="s">
        <v>840</v>
      </c>
      <c r="D2742" t="s">
        <v>841</v>
      </c>
      <c r="E2742" t="s">
        <v>842</v>
      </c>
      <c r="F2742" t="s">
        <v>843</v>
      </c>
      <c r="G2742" t="s">
        <v>753</v>
      </c>
      <c r="H2742" t="s">
        <v>203</v>
      </c>
      <c r="I2742" t="s">
        <v>100</v>
      </c>
      <c r="J2742">
        <v>241.98</v>
      </c>
      <c r="K2742" s="1">
        <v>45699</v>
      </c>
      <c r="L2742" t="s">
        <v>48</v>
      </c>
      <c r="M2742">
        <v>11</v>
      </c>
      <c r="N2742">
        <v>2</v>
      </c>
      <c r="O2742">
        <v>1</v>
      </c>
      <c r="P2742">
        <v>2025</v>
      </c>
    </row>
    <row r="2743" spans="1:16">
      <c r="A2743">
        <v>27.44</v>
      </c>
      <c r="B2743">
        <v>1</v>
      </c>
      <c r="C2743" t="s">
        <v>1207</v>
      </c>
      <c r="D2743" t="s">
        <v>1208</v>
      </c>
      <c r="E2743" t="s">
        <v>935</v>
      </c>
      <c r="F2743" t="s">
        <v>1209</v>
      </c>
      <c r="G2743" t="s">
        <v>776</v>
      </c>
      <c r="H2743" t="s">
        <v>722</v>
      </c>
      <c r="I2743" t="s">
        <v>37</v>
      </c>
      <c r="J2743">
        <v>27.44</v>
      </c>
      <c r="K2743" s="1">
        <v>45665</v>
      </c>
      <c r="L2743" t="s">
        <v>34</v>
      </c>
      <c r="M2743">
        <v>8</v>
      </c>
      <c r="N2743">
        <v>1</v>
      </c>
      <c r="O2743">
        <v>1</v>
      </c>
      <c r="P2743">
        <v>2025</v>
      </c>
    </row>
    <row r="2744" spans="1:16">
      <c r="A2744">
        <v>861.8</v>
      </c>
      <c r="B2744">
        <v>4</v>
      </c>
      <c r="C2744" t="s">
        <v>1575</v>
      </c>
      <c r="D2744" t="s">
        <v>1576</v>
      </c>
      <c r="E2744" t="s">
        <v>1577</v>
      </c>
      <c r="F2744" t="s">
        <v>392</v>
      </c>
      <c r="G2744" t="s">
        <v>834</v>
      </c>
      <c r="H2744" t="s">
        <v>395</v>
      </c>
      <c r="I2744" t="s">
        <v>19</v>
      </c>
      <c r="J2744">
        <v>215.45</v>
      </c>
      <c r="K2744" s="1">
        <v>46065</v>
      </c>
      <c r="L2744" t="s">
        <v>105</v>
      </c>
      <c r="M2744">
        <v>12</v>
      </c>
      <c r="N2744">
        <v>2</v>
      </c>
      <c r="O2744">
        <v>1</v>
      </c>
      <c r="P2744">
        <v>2026</v>
      </c>
    </row>
    <row r="2745" spans="1:16">
      <c r="A2745">
        <v>39.15</v>
      </c>
      <c r="B2745">
        <v>5</v>
      </c>
      <c r="C2745" t="s">
        <v>1062</v>
      </c>
      <c r="D2745" t="s">
        <v>1063</v>
      </c>
      <c r="E2745" t="s">
        <v>1064</v>
      </c>
      <c r="F2745" t="s">
        <v>151</v>
      </c>
      <c r="G2745" t="s">
        <v>1003</v>
      </c>
      <c r="H2745" t="s">
        <v>489</v>
      </c>
      <c r="I2745" t="s">
        <v>51</v>
      </c>
      <c r="J2745">
        <v>7.83</v>
      </c>
      <c r="K2745" s="1">
        <v>45800</v>
      </c>
      <c r="L2745" t="s">
        <v>79</v>
      </c>
      <c r="M2745">
        <v>23</v>
      </c>
      <c r="N2745">
        <v>5</v>
      </c>
      <c r="O2745">
        <v>2</v>
      </c>
      <c r="P2745">
        <v>2025</v>
      </c>
    </row>
    <row r="2746" spans="1:16">
      <c r="A2746">
        <v>907.88</v>
      </c>
      <c r="B2746">
        <v>4</v>
      </c>
      <c r="C2746" t="s">
        <v>904</v>
      </c>
      <c r="D2746" t="s">
        <v>905</v>
      </c>
      <c r="E2746" t="s">
        <v>906</v>
      </c>
      <c r="F2746" t="s">
        <v>907</v>
      </c>
      <c r="G2746" t="s">
        <v>908</v>
      </c>
      <c r="H2746" t="s">
        <v>283</v>
      </c>
      <c r="I2746" t="s">
        <v>100</v>
      </c>
      <c r="J2746">
        <v>226.97</v>
      </c>
      <c r="K2746" s="1">
        <v>46087</v>
      </c>
      <c r="L2746" t="s">
        <v>79</v>
      </c>
      <c r="M2746">
        <v>6</v>
      </c>
      <c r="N2746">
        <v>3</v>
      </c>
      <c r="O2746">
        <v>1</v>
      </c>
      <c r="P2746">
        <v>2026</v>
      </c>
    </row>
    <row r="2747" spans="1:16">
      <c r="A2747">
        <v>28.27</v>
      </c>
      <c r="B2747">
        <v>1</v>
      </c>
      <c r="C2747" t="s">
        <v>1519</v>
      </c>
      <c r="D2747" t="s">
        <v>1520</v>
      </c>
      <c r="E2747" t="s">
        <v>1521</v>
      </c>
      <c r="F2747" t="s">
        <v>1172</v>
      </c>
      <c r="G2747" t="s">
        <v>830</v>
      </c>
      <c r="H2747" t="s">
        <v>184</v>
      </c>
      <c r="I2747" t="s">
        <v>31</v>
      </c>
      <c r="J2747">
        <v>28.27</v>
      </c>
      <c r="K2747" s="1">
        <v>45647</v>
      </c>
      <c r="L2747" t="s">
        <v>14</v>
      </c>
      <c r="M2747">
        <v>21</v>
      </c>
      <c r="N2747">
        <v>12</v>
      </c>
      <c r="O2747">
        <v>4</v>
      </c>
      <c r="P2747">
        <v>2024</v>
      </c>
    </row>
    <row r="2748" spans="1:16">
      <c r="A2748">
        <v>144.47999999999999</v>
      </c>
      <c r="B2748">
        <v>1</v>
      </c>
      <c r="C2748" t="s">
        <v>2014</v>
      </c>
      <c r="D2748" t="s">
        <v>2015</v>
      </c>
      <c r="E2748" t="s">
        <v>1585</v>
      </c>
      <c r="F2748" t="s">
        <v>862</v>
      </c>
      <c r="G2748" t="s">
        <v>908</v>
      </c>
      <c r="H2748" t="s">
        <v>1441</v>
      </c>
      <c r="I2748" t="s">
        <v>19</v>
      </c>
      <c r="J2748">
        <v>144.47999999999999</v>
      </c>
      <c r="K2748" s="1">
        <v>46061</v>
      </c>
      <c r="L2748" t="s">
        <v>28</v>
      </c>
      <c r="M2748">
        <v>8</v>
      </c>
      <c r="N2748">
        <v>2</v>
      </c>
      <c r="O2748">
        <v>1</v>
      </c>
      <c r="P2748">
        <v>2026</v>
      </c>
    </row>
    <row r="2749" spans="1:16">
      <c r="A2749">
        <v>140.82</v>
      </c>
      <c r="B2749">
        <v>3</v>
      </c>
      <c r="C2749" t="s">
        <v>1264</v>
      </c>
      <c r="D2749" t="s">
        <v>1265</v>
      </c>
      <c r="E2749" t="s">
        <v>1266</v>
      </c>
      <c r="F2749" t="s">
        <v>392</v>
      </c>
      <c r="G2749" t="s">
        <v>943</v>
      </c>
      <c r="H2749" t="s">
        <v>365</v>
      </c>
      <c r="I2749" t="s">
        <v>51</v>
      </c>
      <c r="J2749">
        <v>46.94</v>
      </c>
      <c r="K2749" s="1">
        <v>46174</v>
      </c>
      <c r="L2749" t="s">
        <v>93</v>
      </c>
      <c r="M2749">
        <v>1</v>
      </c>
      <c r="N2749">
        <v>6</v>
      </c>
      <c r="O2749">
        <v>2</v>
      </c>
      <c r="P2749">
        <v>2026</v>
      </c>
    </row>
    <row r="2750" spans="1:16">
      <c r="A2750">
        <v>160.43</v>
      </c>
      <c r="B2750">
        <v>1</v>
      </c>
      <c r="C2750" t="s">
        <v>3104</v>
      </c>
      <c r="D2750" t="s">
        <v>3105</v>
      </c>
      <c r="E2750" t="s">
        <v>1791</v>
      </c>
      <c r="F2750" t="s">
        <v>1342</v>
      </c>
      <c r="G2750" t="s">
        <v>776</v>
      </c>
      <c r="H2750" t="s">
        <v>424</v>
      </c>
      <c r="I2750" t="s">
        <v>69</v>
      </c>
      <c r="J2750">
        <v>160.43</v>
      </c>
      <c r="K2750" s="1">
        <v>45814</v>
      </c>
      <c r="L2750" t="s">
        <v>79</v>
      </c>
      <c r="M2750">
        <v>6</v>
      </c>
      <c r="N2750">
        <v>6</v>
      </c>
      <c r="O2750">
        <v>2</v>
      </c>
      <c r="P2750">
        <v>2025</v>
      </c>
    </row>
    <row r="2751" spans="1:16">
      <c r="A2751">
        <v>29.68</v>
      </c>
      <c r="B2751">
        <v>4</v>
      </c>
      <c r="C2751" t="s">
        <v>1896</v>
      </c>
      <c r="D2751" t="s">
        <v>1897</v>
      </c>
      <c r="E2751" t="s">
        <v>1114</v>
      </c>
      <c r="F2751" t="s">
        <v>1026</v>
      </c>
      <c r="G2751" t="s">
        <v>896</v>
      </c>
      <c r="H2751" t="s">
        <v>194</v>
      </c>
      <c r="I2751" t="s">
        <v>39</v>
      </c>
      <c r="J2751">
        <v>7.42</v>
      </c>
      <c r="K2751" s="1">
        <v>46135</v>
      </c>
      <c r="L2751" t="s">
        <v>105</v>
      </c>
      <c r="M2751">
        <v>23</v>
      </c>
      <c r="N2751">
        <v>4</v>
      </c>
      <c r="O2751">
        <v>2</v>
      </c>
      <c r="P2751">
        <v>2026</v>
      </c>
    </row>
    <row r="2752" spans="1:16">
      <c r="A2752">
        <v>1016.15</v>
      </c>
      <c r="B2752">
        <v>5</v>
      </c>
      <c r="C2752" t="s">
        <v>1860</v>
      </c>
      <c r="D2752" t="s">
        <v>1861</v>
      </c>
      <c r="E2752" t="s">
        <v>1862</v>
      </c>
      <c r="F2752" t="s">
        <v>879</v>
      </c>
      <c r="G2752" t="s">
        <v>748</v>
      </c>
      <c r="H2752" t="s">
        <v>417</v>
      </c>
      <c r="I2752" t="s">
        <v>51</v>
      </c>
      <c r="J2752">
        <v>203.23</v>
      </c>
      <c r="K2752" s="1">
        <v>45960</v>
      </c>
      <c r="L2752" t="s">
        <v>105</v>
      </c>
      <c r="M2752">
        <v>30</v>
      </c>
      <c r="N2752">
        <v>10</v>
      </c>
      <c r="O2752">
        <v>4</v>
      </c>
      <c r="P2752">
        <v>2025</v>
      </c>
    </row>
    <row r="2753" spans="1:16">
      <c r="A2753">
        <v>519.88</v>
      </c>
      <c r="B2753">
        <v>4</v>
      </c>
      <c r="C2753" t="s">
        <v>1683</v>
      </c>
      <c r="D2753" t="s">
        <v>1684</v>
      </c>
      <c r="E2753" t="s">
        <v>1685</v>
      </c>
      <c r="F2753" t="s">
        <v>1067</v>
      </c>
      <c r="G2753" t="s">
        <v>854</v>
      </c>
      <c r="H2753" t="s">
        <v>263</v>
      </c>
      <c r="I2753" t="s">
        <v>60</v>
      </c>
      <c r="J2753">
        <v>129.97</v>
      </c>
      <c r="K2753" s="1">
        <v>46145</v>
      </c>
      <c r="L2753" t="s">
        <v>28</v>
      </c>
      <c r="M2753">
        <v>3</v>
      </c>
      <c r="N2753">
        <v>5</v>
      </c>
      <c r="O2753">
        <v>2</v>
      </c>
      <c r="P2753">
        <v>2026</v>
      </c>
    </row>
    <row r="2754" spans="1:16">
      <c r="A2754">
        <v>23.55</v>
      </c>
      <c r="B2754">
        <v>5</v>
      </c>
      <c r="C2754" t="s">
        <v>2766</v>
      </c>
      <c r="D2754" t="s">
        <v>2767</v>
      </c>
      <c r="E2754" t="s">
        <v>1709</v>
      </c>
      <c r="F2754" t="s">
        <v>608</v>
      </c>
      <c r="G2754" t="s">
        <v>966</v>
      </c>
      <c r="H2754" t="s">
        <v>454</v>
      </c>
      <c r="I2754" t="s">
        <v>23</v>
      </c>
      <c r="J2754">
        <v>4.71</v>
      </c>
      <c r="K2754" s="1">
        <v>45811</v>
      </c>
      <c r="L2754" t="s">
        <v>48</v>
      </c>
      <c r="M2754">
        <v>3</v>
      </c>
      <c r="N2754">
        <v>6</v>
      </c>
      <c r="O2754">
        <v>2</v>
      </c>
      <c r="P2754">
        <v>2025</v>
      </c>
    </row>
    <row r="2755" spans="1:16">
      <c r="A2755">
        <v>172.29</v>
      </c>
      <c r="B2755">
        <v>3</v>
      </c>
      <c r="C2755" t="s">
        <v>3061</v>
      </c>
      <c r="D2755" t="s">
        <v>3062</v>
      </c>
      <c r="E2755" t="s">
        <v>2629</v>
      </c>
      <c r="F2755" t="s">
        <v>1168</v>
      </c>
      <c r="G2755" t="s">
        <v>758</v>
      </c>
      <c r="H2755" t="s">
        <v>730</v>
      </c>
      <c r="I2755" t="s">
        <v>51</v>
      </c>
      <c r="J2755">
        <v>57.43</v>
      </c>
      <c r="K2755" s="1">
        <v>45963</v>
      </c>
      <c r="L2755" t="s">
        <v>28</v>
      </c>
      <c r="M2755">
        <v>2</v>
      </c>
      <c r="N2755">
        <v>11</v>
      </c>
      <c r="O2755">
        <v>4</v>
      </c>
      <c r="P2755">
        <v>2025</v>
      </c>
    </row>
    <row r="2756" spans="1:16">
      <c r="A2756">
        <v>996.48</v>
      </c>
      <c r="B2756">
        <v>4</v>
      </c>
      <c r="C2756" t="s">
        <v>2018</v>
      </c>
      <c r="D2756" t="s">
        <v>2019</v>
      </c>
      <c r="E2756" t="s">
        <v>2020</v>
      </c>
      <c r="F2756" t="s">
        <v>635</v>
      </c>
      <c r="G2756" t="s">
        <v>768</v>
      </c>
      <c r="H2756" t="s">
        <v>65</v>
      </c>
      <c r="I2756" t="s">
        <v>60</v>
      </c>
      <c r="J2756">
        <v>249.12</v>
      </c>
      <c r="K2756" s="1">
        <v>46142</v>
      </c>
      <c r="L2756" t="s">
        <v>105</v>
      </c>
      <c r="M2756">
        <v>30</v>
      </c>
      <c r="N2756">
        <v>4</v>
      </c>
      <c r="O2756">
        <v>2</v>
      </c>
      <c r="P2756">
        <v>2026</v>
      </c>
    </row>
    <row r="2757" spans="1:16">
      <c r="A2757">
        <v>132.52000000000001</v>
      </c>
      <c r="B2757">
        <v>4</v>
      </c>
      <c r="C2757" t="s">
        <v>1836</v>
      </c>
      <c r="D2757" t="s">
        <v>1837</v>
      </c>
      <c r="E2757" t="s">
        <v>1838</v>
      </c>
      <c r="F2757" t="s">
        <v>64</v>
      </c>
      <c r="G2757" t="s">
        <v>892</v>
      </c>
      <c r="H2757" t="s">
        <v>164</v>
      </c>
      <c r="I2757" t="s">
        <v>46</v>
      </c>
      <c r="J2757">
        <v>33.130000000000003</v>
      </c>
      <c r="K2757" s="1">
        <v>45646</v>
      </c>
      <c r="L2757" t="s">
        <v>79</v>
      </c>
      <c r="M2757">
        <v>20</v>
      </c>
      <c r="N2757">
        <v>12</v>
      </c>
      <c r="O2757">
        <v>4</v>
      </c>
      <c r="P2757">
        <v>2024</v>
      </c>
    </row>
    <row r="2758" spans="1:16">
      <c r="A2758">
        <v>873.64</v>
      </c>
      <c r="B2758">
        <v>4</v>
      </c>
      <c r="C2758" t="s">
        <v>1203</v>
      </c>
      <c r="D2758" t="s">
        <v>1204</v>
      </c>
      <c r="E2758" t="s">
        <v>1205</v>
      </c>
      <c r="F2758" t="s">
        <v>1206</v>
      </c>
      <c r="G2758" t="s">
        <v>943</v>
      </c>
      <c r="H2758" t="s">
        <v>411</v>
      </c>
      <c r="I2758" t="s">
        <v>82</v>
      </c>
      <c r="J2758">
        <v>218.41</v>
      </c>
      <c r="K2758" s="1">
        <v>45916</v>
      </c>
      <c r="L2758" t="s">
        <v>48</v>
      </c>
      <c r="M2758">
        <v>16</v>
      </c>
      <c r="N2758">
        <v>9</v>
      </c>
      <c r="O2758">
        <v>3</v>
      </c>
      <c r="P2758">
        <v>2025</v>
      </c>
    </row>
    <row r="2759" spans="1:16">
      <c r="A2759">
        <v>357.94</v>
      </c>
      <c r="B2759">
        <v>2</v>
      </c>
      <c r="C2759" t="s">
        <v>3042</v>
      </c>
      <c r="D2759" t="s">
        <v>3043</v>
      </c>
      <c r="E2759" t="s">
        <v>1358</v>
      </c>
      <c r="F2759" t="s">
        <v>942</v>
      </c>
      <c r="G2759" t="s">
        <v>943</v>
      </c>
      <c r="H2759" t="s">
        <v>612</v>
      </c>
      <c r="I2759" t="s">
        <v>97</v>
      </c>
      <c r="J2759">
        <v>178.97</v>
      </c>
      <c r="K2759" s="1">
        <v>46115</v>
      </c>
      <c r="L2759" t="s">
        <v>79</v>
      </c>
      <c r="M2759">
        <v>3</v>
      </c>
      <c r="N2759">
        <v>4</v>
      </c>
      <c r="O2759">
        <v>2</v>
      </c>
      <c r="P2759">
        <v>2026</v>
      </c>
    </row>
    <row r="2760" spans="1:16">
      <c r="A2760">
        <v>27.57</v>
      </c>
      <c r="B2760">
        <v>3</v>
      </c>
      <c r="C2760" t="s">
        <v>1299</v>
      </c>
      <c r="D2760" t="s">
        <v>1300</v>
      </c>
      <c r="E2760" t="s">
        <v>1301</v>
      </c>
      <c r="F2760" t="s">
        <v>1302</v>
      </c>
      <c r="G2760" t="s">
        <v>786</v>
      </c>
      <c r="H2760" t="s">
        <v>413</v>
      </c>
      <c r="I2760" t="s">
        <v>57</v>
      </c>
      <c r="J2760">
        <v>9.19</v>
      </c>
      <c r="K2760" s="1">
        <v>45663</v>
      </c>
      <c r="L2760" t="s">
        <v>93</v>
      </c>
      <c r="M2760">
        <v>6</v>
      </c>
      <c r="N2760">
        <v>1</v>
      </c>
      <c r="O2760">
        <v>1</v>
      </c>
      <c r="P2760">
        <v>2025</v>
      </c>
    </row>
    <row r="2761" spans="1:16">
      <c r="A2761">
        <v>234.88</v>
      </c>
      <c r="B2761">
        <v>2</v>
      </c>
      <c r="C2761" t="s">
        <v>2627</v>
      </c>
      <c r="D2761" t="s">
        <v>2628</v>
      </c>
      <c r="E2761" t="s">
        <v>2629</v>
      </c>
      <c r="F2761" t="s">
        <v>2332</v>
      </c>
      <c r="G2761" t="s">
        <v>1003</v>
      </c>
      <c r="H2761" t="s">
        <v>419</v>
      </c>
      <c r="I2761" t="s">
        <v>39</v>
      </c>
      <c r="J2761">
        <v>117.44</v>
      </c>
      <c r="K2761" s="1">
        <v>45636</v>
      </c>
      <c r="L2761" t="s">
        <v>48</v>
      </c>
      <c r="M2761">
        <v>10</v>
      </c>
      <c r="N2761">
        <v>12</v>
      </c>
      <c r="O2761">
        <v>4</v>
      </c>
      <c r="P2761">
        <v>2024</v>
      </c>
    </row>
    <row r="2762" spans="1:16">
      <c r="A2762">
        <v>41.24</v>
      </c>
      <c r="B2762">
        <v>2</v>
      </c>
      <c r="C2762" t="s">
        <v>1325</v>
      </c>
      <c r="D2762" t="s">
        <v>778</v>
      </c>
      <c r="E2762" t="s">
        <v>1326</v>
      </c>
      <c r="F2762" t="s">
        <v>1327</v>
      </c>
      <c r="G2762" t="s">
        <v>795</v>
      </c>
      <c r="H2762" t="s">
        <v>96</v>
      </c>
      <c r="I2762" t="s">
        <v>97</v>
      </c>
      <c r="J2762">
        <v>20.62</v>
      </c>
      <c r="K2762" s="1">
        <v>46001</v>
      </c>
      <c r="L2762" t="s">
        <v>34</v>
      </c>
      <c r="M2762">
        <v>10</v>
      </c>
      <c r="N2762">
        <v>12</v>
      </c>
      <c r="O2762">
        <v>4</v>
      </c>
      <c r="P2762">
        <v>2025</v>
      </c>
    </row>
    <row r="2763" spans="1:16">
      <c r="A2763">
        <v>230.27</v>
      </c>
      <c r="B2763">
        <v>1</v>
      </c>
      <c r="C2763" t="s">
        <v>2955</v>
      </c>
      <c r="D2763" t="s">
        <v>2956</v>
      </c>
      <c r="E2763" t="s">
        <v>1330</v>
      </c>
      <c r="F2763" t="s">
        <v>64</v>
      </c>
      <c r="G2763" t="s">
        <v>892</v>
      </c>
      <c r="H2763" t="s">
        <v>200</v>
      </c>
      <c r="I2763" t="s">
        <v>17</v>
      </c>
      <c r="J2763">
        <v>230.27</v>
      </c>
      <c r="K2763" s="1">
        <v>45710</v>
      </c>
      <c r="L2763" t="s">
        <v>14</v>
      </c>
      <c r="M2763">
        <v>22</v>
      </c>
      <c r="N2763">
        <v>2</v>
      </c>
      <c r="O2763">
        <v>1</v>
      </c>
      <c r="P2763">
        <v>2025</v>
      </c>
    </row>
    <row r="2764" spans="1:16">
      <c r="A2764">
        <v>749.36</v>
      </c>
      <c r="B2764">
        <v>4</v>
      </c>
      <c r="C2764" t="s">
        <v>1218</v>
      </c>
      <c r="D2764" t="s">
        <v>1219</v>
      </c>
      <c r="E2764" t="s">
        <v>1220</v>
      </c>
      <c r="F2764" t="s">
        <v>1206</v>
      </c>
      <c r="G2764" t="s">
        <v>943</v>
      </c>
      <c r="H2764" t="s">
        <v>241</v>
      </c>
      <c r="I2764" t="s">
        <v>31</v>
      </c>
      <c r="J2764">
        <v>187.34</v>
      </c>
      <c r="K2764" s="1">
        <v>45588</v>
      </c>
      <c r="L2764" t="s">
        <v>34</v>
      </c>
      <c r="M2764">
        <v>23</v>
      </c>
      <c r="N2764">
        <v>10</v>
      </c>
      <c r="O2764">
        <v>4</v>
      </c>
      <c r="P2764">
        <v>2024</v>
      </c>
    </row>
    <row r="2765" spans="1:16">
      <c r="A2765">
        <v>49.76</v>
      </c>
      <c r="B2765">
        <v>4</v>
      </c>
      <c r="C2765" t="s">
        <v>1319</v>
      </c>
      <c r="D2765" t="s">
        <v>1320</v>
      </c>
      <c r="E2765" t="s">
        <v>1321</v>
      </c>
      <c r="F2765" t="s">
        <v>1061</v>
      </c>
      <c r="G2765" t="s">
        <v>821</v>
      </c>
      <c r="H2765" t="s">
        <v>310</v>
      </c>
      <c r="I2765" t="s">
        <v>60</v>
      </c>
      <c r="J2765">
        <v>12.44</v>
      </c>
      <c r="K2765" s="1">
        <v>45761</v>
      </c>
      <c r="L2765" t="s">
        <v>93</v>
      </c>
      <c r="M2765">
        <v>14</v>
      </c>
      <c r="N2765">
        <v>4</v>
      </c>
      <c r="O2765">
        <v>2</v>
      </c>
      <c r="P2765">
        <v>2025</v>
      </c>
    </row>
    <row r="2766" spans="1:16">
      <c r="A2766">
        <v>65.760000000000005</v>
      </c>
      <c r="B2766">
        <v>3</v>
      </c>
      <c r="C2766" t="s">
        <v>1296</v>
      </c>
      <c r="D2766" t="s">
        <v>1297</v>
      </c>
      <c r="E2766" t="s">
        <v>1298</v>
      </c>
      <c r="F2766" t="s">
        <v>1254</v>
      </c>
      <c r="G2766" t="s">
        <v>781</v>
      </c>
      <c r="H2766" t="s">
        <v>217</v>
      </c>
      <c r="I2766" t="s">
        <v>60</v>
      </c>
      <c r="J2766">
        <v>21.92</v>
      </c>
      <c r="K2766" s="1">
        <v>46030</v>
      </c>
      <c r="L2766" t="s">
        <v>105</v>
      </c>
      <c r="M2766">
        <v>8</v>
      </c>
      <c r="N2766">
        <v>1</v>
      </c>
      <c r="O2766">
        <v>1</v>
      </c>
      <c r="P2766">
        <v>2026</v>
      </c>
    </row>
    <row r="2767" spans="1:16">
      <c r="A2767">
        <v>31.24</v>
      </c>
      <c r="B2767">
        <v>4</v>
      </c>
      <c r="C2767" t="s">
        <v>3011</v>
      </c>
      <c r="D2767" t="s">
        <v>3012</v>
      </c>
      <c r="E2767" t="s">
        <v>1171</v>
      </c>
      <c r="F2767" t="s">
        <v>1327</v>
      </c>
      <c r="G2767" t="s">
        <v>795</v>
      </c>
      <c r="H2767" t="s">
        <v>532</v>
      </c>
      <c r="I2767" t="s">
        <v>55</v>
      </c>
      <c r="J2767">
        <v>7.81</v>
      </c>
      <c r="K2767" s="1">
        <v>45555</v>
      </c>
      <c r="L2767" t="s">
        <v>79</v>
      </c>
      <c r="M2767">
        <v>20</v>
      </c>
      <c r="N2767">
        <v>9</v>
      </c>
      <c r="O2767">
        <v>3</v>
      </c>
      <c r="P2767">
        <v>2024</v>
      </c>
    </row>
    <row r="2768" spans="1:16">
      <c r="A2768">
        <v>476.13</v>
      </c>
      <c r="B2768">
        <v>3</v>
      </c>
      <c r="C2768" t="s">
        <v>2239</v>
      </c>
      <c r="D2768" t="s">
        <v>2240</v>
      </c>
      <c r="E2768" t="s">
        <v>2241</v>
      </c>
      <c r="F2768" t="s">
        <v>1002</v>
      </c>
      <c r="G2768" t="s">
        <v>1003</v>
      </c>
      <c r="H2768" t="s">
        <v>204</v>
      </c>
      <c r="I2768" t="s">
        <v>97</v>
      </c>
      <c r="J2768">
        <v>158.71</v>
      </c>
      <c r="K2768" s="1">
        <v>46182</v>
      </c>
      <c r="L2768" t="s">
        <v>48</v>
      </c>
      <c r="M2768">
        <v>9</v>
      </c>
      <c r="N2768">
        <v>6</v>
      </c>
      <c r="O2768">
        <v>2</v>
      </c>
      <c r="P2768">
        <v>2026</v>
      </c>
    </row>
    <row r="2769" spans="1:16">
      <c r="A2769">
        <v>227.47</v>
      </c>
      <c r="B2769">
        <v>1</v>
      </c>
      <c r="C2769" t="s">
        <v>3280</v>
      </c>
      <c r="D2769" t="s">
        <v>3281</v>
      </c>
      <c r="E2769" t="s">
        <v>2615</v>
      </c>
      <c r="F2769" t="s">
        <v>387</v>
      </c>
      <c r="G2769" t="s">
        <v>821</v>
      </c>
      <c r="H2769" t="s">
        <v>116</v>
      </c>
      <c r="I2769" t="s">
        <v>57</v>
      </c>
      <c r="J2769">
        <v>227.47</v>
      </c>
      <c r="K2769" s="1">
        <v>45859</v>
      </c>
      <c r="L2769" t="s">
        <v>93</v>
      </c>
      <c r="M2769">
        <v>21</v>
      </c>
      <c r="N2769">
        <v>7</v>
      </c>
      <c r="O2769">
        <v>3</v>
      </c>
      <c r="P2769">
        <v>2025</v>
      </c>
    </row>
    <row r="2770" spans="1:16">
      <c r="A2770">
        <v>503.72</v>
      </c>
      <c r="B2770">
        <v>4</v>
      </c>
      <c r="C2770" t="s">
        <v>3133</v>
      </c>
      <c r="D2770" t="s">
        <v>3134</v>
      </c>
      <c r="E2770" t="s">
        <v>1556</v>
      </c>
      <c r="F2770" t="s">
        <v>2982</v>
      </c>
      <c r="G2770" t="s">
        <v>839</v>
      </c>
      <c r="H2770" t="s">
        <v>533</v>
      </c>
      <c r="I2770" t="s">
        <v>122</v>
      </c>
      <c r="J2770">
        <v>125.93</v>
      </c>
      <c r="K2770" s="1">
        <v>45558</v>
      </c>
      <c r="L2770" t="s">
        <v>93</v>
      </c>
      <c r="M2770">
        <v>23</v>
      </c>
      <c r="N2770">
        <v>9</v>
      </c>
      <c r="O2770">
        <v>3</v>
      </c>
      <c r="P2770">
        <v>2024</v>
      </c>
    </row>
    <row r="2771" spans="1:16">
      <c r="A2771">
        <v>331.14</v>
      </c>
      <c r="B2771">
        <v>2</v>
      </c>
      <c r="C2771" t="s">
        <v>3030</v>
      </c>
      <c r="D2771" t="s">
        <v>3031</v>
      </c>
      <c r="E2771" t="s">
        <v>2341</v>
      </c>
      <c r="F2771" t="s">
        <v>1092</v>
      </c>
      <c r="G2771" t="s">
        <v>763</v>
      </c>
      <c r="H2771" t="s">
        <v>355</v>
      </c>
      <c r="I2771" t="s">
        <v>39</v>
      </c>
      <c r="J2771">
        <v>165.57</v>
      </c>
      <c r="K2771" s="1">
        <v>45908</v>
      </c>
      <c r="L2771" t="s">
        <v>93</v>
      </c>
      <c r="M2771">
        <v>8</v>
      </c>
      <c r="N2771">
        <v>9</v>
      </c>
      <c r="O2771">
        <v>3</v>
      </c>
      <c r="P2771">
        <v>2025</v>
      </c>
    </row>
    <row r="2772" spans="1:16">
      <c r="A2772">
        <v>802.84</v>
      </c>
      <c r="B2772">
        <v>4</v>
      </c>
      <c r="C2772" t="s">
        <v>1677</v>
      </c>
      <c r="D2772" t="s">
        <v>1678</v>
      </c>
      <c r="E2772" t="s">
        <v>1679</v>
      </c>
      <c r="F2772" t="s">
        <v>767</v>
      </c>
      <c r="G2772" t="s">
        <v>768</v>
      </c>
      <c r="H2772" t="s">
        <v>298</v>
      </c>
      <c r="I2772" t="s">
        <v>31</v>
      </c>
      <c r="J2772">
        <v>200.71</v>
      </c>
      <c r="K2772" s="1">
        <v>46216</v>
      </c>
      <c r="L2772" t="s">
        <v>93</v>
      </c>
      <c r="M2772">
        <v>13</v>
      </c>
      <c r="N2772">
        <v>7</v>
      </c>
      <c r="O2772">
        <v>3</v>
      </c>
      <c r="P2772">
        <v>2026</v>
      </c>
    </row>
    <row r="2773" spans="1:16">
      <c r="A2773">
        <v>958.45</v>
      </c>
      <c r="B2773">
        <v>5</v>
      </c>
      <c r="C2773" t="s">
        <v>1519</v>
      </c>
      <c r="D2773" t="s">
        <v>1520</v>
      </c>
      <c r="E2773" t="s">
        <v>1521</v>
      </c>
      <c r="F2773" t="s">
        <v>1172</v>
      </c>
      <c r="G2773" t="s">
        <v>830</v>
      </c>
      <c r="H2773" t="s">
        <v>186</v>
      </c>
      <c r="I2773" t="s">
        <v>37</v>
      </c>
      <c r="J2773">
        <v>191.69</v>
      </c>
      <c r="K2773" s="1">
        <v>46045</v>
      </c>
      <c r="L2773" t="s">
        <v>79</v>
      </c>
      <c r="M2773">
        <v>23</v>
      </c>
      <c r="N2773">
        <v>1</v>
      </c>
      <c r="O2773">
        <v>1</v>
      </c>
      <c r="P2773">
        <v>2026</v>
      </c>
    </row>
    <row r="2774" spans="1:16">
      <c r="A2774">
        <v>162.87</v>
      </c>
      <c r="B2774">
        <v>1</v>
      </c>
      <c r="C2774" t="s">
        <v>1780</v>
      </c>
      <c r="D2774" t="s">
        <v>1781</v>
      </c>
      <c r="E2774" t="s">
        <v>1709</v>
      </c>
      <c r="F2774" t="s">
        <v>1054</v>
      </c>
      <c r="G2774" t="s">
        <v>892</v>
      </c>
      <c r="H2774" t="s">
        <v>236</v>
      </c>
      <c r="I2774" t="s">
        <v>60</v>
      </c>
      <c r="J2774">
        <v>162.87</v>
      </c>
      <c r="K2774" s="1">
        <v>45584</v>
      </c>
      <c r="L2774" t="s">
        <v>14</v>
      </c>
      <c r="M2774">
        <v>19</v>
      </c>
      <c r="N2774">
        <v>10</v>
      </c>
      <c r="O2774">
        <v>4</v>
      </c>
      <c r="P2774">
        <v>2024</v>
      </c>
    </row>
    <row r="2775" spans="1:16">
      <c r="A2775">
        <v>140.05000000000001</v>
      </c>
      <c r="B2775">
        <v>5</v>
      </c>
      <c r="C2775" t="s">
        <v>3053</v>
      </c>
      <c r="D2775" t="s">
        <v>1355</v>
      </c>
      <c r="E2775" t="s">
        <v>3057</v>
      </c>
      <c r="F2775" t="s">
        <v>49</v>
      </c>
      <c r="G2775" t="s">
        <v>892</v>
      </c>
      <c r="H2775" t="s">
        <v>463</v>
      </c>
      <c r="I2775" t="s">
        <v>43</v>
      </c>
      <c r="J2775">
        <v>28.01</v>
      </c>
      <c r="K2775" s="1">
        <v>46252</v>
      </c>
      <c r="L2775" t="s">
        <v>48</v>
      </c>
      <c r="M2775">
        <v>18</v>
      </c>
      <c r="N2775">
        <v>8</v>
      </c>
      <c r="O2775">
        <v>3</v>
      </c>
      <c r="P2775">
        <v>2026</v>
      </c>
    </row>
    <row r="2776" spans="1:16">
      <c r="A2776">
        <v>981.96</v>
      </c>
      <c r="B2776">
        <v>4</v>
      </c>
      <c r="C2776" t="s">
        <v>2198</v>
      </c>
      <c r="D2776" t="s">
        <v>2199</v>
      </c>
      <c r="E2776" t="s">
        <v>1505</v>
      </c>
      <c r="F2776" t="s">
        <v>1722</v>
      </c>
      <c r="G2776" t="s">
        <v>954</v>
      </c>
      <c r="H2776" t="s">
        <v>330</v>
      </c>
      <c r="I2776" t="s">
        <v>60</v>
      </c>
      <c r="J2776">
        <v>245.49</v>
      </c>
      <c r="K2776" s="1">
        <v>45581</v>
      </c>
      <c r="L2776" t="s">
        <v>34</v>
      </c>
      <c r="M2776">
        <v>16</v>
      </c>
      <c r="N2776">
        <v>10</v>
      </c>
      <c r="O2776">
        <v>4</v>
      </c>
      <c r="P2776">
        <v>2024</v>
      </c>
    </row>
    <row r="2777" spans="1:16">
      <c r="A2777">
        <v>1069.0999999999999</v>
      </c>
      <c r="B2777">
        <v>5</v>
      </c>
      <c r="C2777" t="s">
        <v>1483</v>
      </c>
      <c r="D2777" t="s">
        <v>1484</v>
      </c>
      <c r="E2777" t="s">
        <v>1485</v>
      </c>
      <c r="F2777" t="s">
        <v>802</v>
      </c>
      <c r="G2777" t="s">
        <v>748</v>
      </c>
      <c r="H2777" t="s">
        <v>266</v>
      </c>
      <c r="I2777" t="s">
        <v>19</v>
      </c>
      <c r="J2777">
        <v>213.82</v>
      </c>
      <c r="K2777" s="1">
        <v>46187</v>
      </c>
      <c r="L2777" t="s">
        <v>28</v>
      </c>
      <c r="M2777">
        <v>14</v>
      </c>
      <c r="N2777">
        <v>6</v>
      </c>
      <c r="O2777">
        <v>2</v>
      </c>
      <c r="P2777">
        <v>2026</v>
      </c>
    </row>
    <row r="2778" spans="1:16">
      <c r="A2778">
        <v>35.11</v>
      </c>
      <c r="B2778">
        <v>1</v>
      </c>
      <c r="C2778" t="s">
        <v>2355</v>
      </c>
      <c r="D2778" t="s">
        <v>2356</v>
      </c>
      <c r="E2778" t="s">
        <v>2306</v>
      </c>
      <c r="F2778" t="s">
        <v>757</v>
      </c>
      <c r="G2778" t="s">
        <v>758</v>
      </c>
      <c r="H2778" t="s">
        <v>400</v>
      </c>
      <c r="I2778" t="s">
        <v>57</v>
      </c>
      <c r="J2778">
        <v>35.11</v>
      </c>
      <c r="K2778" s="1">
        <v>46063</v>
      </c>
      <c r="L2778" t="s">
        <v>48</v>
      </c>
      <c r="M2778">
        <v>10</v>
      </c>
      <c r="N2778">
        <v>2</v>
      </c>
      <c r="O2778">
        <v>1</v>
      </c>
      <c r="P2778">
        <v>2026</v>
      </c>
    </row>
    <row r="2779" spans="1:16">
      <c r="A2779">
        <v>784.30000000000007</v>
      </c>
      <c r="B2779">
        <v>5</v>
      </c>
      <c r="C2779" t="s">
        <v>2934</v>
      </c>
      <c r="D2779" t="s">
        <v>2935</v>
      </c>
      <c r="E2779" t="s">
        <v>2043</v>
      </c>
      <c r="F2779" t="s">
        <v>1509</v>
      </c>
      <c r="G2779" t="s">
        <v>821</v>
      </c>
      <c r="H2779" t="s">
        <v>602</v>
      </c>
      <c r="I2779" t="s">
        <v>17</v>
      </c>
      <c r="J2779">
        <v>156.86000000000001</v>
      </c>
      <c r="K2779" s="1">
        <v>45705</v>
      </c>
      <c r="L2779" t="s">
        <v>93</v>
      </c>
      <c r="M2779">
        <v>17</v>
      </c>
      <c r="N2779">
        <v>2</v>
      </c>
      <c r="O2779">
        <v>1</v>
      </c>
      <c r="P2779">
        <v>2025</v>
      </c>
    </row>
    <row r="2780" spans="1:16">
      <c r="A2780">
        <v>49.25</v>
      </c>
      <c r="B2780">
        <v>1</v>
      </c>
      <c r="C2780" t="s">
        <v>3046</v>
      </c>
      <c r="D2780" t="s">
        <v>3047</v>
      </c>
      <c r="E2780" t="s">
        <v>2513</v>
      </c>
      <c r="F2780" t="s">
        <v>829</v>
      </c>
      <c r="G2780" t="s">
        <v>830</v>
      </c>
      <c r="H2780" t="s">
        <v>518</v>
      </c>
      <c r="I2780" t="s">
        <v>17</v>
      </c>
      <c r="J2780">
        <v>49.25</v>
      </c>
      <c r="K2780" s="1">
        <v>45818</v>
      </c>
      <c r="L2780" t="s">
        <v>48</v>
      </c>
      <c r="M2780">
        <v>10</v>
      </c>
      <c r="N2780">
        <v>6</v>
      </c>
      <c r="O2780">
        <v>2</v>
      </c>
      <c r="P2780">
        <v>2025</v>
      </c>
    </row>
    <row r="2781" spans="1:16">
      <c r="A2781">
        <v>734.49</v>
      </c>
      <c r="B2781">
        <v>3</v>
      </c>
      <c r="C2781" t="s">
        <v>3359</v>
      </c>
      <c r="D2781" t="s">
        <v>3360</v>
      </c>
      <c r="E2781" t="s">
        <v>2643</v>
      </c>
      <c r="F2781" t="s">
        <v>106</v>
      </c>
      <c r="G2781" t="s">
        <v>790</v>
      </c>
      <c r="H2781" t="s">
        <v>589</v>
      </c>
      <c r="I2781" t="s">
        <v>46</v>
      </c>
      <c r="J2781">
        <v>244.83</v>
      </c>
      <c r="K2781" s="1">
        <v>45723</v>
      </c>
      <c r="L2781" t="s">
        <v>79</v>
      </c>
      <c r="M2781">
        <v>7</v>
      </c>
      <c r="N2781">
        <v>3</v>
      </c>
      <c r="O2781">
        <v>1</v>
      </c>
      <c r="P2781">
        <v>2025</v>
      </c>
    </row>
    <row r="2782" spans="1:16">
      <c r="A2782">
        <v>22.41</v>
      </c>
      <c r="B2782">
        <v>1</v>
      </c>
      <c r="C2782" t="s">
        <v>2801</v>
      </c>
      <c r="D2782" t="s">
        <v>2802</v>
      </c>
      <c r="E2782" t="s">
        <v>2535</v>
      </c>
      <c r="F2782" t="s">
        <v>713</v>
      </c>
      <c r="G2782" t="s">
        <v>908</v>
      </c>
      <c r="H2782" t="s">
        <v>484</v>
      </c>
      <c r="I2782" t="s">
        <v>25</v>
      </c>
      <c r="J2782">
        <v>22.41</v>
      </c>
      <c r="K2782" s="1">
        <v>46070</v>
      </c>
      <c r="L2782" t="s">
        <v>48</v>
      </c>
      <c r="M2782">
        <v>17</v>
      </c>
      <c r="N2782">
        <v>2</v>
      </c>
      <c r="O2782">
        <v>1</v>
      </c>
      <c r="P2782">
        <v>2026</v>
      </c>
    </row>
    <row r="2783" spans="1:16">
      <c r="A2783">
        <v>332.52</v>
      </c>
      <c r="B2783">
        <v>2</v>
      </c>
      <c r="C2783" t="s">
        <v>2501</v>
      </c>
      <c r="D2783" t="s">
        <v>2502</v>
      </c>
      <c r="E2783" t="s">
        <v>2503</v>
      </c>
      <c r="F2783" t="s">
        <v>548</v>
      </c>
      <c r="G2783" t="s">
        <v>790</v>
      </c>
      <c r="H2783" t="s">
        <v>72</v>
      </c>
      <c r="I2783" t="s">
        <v>37</v>
      </c>
      <c r="J2783">
        <v>166.26</v>
      </c>
      <c r="K2783" s="1">
        <v>46166</v>
      </c>
      <c r="L2783" t="s">
        <v>28</v>
      </c>
      <c r="M2783">
        <v>24</v>
      </c>
      <c r="N2783">
        <v>5</v>
      </c>
      <c r="O2783">
        <v>2</v>
      </c>
      <c r="P2783">
        <v>2026</v>
      </c>
    </row>
    <row r="2784" spans="1:16">
      <c r="A2784">
        <v>51.65</v>
      </c>
      <c r="B2784">
        <v>1</v>
      </c>
      <c r="C2784" t="s">
        <v>1223</v>
      </c>
      <c r="D2784" t="s">
        <v>3285</v>
      </c>
      <c r="E2784" t="s">
        <v>1380</v>
      </c>
      <c r="F2784" t="s">
        <v>1002</v>
      </c>
      <c r="G2784" t="s">
        <v>892</v>
      </c>
      <c r="H2784" t="s">
        <v>212</v>
      </c>
      <c r="I2784" t="s">
        <v>57</v>
      </c>
      <c r="J2784">
        <v>51.65</v>
      </c>
      <c r="K2784" s="1">
        <v>46138</v>
      </c>
      <c r="L2784" t="s">
        <v>28</v>
      </c>
      <c r="M2784">
        <v>26</v>
      </c>
      <c r="N2784">
        <v>4</v>
      </c>
      <c r="O2784">
        <v>2</v>
      </c>
      <c r="P2784">
        <v>2026</v>
      </c>
    </row>
    <row r="2785" spans="1:16">
      <c r="A2785">
        <v>784.30000000000007</v>
      </c>
      <c r="B2785">
        <v>5</v>
      </c>
      <c r="C2785" t="s">
        <v>3017</v>
      </c>
      <c r="D2785" t="s">
        <v>3018</v>
      </c>
      <c r="E2785" t="s">
        <v>2007</v>
      </c>
      <c r="F2785" t="s">
        <v>1359</v>
      </c>
      <c r="G2785" t="s">
        <v>768</v>
      </c>
      <c r="H2785" t="s">
        <v>602</v>
      </c>
      <c r="I2785" t="s">
        <v>17</v>
      </c>
      <c r="J2785">
        <v>156.86000000000001</v>
      </c>
      <c r="K2785" s="1">
        <v>45881</v>
      </c>
      <c r="L2785" t="s">
        <v>48</v>
      </c>
      <c r="M2785">
        <v>12</v>
      </c>
      <c r="N2785">
        <v>8</v>
      </c>
      <c r="O2785">
        <v>3</v>
      </c>
      <c r="P2785">
        <v>2025</v>
      </c>
    </row>
    <row r="2786" spans="1:16">
      <c r="A2786">
        <v>808.1</v>
      </c>
      <c r="B2786">
        <v>5</v>
      </c>
      <c r="C2786" t="s">
        <v>2318</v>
      </c>
      <c r="D2786" t="s">
        <v>1094</v>
      </c>
      <c r="E2786" t="s">
        <v>2319</v>
      </c>
      <c r="F2786" t="s">
        <v>829</v>
      </c>
      <c r="G2786" t="s">
        <v>830</v>
      </c>
      <c r="H2786" t="s">
        <v>224</v>
      </c>
      <c r="I2786" t="s">
        <v>39</v>
      </c>
      <c r="J2786">
        <v>161.62</v>
      </c>
      <c r="K2786" s="1">
        <v>45988</v>
      </c>
      <c r="L2786" t="s">
        <v>105</v>
      </c>
      <c r="M2786">
        <v>27</v>
      </c>
      <c r="N2786">
        <v>11</v>
      </c>
      <c r="O2786">
        <v>4</v>
      </c>
      <c r="P2786">
        <v>2025</v>
      </c>
    </row>
    <row r="2787" spans="1:16">
      <c r="A2787">
        <v>432.02</v>
      </c>
      <c r="B2787">
        <v>2</v>
      </c>
      <c r="C2787" t="s">
        <v>2867</v>
      </c>
      <c r="D2787" t="s">
        <v>2868</v>
      </c>
      <c r="E2787" t="s">
        <v>906</v>
      </c>
      <c r="F2787" t="s">
        <v>1525</v>
      </c>
      <c r="G2787" t="s">
        <v>763</v>
      </c>
      <c r="H2787" t="s">
        <v>336</v>
      </c>
      <c r="I2787" t="s">
        <v>82</v>
      </c>
      <c r="J2787">
        <v>216.01</v>
      </c>
      <c r="K2787" s="1">
        <v>45656</v>
      </c>
      <c r="L2787" t="s">
        <v>93</v>
      </c>
      <c r="M2787">
        <v>30</v>
      </c>
      <c r="N2787">
        <v>12</v>
      </c>
      <c r="O2787">
        <v>4</v>
      </c>
      <c r="P2787">
        <v>2024</v>
      </c>
    </row>
    <row r="2788" spans="1:16">
      <c r="A2788">
        <v>471.78</v>
      </c>
      <c r="B2788">
        <v>3</v>
      </c>
      <c r="C2788" t="s">
        <v>2541</v>
      </c>
      <c r="D2788" t="s">
        <v>2542</v>
      </c>
      <c r="E2788" t="s">
        <v>1545</v>
      </c>
      <c r="F2788" t="s">
        <v>1199</v>
      </c>
      <c r="G2788" t="s">
        <v>839</v>
      </c>
      <c r="H2788" t="s">
        <v>68</v>
      </c>
      <c r="I2788" t="s">
        <v>69</v>
      </c>
      <c r="J2788">
        <v>157.26</v>
      </c>
      <c r="K2788" s="1">
        <v>45827</v>
      </c>
      <c r="L2788" t="s">
        <v>105</v>
      </c>
      <c r="M2788">
        <v>19</v>
      </c>
      <c r="N2788">
        <v>6</v>
      </c>
      <c r="O2788">
        <v>2</v>
      </c>
      <c r="P2788">
        <v>2025</v>
      </c>
    </row>
    <row r="2789" spans="1:16">
      <c r="A2789">
        <v>464.22</v>
      </c>
      <c r="B2789">
        <v>3</v>
      </c>
      <c r="C2789" t="s">
        <v>1503</v>
      </c>
      <c r="D2789" t="s">
        <v>1504</v>
      </c>
      <c r="E2789" t="s">
        <v>1505</v>
      </c>
      <c r="F2789" t="s">
        <v>929</v>
      </c>
      <c r="G2789" t="s">
        <v>830</v>
      </c>
      <c r="H2789" t="s">
        <v>547</v>
      </c>
      <c r="I2789" t="s">
        <v>97</v>
      </c>
      <c r="J2789">
        <v>154.74</v>
      </c>
      <c r="K2789" s="1">
        <v>45946</v>
      </c>
      <c r="L2789" t="s">
        <v>105</v>
      </c>
      <c r="M2789">
        <v>16</v>
      </c>
      <c r="N2789">
        <v>10</v>
      </c>
      <c r="O2789">
        <v>4</v>
      </c>
      <c r="P2789">
        <v>2025</v>
      </c>
    </row>
    <row r="2790" spans="1:16">
      <c r="A2790">
        <v>40.119999999999997</v>
      </c>
      <c r="B2790">
        <v>1</v>
      </c>
      <c r="C2790" t="s">
        <v>2228</v>
      </c>
      <c r="D2790" t="s">
        <v>2229</v>
      </c>
      <c r="E2790" t="s">
        <v>1192</v>
      </c>
      <c r="F2790" t="s">
        <v>64</v>
      </c>
      <c r="G2790" t="s">
        <v>892</v>
      </c>
      <c r="H2790" t="s">
        <v>56</v>
      </c>
      <c r="I2790" t="s">
        <v>57</v>
      </c>
      <c r="J2790">
        <v>40.119999999999997</v>
      </c>
      <c r="K2790" s="1">
        <v>45605</v>
      </c>
      <c r="L2790" t="s">
        <v>14</v>
      </c>
      <c r="M2790">
        <v>9</v>
      </c>
      <c r="N2790">
        <v>11</v>
      </c>
      <c r="O2790">
        <v>4</v>
      </c>
      <c r="P2790">
        <v>2024</v>
      </c>
    </row>
    <row r="2791" spans="1:16">
      <c r="A2791">
        <v>866.94999999999993</v>
      </c>
      <c r="B2791">
        <v>5</v>
      </c>
      <c r="C2791" t="s">
        <v>2058</v>
      </c>
      <c r="D2791" t="s">
        <v>2059</v>
      </c>
      <c r="E2791" t="s">
        <v>2060</v>
      </c>
      <c r="F2791" t="s">
        <v>1540</v>
      </c>
      <c r="G2791" t="s">
        <v>768</v>
      </c>
      <c r="H2791" t="s">
        <v>446</v>
      </c>
      <c r="I2791" t="s">
        <v>57</v>
      </c>
      <c r="J2791">
        <v>173.39</v>
      </c>
      <c r="K2791" s="1">
        <v>45576</v>
      </c>
      <c r="L2791" t="s">
        <v>79</v>
      </c>
      <c r="M2791">
        <v>11</v>
      </c>
      <c r="N2791">
        <v>10</v>
      </c>
      <c r="O2791">
        <v>4</v>
      </c>
      <c r="P2791">
        <v>2024</v>
      </c>
    </row>
    <row r="2792" spans="1:16">
      <c r="A2792">
        <v>31.24</v>
      </c>
      <c r="B2792">
        <v>2</v>
      </c>
      <c r="C2792" t="s">
        <v>2159</v>
      </c>
      <c r="D2792" t="s">
        <v>2160</v>
      </c>
      <c r="E2792" t="s">
        <v>1559</v>
      </c>
      <c r="F2792" t="s">
        <v>919</v>
      </c>
      <c r="G2792" t="s">
        <v>786</v>
      </c>
      <c r="H2792" t="s">
        <v>248</v>
      </c>
      <c r="I2792" t="s">
        <v>100</v>
      </c>
      <c r="J2792">
        <v>15.62</v>
      </c>
      <c r="K2792" s="1">
        <v>45996</v>
      </c>
      <c r="L2792" t="s">
        <v>79</v>
      </c>
      <c r="M2792">
        <v>5</v>
      </c>
      <c r="N2792">
        <v>12</v>
      </c>
      <c r="O2792">
        <v>4</v>
      </c>
      <c r="P2792">
        <v>2025</v>
      </c>
    </row>
    <row r="2793" spans="1:16">
      <c r="A2793">
        <v>122.08</v>
      </c>
      <c r="B2793">
        <v>1</v>
      </c>
      <c r="C2793" t="s">
        <v>2867</v>
      </c>
      <c r="D2793" t="s">
        <v>2868</v>
      </c>
      <c r="E2793" t="s">
        <v>906</v>
      </c>
      <c r="F2793" t="s">
        <v>1525</v>
      </c>
      <c r="G2793" t="s">
        <v>763</v>
      </c>
      <c r="H2793" t="s">
        <v>646</v>
      </c>
      <c r="I2793" t="s">
        <v>21</v>
      </c>
      <c r="J2793">
        <v>122.08</v>
      </c>
      <c r="K2793" s="1">
        <v>45841</v>
      </c>
      <c r="L2793" t="s">
        <v>105</v>
      </c>
      <c r="M2793">
        <v>3</v>
      </c>
      <c r="N2793">
        <v>7</v>
      </c>
      <c r="O2793">
        <v>3</v>
      </c>
      <c r="P2793">
        <v>2025</v>
      </c>
    </row>
    <row r="2794" spans="1:16">
      <c r="A2794">
        <v>45.199999999999996</v>
      </c>
      <c r="B2794">
        <v>5</v>
      </c>
      <c r="C2794" t="s">
        <v>2586</v>
      </c>
      <c r="D2794" t="s">
        <v>2587</v>
      </c>
      <c r="E2794" t="s">
        <v>2588</v>
      </c>
      <c r="F2794" t="s">
        <v>961</v>
      </c>
      <c r="G2794" t="s">
        <v>807</v>
      </c>
      <c r="H2794" t="s">
        <v>278</v>
      </c>
      <c r="I2794" t="s">
        <v>39</v>
      </c>
      <c r="J2794">
        <v>9.0399999999999991</v>
      </c>
      <c r="K2794" s="1">
        <v>46230</v>
      </c>
      <c r="L2794" t="s">
        <v>93</v>
      </c>
      <c r="M2794">
        <v>27</v>
      </c>
      <c r="N2794">
        <v>7</v>
      </c>
      <c r="O2794">
        <v>3</v>
      </c>
      <c r="P2794">
        <v>2026</v>
      </c>
    </row>
    <row r="2795" spans="1:16">
      <c r="A2795">
        <v>680.91</v>
      </c>
      <c r="B2795">
        <v>3</v>
      </c>
      <c r="C2795" t="s">
        <v>2696</v>
      </c>
      <c r="D2795" t="s">
        <v>2697</v>
      </c>
      <c r="E2795" t="s">
        <v>2365</v>
      </c>
      <c r="F2795" t="s">
        <v>1649</v>
      </c>
      <c r="G2795" t="s">
        <v>790</v>
      </c>
      <c r="H2795" t="s">
        <v>283</v>
      </c>
      <c r="I2795" t="s">
        <v>100</v>
      </c>
      <c r="J2795">
        <v>226.97</v>
      </c>
      <c r="K2795" s="1">
        <v>45641</v>
      </c>
      <c r="L2795" t="s">
        <v>28</v>
      </c>
      <c r="M2795">
        <v>15</v>
      </c>
      <c r="N2795">
        <v>12</v>
      </c>
      <c r="O2795">
        <v>4</v>
      </c>
      <c r="P2795">
        <v>2024</v>
      </c>
    </row>
    <row r="2796" spans="1:16">
      <c r="A2796">
        <v>313.12</v>
      </c>
      <c r="B2796">
        <v>4</v>
      </c>
      <c r="C2796" t="s">
        <v>3150</v>
      </c>
      <c r="D2796" t="s">
        <v>3151</v>
      </c>
      <c r="E2796" t="s">
        <v>1231</v>
      </c>
      <c r="F2796" t="s">
        <v>562</v>
      </c>
      <c r="G2796" t="s">
        <v>753</v>
      </c>
      <c r="H2796" t="s">
        <v>441</v>
      </c>
      <c r="I2796" t="s">
        <v>37</v>
      </c>
      <c r="J2796">
        <v>78.28</v>
      </c>
      <c r="K2796" s="1">
        <v>45648</v>
      </c>
      <c r="L2796" t="s">
        <v>28</v>
      </c>
      <c r="M2796">
        <v>22</v>
      </c>
      <c r="N2796">
        <v>12</v>
      </c>
      <c r="O2796">
        <v>4</v>
      </c>
      <c r="P2796">
        <v>2024</v>
      </c>
    </row>
    <row r="2797" spans="1:16">
      <c r="A2797">
        <v>1184.75</v>
      </c>
      <c r="B2797">
        <v>5</v>
      </c>
      <c r="C2797" t="s">
        <v>1307</v>
      </c>
      <c r="D2797" t="s">
        <v>1308</v>
      </c>
      <c r="E2797" t="s">
        <v>1212</v>
      </c>
      <c r="F2797" t="s">
        <v>151</v>
      </c>
      <c r="G2797" t="s">
        <v>1003</v>
      </c>
      <c r="H2797" t="s">
        <v>50</v>
      </c>
      <c r="I2797" t="s">
        <v>51</v>
      </c>
      <c r="J2797">
        <v>236.95</v>
      </c>
      <c r="K2797" s="1">
        <v>45766</v>
      </c>
      <c r="L2797" t="s">
        <v>14</v>
      </c>
      <c r="M2797">
        <v>19</v>
      </c>
      <c r="N2797">
        <v>4</v>
      </c>
      <c r="O2797">
        <v>2</v>
      </c>
      <c r="P2797">
        <v>2025</v>
      </c>
    </row>
    <row r="2798" spans="1:16">
      <c r="A2798">
        <v>716.91</v>
      </c>
      <c r="B2798">
        <v>3</v>
      </c>
      <c r="C2798" t="s">
        <v>1580</v>
      </c>
      <c r="D2798" t="s">
        <v>1581</v>
      </c>
      <c r="E2798" t="s">
        <v>1582</v>
      </c>
      <c r="F2798" t="s">
        <v>862</v>
      </c>
      <c r="G2798" t="s">
        <v>908</v>
      </c>
      <c r="H2798" t="s">
        <v>180</v>
      </c>
      <c r="I2798" t="s">
        <v>55</v>
      </c>
      <c r="J2798">
        <v>238.97</v>
      </c>
      <c r="K2798" s="1">
        <v>45639</v>
      </c>
      <c r="L2798" t="s">
        <v>79</v>
      </c>
      <c r="M2798">
        <v>13</v>
      </c>
      <c r="N2798">
        <v>12</v>
      </c>
      <c r="O2798">
        <v>4</v>
      </c>
      <c r="P2798">
        <v>2024</v>
      </c>
    </row>
    <row r="2799" spans="1:16">
      <c r="A2799">
        <v>620.20000000000005</v>
      </c>
      <c r="B2799">
        <v>5</v>
      </c>
      <c r="C2799" t="s">
        <v>1036</v>
      </c>
      <c r="D2799" t="s">
        <v>1037</v>
      </c>
      <c r="E2799" t="s">
        <v>1038</v>
      </c>
      <c r="F2799" t="s">
        <v>1039</v>
      </c>
      <c r="G2799" t="s">
        <v>758</v>
      </c>
      <c r="H2799" t="s">
        <v>543</v>
      </c>
      <c r="I2799" t="s">
        <v>37</v>
      </c>
      <c r="J2799">
        <v>124.04</v>
      </c>
      <c r="K2799" s="1">
        <v>45678</v>
      </c>
      <c r="L2799" t="s">
        <v>48</v>
      </c>
      <c r="M2799">
        <v>21</v>
      </c>
      <c r="N2799">
        <v>1</v>
      </c>
      <c r="O2799">
        <v>1</v>
      </c>
      <c r="P2799">
        <v>2025</v>
      </c>
    </row>
    <row r="2800" spans="1:16">
      <c r="A2800">
        <v>608.28</v>
      </c>
      <c r="B2800">
        <v>4</v>
      </c>
      <c r="C2800" t="s">
        <v>1277</v>
      </c>
      <c r="D2800" t="s">
        <v>1278</v>
      </c>
      <c r="E2800" t="s">
        <v>1279</v>
      </c>
      <c r="F2800" t="s">
        <v>1280</v>
      </c>
      <c r="G2800" t="s">
        <v>908</v>
      </c>
      <c r="H2800" t="s">
        <v>674</v>
      </c>
      <c r="I2800" t="s">
        <v>122</v>
      </c>
      <c r="J2800">
        <v>152.07</v>
      </c>
      <c r="K2800" s="1">
        <v>45622</v>
      </c>
      <c r="L2800" t="s">
        <v>48</v>
      </c>
      <c r="M2800">
        <v>26</v>
      </c>
      <c r="N2800">
        <v>11</v>
      </c>
      <c r="O2800">
        <v>4</v>
      </c>
      <c r="P2800">
        <v>2024</v>
      </c>
    </row>
    <row r="2801" spans="1:16">
      <c r="A2801">
        <v>6.42</v>
      </c>
      <c r="B2801">
        <v>1</v>
      </c>
      <c r="C2801" t="s">
        <v>2508</v>
      </c>
      <c r="D2801" t="s">
        <v>2509</v>
      </c>
      <c r="E2801" t="s">
        <v>2510</v>
      </c>
      <c r="F2801" t="s">
        <v>1670</v>
      </c>
      <c r="G2801" t="s">
        <v>1247</v>
      </c>
      <c r="H2801" t="s">
        <v>316</v>
      </c>
      <c r="I2801" t="s">
        <v>97</v>
      </c>
      <c r="J2801">
        <v>6.42</v>
      </c>
      <c r="K2801" s="1">
        <v>45777</v>
      </c>
      <c r="L2801" t="s">
        <v>34</v>
      </c>
      <c r="M2801">
        <v>30</v>
      </c>
      <c r="N2801">
        <v>4</v>
      </c>
      <c r="O2801">
        <v>2</v>
      </c>
      <c r="P2801">
        <v>2025</v>
      </c>
    </row>
    <row r="2802" spans="1:16">
      <c r="A2802">
        <v>384.7</v>
      </c>
      <c r="B2802">
        <v>5</v>
      </c>
      <c r="C2802" t="s">
        <v>1769</v>
      </c>
      <c r="D2802" t="s">
        <v>1770</v>
      </c>
      <c r="E2802" t="s">
        <v>1771</v>
      </c>
      <c r="F2802" t="s">
        <v>915</v>
      </c>
      <c r="G2802" t="s">
        <v>768</v>
      </c>
      <c r="H2802" t="s">
        <v>119</v>
      </c>
      <c r="I2802" t="s">
        <v>60</v>
      </c>
      <c r="J2802">
        <v>76.94</v>
      </c>
      <c r="K2802" s="1">
        <v>46179</v>
      </c>
      <c r="L2802" t="s">
        <v>14</v>
      </c>
      <c r="M2802">
        <v>6</v>
      </c>
      <c r="N2802">
        <v>6</v>
      </c>
      <c r="O2802">
        <v>2</v>
      </c>
      <c r="P2802">
        <v>2026</v>
      </c>
    </row>
    <row r="2803" spans="1:16">
      <c r="A2803">
        <v>527.48</v>
      </c>
      <c r="B2803">
        <v>4</v>
      </c>
      <c r="C2803" t="s">
        <v>1608</v>
      </c>
      <c r="D2803" t="s">
        <v>1609</v>
      </c>
      <c r="E2803" t="s">
        <v>998</v>
      </c>
      <c r="F2803" t="s">
        <v>1502</v>
      </c>
      <c r="G2803" t="s">
        <v>817</v>
      </c>
      <c r="H2803" t="s">
        <v>165</v>
      </c>
      <c r="I2803" t="s">
        <v>69</v>
      </c>
      <c r="J2803">
        <v>131.87</v>
      </c>
      <c r="K2803" s="1">
        <v>46067</v>
      </c>
      <c r="L2803" t="s">
        <v>14</v>
      </c>
      <c r="M2803">
        <v>14</v>
      </c>
      <c r="N2803">
        <v>2</v>
      </c>
      <c r="O2803">
        <v>1</v>
      </c>
      <c r="P2803">
        <v>2026</v>
      </c>
    </row>
    <row r="2804" spans="1:16">
      <c r="A2804">
        <v>666.06000000000006</v>
      </c>
      <c r="B2804">
        <v>3</v>
      </c>
      <c r="C2804" t="s">
        <v>2653</v>
      </c>
      <c r="D2804" t="s">
        <v>2654</v>
      </c>
      <c r="E2804" t="s">
        <v>2315</v>
      </c>
      <c r="F2804" t="s">
        <v>780</v>
      </c>
      <c r="G2804" t="s">
        <v>781</v>
      </c>
      <c r="H2804" t="s">
        <v>501</v>
      </c>
      <c r="I2804" t="s">
        <v>25</v>
      </c>
      <c r="J2804">
        <v>222.02</v>
      </c>
      <c r="K2804" s="1">
        <v>45668</v>
      </c>
      <c r="L2804" t="s">
        <v>14</v>
      </c>
      <c r="M2804">
        <v>11</v>
      </c>
      <c r="N2804">
        <v>1</v>
      </c>
      <c r="O2804">
        <v>1</v>
      </c>
      <c r="P2804">
        <v>2025</v>
      </c>
    </row>
    <row r="2805" spans="1:16">
      <c r="A2805">
        <v>174.51</v>
      </c>
      <c r="B2805">
        <v>3</v>
      </c>
      <c r="C2805" t="s">
        <v>3191</v>
      </c>
      <c r="D2805" t="s">
        <v>3192</v>
      </c>
      <c r="E2805" t="s">
        <v>1862</v>
      </c>
      <c r="F2805" t="s">
        <v>1465</v>
      </c>
      <c r="G2805" t="s">
        <v>817</v>
      </c>
      <c r="H2805" t="s">
        <v>615</v>
      </c>
      <c r="I2805" t="s">
        <v>100</v>
      </c>
      <c r="J2805">
        <v>58.17</v>
      </c>
      <c r="K2805" s="1">
        <v>45880</v>
      </c>
      <c r="L2805" t="s">
        <v>93</v>
      </c>
      <c r="M2805">
        <v>11</v>
      </c>
      <c r="N2805">
        <v>8</v>
      </c>
      <c r="O2805">
        <v>3</v>
      </c>
      <c r="P2805">
        <v>2025</v>
      </c>
    </row>
    <row r="2806" spans="1:16">
      <c r="A2806">
        <v>296.10000000000002</v>
      </c>
      <c r="B2806">
        <v>5</v>
      </c>
      <c r="C2806" t="s">
        <v>1737</v>
      </c>
      <c r="D2806" t="s">
        <v>1738</v>
      </c>
      <c r="E2806" t="s">
        <v>1739</v>
      </c>
      <c r="F2806" t="s">
        <v>1740</v>
      </c>
      <c r="G2806" t="s">
        <v>954</v>
      </c>
      <c r="H2806" t="s">
        <v>516</v>
      </c>
      <c r="I2806" t="s">
        <v>31</v>
      </c>
      <c r="J2806">
        <v>59.22</v>
      </c>
      <c r="K2806" s="1">
        <v>46042</v>
      </c>
      <c r="L2806" t="s">
        <v>48</v>
      </c>
      <c r="M2806">
        <v>20</v>
      </c>
      <c r="N2806">
        <v>1</v>
      </c>
      <c r="O2806">
        <v>1</v>
      </c>
      <c r="P2806">
        <v>2026</v>
      </c>
    </row>
    <row r="2807" spans="1:16">
      <c r="A2807">
        <v>580.26</v>
      </c>
      <c r="B2807">
        <v>3</v>
      </c>
      <c r="C2807" t="s">
        <v>1299</v>
      </c>
      <c r="D2807" t="s">
        <v>3250</v>
      </c>
      <c r="E2807" t="s">
        <v>1010</v>
      </c>
      <c r="F2807" t="s">
        <v>862</v>
      </c>
      <c r="G2807" t="s">
        <v>758</v>
      </c>
      <c r="H2807" t="s">
        <v>294</v>
      </c>
      <c r="I2807" t="s">
        <v>51</v>
      </c>
      <c r="J2807">
        <v>193.42</v>
      </c>
      <c r="K2807" s="1">
        <v>46221</v>
      </c>
      <c r="L2807" t="s">
        <v>14</v>
      </c>
      <c r="M2807">
        <v>18</v>
      </c>
      <c r="N2807">
        <v>7</v>
      </c>
      <c r="O2807">
        <v>3</v>
      </c>
      <c r="P2807">
        <v>2026</v>
      </c>
    </row>
    <row r="2808" spans="1:16">
      <c r="A2808">
        <v>71.72</v>
      </c>
      <c r="B2808">
        <v>1</v>
      </c>
      <c r="C2808" t="s">
        <v>2702</v>
      </c>
      <c r="D2808" t="s">
        <v>2703</v>
      </c>
      <c r="E2808" t="s">
        <v>2383</v>
      </c>
      <c r="F2808" t="s">
        <v>942</v>
      </c>
      <c r="G2808" t="s">
        <v>943</v>
      </c>
      <c r="H2808" t="s">
        <v>141</v>
      </c>
      <c r="I2808" t="s">
        <v>46</v>
      </c>
      <c r="J2808">
        <v>71.72</v>
      </c>
      <c r="K2808" s="1">
        <v>45953</v>
      </c>
      <c r="L2808" t="s">
        <v>105</v>
      </c>
      <c r="M2808">
        <v>23</v>
      </c>
      <c r="N2808">
        <v>10</v>
      </c>
      <c r="O2808">
        <v>4</v>
      </c>
      <c r="P2808">
        <v>2025</v>
      </c>
    </row>
    <row r="2809" spans="1:16">
      <c r="A2809">
        <v>983.9</v>
      </c>
      <c r="B2809">
        <v>5</v>
      </c>
      <c r="C2809" t="s">
        <v>1112</v>
      </c>
      <c r="D2809" t="s">
        <v>1113</v>
      </c>
      <c r="E2809" t="s">
        <v>1114</v>
      </c>
      <c r="F2809" t="s">
        <v>1078</v>
      </c>
      <c r="G2809" t="s">
        <v>781</v>
      </c>
      <c r="H2809" t="s">
        <v>397</v>
      </c>
      <c r="I2809" t="s">
        <v>31</v>
      </c>
      <c r="J2809">
        <v>196.78</v>
      </c>
      <c r="K2809" s="1">
        <v>46177</v>
      </c>
      <c r="L2809" t="s">
        <v>105</v>
      </c>
      <c r="M2809">
        <v>4</v>
      </c>
      <c r="N2809">
        <v>6</v>
      </c>
      <c r="O2809">
        <v>2</v>
      </c>
      <c r="P2809">
        <v>2026</v>
      </c>
    </row>
    <row r="2810" spans="1:16">
      <c r="A2810">
        <v>259.45999999999998</v>
      </c>
      <c r="B2810">
        <v>2</v>
      </c>
      <c r="C2810" t="s">
        <v>1033</v>
      </c>
      <c r="D2810" t="s">
        <v>1034</v>
      </c>
      <c r="E2810" t="s">
        <v>1035</v>
      </c>
      <c r="F2810" t="s">
        <v>548</v>
      </c>
      <c r="G2810" t="s">
        <v>790</v>
      </c>
      <c r="H2810" t="s">
        <v>20</v>
      </c>
      <c r="I2810" t="s">
        <v>21</v>
      </c>
      <c r="J2810">
        <v>129.72999999999999</v>
      </c>
      <c r="K2810" s="1">
        <v>46216</v>
      </c>
      <c r="L2810" t="s">
        <v>93</v>
      </c>
      <c r="M2810">
        <v>13</v>
      </c>
      <c r="N2810">
        <v>7</v>
      </c>
      <c r="O2810">
        <v>3</v>
      </c>
      <c r="P2810">
        <v>2026</v>
      </c>
    </row>
    <row r="2811" spans="1:16">
      <c r="A2811">
        <v>20.420000000000002</v>
      </c>
      <c r="B2811">
        <v>1</v>
      </c>
      <c r="C2811" t="s">
        <v>818</v>
      </c>
      <c r="D2811" t="s">
        <v>819</v>
      </c>
      <c r="E2811" t="s">
        <v>820</v>
      </c>
      <c r="F2811" t="s">
        <v>29</v>
      </c>
      <c r="G2811" t="s">
        <v>821</v>
      </c>
      <c r="H2811" t="s">
        <v>698</v>
      </c>
      <c r="I2811" t="s">
        <v>69</v>
      </c>
      <c r="J2811">
        <v>20.420000000000002</v>
      </c>
      <c r="K2811" s="1">
        <v>46214</v>
      </c>
      <c r="L2811" t="s">
        <v>14</v>
      </c>
      <c r="M2811">
        <v>11</v>
      </c>
      <c r="N2811">
        <v>7</v>
      </c>
      <c r="O2811">
        <v>3</v>
      </c>
      <c r="P2811">
        <v>2026</v>
      </c>
    </row>
    <row r="2812" spans="1:16">
      <c r="A2812">
        <v>55.29</v>
      </c>
      <c r="B2812">
        <v>3</v>
      </c>
      <c r="C2812" t="s">
        <v>3121</v>
      </c>
      <c r="D2812" t="s">
        <v>3122</v>
      </c>
      <c r="E2812" t="s">
        <v>1676</v>
      </c>
      <c r="F2812" t="s">
        <v>211</v>
      </c>
      <c r="G2812" t="s">
        <v>966</v>
      </c>
      <c r="H2812" t="s">
        <v>1816</v>
      </c>
      <c r="I2812" t="s">
        <v>37</v>
      </c>
      <c r="J2812">
        <v>18.43</v>
      </c>
      <c r="K2812" s="1">
        <v>45772</v>
      </c>
      <c r="L2812" t="s">
        <v>79</v>
      </c>
      <c r="M2812">
        <v>25</v>
      </c>
      <c r="N2812">
        <v>4</v>
      </c>
      <c r="O2812">
        <v>2</v>
      </c>
      <c r="P2812">
        <v>2025</v>
      </c>
    </row>
    <row r="2813" spans="1:16">
      <c r="A2813">
        <v>50.48</v>
      </c>
      <c r="B2813">
        <v>4</v>
      </c>
      <c r="C2813" t="s">
        <v>2727</v>
      </c>
      <c r="D2813" t="s">
        <v>2728</v>
      </c>
      <c r="E2813" t="s">
        <v>1619</v>
      </c>
      <c r="F2813" t="s">
        <v>816</v>
      </c>
      <c r="G2813" t="s">
        <v>817</v>
      </c>
      <c r="H2813" t="s">
        <v>256</v>
      </c>
      <c r="I2813" t="s">
        <v>31</v>
      </c>
      <c r="J2813">
        <v>12.62</v>
      </c>
      <c r="K2813" s="1">
        <v>45931</v>
      </c>
      <c r="L2813" t="s">
        <v>34</v>
      </c>
      <c r="M2813">
        <v>1</v>
      </c>
      <c r="N2813">
        <v>10</v>
      </c>
      <c r="O2813">
        <v>4</v>
      </c>
      <c r="P2813">
        <v>2025</v>
      </c>
    </row>
    <row r="2814" spans="1:16">
      <c r="A2814">
        <v>18.84</v>
      </c>
      <c r="B2814">
        <v>3</v>
      </c>
      <c r="C2814" t="s">
        <v>2613</v>
      </c>
      <c r="D2814" t="s">
        <v>2614</v>
      </c>
      <c r="E2814" t="s">
        <v>2615</v>
      </c>
      <c r="F2814" t="s">
        <v>1574</v>
      </c>
      <c r="G2814" t="s">
        <v>1003</v>
      </c>
      <c r="H2814" t="s">
        <v>601</v>
      </c>
      <c r="I2814" t="s">
        <v>19</v>
      </c>
      <c r="J2814">
        <v>6.28</v>
      </c>
      <c r="K2814" s="1">
        <v>46013</v>
      </c>
      <c r="L2814" t="s">
        <v>93</v>
      </c>
      <c r="M2814">
        <v>22</v>
      </c>
      <c r="N2814">
        <v>12</v>
      </c>
      <c r="O2814">
        <v>4</v>
      </c>
      <c r="P2814">
        <v>2025</v>
      </c>
    </row>
    <row r="2815" spans="1:16">
      <c r="A2815">
        <v>90.9</v>
      </c>
      <c r="B2815">
        <v>5</v>
      </c>
      <c r="C2815" t="s">
        <v>3117</v>
      </c>
      <c r="D2815" t="s">
        <v>3118</v>
      </c>
      <c r="E2815" t="s">
        <v>2103</v>
      </c>
      <c r="F2815" t="s">
        <v>562</v>
      </c>
      <c r="G2815" t="s">
        <v>753</v>
      </c>
      <c r="H2815" t="s">
        <v>284</v>
      </c>
      <c r="I2815" t="s">
        <v>97</v>
      </c>
      <c r="J2815">
        <v>18.18</v>
      </c>
      <c r="K2815" s="1">
        <v>46055</v>
      </c>
      <c r="L2815" t="s">
        <v>93</v>
      </c>
      <c r="M2815">
        <v>2</v>
      </c>
      <c r="N2815">
        <v>2</v>
      </c>
      <c r="O2815">
        <v>1</v>
      </c>
      <c r="P2815">
        <v>2026</v>
      </c>
    </row>
    <row r="2816" spans="1:16">
      <c r="A2816">
        <v>360.12</v>
      </c>
      <c r="B2816">
        <v>4</v>
      </c>
      <c r="C2816" t="s">
        <v>1356</v>
      </c>
      <c r="D2816" t="s">
        <v>1357</v>
      </c>
      <c r="E2816" t="s">
        <v>1358</v>
      </c>
      <c r="F2816" t="s">
        <v>1359</v>
      </c>
      <c r="G2816" t="s">
        <v>768</v>
      </c>
      <c r="H2816" t="s">
        <v>442</v>
      </c>
      <c r="I2816" t="s">
        <v>100</v>
      </c>
      <c r="J2816">
        <v>90.03</v>
      </c>
      <c r="K2816" s="1">
        <v>45944</v>
      </c>
      <c r="L2816" t="s">
        <v>48</v>
      </c>
      <c r="M2816">
        <v>14</v>
      </c>
      <c r="N2816">
        <v>10</v>
      </c>
      <c r="O2816">
        <v>4</v>
      </c>
      <c r="P2816">
        <v>2025</v>
      </c>
    </row>
    <row r="2817" spans="1:16">
      <c r="A2817">
        <v>243.79999999999998</v>
      </c>
      <c r="B2817">
        <v>5</v>
      </c>
      <c r="C2817" t="s">
        <v>1075</v>
      </c>
      <c r="D2817" t="s">
        <v>1076</v>
      </c>
      <c r="E2817" t="s">
        <v>1077</v>
      </c>
      <c r="F2817" t="s">
        <v>1078</v>
      </c>
      <c r="G2817" t="s">
        <v>781</v>
      </c>
      <c r="H2817" t="s">
        <v>567</v>
      </c>
      <c r="I2817" t="s">
        <v>100</v>
      </c>
      <c r="J2817">
        <v>48.76</v>
      </c>
      <c r="K2817" s="1">
        <v>45780</v>
      </c>
      <c r="L2817" t="s">
        <v>14</v>
      </c>
      <c r="M2817">
        <v>3</v>
      </c>
      <c r="N2817">
        <v>5</v>
      </c>
      <c r="O2817">
        <v>2</v>
      </c>
      <c r="P2817">
        <v>2025</v>
      </c>
    </row>
    <row r="2818" spans="1:16">
      <c r="A2818">
        <v>312.12</v>
      </c>
      <c r="B2818">
        <v>3</v>
      </c>
      <c r="C2818" t="s">
        <v>2955</v>
      </c>
      <c r="D2818" t="s">
        <v>2956</v>
      </c>
      <c r="E2818" t="s">
        <v>1330</v>
      </c>
      <c r="F2818" t="s">
        <v>64</v>
      </c>
      <c r="G2818" t="s">
        <v>892</v>
      </c>
      <c r="H2818" t="s">
        <v>507</v>
      </c>
      <c r="I2818" t="s">
        <v>55</v>
      </c>
      <c r="J2818">
        <v>104.04</v>
      </c>
      <c r="K2818" s="1">
        <v>46246</v>
      </c>
      <c r="L2818" t="s">
        <v>34</v>
      </c>
      <c r="M2818">
        <v>12</v>
      </c>
      <c r="N2818">
        <v>8</v>
      </c>
      <c r="O2818">
        <v>3</v>
      </c>
      <c r="P2818">
        <v>2026</v>
      </c>
    </row>
    <row r="2819" spans="1:16">
      <c r="A2819">
        <v>267.06</v>
      </c>
      <c r="B2819">
        <v>3</v>
      </c>
      <c r="C2819" t="s">
        <v>2134</v>
      </c>
      <c r="D2819" t="s">
        <v>2135</v>
      </c>
      <c r="E2819" t="s">
        <v>1559</v>
      </c>
      <c r="F2819" t="s">
        <v>619</v>
      </c>
      <c r="G2819" t="s">
        <v>758</v>
      </c>
      <c r="H2819" t="s">
        <v>399</v>
      </c>
      <c r="I2819" t="s">
        <v>55</v>
      </c>
      <c r="J2819">
        <v>89.02</v>
      </c>
      <c r="K2819" s="1">
        <v>46240</v>
      </c>
      <c r="L2819" t="s">
        <v>105</v>
      </c>
      <c r="M2819">
        <v>6</v>
      </c>
      <c r="N2819">
        <v>8</v>
      </c>
      <c r="O2819">
        <v>3</v>
      </c>
      <c r="P2819">
        <v>2026</v>
      </c>
    </row>
    <row r="2820" spans="1:16">
      <c r="A2820">
        <v>202.23</v>
      </c>
      <c r="B2820">
        <v>1</v>
      </c>
      <c r="C2820" t="s">
        <v>1503</v>
      </c>
      <c r="D2820" t="s">
        <v>1504</v>
      </c>
      <c r="E2820" t="s">
        <v>1505</v>
      </c>
      <c r="F2820" t="s">
        <v>929</v>
      </c>
      <c r="G2820" t="s">
        <v>830</v>
      </c>
      <c r="H2820" t="s">
        <v>321</v>
      </c>
      <c r="I2820" t="s">
        <v>17</v>
      </c>
      <c r="J2820">
        <v>202.23</v>
      </c>
      <c r="K2820" s="1">
        <v>45913</v>
      </c>
      <c r="L2820" t="s">
        <v>14</v>
      </c>
      <c r="M2820">
        <v>13</v>
      </c>
      <c r="N2820">
        <v>9</v>
      </c>
      <c r="O2820">
        <v>3</v>
      </c>
      <c r="P2820">
        <v>2025</v>
      </c>
    </row>
    <row r="2821" spans="1:16">
      <c r="A2821">
        <v>122.16</v>
      </c>
      <c r="B2821">
        <v>2</v>
      </c>
      <c r="C2821" t="s">
        <v>3255</v>
      </c>
      <c r="D2821" t="s">
        <v>3256</v>
      </c>
      <c r="E2821" t="s">
        <v>3257</v>
      </c>
      <c r="F2821" t="s">
        <v>1318</v>
      </c>
      <c r="G2821" t="s">
        <v>807</v>
      </c>
      <c r="H2821" t="s">
        <v>385</v>
      </c>
      <c r="I2821" t="s">
        <v>39</v>
      </c>
      <c r="J2821">
        <v>61.08</v>
      </c>
      <c r="K2821" s="1">
        <v>46094</v>
      </c>
      <c r="L2821" t="s">
        <v>79</v>
      </c>
      <c r="M2821">
        <v>13</v>
      </c>
      <c r="N2821">
        <v>3</v>
      </c>
      <c r="O2821">
        <v>1</v>
      </c>
      <c r="P2821">
        <v>2026</v>
      </c>
    </row>
    <row r="2822" spans="1:16">
      <c r="A2822">
        <v>488.48</v>
      </c>
      <c r="B2822">
        <v>2</v>
      </c>
      <c r="C2822" t="s">
        <v>2400</v>
      </c>
      <c r="D2822" t="s">
        <v>2401</v>
      </c>
      <c r="E2822" t="s">
        <v>1536</v>
      </c>
      <c r="F2822" t="s">
        <v>1128</v>
      </c>
      <c r="G2822" t="s">
        <v>954</v>
      </c>
      <c r="H2822" t="s">
        <v>61</v>
      </c>
      <c r="I2822" t="s">
        <v>55</v>
      </c>
      <c r="J2822">
        <v>244.24</v>
      </c>
      <c r="K2822" s="1">
        <v>46102</v>
      </c>
      <c r="L2822" t="s">
        <v>14</v>
      </c>
      <c r="M2822">
        <v>21</v>
      </c>
      <c r="N2822">
        <v>3</v>
      </c>
      <c r="O2822">
        <v>1</v>
      </c>
      <c r="P2822">
        <v>2026</v>
      </c>
    </row>
    <row r="2823" spans="1:16">
      <c r="A2823">
        <v>280.25</v>
      </c>
      <c r="B2823">
        <v>5</v>
      </c>
      <c r="C2823" t="s">
        <v>2400</v>
      </c>
      <c r="D2823" t="s">
        <v>2401</v>
      </c>
      <c r="E2823" t="s">
        <v>1536</v>
      </c>
      <c r="F2823" t="s">
        <v>1128</v>
      </c>
      <c r="G2823" t="s">
        <v>954</v>
      </c>
      <c r="H2823" t="s">
        <v>32</v>
      </c>
      <c r="I2823" t="s">
        <v>19</v>
      </c>
      <c r="J2823">
        <v>56.05</v>
      </c>
      <c r="K2823" s="1">
        <v>45678</v>
      </c>
      <c r="L2823" t="s">
        <v>48</v>
      </c>
      <c r="M2823">
        <v>21</v>
      </c>
      <c r="N2823">
        <v>1</v>
      </c>
      <c r="O2823">
        <v>1</v>
      </c>
      <c r="P2823">
        <v>2025</v>
      </c>
    </row>
    <row r="2824" spans="1:16">
      <c r="A2824">
        <v>94.32</v>
      </c>
      <c r="B2824">
        <v>4</v>
      </c>
      <c r="C2824" t="s">
        <v>809</v>
      </c>
      <c r="D2824" t="s">
        <v>810</v>
      </c>
      <c r="E2824" t="s">
        <v>811</v>
      </c>
      <c r="F2824" t="s">
        <v>280</v>
      </c>
      <c r="G2824" t="s">
        <v>812</v>
      </c>
      <c r="H2824" t="s">
        <v>466</v>
      </c>
      <c r="I2824" t="s">
        <v>46</v>
      </c>
      <c r="J2824">
        <v>23.58</v>
      </c>
      <c r="K2824" s="1">
        <v>45739</v>
      </c>
      <c r="L2824" t="s">
        <v>28</v>
      </c>
      <c r="M2824">
        <v>23</v>
      </c>
      <c r="N2824">
        <v>3</v>
      </c>
      <c r="O2824">
        <v>1</v>
      </c>
      <c r="P2824">
        <v>2025</v>
      </c>
    </row>
    <row r="2825" spans="1:16">
      <c r="A2825">
        <v>32.43</v>
      </c>
      <c r="B2825">
        <v>1</v>
      </c>
      <c r="C2825" t="s">
        <v>1812</v>
      </c>
      <c r="D2825" t="s">
        <v>1813</v>
      </c>
      <c r="E2825" t="s">
        <v>925</v>
      </c>
      <c r="F2825" t="s">
        <v>548</v>
      </c>
      <c r="G2825" t="s">
        <v>790</v>
      </c>
      <c r="H2825" t="s">
        <v>77</v>
      </c>
      <c r="I2825" t="s">
        <v>17</v>
      </c>
      <c r="J2825">
        <v>32.43</v>
      </c>
      <c r="K2825" s="1">
        <v>45998</v>
      </c>
      <c r="L2825" t="s">
        <v>28</v>
      </c>
      <c r="M2825">
        <v>7</v>
      </c>
      <c r="N2825">
        <v>12</v>
      </c>
      <c r="O2825">
        <v>4</v>
      </c>
      <c r="P2825">
        <v>2025</v>
      </c>
    </row>
    <row r="2826" spans="1:16">
      <c r="A2826">
        <v>545.64</v>
      </c>
      <c r="B2826">
        <v>3</v>
      </c>
      <c r="C2826" t="s">
        <v>2404</v>
      </c>
      <c r="D2826" t="s">
        <v>2405</v>
      </c>
      <c r="E2826" t="s">
        <v>779</v>
      </c>
      <c r="F2826" t="s">
        <v>2044</v>
      </c>
      <c r="G2826" t="s">
        <v>748</v>
      </c>
      <c r="H2826" t="s">
        <v>549</v>
      </c>
      <c r="I2826" t="s">
        <v>82</v>
      </c>
      <c r="J2826">
        <v>181.88</v>
      </c>
      <c r="K2826" s="1">
        <v>46063</v>
      </c>
      <c r="L2826" t="s">
        <v>48</v>
      </c>
      <c r="M2826">
        <v>10</v>
      </c>
      <c r="N2826">
        <v>2</v>
      </c>
      <c r="O2826">
        <v>1</v>
      </c>
      <c r="P2826">
        <v>2026</v>
      </c>
    </row>
    <row r="2827" spans="1:16">
      <c r="A2827">
        <v>1245.5999999999999</v>
      </c>
      <c r="B2827">
        <v>5</v>
      </c>
      <c r="C2827" t="s">
        <v>1769</v>
      </c>
      <c r="D2827" t="s">
        <v>1770</v>
      </c>
      <c r="E2827" t="s">
        <v>1771</v>
      </c>
      <c r="F2827" t="s">
        <v>915</v>
      </c>
      <c r="G2827" t="s">
        <v>768</v>
      </c>
      <c r="H2827" t="s">
        <v>65</v>
      </c>
      <c r="I2827" t="s">
        <v>60</v>
      </c>
      <c r="J2827">
        <v>249.12</v>
      </c>
      <c r="K2827" s="1">
        <v>46139</v>
      </c>
      <c r="L2827" t="s">
        <v>93</v>
      </c>
      <c r="M2827">
        <v>27</v>
      </c>
      <c r="N2827">
        <v>4</v>
      </c>
      <c r="O2827">
        <v>2</v>
      </c>
      <c r="P2827">
        <v>2026</v>
      </c>
    </row>
    <row r="2828" spans="1:16">
      <c r="A2828">
        <v>246.26</v>
      </c>
      <c r="B2828">
        <v>2</v>
      </c>
      <c r="C2828" t="s">
        <v>1760</v>
      </c>
      <c r="D2828" t="s">
        <v>1761</v>
      </c>
      <c r="E2828" t="s">
        <v>1603</v>
      </c>
      <c r="F2828" t="s">
        <v>380</v>
      </c>
      <c r="G2828" t="s">
        <v>896</v>
      </c>
      <c r="H2828" t="s">
        <v>66</v>
      </c>
      <c r="I2828" t="s">
        <v>46</v>
      </c>
      <c r="J2828">
        <v>123.13</v>
      </c>
      <c r="K2828" s="1">
        <v>45924</v>
      </c>
      <c r="L2828" t="s">
        <v>34</v>
      </c>
      <c r="M2828">
        <v>24</v>
      </c>
      <c r="N2828">
        <v>9</v>
      </c>
      <c r="O2828">
        <v>3</v>
      </c>
      <c r="P2828">
        <v>2025</v>
      </c>
    </row>
    <row r="2829" spans="1:16">
      <c r="A2829">
        <v>96.04</v>
      </c>
      <c r="B2829">
        <v>4</v>
      </c>
      <c r="C2829" t="s">
        <v>2360</v>
      </c>
      <c r="D2829" t="s">
        <v>2361</v>
      </c>
      <c r="E2829" t="s">
        <v>2362</v>
      </c>
      <c r="F2829" t="s">
        <v>1306</v>
      </c>
      <c r="G2829" t="s">
        <v>966</v>
      </c>
      <c r="H2829" t="s">
        <v>188</v>
      </c>
      <c r="I2829" t="s">
        <v>57</v>
      </c>
      <c r="J2829">
        <v>24.01</v>
      </c>
      <c r="K2829" s="1">
        <v>45939</v>
      </c>
      <c r="L2829" t="s">
        <v>105</v>
      </c>
      <c r="M2829">
        <v>9</v>
      </c>
      <c r="N2829">
        <v>10</v>
      </c>
      <c r="O2829">
        <v>4</v>
      </c>
      <c r="P2829">
        <v>2025</v>
      </c>
    </row>
    <row r="2830" spans="1:16">
      <c r="A2830">
        <v>179.55</v>
      </c>
      <c r="B2830">
        <v>1</v>
      </c>
      <c r="C2830" t="s">
        <v>1115</v>
      </c>
      <c r="D2830" t="s">
        <v>1116</v>
      </c>
      <c r="E2830" t="s">
        <v>1117</v>
      </c>
      <c r="F2830" t="s">
        <v>1118</v>
      </c>
      <c r="G2830" t="s">
        <v>821</v>
      </c>
      <c r="H2830" t="s">
        <v>614</v>
      </c>
      <c r="I2830" t="s">
        <v>21</v>
      </c>
      <c r="J2830">
        <v>179.55</v>
      </c>
      <c r="K2830" s="1">
        <v>45910</v>
      </c>
      <c r="L2830" t="s">
        <v>34</v>
      </c>
      <c r="M2830">
        <v>10</v>
      </c>
      <c r="N2830">
        <v>9</v>
      </c>
      <c r="O2830">
        <v>3</v>
      </c>
      <c r="P2830">
        <v>2025</v>
      </c>
    </row>
    <row r="2831" spans="1:16">
      <c r="A2831">
        <v>134.91999999999999</v>
      </c>
      <c r="B2831">
        <v>4</v>
      </c>
      <c r="C2831" t="s">
        <v>1375</v>
      </c>
      <c r="D2831" t="s">
        <v>1376</v>
      </c>
      <c r="E2831" t="s">
        <v>1377</v>
      </c>
      <c r="F2831" t="s">
        <v>1061</v>
      </c>
      <c r="G2831" t="s">
        <v>834</v>
      </c>
      <c r="H2831" t="s">
        <v>527</v>
      </c>
      <c r="I2831" t="s">
        <v>27</v>
      </c>
      <c r="J2831">
        <v>33.729999999999997</v>
      </c>
      <c r="K2831" s="1">
        <v>45603</v>
      </c>
      <c r="L2831" t="s">
        <v>105</v>
      </c>
      <c r="M2831">
        <v>7</v>
      </c>
      <c r="N2831">
        <v>11</v>
      </c>
      <c r="O2831">
        <v>4</v>
      </c>
      <c r="P2831">
        <v>2024</v>
      </c>
    </row>
    <row r="2832" spans="1:16">
      <c r="A2832">
        <v>358.75</v>
      </c>
      <c r="B2832">
        <v>5</v>
      </c>
      <c r="C2832" t="s">
        <v>2384</v>
      </c>
      <c r="D2832" t="s">
        <v>2385</v>
      </c>
      <c r="E2832" t="s">
        <v>2386</v>
      </c>
      <c r="F2832" t="s">
        <v>1469</v>
      </c>
      <c r="G2832" t="s">
        <v>908</v>
      </c>
      <c r="H2832" t="s">
        <v>133</v>
      </c>
      <c r="I2832" t="s">
        <v>97</v>
      </c>
      <c r="J2832">
        <v>71.75</v>
      </c>
      <c r="K2832" s="1">
        <v>46105</v>
      </c>
      <c r="L2832" t="s">
        <v>48</v>
      </c>
      <c r="M2832">
        <v>24</v>
      </c>
      <c r="N2832">
        <v>3</v>
      </c>
      <c r="O2832">
        <v>1</v>
      </c>
      <c r="P2832">
        <v>2026</v>
      </c>
    </row>
    <row r="2833" spans="1:16">
      <c r="A2833">
        <v>504.81000000000006</v>
      </c>
      <c r="B2833">
        <v>3</v>
      </c>
      <c r="C2833" t="s">
        <v>958</v>
      </c>
      <c r="D2833" t="s">
        <v>2368</v>
      </c>
      <c r="E2833" t="s">
        <v>2369</v>
      </c>
      <c r="F2833" t="s">
        <v>691</v>
      </c>
      <c r="G2833" t="s">
        <v>776</v>
      </c>
      <c r="H2833" t="s">
        <v>591</v>
      </c>
      <c r="I2833" t="s">
        <v>82</v>
      </c>
      <c r="J2833">
        <v>168.27</v>
      </c>
      <c r="K2833" s="1">
        <v>46165</v>
      </c>
      <c r="L2833" t="s">
        <v>14</v>
      </c>
      <c r="M2833">
        <v>23</v>
      </c>
      <c r="N2833">
        <v>5</v>
      </c>
      <c r="O2833">
        <v>2</v>
      </c>
      <c r="P2833">
        <v>2026</v>
      </c>
    </row>
    <row r="2834" spans="1:16">
      <c r="A2834">
        <v>852.84999999999991</v>
      </c>
      <c r="B2834">
        <v>5</v>
      </c>
      <c r="C2834" t="s">
        <v>2652</v>
      </c>
      <c r="D2834" t="s">
        <v>2486</v>
      </c>
      <c r="E2834" t="s">
        <v>1271</v>
      </c>
      <c r="F2834" t="s">
        <v>328</v>
      </c>
      <c r="G2834" t="s">
        <v>1003</v>
      </c>
      <c r="H2834" t="s">
        <v>482</v>
      </c>
      <c r="I2834" t="s">
        <v>82</v>
      </c>
      <c r="J2834">
        <v>170.57</v>
      </c>
      <c r="K2834" s="1">
        <v>46081</v>
      </c>
      <c r="L2834" t="s">
        <v>14</v>
      </c>
      <c r="M2834">
        <v>28</v>
      </c>
      <c r="N2834">
        <v>2</v>
      </c>
      <c r="O2834">
        <v>1</v>
      </c>
      <c r="P2834">
        <v>2026</v>
      </c>
    </row>
    <row r="2835" spans="1:16">
      <c r="A2835">
        <v>477.94</v>
      </c>
      <c r="B2835">
        <v>2</v>
      </c>
      <c r="C2835" t="s">
        <v>1207</v>
      </c>
      <c r="D2835" t="s">
        <v>1208</v>
      </c>
      <c r="E2835" t="s">
        <v>935</v>
      </c>
      <c r="F2835" t="s">
        <v>1209</v>
      </c>
      <c r="G2835" t="s">
        <v>776</v>
      </c>
      <c r="H2835" t="s">
        <v>180</v>
      </c>
      <c r="I2835" t="s">
        <v>55</v>
      </c>
      <c r="J2835">
        <v>238.97</v>
      </c>
      <c r="K2835" s="1">
        <v>45748</v>
      </c>
      <c r="L2835" t="s">
        <v>48</v>
      </c>
      <c r="M2835">
        <v>1</v>
      </c>
      <c r="N2835">
        <v>4</v>
      </c>
      <c r="O2835">
        <v>2</v>
      </c>
      <c r="P2835">
        <v>2025</v>
      </c>
    </row>
    <row r="2836" spans="1:16">
      <c r="A2836">
        <v>467.82</v>
      </c>
      <c r="B2836">
        <v>2</v>
      </c>
      <c r="C2836" t="s">
        <v>916</v>
      </c>
      <c r="D2836" t="s">
        <v>917</v>
      </c>
      <c r="E2836" t="s">
        <v>918</v>
      </c>
      <c r="F2836" t="s">
        <v>919</v>
      </c>
      <c r="G2836" t="s">
        <v>786</v>
      </c>
      <c r="H2836" t="s">
        <v>272</v>
      </c>
      <c r="I2836" t="s">
        <v>55</v>
      </c>
      <c r="J2836">
        <v>233.91</v>
      </c>
      <c r="K2836" s="1">
        <v>45695</v>
      </c>
      <c r="L2836" t="s">
        <v>79</v>
      </c>
      <c r="M2836">
        <v>7</v>
      </c>
      <c r="N2836">
        <v>2</v>
      </c>
      <c r="O2836">
        <v>1</v>
      </c>
      <c r="P2836">
        <v>2025</v>
      </c>
    </row>
    <row r="2837" spans="1:16">
      <c r="A2837">
        <v>42.87</v>
      </c>
      <c r="B2837">
        <v>3</v>
      </c>
      <c r="C2837" t="s">
        <v>844</v>
      </c>
      <c r="D2837" t="s">
        <v>845</v>
      </c>
      <c r="E2837" t="s">
        <v>846</v>
      </c>
      <c r="F2837" t="s">
        <v>106</v>
      </c>
      <c r="G2837" t="s">
        <v>748</v>
      </c>
      <c r="H2837" t="s">
        <v>170</v>
      </c>
      <c r="I2837" t="s">
        <v>82</v>
      </c>
      <c r="J2837">
        <v>14.29</v>
      </c>
      <c r="K2837" s="1">
        <v>45820</v>
      </c>
      <c r="L2837" t="s">
        <v>105</v>
      </c>
      <c r="M2837">
        <v>12</v>
      </c>
      <c r="N2837">
        <v>6</v>
      </c>
      <c r="O2837">
        <v>2</v>
      </c>
      <c r="P2837">
        <v>2025</v>
      </c>
    </row>
    <row r="2838" spans="1:16">
      <c r="A2838">
        <v>44.14</v>
      </c>
      <c r="B2838">
        <v>2</v>
      </c>
      <c r="C2838" t="s">
        <v>1979</v>
      </c>
      <c r="D2838" t="s">
        <v>1980</v>
      </c>
      <c r="E2838" t="s">
        <v>1981</v>
      </c>
      <c r="F2838" t="s">
        <v>1691</v>
      </c>
      <c r="G2838" t="s">
        <v>821</v>
      </c>
      <c r="H2838" t="s">
        <v>700</v>
      </c>
      <c r="I2838" t="s">
        <v>37</v>
      </c>
      <c r="J2838">
        <v>22.07</v>
      </c>
      <c r="K2838" s="1">
        <v>45704</v>
      </c>
      <c r="L2838" t="s">
        <v>28</v>
      </c>
      <c r="M2838">
        <v>16</v>
      </c>
      <c r="N2838">
        <v>2</v>
      </c>
      <c r="O2838">
        <v>1</v>
      </c>
      <c r="P2838">
        <v>2025</v>
      </c>
    </row>
    <row r="2839" spans="1:16">
      <c r="A2839">
        <v>967.92</v>
      </c>
      <c r="B2839">
        <v>4</v>
      </c>
      <c r="C2839" t="s">
        <v>1023</v>
      </c>
      <c r="D2839" t="s">
        <v>1024</v>
      </c>
      <c r="E2839" t="s">
        <v>1025</v>
      </c>
      <c r="F2839" t="s">
        <v>1026</v>
      </c>
      <c r="G2839" t="s">
        <v>896</v>
      </c>
      <c r="H2839" t="s">
        <v>203</v>
      </c>
      <c r="I2839" t="s">
        <v>100</v>
      </c>
      <c r="J2839">
        <v>241.98</v>
      </c>
      <c r="K2839" s="1">
        <v>46092</v>
      </c>
      <c r="L2839" t="s">
        <v>34</v>
      </c>
      <c r="M2839">
        <v>11</v>
      </c>
      <c r="N2839">
        <v>3</v>
      </c>
      <c r="O2839">
        <v>1</v>
      </c>
      <c r="P2839">
        <v>2026</v>
      </c>
    </row>
    <row r="2840" spans="1:16">
      <c r="A2840">
        <v>113.08</v>
      </c>
      <c r="B2840">
        <v>4</v>
      </c>
      <c r="C2840" t="s">
        <v>3036</v>
      </c>
      <c r="D2840" t="s">
        <v>3037</v>
      </c>
      <c r="E2840" t="s">
        <v>1110</v>
      </c>
      <c r="F2840" t="s">
        <v>1061</v>
      </c>
      <c r="G2840" t="s">
        <v>834</v>
      </c>
      <c r="H2840" t="s">
        <v>184</v>
      </c>
      <c r="I2840" t="s">
        <v>31</v>
      </c>
      <c r="J2840">
        <v>28.27</v>
      </c>
      <c r="K2840" s="1">
        <v>45684</v>
      </c>
      <c r="L2840" t="s">
        <v>93</v>
      </c>
      <c r="M2840">
        <v>27</v>
      </c>
      <c r="N2840">
        <v>1</v>
      </c>
      <c r="O2840">
        <v>1</v>
      </c>
      <c r="P2840">
        <v>2025</v>
      </c>
    </row>
    <row r="2841" spans="1:16">
      <c r="A2841">
        <v>132.81</v>
      </c>
      <c r="B2841">
        <v>3</v>
      </c>
      <c r="C2841" t="s">
        <v>1762</v>
      </c>
      <c r="D2841" t="s">
        <v>1763</v>
      </c>
      <c r="E2841" t="s">
        <v>1706</v>
      </c>
      <c r="F2841" t="s">
        <v>953</v>
      </c>
      <c r="G2841" t="s">
        <v>954</v>
      </c>
      <c r="H2841" t="s">
        <v>296</v>
      </c>
      <c r="I2841" t="s">
        <v>122</v>
      </c>
      <c r="J2841">
        <v>44.27</v>
      </c>
      <c r="K2841" s="1">
        <v>46030</v>
      </c>
      <c r="L2841" t="s">
        <v>105</v>
      </c>
      <c r="M2841">
        <v>8</v>
      </c>
      <c r="N2841">
        <v>1</v>
      </c>
      <c r="O2841">
        <v>1</v>
      </c>
      <c r="P2841">
        <v>2026</v>
      </c>
    </row>
    <row r="2842" spans="1:16">
      <c r="A2842">
        <v>84.81</v>
      </c>
      <c r="B2842">
        <v>3</v>
      </c>
      <c r="C2842" t="s">
        <v>1221</v>
      </c>
      <c r="D2842" t="s">
        <v>1222</v>
      </c>
      <c r="E2842" t="s">
        <v>1098</v>
      </c>
      <c r="F2842" t="s">
        <v>802</v>
      </c>
      <c r="G2842" t="s">
        <v>748</v>
      </c>
      <c r="H2842" t="s">
        <v>184</v>
      </c>
      <c r="I2842" t="s">
        <v>31</v>
      </c>
      <c r="J2842">
        <v>28.27</v>
      </c>
      <c r="K2842" s="1">
        <v>46192</v>
      </c>
      <c r="L2842" t="s">
        <v>79</v>
      </c>
      <c r="M2842">
        <v>19</v>
      </c>
      <c r="N2842">
        <v>6</v>
      </c>
      <c r="O2842">
        <v>2</v>
      </c>
      <c r="P2842">
        <v>2026</v>
      </c>
    </row>
    <row r="2843" spans="1:16">
      <c r="A2843">
        <v>234.31</v>
      </c>
      <c r="B2843">
        <v>1</v>
      </c>
      <c r="C2843" t="s">
        <v>1598</v>
      </c>
      <c r="D2843" t="s">
        <v>1599</v>
      </c>
      <c r="E2843" t="s">
        <v>1283</v>
      </c>
      <c r="F2843" t="s">
        <v>1600</v>
      </c>
      <c r="G2843" t="s">
        <v>768</v>
      </c>
      <c r="H2843" t="s">
        <v>150</v>
      </c>
      <c r="I2843" t="s">
        <v>60</v>
      </c>
      <c r="J2843">
        <v>234.31</v>
      </c>
      <c r="K2843" s="1">
        <v>46007</v>
      </c>
      <c r="L2843" t="s">
        <v>48</v>
      </c>
      <c r="M2843">
        <v>16</v>
      </c>
      <c r="N2843">
        <v>12</v>
      </c>
      <c r="O2843">
        <v>4</v>
      </c>
      <c r="P2843">
        <v>2025</v>
      </c>
    </row>
    <row r="2844" spans="1:16">
      <c r="A2844">
        <v>9.51</v>
      </c>
      <c r="B2844">
        <v>1</v>
      </c>
      <c r="C2844" t="s">
        <v>1557</v>
      </c>
      <c r="D2844" t="s">
        <v>1558</v>
      </c>
      <c r="E2844" t="s">
        <v>1559</v>
      </c>
      <c r="F2844" t="s">
        <v>635</v>
      </c>
      <c r="G2844" t="s">
        <v>768</v>
      </c>
      <c r="H2844" t="s">
        <v>727</v>
      </c>
      <c r="I2844" t="s">
        <v>97</v>
      </c>
      <c r="J2844">
        <v>9.51</v>
      </c>
      <c r="K2844" s="1">
        <v>45605</v>
      </c>
      <c r="L2844" t="s">
        <v>14</v>
      </c>
      <c r="M2844">
        <v>9</v>
      </c>
      <c r="N2844">
        <v>11</v>
      </c>
      <c r="O2844">
        <v>4</v>
      </c>
      <c r="P2844">
        <v>2024</v>
      </c>
    </row>
    <row r="2845" spans="1:16">
      <c r="A2845">
        <v>324.92</v>
      </c>
      <c r="B2845">
        <v>2</v>
      </c>
      <c r="C2845" t="s">
        <v>2539</v>
      </c>
      <c r="D2845" t="s">
        <v>2540</v>
      </c>
      <c r="E2845" t="s">
        <v>946</v>
      </c>
      <c r="F2845" t="s">
        <v>907</v>
      </c>
      <c r="G2845" t="s">
        <v>908</v>
      </c>
      <c r="H2845" t="s">
        <v>218</v>
      </c>
      <c r="I2845" t="s">
        <v>97</v>
      </c>
      <c r="J2845">
        <v>162.46</v>
      </c>
      <c r="K2845" s="1">
        <v>45863</v>
      </c>
      <c r="L2845" t="s">
        <v>79</v>
      </c>
      <c r="M2845">
        <v>25</v>
      </c>
      <c r="N2845">
        <v>7</v>
      </c>
      <c r="O2845">
        <v>3</v>
      </c>
      <c r="P2845">
        <v>2025</v>
      </c>
    </row>
    <row r="2846" spans="1:16">
      <c r="A2846">
        <v>774.4</v>
      </c>
      <c r="B2846">
        <v>5</v>
      </c>
      <c r="C2846" t="s">
        <v>1190</v>
      </c>
      <c r="D2846" t="s">
        <v>1191</v>
      </c>
      <c r="E2846" t="s">
        <v>1192</v>
      </c>
      <c r="F2846" t="s">
        <v>1067</v>
      </c>
      <c r="G2846" t="s">
        <v>854</v>
      </c>
      <c r="H2846" t="s">
        <v>704</v>
      </c>
      <c r="I2846" t="s">
        <v>51</v>
      </c>
      <c r="J2846">
        <v>154.88</v>
      </c>
      <c r="K2846" s="1">
        <v>45847</v>
      </c>
      <c r="L2846" t="s">
        <v>34</v>
      </c>
      <c r="M2846">
        <v>9</v>
      </c>
      <c r="N2846">
        <v>7</v>
      </c>
      <c r="O2846">
        <v>3</v>
      </c>
      <c r="P2846">
        <v>2025</v>
      </c>
    </row>
    <row r="2847" spans="1:16">
      <c r="A2847">
        <v>679.08</v>
      </c>
      <c r="B2847">
        <v>4</v>
      </c>
      <c r="C2847" t="s">
        <v>2536</v>
      </c>
      <c r="D2847" t="s">
        <v>2537</v>
      </c>
      <c r="E2847" t="s">
        <v>2538</v>
      </c>
      <c r="F2847" t="s">
        <v>767</v>
      </c>
      <c r="G2847" t="s">
        <v>768</v>
      </c>
      <c r="H2847" t="s">
        <v>300</v>
      </c>
      <c r="I2847" t="s">
        <v>55</v>
      </c>
      <c r="J2847">
        <v>169.77</v>
      </c>
      <c r="K2847" s="1">
        <v>46225</v>
      </c>
      <c r="L2847" t="s">
        <v>34</v>
      </c>
      <c r="M2847">
        <v>22</v>
      </c>
      <c r="N2847">
        <v>7</v>
      </c>
      <c r="O2847">
        <v>3</v>
      </c>
      <c r="P2847">
        <v>2026</v>
      </c>
    </row>
    <row r="2848" spans="1:16">
      <c r="A2848">
        <v>275.7</v>
      </c>
      <c r="B2848">
        <v>5</v>
      </c>
      <c r="C2848" t="s">
        <v>3076</v>
      </c>
      <c r="D2848" t="s">
        <v>3077</v>
      </c>
      <c r="E2848" t="s">
        <v>2666</v>
      </c>
      <c r="F2848" t="s">
        <v>1156</v>
      </c>
      <c r="G2848" t="s">
        <v>839</v>
      </c>
      <c r="H2848" t="s">
        <v>257</v>
      </c>
      <c r="I2848" t="s">
        <v>57</v>
      </c>
      <c r="J2848">
        <v>55.14</v>
      </c>
      <c r="K2848" s="1">
        <v>46133</v>
      </c>
      <c r="L2848" t="s">
        <v>48</v>
      </c>
      <c r="M2848">
        <v>21</v>
      </c>
      <c r="N2848">
        <v>4</v>
      </c>
      <c r="O2848">
        <v>2</v>
      </c>
      <c r="P2848">
        <v>2026</v>
      </c>
    </row>
    <row r="2849" spans="1:16">
      <c r="A2849">
        <v>50.28</v>
      </c>
      <c r="B2849">
        <v>1</v>
      </c>
      <c r="C2849" t="s">
        <v>1794</v>
      </c>
      <c r="D2849" t="s">
        <v>1795</v>
      </c>
      <c r="E2849" t="s">
        <v>1016</v>
      </c>
      <c r="F2849" t="s">
        <v>762</v>
      </c>
      <c r="G2849" t="s">
        <v>763</v>
      </c>
      <c r="H2849" t="s">
        <v>519</v>
      </c>
      <c r="I2849" t="s">
        <v>51</v>
      </c>
      <c r="J2849">
        <v>50.28</v>
      </c>
      <c r="K2849" s="1">
        <v>45980</v>
      </c>
      <c r="L2849" t="s">
        <v>34</v>
      </c>
      <c r="M2849">
        <v>19</v>
      </c>
      <c r="N2849">
        <v>11</v>
      </c>
      <c r="O2849">
        <v>4</v>
      </c>
      <c r="P2849">
        <v>2025</v>
      </c>
    </row>
    <row r="2850" spans="1:16">
      <c r="A2850">
        <v>338.52</v>
      </c>
      <c r="B2850">
        <v>4</v>
      </c>
      <c r="C2850" t="s">
        <v>1029</v>
      </c>
      <c r="D2850" t="s">
        <v>1030</v>
      </c>
      <c r="E2850" t="s">
        <v>1031</v>
      </c>
      <c r="F2850" t="s">
        <v>1032</v>
      </c>
      <c r="G2850" t="s">
        <v>839</v>
      </c>
      <c r="H2850" t="s">
        <v>528</v>
      </c>
      <c r="I2850" t="s">
        <v>69</v>
      </c>
      <c r="J2850">
        <v>84.63</v>
      </c>
      <c r="K2850" s="1">
        <v>46168</v>
      </c>
      <c r="L2850" t="s">
        <v>48</v>
      </c>
      <c r="M2850">
        <v>26</v>
      </c>
      <c r="N2850">
        <v>5</v>
      </c>
      <c r="O2850">
        <v>2</v>
      </c>
      <c r="P2850">
        <v>2026</v>
      </c>
    </row>
    <row r="2851" spans="1:16">
      <c r="A2851">
        <v>291.68</v>
      </c>
      <c r="B2851">
        <v>2</v>
      </c>
      <c r="C2851" t="s">
        <v>1971</v>
      </c>
      <c r="D2851" t="s">
        <v>1972</v>
      </c>
      <c r="E2851" t="s">
        <v>1973</v>
      </c>
      <c r="F2851" t="s">
        <v>513</v>
      </c>
      <c r="G2851" t="s">
        <v>786</v>
      </c>
      <c r="H2851" t="s">
        <v>178</v>
      </c>
      <c r="I2851" t="s">
        <v>122</v>
      </c>
      <c r="J2851">
        <v>145.84</v>
      </c>
      <c r="K2851" s="1">
        <v>45878</v>
      </c>
      <c r="L2851" t="s">
        <v>14</v>
      </c>
      <c r="M2851">
        <v>9</v>
      </c>
      <c r="N2851">
        <v>8</v>
      </c>
      <c r="O2851">
        <v>3</v>
      </c>
      <c r="P2851">
        <v>2025</v>
      </c>
    </row>
    <row r="2852" spans="1:16">
      <c r="A2852">
        <v>328.54</v>
      </c>
      <c r="B2852">
        <v>2</v>
      </c>
      <c r="C2852" t="s">
        <v>1735</v>
      </c>
      <c r="D2852" t="s">
        <v>1736</v>
      </c>
      <c r="E2852" t="s">
        <v>857</v>
      </c>
      <c r="F2852" t="s">
        <v>980</v>
      </c>
      <c r="G2852" t="s">
        <v>981</v>
      </c>
      <c r="H2852" t="s">
        <v>127</v>
      </c>
      <c r="I2852" t="s">
        <v>21</v>
      </c>
      <c r="J2852">
        <v>164.27</v>
      </c>
      <c r="K2852" s="1">
        <v>45620</v>
      </c>
      <c r="L2852" t="s">
        <v>28</v>
      </c>
      <c r="M2852">
        <v>24</v>
      </c>
      <c r="N2852">
        <v>11</v>
      </c>
      <c r="O2852">
        <v>4</v>
      </c>
      <c r="P2852">
        <v>2024</v>
      </c>
    </row>
    <row r="2853" spans="1:16">
      <c r="A2853">
        <v>209.12</v>
      </c>
      <c r="B2853">
        <v>4</v>
      </c>
      <c r="C2853" t="s">
        <v>982</v>
      </c>
      <c r="D2853" t="s">
        <v>983</v>
      </c>
      <c r="E2853" t="s">
        <v>984</v>
      </c>
      <c r="F2853" t="s">
        <v>985</v>
      </c>
      <c r="G2853" t="s">
        <v>817</v>
      </c>
      <c r="H2853" t="s">
        <v>412</v>
      </c>
      <c r="I2853" t="s">
        <v>27</v>
      </c>
      <c r="J2853">
        <v>52.28</v>
      </c>
      <c r="K2853" s="1">
        <v>45745</v>
      </c>
      <c r="L2853" t="s">
        <v>14</v>
      </c>
      <c r="M2853">
        <v>29</v>
      </c>
      <c r="N2853">
        <v>3</v>
      </c>
      <c r="O2853">
        <v>1</v>
      </c>
      <c r="P2853">
        <v>2025</v>
      </c>
    </row>
    <row r="2854" spans="1:16">
      <c r="A2854">
        <v>233.52</v>
      </c>
      <c r="B2854">
        <v>1</v>
      </c>
      <c r="C2854" t="s">
        <v>2027</v>
      </c>
      <c r="D2854" t="s">
        <v>1355</v>
      </c>
      <c r="E2854" t="s">
        <v>1508</v>
      </c>
      <c r="F2854" t="s">
        <v>1002</v>
      </c>
      <c r="G2854" t="s">
        <v>1003</v>
      </c>
      <c r="H2854" t="s">
        <v>676</v>
      </c>
      <c r="I2854" t="s">
        <v>69</v>
      </c>
      <c r="J2854">
        <v>233.52</v>
      </c>
      <c r="K2854" s="1">
        <v>45802</v>
      </c>
      <c r="L2854" t="s">
        <v>28</v>
      </c>
      <c r="M2854">
        <v>25</v>
      </c>
      <c r="N2854">
        <v>5</v>
      </c>
      <c r="O2854">
        <v>2</v>
      </c>
      <c r="P2854">
        <v>2025</v>
      </c>
    </row>
    <row r="2855" spans="1:16">
      <c r="A2855">
        <v>649.44999999999993</v>
      </c>
      <c r="B2855">
        <v>5</v>
      </c>
      <c r="C2855" t="s">
        <v>3137</v>
      </c>
      <c r="D2855" t="s">
        <v>3138</v>
      </c>
      <c r="E2855" t="s">
        <v>2383</v>
      </c>
      <c r="F2855" t="s">
        <v>3139</v>
      </c>
      <c r="G2855" t="s">
        <v>908</v>
      </c>
      <c r="H2855" t="s">
        <v>271</v>
      </c>
      <c r="I2855" t="s">
        <v>25</v>
      </c>
      <c r="J2855">
        <v>129.88999999999999</v>
      </c>
      <c r="K2855" s="1">
        <v>45810</v>
      </c>
      <c r="L2855" t="s">
        <v>93</v>
      </c>
      <c r="M2855">
        <v>2</v>
      </c>
      <c r="N2855">
        <v>6</v>
      </c>
      <c r="O2855">
        <v>2</v>
      </c>
      <c r="P2855">
        <v>2025</v>
      </c>
    </row>
    <row r="2856" spans="1:16">
      <c r="A2856">
        <v>1001.35</v>
      </c>
      <c r="B2856">
        <v>5</v>
      </c>
      <c r="C2856" t="s">
        <v>2127</v>
      </c>
      <c r="D2856" t="s">
        <v>2128</v>
      </c>
      <c r="E2856" t="s">
        <v>1050</v>
      </c>
      <c r="F2856" t="s">
        <v>1371</v>
      </c>
      <c r="G2856" t="s">
        <v>786</v>
      </c>
      <c r="H2856" t="s">
        <v>434</v>
      </c>
      <c r="I2856" t="s">
        <v>57</v>
      </c>
      <c r="J2856">
        <v>200.27</v>
      </c>
      <c r="K2856" s="1">
        <v>45676</v>
      </c>
      <c r="L2856" t="s">
        <v>28</v>
      </c>
      <c r="M2856">
        <v>19</v>
      </c>
      <c r="N2856">
        <v>1</v>
      </c>
      <c r="O2856">
        <v>1</v>
      </c>
      <c r="P2856">
        <v>2025</v>
      </c>
    </row>
    <row r="2857" spans="1:16">
      <c r="A2857">
        <v>632.84999999999991</v>
      </c>
      <c r="B2857">
        <v>5</v>
      </c>
      <c r="C2857" t="s">
        <v>1150</v>
      </c>
      <c r="D2857" t="s">
        <v>1151</v>
      </c>
      <c r="E2857" t="s">
        <v>1152</v>
      </c>
      <c r="F2857" t="s">
        <v>843</v>
      </c>
      <c r="G2857" t="s">
        <v>753</v>
      </c>
      <c r="H2857" t="s">
        <v>367</v>
      </c>
      <c r="I2857" t="s">
        <v>31</v>
      </c>
      <c r="J2857">
        <v>126.57</v>
      </c>
      <c r="K2857" s="1">
        <v>46272</v>
      </c>
      <c r="L2857" t="s">
        <v>93</v>
      </c>
      <c r="M2857">
        <v>7</v>
      </c>
      <c r="N2857">
        <v>9</v>
      </c>
      <c r="O2857">
        <v>3</v>
      </c>
      <c r="P2857">
        <v>2026</v>
      </c>
    </row>
    <row r="2858" spans="1:16">
      <c r="A2858">
        <v>992.2</v>
      </c>
      <c r="B2858">
        <v>5</v>
      </c>
      <c r="C2858" t="s">
        <v>1435</v>
      </c>
      <c r="D2858" t="s">
        <v>1436</v>
      </c>
      <c r="E2858" t="s">
        <v>1437</v>
      </c>
      <c r="F2858" t="s">
        <v>387</v>
      </c>
      <c r="G2858" t="s">
        <v>821</v>
      </c>
      <c r="H2858" t="s">
        <v>40</v>
      </c>
      <c r="I2858" t="s">
        <v>37</v>
      </c>
      <c r="J2858">
        <v>198.44</v>
      </c>
      <c r="K2858" s="1">
        <v>46042</v>
      </c>
      <c r="L2858" t="s">
        <v>48</v>
      </c>
      <c r="M2858">
        <v>20</v>
      </c>
      <c r="N2858">
        <v>1</v>
      </c>
      <c r="O2858">
        <v>1</v>
      </c>
      <c r="P2858">
        <v>2026</v>
      </c>
    </row>
    <row r="2859" spans="1:16">
      <c r="A2859">
        <v>163.62</v>
      </c>
      <c r="B2859">
        <v>3</v>
      </c>
      <c r="C2859" t="s">
        <v>2678</v>
      </c>
      <c r="D2859" t="s">
        <v>2679</v>
      </c>
      <c r="E2859" t="s">
        <v>1291</v>
      </c>
      <c r="F2859" t="s">
        <v>1740</v>
      </c>
      <c r="G2859" t="s">
        <v>954</v>
      </c>
      <c r="H2859" t="s">
        <v>292</v>
      </c>
      <c r="I2859" t="s">
        <v>97</v>
      </c>
      <c r="J2859">
        <v>54.54</v>
      </c>
      <c r="K2859" s="1">
        <v>45755</v>
      </c>
      <c r="L2859" t="s">
        <v>48</v>
      </c>
      <c r="M2859">
        <v>8</v>
      </c>
      <c r="N2859">
        <v>4</v>
      </c>
      <c r="O2859">
        <v>2</v>
      </c>
      <c r="P2859">
        <v>2025</v>
      </c>
    </row>
    <row r="2860" spans="1:16">
      <c r="A2860">
        <v>62.7</v>
      </c>
      <c r="B2860">
        <v>2</v>
      </c>
      <c r="C2860" t="s">
        <v>2606</v>
      </c>
      <c r="D2860" t="s">
        <v>2607</v>
      </c>
      <c r="E2860" t="s">
        <v>2078</v>
      </c>
      <c r="F2860" t="s">
        <v>1032</v>
      </c>
      <c r="G2860" t="s">
        <v>839</v>
      </c>
      <c r="H2860" t="s">
        <v>557</v>
      </c>
      <c r="I2860" t="s">
        <v>46</v>
      </c>
      <c r="J2860">
        <v>31.35</v>
      </c>
      <c r="K2860" s="1">
        <v>45815</v>
      </c>
      <c r="L2860" t="s">
        <v>14</v>
      </c>
      <c r="M2860">
        <v>7</v>
      </c>
      <c r="N2860">
        <v>6</v>
      </c>
      <c r="O2860">
        <v>2</v>
      </c>
      <c r="P2860">
        <v>2025</v>
      </c>
    </row>
    <row r="2861" spans="1:16">
      <c r="A2861">
        <v>269.98</v>
      </c>
      <c r="B2861">
        <v>2</v>
      </c>
      <c r="C2861" t="s">
        <v>1537</v>
      </c>
      <c r="D2861" t="s">
        <v>1538</v>
      </c>
      <c r="E2861" t="s">
        <v>1539</v>
      </c>
      <c r="F2861" t="s">
        <v>1540</v>
      </c>
      <c r="G2861" t="s">
        <v>768</v>
      </c>
      <c r="H2861" t="s">
        <v>428</v>
      </c>
      <c r="I2861" t="s">
        <v>31</v>
      </c>
      <c r="J2861">
        <v>134.99</v>
      </c>
      <c r="K2861" s="1">
        <v>45825</v>
      </c>
      <c r="L2861" t="s">
        <v>48</v>
      </c>
      <c r="M2861">
        <v>17</v>
      </c>
      <c r="N2861">
        <v>6</v>
      </c>
      <c r="O2861">
        <v>2</v>
      </c>
      <c r="P2861">
        <v>2025</v>
      </c>
    </row>
    <row r="2862" spans="1:16">
      <c r="A2862">
        <v>82.6</v>
      </c>
      <c r="B2862">
        <v>5</v>
      </c>
      <c r="C2862" t="s">
        <v>1096</v>
      </c>
      <c r="D2862" t="s">
        <v>1097</v>
      </c>
      <c r="E2862" t="s">
        <v>1098</v>
      </c>
      <c r="F2862" t="s">
        <v>980</v>
      </c>
      <c r="G2862" t="s">
        <v>981</v>
      </c>
      <c r="H2862" t="s">
        <v>339</v>
      </c>
      <c r="I2862" t="s">
        <v>19</v>
      </c>
      <c r="J2862">
        <v>16.52</v>
      </c>
      <c r="K2862" s="1">
        <v>45693</v>
      </c>
      <c r="L2862" t="s">
        <v>34</v>
      </c>
      <c r="M2862">
        <v>5</v>
      </c>
      <c r="N2862">
        <v>2</v>
      </c>
      <c r="O2862">
        <v>1</v>
      </c>
      <c r="P2862">
        <v>2025</v>
      </c>
    </row>
    <row r="2863" spans="1:16">
      <c r="A2863">
        <v>26.98</v>
      </c>
      <c r="B2863">
        <v>1</v>
      </c>
      <c r="C2863" t="s">
        <v>1689</v>
      </c>
      <c r="D2863" t="s">
        <v>1690</v>
      </c>
      <c r="E2863" t="s">
        <v>1559</v>
      </c>
      <c r="F2863" t="s">
        <v>1691</v>
      </c>
      <c r="G2863" t="s">
        <v>821</v>
      </c>
      <c r="H2863" t="s">
        <v>458</v>
      </c>
      <c r="I2863" t="s">
        <v>37</v>
      </c>
      <c r="J2863">
        <v>26.98</v>
      </c>
      <c r="K2863" s="1">
        <v>45641</v>
      </c>
      <c r="L2863" t="s">
        <v>28</v>
      </c>
      <c r="M2863">
        <v>15</v>
      </c>
      <c r="N2863">
        <v>12</v>
      </c>
      <c r="O2863">
        <v>4</v>
      </c>
      <c r="P2863">
        <v>2024</v>
      </c>
    </row>
    <row r="2864" spans="1:16">
      <c r="A2864">
        <v>87.32</v>
      </c>
      <c r="B2864">
        <v>2</v>
      </c>
      <c r="C2864" t="s">
        <v>2673</v>
      </c>
      <c r="D2864" t="s">
        <v>2674</v>
      </c>
      <c r="E2864" t="s">
        <v>1121</v>
      </c>
      <c r="F2864" t="s">
        <v>2574</v>
      </c>
      <c r="G2864" t="s">
        <v>839</v>
      </c>
      <c r="H2864" t="s">
        <v>675</v>
      </c>
      <c r="I2864" t="s">
        <v>97</v>
      </c>
      <c r="J2864">
        <v>43.66</v>
      </c>
      <c r="K2864" s="1">
        <v>45608</v>
      </c>
      <c r="L2864" t="s">
        <v>48</v>
      </c>
      <c r="M2864">
        <v>12</v>
      </c>
      <c r="N2864">
        <v>11</v>
      </c>
      <c r="O2864">
        <v>4</v>
      </c>
      <c r="P2864">
        <v>2024</v>
      </c>
    </row>
    <row r="2865" spans="1:16">
      <c r="A2865">
        <v>234.78</v>
      </c>
      <c r="B2865">
        <v>1</v>
      </c>
      <c r="C2865" t="s">
        <v>1138</v>
      </c>
      <c r="D2865" t="s">
        <v>1139</v>
      </c>
      <c r="E2865" t="s">
        <v>1140</v>
      </c>
      <c r="F2865" t="s">
        <v>666</v>
      </c>
      <c r="G2865" t="s">
        <v>954</v>
      </c>
      <c r="H2865" t="s">
        <v>45</v>
      </c>
      <c r="I2865" t="s">
        <v>46</v>
      </c>
      <c r="J2865">
        <v>234.78</v>
      </c>
      <c r="K2865" s="1">
        <v>45628</v>
      </c>
      <c r="L2865" t="s">
        <v>93</v>
      </c>
      <c r="M2865">
        <v>2</v>
      </c>
      <c r="N2865">
        <v>12</v>
      </c>
      <c r="O2865">
        <v>4</v>
      </c>
      <c r="P2865">
        <v>2024</v>
      </c>
    </row>
    <row r="2866" spans="1:16">
      <c r="A2866">
        <v>734.49</v>
      </c>
      <c r="B2866">
        <v>3</v>
      </c>
      <c r="C2866" t="s">
        <v>1653</v>
      </c>
      <c r="D2866" t="s">
        <v>1654</v>
      </c>
      <c r="E2866" t="s">
        <v>976</v>
      </c>
      <c r="F2866" t="s">
        <v>1306</v>
      </c>
      <c r="G2866" t="s">
        <v>966</v>
      </c>
      <c r="H2866" t="s">
        <v>589</v>
      </c>
      <c r="I2866" t="s">
        <v>46</v>
      </c>
      <c r="J2866">
        <v>244.83</v>
      </c>
      <c r="K2866" s="1">
        <v>45835</v>
      </c>
      <c r="L2866" t="s">
        <v>79</v>
      </c>
      <c r="M2866">
        <v>27</v>
      </c>
      <c r="N2866">
        <v>6</v>
      </c>
      <c r="O2866">
        <v>2</v>
      </c>
      <c r="P2866">
        <v>2025</v>
      </c>
    </row>
    <row r="2867" spans="1:16">
      <c r="A2867">
        <v>224.2</v>
      </c>
      <c r="B2867">
        <v>4</v>
      </c>
      <c r="C2867" t="s">
        <v>3356</v>
      </c>
      <c r="D2867" t="s">
        <v>3357</v>
      </c>
      <c r="E2867" t="s">
        <v>3358</v>
      </c>
      <c r="F2867" t="s">
        <v>392</v>
      </c>
      <c r="G2867" t="s">
        <v>943</v>
      </c>
      <c r="H2867" t="s">
        <v>32</v>
      </c>
      <c r="I2867" t="s">
        <v>19</v>
      </c>
      <c r="J2867">
        <v>56.05</v>
      </c>
      <c r="K2867" s="1">
        <v>45907</v>
      </c>
      <c r="L2867" t="s">
        <v>28</v>
      </c>
      <c r="M2867">
        <v>7</v>
      </c>
      <c r="N2867">
        <v>9</v>
      </c>
      <c r="O2867">
        <v>3</v>
      </c>
      <c r="P2867">
        <v>2025</v>
      </c>
    </row>
    <row r="2868" spans="1:16">
      <c r="A2868">
        <v>122.16</v>
      </c>
      <c r="B2868">
        <v>2</v>
      </c>
      <c r="C2868" t="s">
        <v>2171</v>
      </c>
      <c r="D2868" t="s">
        <v>2172</v>
      </c>
      <c r="E2868" t="s">
        <v>2173</v>
      </c>
      <c r="F2868" t="s">
        <v>762</v>
      </c>
      <c r="G2868" t="s">
        <v>763</v>
      </c>
      <c r="H2868" t="s">
        <v>385</v>
      </c>
      <c r="I2868" t="s">
        <v>39</v>
      </c>
      <c r="J2868">
        <v>61.08</v>
      </c>
      <c r="K2868" s="1">
        <v>45952</v>
      </c>
      <c r="L2868" t="s">
        <v>34</v>
      </c>
      <c r="M2868">
        <v>22</v>
      </c>
      <c r="N2868">
        <v>10</v>
      </c>
      <c r="O2868">
        <v>4</v>
      </c>
      <c r="P2868">
        <v>2025</v>
      </c>
    </row>
    <row r="2869" spans="1:16">
      <c r="A2869">
        <v>124.14999999999999</v>
      </c>
      <c r="B2869">
        <v>5</v>
      </c>
      <c r="C2869" t="s">
        <v>3093</v>
      </c>
      <c r="D2869" t="s">
        <v>3094</v>
      </c>
      <c r="E2869" t="s">
        <v>2108</v>
      </c>
      <c r="F2869" t="s">
        <v>196</v>
      </c>
      <c r="G2869" t="s">
        <v>830</v>
      </c>
      <c r="H2869" t="s">
        <v>338</v>
      </c>
      <c r="I2869" t="s">
        <v>82</v>
      </c>
      <c r="J2869">
        <v>24.83</v>
      </c>
      <c r="K2869" s="1">
        <v>45765</v>
      </c>
      <c r="L2869" t="s">
        <v>79</v>
      </c>
      <c r="M2869">
        <v>18</v>
      </c>
      <c r="N2869">
        <v>4</v>
      </c>
      <c r="O2869">
        <v>2</v>
      </c>
      <c r="P2869">
        <v>2025</v>
      </c>
    </row>
    <row r="2870" spans="1:16">
      <c r="A2870">
        <v>457.1</v>
      </c>
      <c r="B2870">
        <v>5</v>
      </c>
      <c r="C2870" t="s">
        <v>2336</v>
      </c>
      <c r="D2870" t="s">
        <v>2337</v>
      </c>
      <c r="E2870" t="s">
        <v>2338</v>
      </c>
      <c r="F2870" t="s">
        <v>1811</v>
      </c>
      <c r="G2870" t="s">
        <v>892</v>
      </c>
      <c r="H2870" t="s">
        <v>479</v>
      </c>
      <c r="I2870" t="s">
        <v>17</v>
      </c>
      <c r="J2870">
        <v>91.42</v>
      </c>
      <c r="K2870" s="1">
        <v>45614</v>
      </c>
      <c r="L2870" t="s">
        <v>93</v>
      </c>
      <c r="M2870">
        <v>18</v>
      </c>
      <c r="N2870">
        <v>11</v>
      </c>
      <c r="O2870">
        <v>4</v>
      </c>
      <c r="P2870">
        <v>2024</v>
      </c>
    </row>
    <row r="2871" spans="1:16">
      <c r="A2871">
        <v>219.26</v>
      </c>
      <c r="B2871">
        <v>1</v>
      </c>
      <c r="C2871" t="s">
        <v>1307</v>
      </c>
      <c r="D2871" t="s">
        <v>1308</v>
      </c>
      <c r="E2871" t="s">
        <v>1212</v>
      </c>
      <c r="F2871" t="s">
        <v>151</v>
      </c>
      <c r="G2871" t="s">
        <v>1003</v>
      </c>
      <c r="H2871" t="s">
        <v>162</v>
      </c>
      <c r="I2871" t="s">
        <v>51</v>
      </c>
      <c r="J2871">
        <v>219.26</v>
      </c>
      <c r="K2871" s="1">
        <v>45586</v>
      </c>
      <c r="L2871" t="s">
        <v>93</v>
      </c>
      <c r="M2871">
        <v>21</v>
      </c>
      <c r="N2871">
        <v>10</v>
      </c>
      <c r="O2871">
        <v>4</v>
      </c>
      <c r="P2871">
        <v>2024</v>
      </c>
    </row>
    <row r="2872" spans="1:16">
      <c r="A2872">
        <v>399.09000000000003</v>
      </c>
      <c r="B2872">
        <v>3</v>
      </c>
      <c r="C2872" t="s">
        <v>1730</v>
      </c>
      <c r="D2872" t="s">
        <v>1731</v>
      </c>
      <c r="E2872" t="s">
        <v>1143</v>
      </c>
      <c r="F2872" t="s">
        <v>1327</v>
      </c>
      <c r="G2872" t="s">
        <v>795</v>
      </c>
      <c r="H2872" t="s">
        <v>112</v>
      </c>
      <c r="I2872" t="s">
        <v>21</v>
      </c>
      <c r="J2872">
        <v>133.03</v>
      </c>
      <c r="K2872" s="1">
        <v>46223</v>
      </c>
      <c r="L2872" t="s">
        <v>93</v>
      </c>
      <c r="M2872">
        <v>20</v>
      </c>
      <c r="N2872">
        <v>7</v>
      </c>
      <c r="O2872">
        <v>3</v>
      </c>
      <c r="P2872">
        <v>2026</v>
      </c>
    </row>
    <row r="2873" spans="1:16">
      <c r="A2873">
        <v>518.91999999999996</v>
      </c>
      <c r="B2873">
        <v>4</v>
      </c>
      <c r="C2873" t="s">
        <v>3209</v>
      </c>
      <c r="D2873" t="s">
        <v>3210</v>
      </c>
      <c r="E2873" t="s">
        <v>3211</v>
      </c>
      <c r="F2873" t="s">
        <v>1107</v>
      </c>
      <c r="G2873" t="s">
        <v>892</v>
      </c>
      <c r="H2873" t="s">
        <v>20</v>
      </c>
      <c r="I2873" t="s">
        <v>21</v>
      </c>
      <c r="J2873">
        <v>129.72999999999999</v>
      </c>
      <c r="K2873" s="1">
        <v>45803</v>
      </c>
      <c r="L2873" t="s">
        <v>93</v>
      </c>
      <c r="M2873">
        <v>26</v>
      </c>
      <c r="N2873">
        <v>5</v>
      </c>
      <c r="O2873">
        <v>2</v>
      </c>
      <c r="P2873">
        <v>2025</v>
      </c>
    </row>
    <row r="2874" spans="1:16">
      <c r="A2874">
        <v>180.26</v>
      </c>
      <c r="B2874">
        <v>2</v>
      </c>
      <c r="C2874" t="s">
        <v>2395</v>
      </c>
      <c r="D2874" t="s">
        <v>2396</v>
      </c>
      <c r="E2874" t="s">
        <v>761</v>
      </c>
      <c r="F2874" t="s">
        <v>2397</v>
      </c>
      <c r="G2874" t="s">
        <v>966</v>
      </c>
      <c r="H2874" t="s">
        <v>304</v>
      </c>
      <c r="I2874" t="s">
        <v>100</v>
      </c>
      <c r="J2874">
        <v>90.13</v>
      </c>
      <c r="K2874" s="1">
        <v>45677</v>
      </c>
      <c r="L2874" t="s">
        <v>93</v>
      </c>
      <c r="M2874">
        <v>20</v>
      </c>
      <c r="N2874">
        <v>1</v>
      </c>
      <c r="O2874">
        <v>1</v>
      </c>
      <c r="P2874">
        <v>2025</v>
      </c>
    </row>
    <row r="2875" spans="1:16">
      <c r="A2875">
        <v>31.24</v>
      </c>
      <c r="B2875">
        <v>2</v>
      </c>
      <c r="C2875" t="s">
        <v>2918</v>
      </c>
      <c r="D2875" t="s">
        <v>2919</v>
      </c>
      <c r="E2875" t="s">
        <v>2920</v>
      </c>
      <c r="F2875" t="s">
        <v>1649</v>
      </c>
      <c r="G2875" t="s">
        <v>790</v>
      </c>
      <c r="H2875" t="s">
        <v>248</v>
      </c>
      <c r="I2875" t="s">
        <v>100</v>
      </c>
      <c r="J2875">
        <v>15.62</v>
      </c>
      <c r="K2875" s="1">
        <v>45705</v>
      </c>
      <c r="L2875" t="s">
        <v>93</v>
      </c>
      <c r="M2875">
        <v>17</v>
      </c>
      <c r="N2875">
        <v>2</v>
      </c>
      <c r="O2875">
        <v>1</v>
      </c>
      <c r="P2875">
        <v>2025</v>
      </c>
    </row>
    <row r="2876" spans="1:16">
      <c r="A2876">
        <v>534.84</v>
      </c>
      <c r="B2876">
        <v>4</v>
      </c>
      <c r="C2876" t="s">
        <v>1180</v>
      </c>
      <c r="D2876" t="s">
        <v>1181</v>
      </c>
      <c r="E2876" t="s">
        <v>1182</v>
      </c>
      <c r="F2876" t="s">
        <v>953</v>
      </c>
      <c r="G2876" t="s">
        <v>954</v>
      </c>
      <c r="H2876" t="s">
        <v>539</v>
      </c>
      <c r="I2876" t="s">
        <v>69</v>
      </c>
      <c r="J2876">
        <v>133.71</v>
      </c>
      <c r="K2876" s="1">
        <v>45922</v>
      </c>
      <c r="L2876" t="s">
        <v>93</v>
      </c>
      <c r="M2876">
        <v>22</v>
      </c>
      <c r="N2876">
        <v>9</v>
      </c>
      <c r="O2876">
        <v>3</v>
      </c>
      <c r="P2876">
        <v>2025</v>
      </c>
    </row>
    <row r="2877" spans="1:16">
      <c r="A2877">
        <v>549.65000000000009</v>
      </c>
      <c r="B2877">
        <v>5</v>
      </c>
      <c r="C2877" t="s">
        <v>2604</v>
      </c>
      <c r="D2877" t="s">
        <v>2605</v>
      </c>
      <c r="E2877" t="s">
        <v>1253</v>
      </c>
      <c r="F2877" t="s">
        <v>1236</v>
      </c>
      <c r="G2877" t="s">
        <v>807</v>
      </c>
      <c r="H2877" t="s">
        <v>360</v>
      </c>
      <c r="I2877" t="s">
        <v>43</v>
      </c>
      <c r="J2877">
        <v>109.93</v>
      </c>
      <c r="K2877" s="1">
        <v>46195</v>
      </c>
      <c r="L2877" t="s">
        <v>93</v>
      </c>
      <c r="M2877">
        <v>22</v>
      </c>
      <c r="N2877">
        <v>6</v>
      </c>
      <c r="O2877">
        <v>2</v>
      </c>
      <c r="P2877">
        <v>2026</v>
      </c>
    </row>
    <row r="2878" spans="1:16">
      <c r="A2878">
        <v>99.390000000000015</v>
      </c>
      <c r="B2878">
        <v>3</v>
      </c>
      <c r="C2878" t="s">
        <v>2632</v>
      </c>
      <c r="D2878" t="s">
        <v>2633</v>
      </c>
      <c r="E2878" t="s">
        <v>1965</v>
      </c>
      <c r="F2878" t="s">
        <v>869</v>
      </c>
      <c r="G2878" t="s">
        <v>1247</v>
      </c>
      <c r="H2878" t="s">
        <v>164</v>
      </c>
      <c r="I2878" t="s">
        <v>46</v>
      </c>
      <c r="J2878">
        <v>33.130000000000003</v>
      </c>
      <c r="K2878" s="1">
        <v>45789</v>
      </c>
      <c r="L2878" t="s">
        <v>93</v>
      </c>
      <c r="M2878">
        <v>12</v>
      </c>
      <c r="N2878">
        <v>5</v>
      </c>
      <c r="O2878">
        <v>2</v>
      </c>
      <c r="P2878">
        <v>2025</v>
      </c>
    </row>
    <row r="2879" spans="1:16">
      <c r="A2879">
        <v>168.56</v>
      </c>
      <c r="B2879">
        <v>1</v>
      </c>
      <c r="C2879" t="s">
        <v>1782</v>
      </c>
      <c r="D2879" t="s">
        <v>1783</v>
      </c>
      <c r="E2879" t="s">
        <v>1085</v>
      </c>
      <c r="F2879" t="s">
        <v>1002</v>
      </c>
      <c r="G2879" t="s">
        <v>892</v>
      </c>
      <c r="H2879" t="s">
        <v>688</v>
      </c>
      <c r="I2879" t="s">
        <v>17</v>
      </c>
      <c r="J2879">
        <v>168.56</v>
      </c>
      <c r="K2879" s="1">
        <v>45661</v>
      </c>
      <c r="L2879" t="s">
        <v>14</v>
      </c>
      <c r="M2879">
        <v>4</v>
      </c>
      <c r="N2879">
        <v>1</v>
      </c>
      <c r="O2879">
        <v>1</v>
      </c>
      <c r="P2879">
        <v>2025</v>
      </c>
    </row>
    <row r="2880" spans="1:16">
      <c r="A2880">
        <v>209.02</v>
      </c>
      <c r="B2880">
        <v>1</v>
      </c>
      <c r="C2880" t="s">
        <v>2552</v>
      </c>
      <c r="D2880" t="s">
        <v>2553</v>
      </c>
      <c r="E2880" t="s">
        <v>1524</v>
      </c>
      <c r="F2880" t="s">
        <v>196</v>
      </c>
      <c r="G2880" t="s">
        <v>1247</v>
      </c>
      <c r="H2880" t="s">
        <v>62</v>
      </c>
      <c r="I2880" t="s">
        <v>17</v>
      </c>
      <c r="J2880">
        <v>209.02</v>
      </c>
      <c r="K2880" s="1">
        <v>45608</v>
      </c>
      <c r="L2880" t="s">
        <v>48</v>
      </c>
      <c r="M2880">
        <v>12</v>
      </c>
      <c r="N2880">
        <v>11</v>
      </c>
      <c r="O2880">
        <v>4</v>
      </c>
      <c r="P2880">
        <v>2024</v>
      </c>
    </row>
    <row r="2881" spans="1:16">
      <c r="A2881">
        <v>403.06</v>
      </c>
      <c r="B2881">
        <v>2</v>
      </c>
      <c r="C2881" t="s">
        <v>2357</v>
      </c>
      <c r="D2881" t="s">
        <v>2358</v>
      </c>
      <c r="E2881" t="s">
        <v>2359</v>
      </c>
      <c r="F2881" t="s">
        <v>869</v>
      </c>
      <c r="G2881" t="s">
        <v>807</v>
      </c>
      <c r="H2881" t="s">
        <v>476</v>
      </c>
      <c r="I2881" t="s">
        <v>31</v>
      </c>
      <c r="J2881">
        <v>201.53</v>
      </c>
      <c r="K2881" s="1">
        <v>45559</v>
      </c>
      <c r="L2881" t="s">
        <v>48</v>
      </c>
      <c r="M2881">
        <v>24</v>
      </c>
      <c r="N2881">
        <v>9</v>
      </c>
      <c r="O2881">
        <v>3</v>
      </c>
      <c r="P2881">
        <v>2024</v>
      </c>
    </row>
    <row r="2882" spans="1:16">
      <c r="A2882">
        <v>119.43</v>
      </c>
      <c r="B2882">
        <v>3</v>
      </c>
      <c r="C2882" t="s">
        <v>2176</v>
      </c>
      <c r="D2882" t="s">
        <v>2177</v>
      </c>
      <c r="E2882" t="s">
        <v>1768</v>
      </c>
      <c r="F2882" t="s">
        <v>1359</v>
      </c>
      <c r="G2882" t="s">
        <v>768</v>
      </c>
      <c r="H2882" t="s">
        <v>154</v>
      </c>
      <c r="I2882" t="s">
        <v>37</v>
      </c>
      <c r="J2882">
        <v>39.81</v>
      </c>
      <c r="K2882" s="1">
        <v>46254</v>
      </c>
      <c r="L2882" t="s">
        <v>105</v>
      </c>
      <c r="M2882">
        <v>20</v>
      </c>
      <c r="N2882">
        <v>8</v>
      </c>
      <c r="O2882">
        <v>3</v>
      </c>
      <c r="P2882">
        <v>2026</v>
      </c>
    </row>
    <row r="2883" spans="1:16">
      <c r="A2883">
        <v>175.34</v>
      </c>
      <c r="B2883">
        <v>2</v>
      </c>
      <c r="C2883" t="s">
        <v>1229</v>
      </c>
      <c r="D2883" t="s">
        <v>1230</v>
      </c>
      <c r="E2883" t="s">
        <v>1231</v>
      </c>
      <c r="F2883" t="s">
        <v>1232</v>
      </c>
      <c r="G2883" t="s">
        <v>817</v>
      </c>
      <c r="H2883" t="s">
        <v>1774</v>
      </c>
      <c r="I2883" t="s">
        <v>27</v>
      </c>
      <c r="J2883">
        <v>87.67</v>
      </c>
      <c r="K2883" s="1">
        <v>45682</v>
      </c>
      <c r="L2883" t="s">
        <v>14</v>
      </c>
      <c r="M2883">
        <v>25</v>
      </c>
      <c r="N2883">
        <v>1</v>
      </c>
      <c r="O2883">
        <v>1</v>
      </c>
      <c r="P2883">
        <v>2025</v>
      </c>
    </row>
    <row r="2884" spans="1:16">
      <c r="A2884">
        <v>819.80000000000007</v>
      </c>
      <c r="B2884">
        <v>5</v>
      </c>
      <c r="C2884" t="s">
        <v>782</v>
      </c>
      <c r="D2884" t="s">
        <v>783</v>
      </c>
      <c r="E2884" t="s">
        <v>784</v>
      </c>
      <c r="F2884" t="s">
        <v>785</v>
      </c>
      <c r="G2884" t="s">
        <v>786</v>
      </c>
      <c r="H2884" t="s">
        <v>731</v>
      </c>
      <c r="I2884" t="s">
        <v>21</v>
      </c>
      <c r="J2884">
        <v>163.96</v>
      </c>
      <c r="K2884" s="1">
        <v>46156</v>
      </c>
      <c r="L2884" t="s">
        <v>105</v>
      </c>
      <c r="M2884">
        <v>14</v>
      </c>
      <c r="N2884">
        <v>5</v>
      </c>
      <c r="O2884">
        <v>2</v>
      </c>
      <c r="P2884">
        <v>2026</v>
      </c>
    </row>
    <row r="2885" spans="1:16">
      <c r="A2885">
        <v>488.48</v>
      </c>
      <c r="B2885">
        <v>2</v>
      </c>
      <c r="C2885" t="s">
        <v>3431</v>
      </c>
      <c r="D2885" t="s">
        <v>3432</v>
      </c>
      <c r="E2885" t="s">
        <v>2331</v>
      </c>
      <c r="F2885" t="s">
        <v>345</v>
      </c>
      <c r="G2885" t="s">
        <v>892</v>
      </c>
      <c r="H2885" t="s">
        <v>61</v>
      </c>
      <c r="I2885" t="s">
        <v>55</v>
      </c>
      <c r="J2885">
        <v>244.24</v>
      </c>
      <c r="K2885" s="1">
        <v>46068</v>
      </c>
      <c r="L2885" t="s">
        <v>28</v>
      </c>
      <c r="M2885">
        <v>15</v>
      </c>
      <c r="N2885">
        <v>2</v>
      </c>
      <c r="O2885">
        <v>1</v>
      </c>
      <c r="P2885">
        <v>2026</v>
      </c>
    </row>
    <row r="2886" spans="1:16">
      <c r="A2886">
        <v>408.5</v>
      </c>
      <c r="B2886">
        <v>2</v>
      </c>
      <c r="C2886" t="s">
        <v>2035</v>
      </c>
      <c r="D2886" t="s">
        <v>2036</v>
      </c>
      <c r="E2886" t="s">
        <v>1793</v>
      </c>
      <c r="F2886" t="s">
        <v>1920</v>
      </c>
      <c r="G2886" t="s">
        <v>807</v>
      </c>
      <c r="H2886" t="s">
        <v>341</v>
      </c>
      <c r="I2886" t="s">
        <v>21</v>
      </c>
      <c r="J2886">
        <v>204.25</v>
      </c>
      <c r="K2886" s="1">
        <v>45765</v>
      </c>
      <c r="L2886" t="s">
        <v>79</v>
      </c>
      <c r="M2886">
        <v>18</v>
      </c>
      <c r="N2886">
        <v>4</v>
      </c>
      <c r="O2886">
        <v>2</v>
      </c>
      <c r="P2886">
        <v>2025</v>
      </c>
    </row>
    <row r="2887" spans="1:16">
      <c r="A2887">
        <v>601.59</v>
      </c>
      <c r="B2887">
        <v>3</v>
      </c>
      <c r="C2887" t="s">
        <v>2953</v>
      </c>
      <c r="D2887" t="s">
        <v>2954</v>
      </c>
      <c r="E2887" t="s">
        <v>1698</v>
      </c>
      <c r="F2887" t="s">
        <v>1395</v>
      </c>
      <c r="G2887" t="s">
        <v>776</v>
      </c>
      <c r="H2887" t="s">
        <v>429</v>
      </c>
      <c r="I2887" t="s">
        <v>19</v>
      </c>
      <c r="J2887">
        <v>200.53</v>
      </c>
      <c r="K2887" s="1">
        <v>46001</v>
      </c>
      <c r="L2887" t="s">
        <v>34</v>
      </c>
      <c r="M2887">
        <v>10</v>
      </c>
      <c r="N2887">
        <v>12</v>
      </c>
      <c r="O2887">
        <v>4</v>
      </c>
      <c r="P2887">
        <v>2025</v>
      </c>
    </row>
    <row r="2888" spans="1:16">
      <c r="A2888">
        <v>612.75</v>
      </c>
      <c r="B2888">
        <v>3</v>
      </c>
      <c r="C2888" t="s">
        <v>2178</v>
      </c>
      <c r="D2888" t="s">
        <v>2179</v>
      </c>
      <c r="E2888" t="s">
        <v>2060</v>
      </c>
      <c r="F2888" t="s">
        <v>1566</v>
      </c>
      <c r="G2888" t="s">
        <v>763</v>
      </c>
      <c r="H2888" t="s">
        <v>341</v>
      </c>
      <c r="I2888" t="s">
        <v>21</v>
      </c>
      <c r="J2888">
        <v>204.25</v>
      </c>
      <c r="K2888" s="1">
        <v>46034</v>
      </c>
      <c r="L2888" t="s">
        <v>93</v>
      </c>
      <c r="M2888">
        <v>12</v>
      </c>
      <c r="N2888">
        <v>1</v>
      </c>
      <c r="O2888">
        <v>1</v>
      </c>
      <c r="P2888">
        <v>2026</v>
      </c>
    </row>
    <row r="2889" spans="1:16">
      <c r="A2889">
        <v>210.74</v>
      </c>
      <c r="B2889">
        <v>2</v>
      </c>
      <c r="C2889" t="s">
        <v>3165</v>
      </c>
      <c r="D2889" t="s">
        <v>3166</v>
      </c>
      <c r="E2889" t="s">
        <v>1633</v>
      </c>
      <c r="F2889" t="s">
        <v>1673</v>
      </c>
      <c r="G2889" t="s">
        <v>821</v>
      </c>
      <c r="H2889" t="s">
        <v>132</v>
      </c>
      <c r="I2889" t="s">
        <v>31</v>
      </c>
      <c r="J2889">
        <v>105.37</v>
      </c>
      <c r="K2889" s="1">
        <v>45656</v>
      </c>
      <c r="L2889" t="s">
        <v>93</v>
      </c>
      <c r="M2889">
        <v>30</v>
      </c>
      <c r="N2889">
        <v>12</v>
      </c>
      <c r="O2889">
        <v>4</v>
      </c>
      <c r="P2889">
        <v>2024</v>
      </c>
    </row>
    <row r="2890" spans="1:16">
      <c r="A2890">
        <v>72.72</v>
      </c>
      <c r="B2890">
        <v>4</v>
      </c>
      <c r="C2890" t="s">
        <v>1405</v>
      </c>
      <c r="D2890" t="s">
        <v>1406</v>
      </c>
      <c r="E2890" t="s">
        <v>846</v>
      </c>
      <c r="F2890" t="s">
        <v>1371</v>
      </c>
      <c r="G2890" t="s">
        <v>786</v>
      </c>
      <c r="H2890" t="s">
        <v>284</v>
      </c>
      <c r="I2890" t="s">
        <v>97</v>
      </c>
      <c r="J2890">
        <v>18.18</v>
      </c>
      <c r="K2890" s="1">
        <v>46074</v>
      </c>
      <c r="L2890" t="s">
        <v>14</v>
      </c>
      <c r="M2890">
        <v>21</v>
      </c>
      <c r="N2890">
        <v>2</v>
      </c>
      <c r="O2890">
        <v>1</v>
      </c>
      <c r="P2890">
        <v>2026</v>
      </c>
    </row>
    <row r="2891" spans="1:16">
      <c r="A2891">
        <v>462.45</v>
      </c>
      <c r="B2891">
        <v>5</v>
      </c>
      <c r="C2891" t="s">
        <v>3218</v>
      </c>
      <c r="D2891" t="s">
        <v>3219</v>
      </c>
      <c r="E2891" t="s">
        <v>2845</v>
      </c>
      <c r="F2891" t="s">
        <v>829</v>
      </c>
      <c r="G2891" t="s">
        <v>830</v>
      </c>
      <c r="H2891" t="s">
        <v>36</v>
      </c>
      <c r="I2891" t="s">
        <v>37</v>
      </c>
      <c r="J2891">
        <v>92.49</v>
      </c>
      <c r="K2891" s="1">
        <v>46083</v>
      </c>
      <c r="L2891" t="s">
        <v>93</v>
      </c>
      <c r="M2891">
        <v>2</v>
      </c>
      <c r="N2891">
        <v>3</v>
      </c>
      <c r="O2891">
        <v>1</v>
      </c>
      <c r="P2891">
        <v>2026</v>
      </c>
    </row>
    <row r="2892" spans="1:16">
      <c r="A2892">
        <v>391.32</v>
      </c>
      <c r="B2892">
        <v>4</v>
      </c>
      <c r="C2892" t="s">
        <v>873</v>
      </c>
      <c r="D2892" t="s">
        <v>874</v>
      </c>
      <c r="E2892" t="s">
        <v>875</v>
      </c>
      <c r="F2892" t="s">
        <v>387</v>
      </c>
      <c r="G2892" t="s">
        <v>821</v>
      </c>
      <c r="H2892" t="s">
        <v>135</v>
      </c>
      <c r="I2892" t="s">
        <v>122</v>
      </c>
      <c r="J2892">
        <v>97.83</v>
      </c>
      <c r="K2892" s="1">
        <v>45621</v>
      </c>
      <c r="L2892" t="s">
        <v>93</v>
      </c>
      <c r="M2892">
        <v>25</v>
      </c>
      <c r="N2892">
        <v>11</v>
      </c>
      <c r="O2892">
        <v>4</v>
      </c>
      <c r="P2892">
        <v>2024</v>
      </c>
    </row>
    <row r="2893" spans="1:16">
      <c r="A2893">
        <v>105.24</v>
      </c>
      <c r="B2893">
        <v>2</v>
      </c>
      <c r="C2893" t="s">
        <v>1396</v>
      </c>
      <c r="D2893" t="s">
        <v>1397</v>
      </c>
      <c r="E2893" t="s">
        <v>1398</v>
      </c>
      <c r="F2893" t="s">
        <v>903</v>
      </c>
      <c r="G2893" t="s">
        <v>786</v>
      </c>
      <c r="H2893" t="s">
        <v>270</v>
      </c>
      <c r="I2893" t="s">
        <v>55</v>
      </c>
      <c r="J2893">
        <v>52.62</v>
      </c>
      <c r="K2893" s="1">
        <v>45986</v>
      </c>
      <c r="L2893" t="s">
        <v>48</v>
      </c>
      <c r="M2893">
        <v>25</v>
      </c>
      <c r="N2893">
        <v>11</v>
      </c>
      <c r="O2893">
        <v>4</v>
      </c>
      <c r="P2893">
        <v>2025</v>
      </c>
    </row>
    <row r="2894" spans="1:16">
      <c r="A2894">
        <v>238.53</v>
      </c>
      <c r="B2894">
        <v>1</v>
      </c>
      <c r="C2894" t="s">
        <v>1099</v>
      </c>
      <c r="D2894" t="s">
        <v>1100</v>
      </c>
      <c r="E2894" t="s">
        <v>1035</v>
      </c>
      <c r="F2894" t="s">
        <v>211</v>
      </c>
      <c r="G2894" t="s">
        <v>812</v>
      </c>
      <c r="H2894" t="s">
        <v>660</v>
      </c>
      <c r="I2894" t="s">
        <v>25</v>
      </c>
      <c r="J2894">
        <v>238.53</v>
      </c>
      <c r="K2894" s="1">
        <v>46071</v>
      </c>
      <c r="L2894" t="s">
        <v>34</v>
      </c>
      <c r="M2894">
        <v>18</v>
      </c>
      <c r="N2894">
        <v>2</v>
      </c>
      <c r="O2894">
        <v>1</v>
      </c>
      <c r="P2894">
        <v>2026</v>
      </c>
    </row>
    <row r="2895" spans="1:16">
      <c r="A2895">
        <v>203.74</v>
      </c>
      <c r="B2895">
        <v>1</v>
      </c>
      <c r="C2895" t="s">
        <v>1907</v>
      </c>
      <c r="D2895" t="s">
        <v>1908</v>
      </c>
      <c r="E2895" t="s">
        <v>1909</v>
      </c>
      <c r="F2895" t="s">
        <v>965</v>
      </c>
      <c r="G2895" t="s">
        <v>839</v>
      </c>
      <c r="H2895" t="s">
        <v>552</v>
      </c>
      <c r="I2895" t="s">
        <v>31</v>
      </c>
      <c r="J2895">
        <v>203.74</v>
      </c>
      <c r="K2895" s="1">
        <v>46250</v>
      </c>
      <c r="L2895" t="s">
        <v>28</v>
      </c>
      <c r="M2895">
        <v>16</v>
      </c>
      <c r="N2895">
        <v>8</v>
      </c>
      <c r="O2895">
        <v>3</v>
      </c>
      <c r="P2895">
        <v>2026</v>
      </c>
    </row>
    <row r="2896" spans="1:16">
      <c r="A2896">
        <v>1216.1499999999999</v>
      </c>
      <c r="B2896">
        <v>5</v>
      </c>
      <c r="C2896" t="s">
        <v>3177</v>
      </c>
      <c r="D2896" t="s">
        <v>3178</v>
      </c>
      <c r="E2896" t="s">
        <v>1162</v>
      </c>
      <c r="F2896" t="s">
        <v>1359</v>
      </c>
      <c r="G2896" t="s">
        <v>768</v>
      </c>
      <c r="H2896" t="s">
        <v>126</v>
      </c>
      <c r="I2896" t="s">
        <v>43</v>
      </c>
      <c r="J2896">
        <v>243.23</v>
      </c>
      <c r="K2896" s="1">
        <v>46027</v>
      </c>
      <c r="L2896" t="s">
        <v>93</v>
      </c>
      <c r="M2896">
        <v>5</v>
      </c>
      <c r="N2896">
        <v>1</v>
      </c>
      <c r="O2896">
        <v>1</v>
      </c>
      <c r="P2896">
        <v>2026</v>
      </c>
    </row>
    <row r="2897" spans="1:16">
      <c r="A2897">
        <v>90.62</v>
      </c>
      <c r="B2897">
        <v>2</v>
      </c>
      <c r="C2897" t="s">
        <v>1402</v>
      </c>
      <c r="D2897" t="s">
        <v>1403</v>
      </c>
      <c r="E2897" t="s">
        <v>1404</v>
      </c>
      <c r="F2897" t="s">
        <v>691</v>
      </c>
      <c r="G2897" t="s">
        <v>776</v>
      </c>
      <c r="H2897" t="s">
        <v>537</v>
      </c>
      <c r="I2897" t="s">
        <v>31</v>
      </c>
      <c r="J2897">
        <v>45.31</v>
      </c>
      <c r="K2897" s="1">
        <v>45591</v>
      </c>
      <c r="L2897" t="s">
        <v>14</v>
      </c>
      <c r="M2897">
        <v>26</v>
      </c>
      <c r="N2897">
        <v>10</v>
      </c>
      <c r="O2897">
        <v>4</v>
      </c>
      <c r="P2897">
        <v>2024</v>
      </c>
    </row>
    <row r="2898" spans="1:16">
      <c r="A2898">
        <v>122.32</v>
      </c>
      <c r="B2898">
        <v>4</v>
      </c>
      <c r="C2898" t="s">
        <v>2558</v>
      </c>
      <c r="D2898" t="s">
        <v>2559</v>
      </c>
      <c r="E2898" t="s">
        <v>2560</v>
      </c>
      <c r="F2898" t="s">
        <v>1302</v>
      </c>
      <c r="G2898" t="s">
        <v>786</v>
      </c>
      <c r="H2898" t="s">
        <v>574</v>
      </c>
      <c r="I2898" t="s">
        <v>19</v>
      </c>
      <c r="J2898">
        <v>30.58</v>
      </c>
      <c r="K2898" s="1">
        <v>45945</v>
      </c>
      <c r="L2898" t="s">
        <v>34</v>
      </c>
      <c r="M2898">
        <v>15</v>
      </c>
      <c r="N2898">
        <v>10</v>
      </c>
      <c r="O2898">
        <v>4</v>
      </c>
      <c r="P2898">
        <v>2025</v>
      </c>
    </row>
    <row r="2899" spans="1:16">
      <c r="A2899">
        <v>91.74</v>
      </c>
      <c r="B2899">
        <v>3</v>
      </c>
      <c r="C2899" t="s">
        <v>2841</v>
      </c>
      <c r="D2899" t="s">
        <v>1063</v>
      </c>
      <c r="E2899" t="s">
        <v>2842</v>
      </c>
      <c r="F2899" t="s">
        <v>2574</v>
      </c>
      <c r="G2899" t="s">
        <v>839</v>
      </c>
      <c r="H2899" t="s">
        <v>574</v>
      </c>
      <c r="I2899" t="s">
        <v>19</v>
      </c>
      <c r="J2899">
        <v>30.58</v>
      </c>
      <c r="K2899" s="1">
        <v>45805</v>
      </c>
      <c r="L2899" t="s">
        <v>34</v>
      </c>
      <c r="M2899">
        <v>28</v>
      </c>
      <c r="N2899">
        <v>5</v>
      </c>
      <c r="O2899">
        <v>2</v>
      </c>
      <c r="P2899">
        <v>2025</v>
      </c>
    </row>
    <row r="2900" spans="1:16">
      <c r="A2900">
        <v>111.13</v>
      </c>
      <c r="B2900">
        <v>1</v>
      </c>
      <c r="C2900" t="s">
        <v>3447</v>
      </c>
      <c r="D2900" t="s">
        <v>3448</v>
      </c>
      <c r="E2900" t="s">
        <v>1688</v>
      </c>
      <c r="F2900" t="s">
        <v>1067</v>
      </c>
      <c r="G2900" t="s">
        <v>854</v>
      </c>
      <c r="H2900" t="s">
        <v>269</v>
      </c>
      <c r="I2900" t="s">
        <v>60</v>
      </c>
      <c r="J2900">
        <v>111.13</v>
      </c>
      <c r="K2900" s="1">
        <v>46051</v>
      </c>
      <c r="L2900" t="s">
        <v>105</v>
      </c>
      <c r="M2900">
        <v>29</v>
      </c>
      <c r="N2900">
        <v>1</v>
      </c>
      <c r="O2900">
        <v>1</v>
      </c>
      <c r="P2900">
        <v>2026</v>
      </c>
    </row>
    <row r="2901" spans="1:16">
      <c r="A2901">
        <v>208.08</v>
      </c>
      <c r="B2901">
        <v>2</v>
      </c>
      <c r="C2901" t="s">
        <v>2877</v>
      </c>
      <c r="D2901" t="s">
        <v>2878</v>
      </c>
      <c r="E2901" t="s">
        <v>2111</v>
      </c>
      <c r="F2901" t="s">
        <v>280</v>
      </c>
      <c r="G2901" t="s">
        <v>812</v>
      </c>
      <c r="H2901" t="s">
        <v>507</v>
      </c>
      <c r="I2901" t="s">
        <v>55</v>
      </c>
      <c r="J2901">
        <v>104.04</v>
      </c>
      <c r="K2901" s="1">
        <v>45602</v>
      </c>
      <c r="L2901" t="s">
        <v>34</v>
      </c>
      <c r="M2901">
        <v>6</v>
      </c>
      <c r="N2901">
        <v>11</v>
      </c>
      <c r="O2901">
        <v>4</v>
      </c>
      <c r="P2901">
        <v>2024</v>
      </c>
    </row>
    <row r="2902" spans="1:16">
      <c r="A2902">
        <v>980.88</v>
      </c>
      <c r="B2902">
        <v>4</v>
      </c>
      <c r="C2902" t="s">
        <v>2762</v>
      </c>
      <c r="D2902" t="s">
        <v>2763</v>
      </c>
      <c r="E2902" t="s">
        <v>1162</v>
      </c>
      <c r="F2902" t="s">
        <v>392</v>
      </c>
      <c r="G2902" t="s">
        <v>943</v>
      </c>
      <c r="H2902" t="s">
        <v>168</v>
      </c>
      <c r="I2902" t="s">
        <v>46</v>
      </c>
      <c r="J2902">
        <v>245.22</v>
      </c>
      <c r="K2902" s="1">
        <v>46228</v>
      </c>
      <c r="L2902" t="s">
        <v>14</v>
      </c>
      <c r="M2902">
        <v>25</v>
      </c>
      <c r="N2902">
        <v>7</v>
      </c>
      <c r="O2902">
        <v>3</v>
      </c>
      <c r="P2902">
        <v>2026</v>
      </c>
    </row>
    <row r="2903" spans="1:16">
      <c r="A2903">
        <v>324.14999999999998</v>
      </c>
      <c r="B2903">
        <v>3</v>
      </c>
      <c r="C2903" t="s">
        <v>1992</v>
      </c>
      <c r="D2903" t="s">
        <v>1993</v>
      </c>
      <c r="E2903" t="s">
        <v>1968</v>
      </c>
      <c r="F2903" t="s">
        <v>1257</v>
      </c>
      <c r="G2903" t="s">
        <v>839</v>
      </c>
      <c r="H2903" t="s">
        <v>682</v>
      </c>
      <c r="I2903" t="s">
        <v>23</v>
      </c>
      <c r="J2903">
        <v>108.05</v>
      </c>
      <c r="K2903" s="1">
        <v>45822</v>
      </c>
      <c r="L2903" t="s">
        <v>14</v>
      </c>
      <c r="M2903">
        <v>14</v>
      </c>
      <c r="N2903">
        <v>6</v>
      </c>
      <c r="O2903">
        <v>2</v>
      </c>
      <c r="P2903">
        <v>2025</v>
      </c>
    </row>
    <row r="2904" spans="1:16">
      <c r="A2904">
        <v>51.34</v>
      </c>
      <c r="B2904">
        <v>1</v>
      </c>
      <c r="C2904" t="s">
        <v>2959</v>
      </c>
      <c r="D2904" t="s">
        <v>2960</v>
      </c>
      <c r="E2904" t="s">
        <v>1559</v>
      </c>
      <c r="F2904" t="s">
        <v>1239</v>
      </c>
      <c r="G2904" t="s">
        <v>795</v>
      </c>
      <c r="H2904" t="s">
        <v>376</v>
      </c>
      <c r="I2904" t="s">
        <v>51</v>
      </c>
      <c r="J2904">
        <v>51.34</v>
      </c>
      <c r="K2904" s="1">
        <v>45668</v>
      </c>
      <c r="L2904" t="s">
        <v>14</v>
      </c>
      <c r="M2904">
        <v>11</v>
      </c>
      <c r="N2904">
        <v>1</v>
      </c>
      <c r="O2904">
        <v>1</v>
      </c>
      <c r="P2904">
        <v>2025</v>
      </c>
    </row>
    <row r="2905" spans="1:16">
      <c r="A2905">
        <v>755.65</v>
      </c>
      <c r="B2905">
        <v>5</v>
      </c>
      <c r="C2905" t="s">
        <v>1267</v>
      </c>
      <c r="D2905" t="s">
        <v>1268</v>
      </c>
      <c r="E2905" t="s">
        <v>935</v>
      </c>
      <c r="F2905" t="s">
        <v>380</v>
      </c>
      <c r="G2905" t="s">
        <v>896</v>
      </c>
      <c r="H2905" t="s">
        <v>655</v>
      </c>
      <c r="I2905" t="s">
        <v>82</v>
      </c>
      <c r="J2905">
        <v>151.13</v>
      </c>
      <c r="K2905" s="1">
        <v>45667</v>
      </c>
      <c r="L2905" t="s">
        <v>79</v>
      </c>
      <c r="M2905">
        <v>10</v>
      </c>
      <c r="N2905">
        <v>1</v>
      </c>
      <c r="O2905">
        <v>1</v>
      </c>
      <c r="P2905">
        <v>2025</v>
      </c>
    </row>
    <row r="2906" spans="1:16">
      <c r="A2906">
        <v>332.52</v>
      </c>
      <c r="B2906">
        <v>2</v>
      </c>
      <c r="C2906" t="s">
        <v>2002</v>
      </c>
      <c r="D2906" t="s">
        <v>2003</v>
      </c>
      <c r="E2906" t="s">
        <v>2004</v>
      </c>
      <c r="F2906" t="s">
        <v>794</v>
      </c>
      <c r="G2906" t="s">
        <v>821</v>
      </c>
      <c r="H2906" t="s">
        <v>72</v>
      </c>
      <c r="I2906" t="s">
        <v>37</v>
      </c>
      <c r="J2906">
        <v>166.26</v>
      </c>
      <c r="K2906" s="1">
        <v>45600</v>
      </c>
      <c r="L2906" t="s">
        <v>93</v>
      </c>
      <c r="M2906">
        <v>4</v>
      </c>
      <c r="N2906">
        <v>11</v>
      </c>
      <c r="O2906">
        <v>4</v>
      </c>
      <c r="P2906">
        <v>2024</v>
      </c>
    </row>
    <row r="2907" spans="1:16">
      <c r="A2907">
        <v>81.03</v>
      </c>
      <c r="B2907">
        <v>3</v>
      </c>
      <c r="C2907" t="s">
        <v>2606</v>
      </c>
      <c r="D2907" t="s">
        <v>2607</v>
      </c>
      <c r="E2907" t="s">
        <v>2078</v>
      </c>
      <c r="F2907" t="s">
        <v>1032</v>
      </c>
      <c r="G2907" t="s">
        <v>839</v>
      </c>
      <c r="H2907" t="s">
        <v>117</v>
      </c>
      <c r="I2907" t="s">
        <v>55</v>
      </c>
      <c r="J2907">
        <v>27.01</v>
      </c>
      <c r="K2907" s="1">
        <v>45573</v>
      </c>
      <c r="L2907" t="s">
        <v>48</v>
      </c>
      <c r="M2907">
        <v>8</v>
      </c>
      <c r="N2907">
        <v>10</v>
      </c>
      <c r="O2907">
        <v>4</v>
      </c>
      <c r="P2907">
        <v>2024</v>
      </c>
    </row>
    <row r="2908" spans="1:16">
      <c r="A2908">
        <v>293.85000000000002</v>
      </c>
      <c r="B2908">
        <v>5</v>
      </c>
      <c r="C2908" t="s">
        <v>3044</v>
      </c>
      <c r="D2908" t="s">
        <v>3045</v>
      </c>
      <c r="E2908" t="s">
        <v>2831</v>
      </c>
      <c r="F2908" t="s">
        <v>980</v>
      </c>
      <c r="G2908" t="s">
        <v>981</v>
      </c>
      <c r="H2908" t="s">
        <v>262</v>
      </c>
      <c r="I2908" t="s">
        <v>21</v>
      </c>
      <c r="J2908">
        <v>58.77</v>
      </c>
      <c r="K2908" s="1">
        <v>45951</v>
      </c>
      <c r="L2908" t="s">
        <v>48</v>
      </c>
      <c r="M2908">
        <v>21</v>
      </c>
      <c r="N2908">
        <v>10</v>
      </c>
      <c r="O2908">
        <v>4</v>
      </c>
      <c r="P2908">
        <v>2025</v>
      </c>
    </row>
    <row r="2909" spans="1:16">
      <c r="A2909">
        <v>142.15</v>
      </c>
      <c r="B2909">
        <v>1</v>
      </c>
      <c r="C2909" t="s">
        <v>3262</v>
      </c>
      <c r="D2909" t="s">
        <v>3263</v>
      </c>
      <c r="E2909" t="s">
        <v>3264</v>
      </c>
      <c r="F2909" t="s">
        <v>1630</v>
      </c>
      <c r="G2909" t="s">
        <v>763</v>
      </c>
      <c r="H2909" t="s">
        <v>216</v>
      </c>
      <c r="I2909" t="s">
        <v>100</v>
      </c>
      <c r="J2909">
        <v>142.15</v>
      </c>
      <c r="K2909" s="1">
        <v>45628</v>
      </c>
      <c r="L2909" t="s">
        <v>93</v>
      </c>
      <c r="M2909">
        <v>2</v>
      </c>
      <c r="N2909">
        <v>12</v>
      </c>
      <c r="O2909">
        <v>4</v>
      </c>
      <c r="P2909">
        <v>2024</v>
      </c>
    </row>
    <row r="2910" spans="1:16">
      <c r="A2910">
        <v>241.99</v>
      </c>
      <c r="B2910">
        <v>1</v>
      </c>
      <c r="C2910" t="s">
        <v>2755</v>
      </c>
      <c r="D2910" t="s">
        <v>2753</v>
      </c>
      <c r="E2910" t="s">
        <v>865</v>
      </c>
      <c r="F2910" t="s">
        <v>1111</v>
      </c>
      <c r="G2910" t="s">
        <v>981</v>
      </c>
      <c r="H2910" t="s">
        <v>521</v>
      </c>
      <c r="I2910" t="s">
        <v>17</v>
      </c>
      <c r="J2910">
        <v>241.99</v>
      </c>
      <c r="K2910" s="1">
        <v>46123</v>
      </c>
      <c r="L2910" t="s">
        <v>14</v>
      </c>
      <c r="M2910">
        <v>11</v>
      </c>
      <c r="N2910">
        <v>4</v>
      </c>
      <c r="O2910">
        <v>2</v>
      </c>
      <c r="P2910">
        <v>2026</v>
      </c>
    </row>
    <row r="2911" spans="1:16">
      <c r="A2911">
        <v>604.52</v>
      </c>
      <c r="B2911">
        <v>4</v>
      </c>
      <c r="C2911" t="s">
        <v>1463</v>
      </c>
      <c r="D2911" t="s">
        <v>1464</v>
      </c>
      <c r="E2911" t="s">
        <v>882</v>
      </c>
      <c r="F2911" t="s">
        <v>1465</v>
      </c>
      <c r="G2911" t="s">
        <v>817</v>
      </c>
      <c r="H2911" t="s">
        <v>655</v>
      </c>
      <c r="I2911" t="s">
        <v>82</v>
      </c>
      <c r="J2911">
        <v>151.13</v>
      </c>
      <c r="K2911" s="1">
        <v>45720</v>
      </c>
      <c r="L2911" t="s">
        <v>48</v>
      </c>
      <c r="M2911">
        <v>4</v>
      </c>
      <c r="N2911">
        <v>3</v>
      </c>
      <c r="O2911">
        <v>1</v>
      </c>
      <c r="P2911">
        <v>2025</v>
      </c>
    </row>
    <row r="2912" spans="1:16">
      <c r="A2912">
        <v>383.44</v>
      </c>
      <c r="B2912">
        <v>2</v>
      </c>
      <c r="C2912" t="s">
        <v>2760</v>
      </c>
      <c r="D2912" t="s">
        <v>2761</v>
      </c>
      <c r="E2912" t="s">
        <v>935</v>
      </c>
      <c r="F2912" t="s">
        <v>869</v>
      </c>
      <c r="G2912" t="s">
        <v>807</v>
      </c>
      <c r="H2912" t="s">
        <v>667</v>
      </c>
      <c r="I2912" t="s">
        <v>51</v>
      </c>
      <c r="J2912">
        <v>191.72</v>
      </c>
      <c r="K2912" s="1">
        <v>45560</v>
      </c>
      <c r="L2912" t="s">
        <v>34</v>
      </c>
      <c r="M2912">
        <v>25</v>
      </c>
      <c r="N2912">
        <v>9</v>
      </c>
      <c r="O2912">
        <v>3</v>
      </c>
      <c r="P2912">
        <v>2024</v>
      </c>
    </row>
    <row r="2913" spans="1:16">
      <c r="A2913">
        <v>74.239999999999995</v>
      </c>
      <c r="B2913">
        <v>4</v>
      </c>
      <c r="C2913" t="s">
        <v>1196</v>
      </c>
      <c r="D2913" t="s">
        <v>1197</v>
      </c>
      <c r="E2913" t="s">
        <v>1198</v>
      </c>
      <c r="F2913" t="s">
        <v>1199</v>
      </c>
      <c r="G2913" t="s">
        <v>839</v>
      </c>
      <c r="H2913" t="s">
        <v>672</v>
      </c>
      <c r="I2913" t="s">
        <v>55</v>
      </c>
      <c r="J2913">
        <v>18.559999999999999</v>
      </c>
      <c r="K2913" s="1">
        <v>46270</v>
      </c>
      <c r="L2913" t="s">
        <v>14</v>
      </c>
      <c r="M2913">
        <v>5</v>
      </c>
      <c r="N2913">
        <v>9</v>
      </c>
      <c r="O2913">
        <v>3</v>
      </c>
      <c r="P2913">
        <v>2026</v>
      </c>
    </row>
    <row r="2914" spans="1:16">
      <c r="A2914">
        <v>717.84999999999991</v>
      </c>
      <c r="B2914">
        <v>5</v>
      </c>
      <c r="C2914" t="s">
        <v>1787</v>
      </c>
      <c r="D2914" t="s">
        <v>1788</v>
      </c>
      <c r="E2914" t="s">
        <v>1162</v>
      </c>
      <c r="F2914" t="s">
        <v>767</v>
      </c>
      <c r="G2914" t="s">
        <v>768</v>
      </c>
      <c r="H2914" t="s">
        <v>514</v>
      </c>
      <c r="I2914" t="s">
        <v>23</v>
      </c>
      <c r="J2914">
        <v>143.57</v>
      </c>
      <c r="K2914" s="1">
        <v>45813</v>
      </c>
      <c r="L2914" t="s">
        <v>105</v>
      </c>
      <c r="M2914">
        <v>5</v>
      </c>
      <c r="N2914">
        <v>6</v>
      </c>
      <c r="O2914">
        <v>2</v>
      </c>
      <c r="P2914">
        <v>2025</v>
      </c>
    </row>
    <row r="2915" spans="1:16">
      <c r="A2915">
        <v>297.8</v>
      </c>
      <c r="B2915">
        <v>5</v>
      </c>
      <c r="C2915" t="s">
        <v>1677</v>
      </c>
      <c r="D2915" t="s">
        <v>1678</v>
      </c>
      <c r="E2915" t="s">
        <v>1679</v>
      </c>
      <c r="F2915" t="s">
        <v>767</v>
      </c>
      <c r="G2915" t="s">
        <v>768</v>
      </c>
      <c r="H2915" t="s">
        <v>573</v>
      </c>
      <c r="I2915" t="s">
        <v>55</v>
      </c>
      <c r="J2915">
        <v>59.56</v>
      </c>
      <c r="K2915" s="1">
        <v>45999</v>
      </c>
      <c r="L2915" t="s">
        <v>93</v>
      </c>
      <c r="M2915">
        <v>8</v>
      </c>
      <c r="N2915">
        <v>12</v>
      </c>
      <c r="O2915">
        <v>4</v>
      </c>
      <c r="P2915">
        <v>2025</v>
      </c>
    </row>
    <row r="2916" spans="1:16">
      <c r="A2916">
        <v>225.56</v>
      </c>
      <c r="B2916">
        <v>4</v>
      </c>
      <c r="C2916" t="s">
        <v>2667</v>
      </c>
      <c r="D2916" t="s">
        <v>2668</v>
      </c>
      <c r="E2916" t="s">
        <v>1127</v>
      </c>
      <c r="F2916" t="s">
        <v>619</v>
      </c>
      <c r="G2916" t="s">
        <v>758</v>
      </c>
      <c r="H2916" t="s">
        <v>308</v>
      </c>
      <c r="I2916" t="s">
        <v>19</v>
      </c>
      <c r="J2916">
        <v>56.39</v>
      </c>
      <c r="K2916" s="1">
        <v>45552</v>
      </c>
      <c r="L2916" t="s">
        <v>48</v>
      </c>
      <c r="M2916">
        <v>17</v>
      </c>
      <c r="N2916">
        <v>9</v>
      </c>
      <c r="O2916">
        <v>3</v>
      </c>
      <c r="P2916">
        <v>2024</v>
      </c>
    </row>
    <row r="2917" spans="1:16">
      <c r="A2917">
        <v>18.02</v>
      </c>
      <c r="B2917">
        <v>2</v>
      </c>
      <c r="C2917" t="s">
        <v>1756</v>
      </c>
      <c r="D2917" t="s">
        <v>1757</v>
      </c>
      <c r="E2917" t="s">
        <v>1679</v>
      </c>
      <c r="F2917" t="s">
        <v>802</v>
      </c>
      <c r="G2917" t="s">
        <v>748</v>
      </c>
      <c r="H2917" t="s">
        <v>455</v>
      </c>
      <c r="I2917" t="s">
        <v>69</v>
      </c>
      <c r="J2917">
        <v>9.01</v>
      </c>
      <c r="K2917" s="1">
        <v>46185</v>
      </c>
      <c r="L2917" t="s">
        <v>79</v>
      </c>
      <c r="M2917">
        <v>12</v>
      </c>
      <c r="N2917">
        <v>6</v>
      </c>
      <c r="O2917">
        <v>2</v>
      </c>
      <c r="P2917">
        <v>2026</v>
      </c>
    </row>
    <row r="2918" spans="1:16">
      <c r="A2918">
        <v>556.04999999999995</v>
      </c>
      <c r="B2918">
        <v>5</v>
      </c>
      <c r="C2918" t="s">
        <v>850</v>
      </c>
      <c r="D2918" t="s">
        <v>851</v>
      </c>
      <c r="E2918" t="s">
        <v>852</v>
      </c>
      <c r="F2918" t="s">
        <v>853</v>
      </c>
      <c r="G2918" t="s">
        <v>854</v>
      </c>
      <c r="H2918" t="s">
        <v>254</v>
      </c>
      <c r="I2918" t="s">
        <v>51</v>
      </c>
      <c r="J2918">
        <v>111.21</v>
      </c>
      <c r="K2918" s="1">
        <v>45770</v>
      </c>
      <c r="L2918" t="s">
        <v>34</v>
      </c>
      <c r="M2918">
        <v>23</v>
      </c>
      <c r="N2918">
        <v>4</v>
      </c>
      <c r="O2918">
        <v>2</v>
      </c>
      <c r="P2918">
        <v>2025</v>
      </c>
    </row>
    <row r="2919" spans="1:16">
      <c r="A2919">
        <v>1216.1499999999999</v>
      </c>
      <c r="B2919">
        <v>5</v>
      </c>
      <c r="C2919" t="s">
        <v>2300</v>
      </c>
      <c r="D2919" t="s">
        <v>2301</v>
      </c>
      <c r="E2919" t="s">
        <v>1962</v>
      </c>
      <c r="F2919" t="s">
        <v>1600</v>
      </c>
      <c r="G2919" t="s">
        <v>768</v>
      </c>
      <c r="H2919" t="s">
        <v>126</v>
      </c>
      <c r="I2919" t="s">
        <v>43</v>
      </c>
      <c r="J2919">
        <v>243.23</v>
      </c>
      <c r="K2919" s="1">
        <v>46141</v>
      </c>
      <c r="L2919" t="s">
        <v>34</v>
      </c>
      <c r="M2919">
        <v>29</v>
      </c>
      <c r="N2919">
        <v>4</v>
      </c>
      <c r="O2919">
        <v>2</v>
      </c>
      <c r="P2919">
        <v>2026</v>
      </c>
    </row>
    <row r="2920" spans="1:16">
      <c r="A2920">
        <v>76.760000000000005</v>
      </c>
      <c r="B2920">
        <v>4</v>
      </c>
      <c r="C2920" t="s">
        <v>1378</v>
      </c>
      <c r="D2920" t="s">
        <v>1379</v>
      </c>
      <c r="E2920" t="s">
        <v>1380</v>
      </c>
      <c r="F2920" t="s">
        <v>757</v>
      </c>
      <c r="G2920" t="s">
        <v>758</v>
      </c>
      <c r="H2920" t="s">
        <v>71</v>
      </c>
      <c r="I2920" t="s">
        <v>23</v>
      </c>
      <c r="J2920">
        <v>19.190000000000001</v>
      </c>
      <c r="K2920" s="1">
        <v>45859</v>
      </c>
      <c r="L2920" t="s">
        <v>93</v>
      </c>
      <c r="M2920">
        <v>21</v>
      </c>
      <c r="N2920">
        <v>7</v>
      </c>
      <c r="O2920">
        <v>3</v>
      </c>
      <c r="P2920">
        <v>2025</v>
      </c>
    </row>
    <row r="2921" spans="1:16">
      <c r="A2921">
        <v>242.36</v>
      </c>
      <c r="B2921">
        <v>1</v>
      </c>
      <c r="C2921" t="s">
        <v>2278</v>
      </c>
      <c r="D2921" t="s">
        <v>2279</v>
      </c>
      <c r="E2921" t="s">
        <v>2280</v>
      </c>
      <c r="F2921" t="s">
        <v>1239</v>
      </c>
      <c r="G2921" t="s">
        <v>795</v>
      </c>
      <c r="H2921" t="s">
        <v>115</v>
      </c>
      <c r="I2921" t="s">
        <v>55</v>
      </c>
      <c r="J2921">
        <v>242.36</v>
      </c>
      <c r="K2921" s="1">
        <v>46125</v>
      </c>
      <c r="L2921" t="s">
        <v>93</v>
      </c>
      <c r="M2921">
        <v>13</v>
      </c>
      <c r="N2921">
        <v>4</v>
      </c>
      <c r="O2921">
        <v>2</v>
      </c>
      <c r="P2921">
        <v>2026</v>
      </c>
    </row>
    <row r="2922" spans="1:16">
      <c r="A2922">
        <v>170.55</v>
      </c>
      <c r="B2922">
        <v>3</v>
      </c>
      <c r="C2922" t="s">
        <v>2836</v>
      </c>
      <c r="D2922" t="s">
        <v>2837</v>
      </c>
      <c r="E2922" t="s">
        <v>1829</v>
      </c>
      <c r="F2922" t="s">
        <v>1156</v>
      </c>
      <c r="G2922" t="s">
        <v>821</v>
      </c>
      <c r="H2922" t="s">
        <v>342</v>
      </c>
      <c r="I2922" t="s">
        <v>55</v>
      </c>
      <c r="J2922">
        <v>56.85</v>
      </c>
      <c r="K2922" s="1">
        <v>45606</v>
      </c>
      <c r="L2922" t="s">
        <v>28</v>
      </c>
      <c r="M2922">
        <v>10</v>
      </c>
      <c r="N2922">
        <v>11</v>
      </c>
      <c r="O2922">
        <v>4</v>
      </c>
      <c r="P2922">
        <v>2024</v>
      </c>
    </row>
    <row r="2923" spans="1:16">
      <c r="A2923">
        <v>680.91</v>
      </c>
      <c r="B2923">
        <v>3</v>
      </c>
      <c r="C2923" t="s">
        <v>1372</v>
      </c>
      <c r="D2923" t="s">
        <v>1373</v>
      </c>
      <c r="E2923" t="s">
        <v>1374</v>
      </c>
      <c r="F2923" t="s">
        <v>49</v>
      </c>
      <c r="G2923" t="s">
        <v>807</v>
      </c>
      <c r="H2923" t="s">
        <v>283</v>
      </c>
      <c r="I2923" t="s">
        <v>100</v>
      </c>
      <c r="J2923">
        <v>226.97</v>
      </c>
      <c r="K2923" s="1">
        <v>45694</v>
      </c>
      <c r="L2923" t="s">
        <v>105</v>
      </c>
      <c r="M2923">
        <v>6</v>
      </c>
      <c r="N2923">
        <v>2</v>
      </c>
      <c r="O2923">
        <v>1</v>
      </c>
      <c r="P2923">
        <v>2025</v>
      </c>
    </row>
    <row r="2924" spans="1:16">
      <c r="A2924">
        <v>567.66</v>
      </c>
      <c r="B2924">
        <v>3</v>
      </c>
      <c r="C2924" t="s">
        <v>1717</v>
      </c>
      <c r="D2924" t="s">
        <v>1718</v>
      </c>
      <c r="E2924" t="s">
        <v>1582</v>
      </c>
      <c r="F2924" t="s">
        <v>965</v>
      </c>
      <c r="G2924" t="s">
        <v>966</v>
      </c>
      <c r="H2924" t="s">
        <v>634</v>
      </c>
      <c r="I2924" t="s">
        <v>46</v>
      </c>
      <c r="J2924">
        <v>189.22</v>
      </c>
      <c r="K2924" s="1">
        <v>45880</v>
      </c>
      <c r="L2924" t="s">
        <v>93</v>
      </c>
      <c r="M2924">
        <v>11</v>
      </c>
      <c r="N2924">
        <v>8</v>
      </c>
      <c r="O2924">
        <v>3</v>
      </c>
      <c r="P2924">
        <v>2025</v>
      </c>
    </row>
    <row r="2925" spans="1:16">
      <c r="A2925">
        <v>235.19</v>
      </c>
      <c r="B2925">
        <v>1</v>
      </c>
      <c r="C2925" t="s">
        <v>1748</v>
      </c>
      <c r="D2925" t="s">
        <v>1749</v>
      </c>
      <c r="E2925" t="s">
        <v>766</v>
      </c>
      <c r="F2925" t="s">
        <v>980</v>
      </c>
      <c r="G2925" t="s">
        <v>981</v>
      </c>
      <c r="H2925" t="s">
        <v>396</v>
      </c>
      <c r="I2925" t="s">
        <v>122</v>
      </c>
      <c r="J2925">
        <v>235.19</v>
      </c>
      <c r="K2925" s="1">
        <v>46248</v>
      </c>
      <c r="L2925" t="s">
        <v>79</v>
      </c>
      <c r="M2925">
        <v>14</v>
      </c>
      <c r="N2925">
        <v>8</v>
      </c>
      <c r="O2925">
        <v>3</v>
      </c>
      <c r="P2925">
        <v>2026</v>
      </c>
    </row>
    <row r="2926" spans="1:16">
      <c r="A2926">
        <v>163.62</v>
      </c>
      <c r="B2926">
        <v>3</v>
      </c>
      <c r="C2926" t="s">
        <v>2219</v>
      </c>
      <c r="D2926" t="s">
        <v>2220</v>
      </c>
      <c r="E2926" t="s">
        <v>2133</v>
      </c>
      <c r="F2926" t="s">
        <v>1067</v>
      </c>
      <c r="G2926" t="s">
        <v>854</v>
      </c>
      <c r="H2926" t="s">
        <v>292</v>
      </c>
      <c r="I2926" t="s">
        <v>97</v>
      </c>
      <c r="J2926">
        <v>54.54</v>
      </c>
      <c r="K2926" s="1">
        <v>45641</v>
      </c>
      <c r="L2926" t="s">
        <v>28</v>
      </c>
      <c r="M2926">
        <v>15</v>
      </c>
      <c r="N2926">
        <v>12</v>
      </c>
      <c r="O2926">
        <v>4</v>
      </c>
      <c r="P2926">
        <v>2024</v>
      </c>
    </row>
    <row r="2927" spans="1:16">
      <c r="A2927">
        <v>114.85</v>
      </c>
      <c r="B2927">
        <v>5</v>
      </c>
      <c r="C2927" t="s">
        <v>1346</v>
      </c>
      <c r="D2927" t="s">
        <v>1347</v>
      </c>
      <c r="E2927" t="s">
        <v>1348</v>
      </c>
      <c r="F2927" t="s">
        <v>548</v>
      </c>
      <c r="G2927" t="s">
        <v>790</v>
      </c>
      <c r="H2927" t="s">
        <v>90</v>
      </c>
      <c r="I2927" t="s">
        <v>23</v>
      </c>
      <c r="J2927">
        <v>22.97</v>
      </c>
      <c r="K2927" s="1">
        <v>45577</v>
      </c>
      <c r="L2927" t="s">
        <v>14</v>
      </c>
      <c r="M2927">
        <v>12</v>
      </c>
      <c r="N2927">
        <v>10</v>
      </c>
      <c r="O2927">
        <v>4</v>
      </c>
      <c r="P2927">
        <v>2024</v>
      </c>
    </row>
    <row r="2928" spans="1:16">
      <c r="A2928">
        <v>176.04</v>
      </c>
      <c r="B2928">
        <v>4</v>
      </c>
      <c r="C2928" t="s">
        <v>1699</v>
      </c>
      <c r="D2928" t="s">
        <v>1700</v>
      </c>
      <c r="E2928" t="s">
        <v>1701</v>
      </c>
      <c r="F2928" t="s">
        <v>929</v>
      </c>
      <c r="G2928" t="s">
        <v>1247</v>
      </c>
      <c r="H2928" t="s">
        <v>689</v>
      </c>
      <c r="I2928" t="s">
        <v>55</v>
      </c>
      <c r="J2928">
        <v>44.01</v>
      </c>
      <c r="K2928" s="1">
        <v>45838</v>
      </c>
      <c r="L2928" t="s">
        <v>93</v>
      </c>
      <c r="M2928">
        <v>30</v>
      </c>
      <c r="N2928">
        <v>6</v>
      </c>
      <c r="O2928">
        <v>2</v>
      </c>
      <c r="P2928">
        <v>2025</v>
      </c>
    </row>
    <row r="2929" spans="1:16">
      <c r="A2929">
        <v>623.20000000000005</v>
      </c>
      <c r="B2929">
        <v>5</v>
      </c>
      <c r="C2929" t="s">
        <v>2879</v>
      </c>
      <c r="D2929" t="s">
        <v>2880</v>
      </c>
      <c r="E2929" t="s">
        <v>2881</v>
      </c>
      <c r="F2929" t="s">
        <v>151</v>
      </c>
      <c r="G2929" t="s">
        <v>1003</v>
      </c>
      <c r="H2929" t="s">
        <v>356</v>
      </c>
      <c r="I2929" t="s">
        <v>69</v>
      </c>
      <c r="J2929">
        <v>124.64</v>
      </c>
      <c r="K2929" s="1">
        <v>45857</v>
      </c>
      <c r="L2929" t="s">
        <v>14</v>
      </c>
      <c r="M2929">
        <v>19</v>
      </c>
      <c r="N2929">
        <v>7</v>
      </c>
      <c r="O2929">
        <v>3</v>
      </c>
      <c r="P2929">
        <v>2025</v>
      </c>
    </row>
    <row r="2930" spans="1:16">
      <c r="A2930">
        <v>35.229999999999997</v>
      </c>
      <c r="B2930">
        <v>1</v>
      </c>
      <c r="C2930" t="s">
        <v>1214</v>
      </c>
      <c r="D2930" t="s">
        <v>1215</v>
      </c>
      <c r="E2930" t="s">
        <v>1216</v>
      </c>
      <c r="F2930" t="s">
        <v>199</v>
      </c>
      <c r="G2930" t="s">
        <v>781</v>
      </c>
      <c r="H2930" t="s">
        <v>261</v>
      </c>
      <c r="I2930" t="s">
        <v>31</v>
      </c>
      <c r="J2930">
        <v>35.229999999999997</v>
      </c>
      <c r="K2930" s="1">
        <v>45920</v>
      </c>
      <c r="L2930" t="s">
        <v>14</v>
      </c>
      <c r="M2930">
        <v>20</v>
      </c>
      <c r="N2930">
        <v>9</v>
      </c>
      <c r="O2930">
        <v>3</v>
      </c>
      <c r="P2930">
        <v>2025</v>
      </c>
    </row>
    <row r="2931" spans="1:16">
      <c r="A2931">
        <v>601.59</v>
      </c>
      <c r="B2931">
        <v>3</v>
      </c>
      <c r="C2931" t="s">
        <v>1229</v>
      </c>
      <c r="D2931" t="s">
        <v>1230</v>
      </c>
      <c r="E2931" t="s">
        <v>1231</v>
      </c>
      <c r="F2931" t="s">
        <v>1232</v>
      </c>
      <c r="G2931" t="s">
        <v>817</v>
      </c>
      <c r="H2931" t="s">
        <v>429</v>
      </c>
      <c r="I2931" t="s">
        <v>19</v>
      </c>
      <c r="J2931">
        <v>200.53</v>
      </c>
      <c r="K2931" s="1">
        <v>45582</v>
      </c>
      <c r="L2931" t="s">
        <v>105</v>
      </c>
      <c r="M2931">
        <v>17</v>
      </c>
      <c r="N2931">
        <v>10</v>
      </c>
      <c r="O2931">
        <v>4</v>
      </c>
      <c r="P2931">
        <v>2024</v>
      </c>
    </row>
    <row r="2932" spans="1:16">
      <c r="A2932">
        <v>827.84999999999991</v>
      </c>
      <c r="B2932">
        <v>5</v>
      </c>
      <c r="C2932" t="s">
        <v>2014</v>
      </c>
      <c r="D2932" t="s">
        <v>2015</v>
      </c>
      <c r="E2932" t="s">
        <v>1585</v>
      </c>
      <c r="F2932" t="s">
        <v>862</v>
      </c>
      <c r="G2932" t="s">
        <v>908</v>
      </c>
      <c r="H2932" t="s">
        <v>355</v>
      </c>
      <c r="I2932" t="s">
        <v>39</v>
      </c>
      <c r="J2932">
        <v>165.57</v>
      </c>
      <c r="K2932" s="1">
        <v>45803</v>
      </c>
      <c r="L2932" t="s">
        <v>93</v>
      </c>
      <c r="M2932">
        <v>26</v>
      </c>
      <c r="N2932">
        <v>5</v>
      </c>
      <c r="O2932">
        <v>2</v>
      </c>
      <c r="P2932">
        <v>2025</v>
      </c>
    </row>
    <row r="2933" spans="1:16">
      <c r="A2933">
        <v>437.40000000000003</v>
      </c>
      <c r="B2933">
        <v>5</v>
      </c>
      <c r="C2933" t="s">
        <v>1453</v>
      </c>
      <c r="D2933" t="s">
        <v>1454</v>
      </c>
      <c r="E2933" t="s">
        <v>1455</v>
      </c>
      <c r="F2933" t="s">
        <v>980</v>
      </c>
      <c r="G2933" t="s">
        <v>981</v>
      </c>
      <c r="H2933" t="s">
        <v>604</v>
      </c>
      <c r="I2933" t="s">
        <v>69</v>
      </c>
      <c r="J2933">
        <v>87.48</v>
      </c>
      <c r="K2933" s="1">
        <v>45816</v>
      </c>
      <c r="L2933" t="s">
        <v>28</v>
      </c>
      <c r="M2933">
        <v>8</v>
      </c>
      <c r="N2933">
        <v>6</v>
      </c>
      <c r="O2933">
        <v>2</v>
      </c>
      <c r="P2933">
        <v>2025</v>
      </c>
    </row>
    <row r="2934" spans="1:16">
      <c r="A2934">
        <v>544.04999999999995</v>
      </c>
      <c r="B2934">
        <v>5</v>
      </c>
      <c r="C2934" t="s">
        <v>1445</v>
      </c>
      <c r="D2934" t="s">
        <v>1446</v>
      </c>
      <c r="E2934" t="s">
        <v>1447</v>
      </c>
      <c r="F2934" t="s">
        <v>1410</v>
      </c>
      <c r="G2934" t="s">
        <v>812</v>
      </c>
      <c r="H2934" t="s">
        <v>453</v>
      </c>
      <c r="I2934" t="s">
        <v>55</v>
      </c>
      <c r="J2934">
        <v>108.81</v>
      </c>
      <c r="K2934" s="1">
        <v>46086</v>
      </c>
      <c r="L2934" t="s">
        <v>105</v>
      </c>
      <c r="M2934">
        <v>5</v>
      </c>
      <c r="N2934">
        <v>3</v>
      </c>
      <c r="O2934">
        <v>1</v>
      </c>
      <c r="P2934">
        <v>2026</v>
      </c>
    </row>
    <row r="2935" spans="1:16">
      <c r="A2935">
        <v>583.36</v>
      </c>
      <c r="B2935">
        <v>4</v>
      </c>
      <c r="C2935" t="s">
        <v>1960</v>
      </c>
      <c r="D2935" t="s">
        <v>1961</v>
      </c>
      <c r="E2935" t="s">
        <v>1962</v>
      </c>
      <c r="F2935" t="s">
        <v>1089</v>
      </c>
      <c r="G2935" t="s">
        <v>812</v>
      </c>
      <c r="H2935" t="s">
        <v>178</v>
      </c>
      <c r="I2935" t="s">
        <v>122</v>
      </c>
      <c r="J2935">
        <v>145.84</v>
      </c>
      <c r="K2935" s="1">
        <v>46218</v>
      </c>
      <c r="L2935" t="s">
        <v>34</v>
      </c>
      <c r="M2935">
        <v>15</v>
      </c>
      <c r="N2935">
        <v>7</v>
      </c>
      <c r="O2935">
        <v>3</v>
      </c>
      <c r="P2935">
        <v>2026</v>
      </c>
    </row>
    <row r="2936" spans="1:16">
      <c r="A2936">
        <v>156.86000000000001</v>
      </c>
      <c r="B2936">
        <v>1</v>
      </c>
      <c r="C2936" t="s">
        <v>889</v>
      </c>
      <c r="D2936" t="s">
        <v>890</v>
      </c>
      <c r="E2936" t="s">
        <v>891</v>
      </c>
      <c r="F2936" t="s">
        <v>64</v>
      </c>
      <c r="G2936" t="s">
        <v>892</v>
      </c>
      <c r="H2936" t="s">
        <v>602</v>
      </c>
      <c r="I2936" t="s">
        <v>17</v>
      </c>
      <c r="J2936">
        <v>156.86000000000001</v>
      </c>
      <c r="K2936" s="1">
        <v>45723</v>
      </c>
      <c r="L2936" t="s">
        <v>79</v>
      </c>
      <c r="M2936">
        <v>7</v>
      </c>
      <c r="N2936">
        <v>3</v>
      </c>
      <c r="O2936">
        <v>1</v>
      </c>
      <c r="P2936">
        <v>2025</v>
      </c>
    </row>
    <row r="2937" spans="1:16">
      <c r="A2937">
        <v>97.02</v>
      </c>
      <c r="B2937">
        <v>2</v>
      </c>
      <c r="C2937" t="s">
        <v>1891</v>
      </c>
      <c r="D2937" t="s">
        <v>1892</v>
      </c>
      <c r="E2937" t="s">
        <v>1893</v>
      </c>
      <c r="F2937" t="s">
        <v>806</v>
      </c>
      <c r="G2937" t="s">
        <v>807</v>
      </c>
      <c r="H2937" t="s">
        <v>243</v>
      </c>
      <c r="I2937" t="s">
        <v>57</v>
      </c>
      <c r="J2937">
        <v>48.51</v>
      </c>
      <c r="K2937" s="1">
        <v>45757</v>
      </c>
      <c r="L2937" t="s">
        <v>105</v>
      </c>
      <c r="M2937">
        <v>10</v>
      </c>
      <c r="N2937">
        <v>4</v>
      </c>
      <c r="O2937">
        <v>2</v>
      </c>
      <c r="P2937">
        <v>2025</v>
      </c>
    </row>
    <row r="2938" spans="1:16">
      <c r="A2938">
        <v>33.130000000000003</v>
      </c>
      <c r="B2938">
        <v>1</v>
      </c>
      <c r="C2938" t="s">
        <v>1221</v>
      </c>
      <c r="D2938" t="s">
        <v>1222</v>
      </c>
      <c r="E2938" t="s">
        <v>1098</v>
      </c>
      <c r="F2938" t="s">
        <v>802</v>
      </c>
      <c r="G2938" t="s">
        <v>748</v>
      </c>
      <c r="H2938" t="s">
        <v>164</v>
      </c>
      <c r="I2938" t="s">
        <v>46</v>
      </c>
      <c r="J2938">
        <v>33.130000000000003</v>
      </c>
      <c r="K2938" s="1">
        <v>46190</v>
      </c>
      <c r="L2938" t="s">
        <v>34</v>
      </c>
      <c r="M2938">
        <v>17</v>
      </c>
      <c r="N2938">
        <v>6</v>
      </c>
      <c r="O2938">
        <v>2</v>
      </c>
      <c r="P2938">
        <v>2026</v>
      </c>
    </row>
    <row r="2939" spans="1:16">
      <c r="A2939">
        <v>69.489999999999995</v>
      </c>
      <c r="B2939">
        <v>1</v>
      </c>
      <c r="C2939" t="s">
        <v>870</v>
      </c>
      <c r="D2939" t="s">
        <v>871</v>
      </c>
      <c r="E2939" t="s">
        <v>872</v>
      </c>
      <c r="F2939" t="s">
        <v>869</v>
      </c>
      <c r="G2939" t="s">
        <v>807</v>
      </c>
      <c r="H2939" t="s">
        <v>318</v>
      </c>
      <c r="I2939" t="s">
        <v>39</v>
      </c>
      <c r="J2939">
        <v>69.489999999999995</v>
      </c>
      <c r="K2939" s="1">
        <v>45730</v>
      </c>
      <c r="L2939" t="s">
        <v>79</v>
      </c>
      <c r="M2939">
        <v>14</v>
      </c>
      <c r="N2939">
        <v>3</v>
      </c>
      <c r="O2939">
        <v>1</v>
      </c>
      <c r="P2939">
        <v>2025</v>
      </c>
    </row>
    <row r="2940" spans="1:16">
      <c r="A2940">
        <v>228.74</v>
      </c>
      <c r="B2940">
        <v>1</v>
      </c>
      <c r="C2940" t="s">
        <v>2370</v>
      </c>
      <c r="D2940" t="s">
        <v>2371</v>
      </c>
      <c r="E2940" t="s">
        <v>1633</v>
      </c>
      <c r="F2940" t="s">
        <v>757</v>
      </c>
      <c r="G2940" t="s">
        <v>758</v>
      </c>
      <c r="H2940" t="s">
        <v>566</v>
      </c>
      <c r="I2940" t="s">
        <v>69</v>
      </c>
      <c r="J2940">
        <v>228.74</v>
      </c>
      <c r="K2940" s="1">
        <v>45910</v>
      </c>
      <c r="L2940" t="s">
        <v>34</v>
      </c>
      <c r="M2940">
        <v>10</v>
      </c>
      <c r="N2940">
        <v>9</v>
      </c>
      <c r="O2940">
        <v>3</v>
      </c>
      <c r="P2940">
        <v>2025</v>
      </c>
    </row>
    <row r="2941" spans="1:16">
      <c r="A2941">
        <v>102.34</v>
      </c>
      <c r="B2941">
        <v>1</v>
      </c>
      <c r="C2941" t="s">
        <v>3462</v>
      </c>
      <c r="D2941" t="s">
        <v>3463</v>
      </c>
      <c r="E2941" t="s">
        <v>1136</v>
      </c>
      <c r="F2941" t="s">
        <v>199</v>
      </c>
      <c r="G2941" t="s">
        <v>781</v>
      </c>
      <c r="H2941" t="s">
        <v>538</v>
      </c>
      <c r="I2941" t="s">
        <v>43</v>
      </c>
      <c r="J2941">
        <v>102.34</v>
      </c>
      <c r="K2941" s="1">
        <v>45932</v>
      </c>
      <c r="L2941" t="s">
        <v>105</v>
      </c>
      <c r="M2941">
        <v>2</v>
      </c>
      <c r="N2941">
        <v>10</v>
      </c>
      <c r="O2941">
        <v>4</v>
      </c>
      <c r="P2941">
        <v>2025</v>
      </c>
    </row>
    <row r="2942" spans="1:16">
      <c r="A2942">
        <v>635.48</v>
      </c>
      <c r="B2942">
        <v>4</v>
      </c>
      <c r="C2942" t="s">
        <v>1707</v>
      </c>
      <c r="D2942" t="s">
        <v>1708</v>
      </c>
      <c r="E2942" t="s">
        <v>1709</v>
      </c>
      <c r="F2942" t="s">
        <v>1246</v>
      </c>
      <c r="G2942" t="s">
        <v>1247</v>
      </c>
      <c r="H2942" t="s">
        <v>332</v>
      </c>
      <c r="I2942" t="s">
        <v>55</v>
      </c>
      <c r="J2942">
        <v>158.87</v>
      </c>
      <c r="K2942" s="1">
        <v>45691</v>
      </c>
      <c r="L2942" t="s">
        <v>93</v>
      </c>
      <c r="M2942">
        <v>3</v>
      </c>
      <c r="N2942">
        <v>2</v>
      </c>
      <c r="O2942">
        <v>1</v>
      </c>
      <c r="P2942">
        <v>2025</v>
      </c>
    </row>
    <row r="2943" spans="1:16">
      <c r="A2943">
        <v>112.4</v>
      </c>
      <c r="B2943">
        <v>5</v>
      </c>
      <c r="C2943" t="s">
        <v>2402</v>
      </c>
      <c r="D2943" t="s">
        <v>2403</v>
      </c>
      <c r="E2943" t="s">
        <v>1263</v>
      </c>
      <c r="F2943" t="s">
        <v>929</v>
      </c>
      <c r="G2943" t="s">
        <v>830</v>
      </c>
      <c r="H2943" t="s">
        <v>41</v>
      </c>
      <c r="I2943" t="s">
        <v>39</v>
      </c>
      <c r="J2943">
        <v>22.48</v>
      </c>
      <c r="K2943" s="1">
        <v>46210</v>
      </c>
      <c r="L2943" t="s">
        <v>48</v>
      </c>
      <c r="M2943">
        <v>7</v>
      </c>
      <c r="N2943">
        <v>7</v>
      </c>
      <c r="O2943">
        <v>3</v>
      </c>
      <c r="P2943">
        <v>2026</v>
      </c>
    </row>
    <row r="2944" spans="1:16">
      <c r="A2944">
        <v>62.7</v>
      </c>
      <c r="B2944">
        <v>2</v>
      </c>
      <c r="C2944" t="s">
        <v>1916</v>
      </c>
      <c r="D2944" t="s">
        <v>1917</v>
      </c>
      <c r="E2944" t="s">
        <v>1195</v>
      </c>
      <c r="F2944" t="s">
        <v>1384</v>
      </c>
      <c r="G2944" t="s">
        <v>908</v>
      </c>
      <c r="H2944" t="s">
        <v>557</v>
      </c>
      <c r="I2944" t="s">
        <v>46</v>
      </c>
      <c r="J2944">
        <v>31.35</v>
      </c>
      <c r="K2944" s="1">
        <v>46028</v>
      </c>
      <c r="L2944" t="s">
        <v>48</v>
      </c>
      <c r="M2944">
        <v>6</v>
      </c>
      <c r="N2944">
        <v>1</v>
      </c>
      <c r="O2944">
        <v>1</v>
      </c>
      <c r="P2944">
        <v>2026</v>
      </c>
    </row>
    <row r="2945" spans="1:16">
      <c r="A2945">
        <v>339.54</v>
      </c>
      <c r="B2945">
        <v>2</v>
      </c>
      <c r="C2945" t="s">
        <v>1289</v>
      </c>
      <c r="D2945" t="s">
        <v>1290</v>
      </c>
      <c r="E2945" t="s">
        <v>1291</v>
      </c>
      <c r="F2945" t="s">
        <v>1292</v>
      </c>
      <c r="G2945" t="s">
        <v>1247</v>
      </c>
      <c r="H2945" t="s">
        <v>300</v>
      </c>
      <c r="I2945" t="s">
        <v>55</v>
      </c>
      <c r="J2945">
        <v>169.77</v>
      </c>
      <c r="K2945" s="1">
        <v>45990</v>
      </c>
      <c r="L2945" t="s">
        <v>14</v>
      </c>
      <c r="M2945">
        <v>29</v>
      </c>
      <c r="N2945">
        <v>11</v>
      </c>
      <c r="O2945">
        <v>4</v>
      </c>
      <c r="P2945">
        <v>2025</v>
      </c>
    </row>
    <row r="2946" spans="1:16">
      <c r="A2946">
        <v>488.32</v>
      </c>
      <c r="B2946">
        <v>4</v>
      </c>
      <c r="C2946" t="s">
        <v>2255</v>
      </c>
      <c r="D2946" t="s">
        <v>2177</v>
      </c>
      <c r="E2946" t="s">
        <v>766</v>
      </c>
      <c r="F2946" t="s">
        <v>49</v>
      </c>
      <c r="G2946" t="s">
        <v>892</v>
      </c>
      <c r="H2946" t="s">
        <v>646</v>
      </c>
      <c r="I2946" t="s">
        <v>21</v>
      </c>
      <c r="J2946">
        <v>122.08</v>
      </c>
      <c r="K2946" s="1">
        <v>46133</v>
      </c>
      <c r="L2946" t="s">
        <v>48</v>
      </c>
      <c r="M2946">
        <v>21</v>
      </c>
      <c r="N2946">
        <v>4</v>
      </c>
      <c r="O2946">
        <v>2</v>
      </c>
      <c r="P2946">
        <v>2026</v>
      </c>
    </row>
    <row r="2947" spans="1:16">
      <c r="A2947">
        <v>209.92</v>
      </c>
      <c r="B2947">
        <v>2</v>
      </c>
      <c r="C2947" t="s">
        <v>992</v>
      </c>
      <c r="D2947" t="s">
        <v>993</v>
      </c>
      <c r="E2947" t="s">
        <v>994</v>
      </c>
      <c r="F2947" t="s">
        <v>995</v>
      </c>
      <c r="G2947" t="s">
        <v>781</v>
      </c>
      <c r="H2947" t="s">
        <v>225</v>
      </c>
      <c r="I2947" t="s">
        <v>21</v>
      </c>
      <c r="J2947">
        <v>104.96</v>
      </c>
      <c r="K2947" s="1">
        <v>45908</v>
      </c>
      <c r="L2947" t="s">
        <v>93</v>
      </c>
      <c r="M2947">
        <v>8</v>
      </c>
      <c r="N2947">
        <v>9</v>
      </c>
      <c r="O2947">
        <v>3</v>
      </c>
      <c r="P2947">
        <v>2025</v>
      </c>
    </row>
    <row r="2948" spans="1:16">
      <c r="A2948">
        <v>437.40000000000003</v>
      </c>
      <c r="B2948">
        <v>5</v>
      </c>
      <c r="C2948" t="s">
        <v>1491</v>
      </c>
      <c r="D2948" t="s">
        <v>1492</v>
      </c>
      <c r="E2948" t="s">
        <v>1493</v>
      </c>
      <c r="F2948" t="s">
        <v>1401</v>
      </c>
      <c r="G2948" t="s">
        <v>943</v>
      </c>
      <c r="H2948" t="s">
        <v>604</v>
      </c>
      <c r="I2948" t="s">
        <v>69</v>
      </c>
      <c r="J2948">
        <v>87.48</v>
      </c>
      <c r="K2948" s="1">
        <v>45639</v>
      </c>
      <c r="L2948" t="s">
        <v>79</v>
      </c>
      <c r="M2948">
        <v>13</v>
      </c>
      <c r="N2948">
        <v>12</v>
      </c>
      <c r="O2948">
        <v>4</v>
      </c>
      <c r="P2948">
        <v>2024</v>
      </c>
    </row>
    <row r="2949" spans="1:16">
      <c r="A2949">
        <v>403.06</v>
      </c>
      <c r="B2949">
        <v>2</v>
      </c>
      <c r="C2949" t="s">
        <v>2101</v>
      </c>
      <c r="D2949" t="s">
        <v>2102</v>
      </c>
      <c r="E2949" t="s">
        <v>2103</v>
      </c>
      <c r="F2949" t="s">
        <v>1089</v>
      </c>
      <c r="G2949" t="s">
        <v>812</v>
      </c>
      <c r="H2949" t="s">
        <v>476</v>
      </c>
      <c r="I2949" t="s">
        <v>31</v>
      </c>
      <c r="J2949">
        <v>201.53</v>
      </c>
      <c r="K2949" s="1">
        <v>46249</v>
      </c>
      <c r="L2949" t="s">
        <v>14</v>
      </c>
      <c r="M2949">
        <v>15</v>
      </c>
      <c r="N2949">
        <v>8</v>
      </c>
      <c r="O2949">
        <v>3</v>
      </c>
      <c r="P2949">
        <v>2026</v>
      </c>
    </row>
    <row r="2950" spans="1:16">
      <c r="A2950">
        <v>259.94</v>
      </c>
      <c r="B2950">
        <v>2</v>
      </c>
      <c r="C2950" t="s">
        <v>1526</v>
      </c>
      <c r="D2950" t="s">
        <v>1527</v>
      </c>
      <c r="E2950" t="s">
        <v>1031</v>
      </c>
      <c r="F2950" t="s">
        <v>1092</v>
      </c>
      <c r="G2950" t="s">
        <v>763</v>
      </c>
      <c r="H2950" t="s">
        <v>263</v>
      </c>
      <c r="I2950" t="s">
        <v>60</v>
      </c>
      <c r="J2950">
        <v>129.97</v>
      </c>
      <c r="K2950" s="1">
        <v>45558</v>
      </c>
      <c r="L2950" t="s">
        <v>93</v>
      </c>
      <c r="M2950">
        <v>23</v>
      </c>
      <c r="N2950">
        <v>9</v>
      </c>
      <c r="O2950">
        <v>3</v>
      </c>
      <c r="P2950">
        <v>2024</v>
      </c>
    </row>
    <row r="2951" spans="1:16">
      <c r="A2951">
        <v>282.64999999999998</v>
      </c>
      <c r="B2951">
        <v>5</v>
      </c>
      <c r="C2951" t="s">
        <v>2300</v>
      </c>
      <c r="D2951" t="s">
        <v>2301</v>
      </c>
      <c r="E2951" t="s">
        <v>1962</v>
      </c>
      <c r="F2951" t="s">
        <v>1600</v>
      </c>
      <c r="G2951" t="s">
        <v>768</v>
      </c>
      <c r="H2951" t="s">
        <v>123</v>
      </c>
      <c r="I2951" t="s">
        <v>43</v>
      </c>
      <c r="J2951">
        <v>56.53</v>
      </c>
      <c r="K2951" s="1">
        <v>45660</v>
      </c>
      <c r="L2951" t="s">
        <v>79</v>
      </c>
      <c r="M2951">
        <v>3</v>
      </c>
      <c r="N2951">
        <v>1</v>
      </c>
      <c r="O2951">
        <v>1</v>
      </c>
      <c r="P2951">
        <v>2025</v>
      </c>
    </row>
    <row r="2952" spans="1:16">
      <c r="A2952">
        <v>102.86</v>
      </c>
      <c r="B2952">
        <v>1</v>
      </c>
      <c r="C2952" t="s">
        <v>2916</v>
      </c>
      <c r="D2952" t="s">
        <v>2917</v>
      </c>
      <c r="E2952" t="s">
        <v>2173</v>
      </c>
      <c r="F2952" t="s">
        <v>328</v>
      </c>
      <c r="G2952" t="s">
        <v>1003</v>
      </c>
      <c r="H2952" t="s">
        <v>460</v>
      </c>
      <c r="I2952" t="s">
        <v>69</v>
      </c>
      <c r="J2952">
        <v>102.86</v>
      </c>
      <c r="K2952" s="1">
        <v>46261</v>
      </c>
      <c r="L2952" t="s">
        <v>105</v>
      </c>
      <c r="M2952">
        <v>27</v>
      </c>
      <c r="N2952">
        <v>8</v>
      </c>
      <c r="O2952">
        <v>3</v>
      </c>
      <c r="P2952">
        <v>2026</v>
      </c>
    </row>
    <row r="2953" spans="1:16">
      <c r="A2953">
        <v>219.26</v>
      </c>
      <c r="B2953">
        <v>1</v>
      </c>
      <c r="C2953" t="s">
        <v>3267</v>
      </c>
      <c r="D2953" t="s">
        <v>3268</v>
      </c>
      <c r="E2953" t="s">
        <v>784</v>
      </c>
      <c r="F2953" t="s">
        <v>1600</v>
      </c>
      <c r="G2953" t="s">
        <v>768</v>
      </c>
      <c r="H2953" t="s">
        <v>162</v>
      </c>
      <c r="I2953" t="s">
        <v>51</v>
      </c>
      <c r="J2953">
        <v>219.26</v>
      </c>
      <c r="K2953" s="1">
        <v>46232</v>
      </c>
      <c r="L2953" t="s">
        <v>34</v>
      </c>
      <c r="M2953">
        <v>29</v>
      </c>
      <c r="N2953">
        <v>7</v>
      </c>
      <c r="O2953">
        <v>3</v>
      </c>
      <c r="P2953">
        <v>2026</v>
      </c>
    </row>
    <row r="2954" spans="1:16">
      <c r="A2954">
        <v>824.25</v>
      </c>
      <c r="B2954">
        <v>5</v>
      </c>
      <c r="C2954" t="s">
        <v>1372</v>
      </c>
      <c r="D2954" t="s">
        <v>1373</v>
      </c>
      <c r="E2954" t="s">
        <v>1374</v>
      </c>
      <c r="F2954" t="s">
        <v>49</v>
      </c>
      <c r="G2954" t="s">
        <v>807</v>
      </c>
      <c r="H2954" t="s">
        <v>114</v>
      </c>
      <c r="I2954" t="s">
        <v>23</v>
      </c>
      <c r="J2954">
        <v>164.85</v>
      </c>
      <c r="K2954" s="1">
        <v>45804</v>
      </c>
      <c r="L2954" t="s">
        <v>48</v>
      </c>
      <c r="M2954">
        <v>27</v>
      </c>
      <c r="N2954">
        <v>5</v>
      </c>
      <c r="O2954">
        <v>2</v>
      </c>
      <c r="P2954">
        <v>2025</v>
      </c>
    </row>
    <row r="2955" spans="1:16">
      <c r="A2955">
        <v>301.16000000000003</v>
      </c>
      <c r="B2955">
        <v>2</v>
      </c>
      <c r="C2955" t="s">
        <v>2980</v>
      </c>
      <c r="D2955" t="s">
        <v>2981</v>
      </c>
      <c r="E2955" t="s">
        <v>1140</v>
      </c>
      <c r="F2955" t="s">
        <v>2982</v>
      </c>
      <c r="G2955" t="s">
        <v>839</v>
      </c>
      <c r="H2955" t="s">
        <v>398</v>
      </c>
      <c r="I2955" t="s">
        <v>27</v>
      </c>
      <c r="J2955">
        <v>150.58000000000001</v>
      </c>
      <c r="K2955" s="1">
        <v>45746</v>
      </c>
      <c r="L2955" t="s">
        <v>28</v>
      </c>
      <c r="M2955">
        <v>30</v>
      </c>
      <c r="N2955">
        <v>3</v>
      </c>
      <c r="O2955">
        <v>1</v>
      </c>
      <c r="P2955">
        <v>2025</v>
      </c>
    </row>
    <row r="2956" spans="1:16">
      <c r="A2956">
        <v>360.28</v>
      </c>
      <c r="B2956">
        <v>4</v>
      </c>
      <c r="C2956" t="s">
        <v>3457</v>
      </c>
      <c r="D2956" t="s">
        <v>3458</v>
      </c>
      <c r="E2956" t="s">
        <v>3459</v>
      </c>
      <c r="F2956" t="s">
        <v>1362</v>
      </c>
      <c r="G2956" t="s">
        <v>896</v>
      </c>
      <c r="H2956" t="s">
        <v>707</v>
      </c>
      <c r="I2956" t="s">
        <v>23</v>
      </c>
      <c r="J2956">
        <v>90.07</v>
      </c>
      <c r="K2956" s="1">
        <v>46268</v>
      </c>
      <c r="L2956" t="s">
        <v>105</v>
      </c>
      <c r="M2956">
        <v>3</v>
      </c>
      <c r="N2956">
        <v>9</v>
      </c>
      <c r="O2956">
        <v>3</v>
      </c>
      <c r="P2956">
        <v>2026</v>
      </c>
    </row>
    <row r="2957" spans="1:16">
      <c r="A2957">
        <v>518.66999999999996</v>
      </c>
      <c r="B2957">
        <v>3</v>
      </c>
      <c r="C2957" t="s">
        <v>2561</v>
      </c>
      <c r="D2957" t="s">
        <v>2562</v>
      </c>
      <c r="E2957" t="s">
        <v>2563</v>
      </c>
      <c r="F2957" t="s">
        <v>691</v>
      </c>
      <c r="G2957" t="s">
        <v>776</v>
      </c>
      <c r="H2957" t="s">
        <v>2166</v>
      </c>
      <c r="I2957" t="s">
        <v>21</v>
      </c>
      <c r="J2957">
        <v>172.89</v>
      </c>
      <c r="K2957" s="1">
        <v>45738</v>
      </c>
      <c r="L2957" t="s">
        <v>14</v>
      </c>
      <c r="M2957">
        <v>22</v>
      </c>
      <c r="N2957">
        <v>3</v>
      </c>
      <c r="O2957">
        <v>1</v>
      </c>
      <c r="P2957">
        <v>2025</v>
      </c>
    </row>
    <row r="2958" spans="1:16">
      <c r="A2958">
        <v>867.4</v>
      </c>
      <c r="B2958">
        <v>5</v>
      </c>
      <c r="C2958" t="s">
        <v>1663</v>
      </c>
      <c r="D2958" t="s">
        <v>1664</v>
      </c>
      <c r="E2958" t="s">
        <v>1665</v>
      </c>
      <c r="F2958" t="s">
        <v>1666</v>
      </c>
      <c r="G2958" t="s">
        <v>830</v>
      </c>
      <c r="H2958" t="s">
        <v>728</v>
      </c>
      <c r="I2958" t="s">
        <v>46</v>
      </c>
      <c r="J2958">
        <v>173.48</v>
      </c>
      <c r="K2958" s="1">
        <v>46211</v>
      </c>
      <c r="L2958" t="s">
        <v>34</v>
      </c>
      <c r="M2958">
        <v>8</v>
      </c>
      <c r="N2958">
        <v>7</v>
      </c>
      <c r="O2958">
        <v>3</v>
      </c>
      <c r="P2958">
        <v>2026</v>
      </c>
    </row>
    <row r="2959" spans="1:16">
      <c r="A2959">
        <v>953.8</v>
      </c>
      <c r="B2959">
        <v>5</v>
      </c>
      <c r="C2959" t="s">
        <v>1427</v>
      </c>
      <c r="D2959" t="s">
        <v>1428</v>
      </c>
      <c r="E2959" t="s">
        <v>1429</v>
      </c>
      <c r="F2959" t="s">
        <v>1168</v>
      </c>
      <c r="G2959" t="s">
        <v>758</v>
      </c>
      <c r="H2959" t="s">
        <v>1430</v>
      </c>
      <c r="I2959" t="s">
        <v>60</v>
      </c>
      <c r="J2959">
        <v>190.76</v>
      </c>
      <c r="K2959" s="1">
        <v>45894</v>
      </c>
      <c r="L2959" t="s">
        <v>93</v>
      </c>
      <c r="M2959">
        <v>25</v>
      </c>
      <c r="N2959">
        <v>8</v>
      </c>
      <c r="O2959">
        <v>3</v>
      </c>
      <c r="P2959">
        <v>2025</v>
      </c>
    </row>
    <row r="2960" spans="1:16">
      <c r="A2960">
        <v>112.1</v>
      </c>
      <c r="B2960">
        <v>2</v>
      </c>
      <c r="C2960" t="s">
        <v>1814</v>
      </c>
      <c r="D2960" t="s">
        <v>1815</v>
      </c>
      <c r="E2960" t="s">
        <v>824</v>
      </c>
      <c r="F2960" t="s">
        <v>757</v>
      </c>
      <c r="G2960" t="s">
        <v>758</v>
      </c>
      <c r="H2960" t="s">
        <v>32</v>
      </c>
      <c r="I2960" t="s">
        <v>19</v>
      </c>
      <c r="J2960">
        <v>56.05</v>
      </c>
      <c r="K2960" s="1">
        <v>45936</v>
      </c>
      <c r="L2960" t="s">
        <v>93</v>
      </c>
      <c r="M2960">
        <v>6</v>
      </c>
      <c r="N2960">
        <v>10</v>
      </c>
      <c r="O2960">
        <v>4</v>
      </c>
      <c r="P2960">
        <v>2025</v>
      </c>
    </row>
    <row r="2961" spans="1:16">
      <c r="A2961">
        <v>42.36</v>
      </c>
      <c r="B2961">
        <v>2</v>
      </c>
      <c r="C2961" t="s">
        <v>1735</v>
      </c>
      <c r="D2961" t="s">
        <v>1736</v>
      </c>
      <c r="E2961" t="s">
        <v>857</v>
      </c>
      <c r="F2961" t="s">
        <v>980</v>
      </c>
      <c r="G2961" t="s">
        <v>981</v>
      </c>
      <c r="H2961" t="s">
        <v>530</v>
      </c>
      <c r="I2961" t="s">
        <v>37</v>
      </c>
      <c r="J2961">
        <v>21.18</v>
      </c>
      <c r="K2961" s="1">
        <v>45595</v>
      </c>
      <c r="L2961" t="s">
        <v>34</v>
      </c>
      <c r="M2961">
        <v>30</v>
      </c>
      <c r="N2961">
        <v>10</v>
      </c>
      <c r="O2961">
        <v>4</v>
      </c>
      <c r="P2961">
        <v>2024</v>
      </c>
    </row>
    <row r="2962" spans="1:16">
      <c r="A2962">
        <v>953.05000000000007</v>
      </c>
      <c r="B2962">
        <v>5</v>
      </c>
      <c r="C2962" t="s">
        <v>3310</v>
      </c>
      <c r="D2962" t="s">
        <v>3311</v>
      </c>
      <c r="E2962" t="s">
        <v>1582</v>
      </c>
      <c r="F2962" t="s">
        <v>1550</v>
      </c>
      <c r="G2962" t="s">
        <v>776</v>
      </c>
      <c r="H2962" t="s">
        <v>156</v>
      </c>
      <c r="I2962" t="s">
        <v>57</v>
      </c>
      <c r="J2962">
        <v>190.61</v>
      </c>
      <c r="K2962" s="1">
        <v>46243</v>
      </c>
      <c r="L2962" t="s">
        <v>28</v>
      </c>
      <c r="M2962">
        <v>9</v>
      </c>
      <c r="N2962">
        <v>8</v>
      </c>
      <c r="O2962">
        <v>3</v>
      </c>
      <c r="P2962">
        <v>2026</v>
      </c>
    </row>
    <row r="2963" spans="1:16">
      <c r="A2963">
        <v>215.16</v>
      </c>
      <c r="B2963">
        <v>3</v>
      </c>
      <c r="C2963" t="s">
        <v>2934</v>
      </c>
      <c r="D2963" t="s">
        <v>2935</v>
      </c>
      <c r="E2963" t="s">
        <v>2043</v>
      </c>
      <c r="F2963" t="s">
        <v>1509</v>
      </c>
      <c r="G2963" t="s">
        <v>821</v>
      </c>
      <c r="H2963" t="s">
        <v>141</v>
      </c>
      <c r="I2963" t="s">
        <v>46</v>
      </c>
      <c r="J2963">
        <v>71.72</v>
      </c>
      <c r="K2963" s="1">
        <v>45763</v>
      </c>
      <c r="L2963" t="s">
        <v>34</v>
      </c>
      <c r="M2963">
        <v>16</v>
      </c>
      <c r="N2963">
        <v>4</v>
      </c>
      <c r="O2963">
        <v>2</v>
      </c>
      <c r="P2963">
        <v>2025</v>
      </c>
    </row>
    <row r="2964" spans="1:16">
      <c r="A2964">
        <v>82.69</v>
      </c>
      <c r="B2964">
        <v>1</v>
      </c>
      <c r="C2964" t="s">
        <v>2339</v>
      </c>
      <c r="D2964" t="s">
        <v>2340</v>
      </c>
      <c r="E2964" t="s">
        <v>2341</v>
      </c>
      <c r="F2964" t="s">
        <v>1469</v>
      </c>
      <c r="G2964" t="s">
        <v>908</v>
      </c>
      <c r="H2964" t="s">
        <v>650</v>
      </c>
      <c r="I2964" t="s">
        <v>37</v>
      </c>
      <c r="J2964">
        <v>82.69</v>
      </c>
      <c r="K2964" s="1">
        <v>45903</v>
      </c>
      <c r="L2964" t="s">
        <v>34</v>
      </c>
      <c r="M2964">
        <v>3</v>
      </c>
      <c r="N2964">
        <v>9</v>
      </c>
      <c r="O2964">
        <v>3</v>
      </c>
      <c r="P2964">
        <v>2025</v>
      </c>
    </row>
    <row r="2965" spans="1:16">
      <c r="A2965">
        <v>769.92</v>
      </c>
      <c r="B2965">
        <v>4</v>
      </c>
      <c r="C2965" t="s">
        <v>1090</v>
      </c>
      <c r="D2965" t="s">
        <v>1091</v>
      </c>
      <c r="E2965" t="s">
        <v>925</v>
      </c>
      <c r="F2965" t="s">
        <v>1092</v>
      </c>
      <c r="G2965" t="s">
        <v>763</v>
      </c>
      <c r="H2965" t="s">
        <v>159</v>
      </c>
      <c r="I2965" t="s">
        <v>21</v>
      </c>
      <c r="J2965">
        <v>192.48</v>
      </c>
      <c r="K2965" s="1">
        <v>46068</v>
      </c>
      <c r="L2965" t="s">
        <v>28</v>
      </c>
      <c r="M2965">
        <v>15</v>
      </c>
      <c r="N2965">
        <v>2</v>
      </c>
      <c r="O2965">
        <v>1</v>
      </c>
      <c r="P2965">
        <v>2026</v>
      </c>
    </row>
    <row r="2966" spans="1:16">
      <c r="A2966">
        <v>363.65999999999997</v>
      </c>
      <c r="B2966">
        <v>3</v>
      </c>
      <c r="C2966" t="s">
        <v>2912</v>
      </c>
      <c r="D2966" t="s">
        <v>2913</v>
      </c>
      <c r="E2966" t="s">
        <v>1657</v>
      </c>
      <c r="F2966" t="s">
        <v>907</v>
      </c>
      <c r="G2966" t="s">
        <v>908</v>
      </c>
      <c r="H2966" t="s">
        <v>47</v>
      </c>
      <c r="I2966" t="s">
        <v>46</v>
      </c>
      <c r="J2966">
        <v>121.22</v>
      </c>
      <c r="K2966" s="1">
        <v>45876</v>
      </c>
      <c r="L2966" t="s">
        <v>105</v>
      </c>
      <c r="M2966">
        <v>7</v>
      </c>
      <c r="N2966">
        <v>8</v>
      </c>
      <c r="O2966">
        <v>3</v>
      </c>
      <c r="P2966">
        <v>2025</v>
      </c>
    </row>
    <row r="2967" spans="1:16">
      <c r="A2967">
        <v>1188.1500000000001</v>
      </c>
      <c r="B2967">
        <v>5</v>
      </c>
      <c r="C2967" t="s">
        <v>3036</v>
      </c>
      <c r="D2967" t="s">
        <v>3037</v>
      </c>
      <c r="E2967" t="s">
        <v>1110</v>
      </c>
      <c r="F2967" t="s">
        <v>1061</v>
      </c>
      <c r="G2967" t="s">
        <v>834</v>
      </c>
      <c r="H2967" t="s">
        <v>375</v>
      </c>
      <c r="I2967" t="s">
        <v>31</v>
      </c>
      <c r="J2967">
        <v>237.63</v>
      </c>
      <c r="K2967" s="1">
        <v>45588</v>
      </c>
      <c r="L2967" t="s">
        <v>34</v>
      </c>
      <c r="M2967">
        <v>23</v>
      </c>
      <c r="N2967">
        <v>10</v>
      </c>
      <c r="O2967">
        <v>4</v>
      </c>
      <c r="P2967">
        <v>2024</v>
      </c>
    </row>
    <row r="2968" spans="1:16">
      <c r="A2968">
        <v>748.9</v>
      </c>
      <c r="B2968">
        <v>5</v>
      </c>
      <c r="C2968" t="s">
        <v>1303</v>
      </c>
      <c r="D2968" t="s">
        <v>1304</v>
      </c>
      <c r="E2968" t="s">
        <v>1305</v>
      </c>
      <c r="F2968" t="s">
        <v>1306</v>
      </c>
      <c r="G2968" t="s">
        <v>966</v>
      </c>
      <c r="H2968" t="s">
        <v>427</v>
      </c>
      <c r="I2968" t="s">
        <v>21</v>
      </c>
      <c r="J2968">
        <v>149.78</v>
      </c>
      <c r="K2968" s="1">
        <v>45906</v>
      </c>
      <c r="L2968" t="s">
        <v>14</v>
      </c>
      <c r="M2968">
        <v>6</v>
      </c>
      <c r="N2968">
        <v>9</v>
      </c>
      <c r="O2968">
        <v>3</v>
      </c>
      <c r="P2968">
        <v>2025</v>
      </c>
    </row>
    <row r="2969" spans="1:16">
      <c r="A2969">
        <v>129.30000000000001</v>
      </c>
      <c r="B2969">
        <v>5</v>
      </c>
      <c r="C2969" t="s">
        <v>2072</v>
      </c>
      <c r="D2969" t="s">
        <v>2073</v>
      </c>
      <c r="E2969" t="s">
        <v>1709</v>
      </c>
      <c r="F2969" t="s">
        <v>961</v>
      </c>
      <c r="G2969" t="s">
        <v>807</v>
      </c>
      <c r="H2969" t="s">
        <v>282</v>
      </c>
      <c r="I2969" t="s">
        <v>21</v>
      </c>
      <c r="J2969">
        <v>25.86</v>
      </c>
      <c r="K2969" s="1">
        <v>45917</v>
      </c>
      <c r="L2969" t="s">
        <v>34</v>
      </c>
      <c r="M2969">
        <v>17</v>
      </c>
      <c r="N2969">
        <v>9</v>
      </c>
      <c r="O2969">
        <v>3</v>
      </c>
      <c r="P2969">
        <v>2025</v>
      </c>
    </row>
    <row r="2970" spans="1:16">
      <c r="A2970">
        <v>401.13</v>
      </c>
      <c r="B2970">
        <v>3</v>
      </c>
      <c r="C2970" t="s">
        <v>1694</v>
      </c>
      <c r="D2970" t="s">
        <v>1695</v>
      </c>
      <c r="E2970" t="s">
        <v>1110</v>
      </c>
      <c r="F2970" t="s">
        <v>965</v>
      </c>
      <c r="G2970" t="s">
        <v>839</v>
      </c>
      <c r="H2970" t="s">
        <v>539</v>
      </c>
      <c r="I2970" t="s">
        <v>69</v>
      </c>
      <c r="J2970">
        <v>133.71</v>
      </c>
      <c r="K2970" s="1">
        <v>45919</v>
      </c>
      <c r="L2970" t="s">
        <v>79</v>
      </c>
      <c r="M2970">
        <v>19</v>
      </c>
      <c r="N2970">
        <v>9</v>
      </c>
      <c r="O2970">
        <v>3</v>
      </c>
      <c r="P2970">
        <v>2025</v>
      </c>
    </row>
    <row r="2971" spans="1:16">
      <c r="A2971">
        <v>160.43</v>
      </c>
      <c r="B2971">
        <v>1</v>
      </c>
      <c r="C2971" t="s">
        <v>1393</v>
      </c>
      <c r="D2971" t="s">
        <v>1394</v>
      </c>
      <c r="E2971" t="s">
        <v>1182</v>
      </c>
      <c r="F2971" t="s">
        <v>1395</v>
      </c>
      <c r="G2971" t="s">
        <v>776</v>
      </c>
      <c r="H2971" t="s">
        <v>424</v>
      </c>
      <c r="I2971" t="s">
        <v>69</v>
      </c>
      <c r="J2971">
        <v>160.43</v>
      </c>
      <c r="K2971" s="1">
        <v>45851</v>
      </c>
      <c r="L2971" t="s">
        <v>28</v>
      </c>
      <c r="M2971">
        <v>13</v>
      </c>
      <c r="N2971">
        <v>7</v>
      </c>
      <c r="O2971">
        <v>3</v>
      </c>
      <c r="P2971">
        <v>2025</v>
      </c>
    </row>
    <row r="2972" spans="1:16">
      <c r="A2972">
        <v>423.15</v>
      </c>
      <c r="B2972">
        <v>5</v>
      </c>
      <c r="C2972" t="s">
        <v>1303</v>
      </c>
      <c r="D2972" t="s">
        <v>1304</v>
      </c>
      <c r="E2972" t="s">
        <v>1305</v>
      </c>
      <c r="F2972" t="s">
        <v>1306</v>
      </c>
      <c r="G2972" t="s">
        <v>966</v>
      </c>
      <c r="H2972" t="s">
        <v>495</v>
      </c>
      <c r="I2972" t="s">
        <v>39</v>
      </c>
      <c r="J2972">
        <v>84.63</v>
      </c>
      <c r="K2972" s="1">
        <v>45556</v>
      </c>
      <c r="L2972" t="s">
        <v>14</v>
      </c>
      <c r="M2972">
        <v>21</v>
      </c>
      <c r="N2972">
        <v>9</v>
      </c>
      <c r="O2972">
        <v>3</v>
      </c>
      <c r="P2972">
        <v>2024</v>
      </c>
    </row>
    <row r="2973" spans="1:16">
      <c r="A2973">
        <v>467.82</v>
      </c>
      <c r="B2973">
        <v>2</v>
      </c>
      <c r="C2973" t="s">
        <v>2733</v>
      </c>
      <c r="D2973" t="s">
        <v>2734</v>
      </c>
      <c r="E2973" t="s">
        <v>1212</v>
      </c>
      <c r="F2973" t="s">
        <v>1600</v>
      </c>
      <c r="G2973" t="s">
        <v>768</v>
      </c>
      <c r="H2973" t="s">
        <v>272</v>
      </c>
      <c r="I2973" t="s">
        <v>55</v>
      </c>
      <c r="J2973">
        <v>233.91</v>
      </c>
      <c r="K2973" s="1">
        <v>46068</v>
      </c>
      <c r="L2973" t="s">
        <v>28</v>
      </c>
      <c r="M2973">
        <v>15</v>
      </c>
      <c r="N2973">
        <v>2</v>
      </c>
      <c r="O2973">
        <v>1</v>
      </c>
      <c r="P2973">
        <v>2026</v>
      </c>
    </row>
    <row r="2974" spans="1:16">
      <c r="A2974">
        <v>80.39</v>
      </c>
      <c r="B2974">
        <v>1</v>
      </c>
      <c r="C2974" t="s">
        <v>1817</v>
      </c>
      <c r="D2974" t="s">
        <v>1818</v>
      </c>
      <c r="E2974" t="s">
        <v>914</v>
      </c>
      <c r="F2974" t="s">
        <v>1574</v>
      </c>
      <c r="G2974" t="s">
        <v>1003</v>
      </c>
      <c r="H2974" t="s">
        <v>130</v>
      </c>
      <c r="I2974" t="s">
        <v>69</v>
      </c>
      <c r="J2974">
        <v>80.39</v>
      </c>
      <c r="K2974" s="1">
        <v>46254</v>
      </c>
      <c r="L2974" t="s">
        <v>105</v>
      </c>
      <c r="M2974">
        <v>20</v>
      </c>
      <c r="N2974">
        <v>8</v>
      </c>
      <c r="O2974">
        <v>3</v>
      </c>
      <c r="P2974">
        <v>2026</v>
      </c>
    </row>
    <row r="2975" spans="1:16">
      <c r="A2975">
        <v>695.52</v>
      </c>
      <c r="B2975">
        <v>3</v>
      </c>
      <c r="C2975" t="s">
        <v>1486</v>
      </c>
      <c r="D2975" t="s">
        <v>1487</v>
      </c>
      <c r="E2975" t="s">
        <v>1042</v>
      </c>
      <c r="F2975" t="s">
        <v>196</v>
      </c>
      <c r="G2975" t="s">
        <v>830</v>
      </c>
      <c r="H2975" t="s">
        <v>626</v>
      </c>
      <c r="I2975" t="s">
        <v>17</v>
      </c>
      <c r="J2975">
        <v>231.84</v>
      </c>
      <c r="K2975" s="1">
        <v>46268</v>
      </c>
      <c r="L2975" t="s">
        <v>105</v>
      </c>
      <c r="M2975">
        <v>3</v>
      </c>
      <c r="N2975">
        <v>9</v>
      </c>
      <c r="O2975">
        <v>3</v>
      </c>
      <c r="P2975">
        <v>2026</v>
      </c>
    </row>
    <row r="2976" spans="1:16">
      <c r="A2976">
        <v>145.83000000000001</v>
      </c>
      <c r="B2976">
        <v>1</v>
      </c>
      <c r="C2976" t="s">
        <v>2622</v>
      </c>
      <c r="D2976" t="s">
        <v>2623</v>
      </c>
      <c r="E2976" t="s">
        <v>1455</v>
      </c>
      <c r="F2976" t="s">
        <v>879</v>
      </c>
      <c r="G2976" t="s">
        <v>748</v>
      </c>
      <c r="H2976" t="s">
        <v>171</v>
      </c>
      <c r="I2976" t="s">
        <v>46</v>
      </c>
      <c r="J2976">
        <v>145.83000000000001</v>
      </c>
      <c r="K2976" s="1">
        <v>45784</v>
      </c>
      <c r="L2976" t="s">
        <v>34</v>
      </c>
      <c r="M2976">
        <v>7</v>
      </c>
      <c r="N2976">
        <v>5</v>
      </c>
      <c r="O2976">
        <v>2</v>
      </c>
      <c r="P2976">
        <v>2025</v>
      </c>
    </row>
    <row r="2977" spans="1:16">
      <c r="A2977">
        <v>15.870000000000001</v>
      </c>
      <c r="B2977">
        <v>3</v>
      </c>
      <c r="C2977" t="s">
        <v>3316</v>
      </c>
      <c r="D2977" t="s">
        <v>3317</v>
      </c>
      <c r="E2977" t="s">
        <v>2479</v>
      </c>
      <c r="F2977" t="s">
        <v>513</v>
      </c>
      <c r="G2977" t="s">
        <v>786</v>
      </c>
      <c r="H2977" t="s">
        <v>394</v>
      </c>
      <c r="I2977" t="s">
        <v>122</v>
      </c>
      <c r="J2977">
        <v>5.29</v>
      </c>
      <c r="K2977" s="1">
        <v>45927</v>
      </c>
      <c r="L2977" t="s">
        <v>14</v>
      </c>
      <c r="M2977">
        <v>27</v>
      </c>
      <c r="N2977">
        <v>9</v>
      </c>
      <c r="O2977">
        <v>3</v>
      </c>
      <c r="P2977">
        <v>2025</v>
      </c>
    </row>
    <row r="2978" spans="1:16">
      <c r="A2978">
        <v>349.54</v>
      </c>
      <c r="B2978">
        <v>2</v>
      </c>
      <c r="C2978" t="s">
        <v>2109</v>
      </c>
      <c r="D2978" t="s">
        <v>2110</v>
      </c>
      <c r="E2978" t="s">
        <v>2111</v>
      </c>
      <c r="F2978" t="s">
        <v>1156</v>
      </c>
      <c r="G2978" t="s">
        <v>821</v>
      </c>
      <c r="H2978" t="s">
        <v>483</v>
      </c>
      <c r="I2978" t="s">
        <v>100</v>
      </c>
      <c r="J2978">
        <v>174.77</v>
      </c>
      <c r="K2978" s="1">
        <v>45665</v>
      </c>
      <c r="L2978" t="s">
        <v>34</v>
      </c>
      <c r="M2978">
        <v>8</v>
      </c>
      <c r="N2978">
        <v>1</v>
      </c>
      <c r="O2978">
        <v>1</v>
      </c>
      <c r="P2978">
        <v>2025</v>
      </c>
    </row>
    <row r="2979" spans="1:16">
      <c r="A2979">
        <v>93.88</v>
      </c>
      <c r="B2979">
        <v>4</v>
      </c>
      <c r="C2979" t="s">
        <v>3201</v>
      </c>
      <c r="D2979" t="s">
        <v>3202</v>
      </c>
      <c r="E2979" t="s">
        <v>2848</v>
      </c>
      <c r="F2979" t="s">
        <v>1061</v>
      </c>
      <c r="G2979" t="s">
        <v>834</v>
      </c>
      <c r="H2979" t="s">
        <v>492</v>
      </c>
      <c r="I2979" t="s">
        <v>21</v>
      </c>
      <c r="J2979">
        <v>23.47</v>
      </c>
      <c r="K2979" s="1">
        <v>45879</v>
      </c>
      <c r="L2979" t="s">
        <v>28</v>
      </c>
      <c r="M2979">
        <v>10</v>
      </c>
      <c r="N2979">
        <v>8</v>
      </c>
      <c r="O2979">
        <v>3</v>
      </c>
      <c r="P2979">
        <v>2025</v>
      </c>
    </row>
    <row r="2980" spans="1:16">
      <c r="A2980">
        <v>1194.8499999999999</v>
      </c>
      <c r="B2980">
        <v>5</v>
      </c>
      <c r="C2980" t="s">
        <v>904</v>
      </c>
      <c r="D2980" t="s">
        <v>905</v>
      </c>
      <c r="E2980" t="s">
        <v>906</v>
      </c>
      <c r="F2980" t="s">
        <v>907</v>
      </c>
      <c r="G2980" t="s">
        <v>908</v>
      </c>
      <c r="H2980" t="s">
        <v>180</v>
      </c>
      <c r="I2980" t="s">
        <v>55</v>
      </c>
      <c r="J2980">
        <v>238.97</v>
      </c>
      <c r="K2980" s="1">
        <v>46166</v>
      </c>
      <c r="L2980" t="s">
        <v>28</v>
      </c>
      <c r="M2980">
        <v>24</v>
      </c>
      <c r="N2980">
        <v>5</v>
      </c>
      <c r="O2980">
        <v>2</v>
      </c>
      <c r="P2980">
        <v>2026</v>
      </c>
    </row>
    <row r="2981" spans="1:16">
      <c r="A2981">
        <v>158.38</v>
      </c>
      <c r="B2981">
        <v>1</v>
      </c>
      <c r="C2981" t="s">
        <v>1237</v>
      </c>
      <c r="D2981" t="s">
        <v>1238</v>
      </c>
      <c r="E2981" t="s">
        <v>1053</v>
      </c>
      <c r="F2981" t="s">
        <v>1239</v>
      </c>
      <c r="G2981" t="s">
        <v>795</v>
      </c>
      <c r="H2981" t="s">
        <v>172</v>
      </c>
      <c r="I2981" t="s">
        <v>46</v>
      </c>
      <c r="J2981">
        <v>158.38</v>
      </c>
      <c r="K2981" s="1">
        <v>46142</v>
      </c>
      <c r="L2981" t="s">
        <v>105</v>
      </c>
      <c r="M2981">
        <v>30</v>
      </c>
      <c r="N2981">
        <v>4</v>
      </c>
      <c r="O2981">
        <v>2</v>
      </c>
      <c r="P2981">
        <v>2026</v>
      </c>
    </row>
    <row r="2982" spans="1:16">
      <c r="A2982">
        <v>207.88</v>
      </c>
      <c r="B2982">
        <v>2</v>
      </c>
      <c r="C2982" t="s">
        <v>3361</v>
      </c>
      <c r="D2982" t="s">
        <v>3362</v>
      </c>
      <c r="E2982" t="s">
        <v>1512</v>
      </c>
      <c r="F2982" t="s">
        <v>1944</v>
      </c>
      <c r="G2982" t="s">
        <v>1003</v>
      </c>
      <c r="H2982" t="s">
        <v>210</v>
      </c>
      <c r="I2982" t="s">
        <v>55</v>
      </c>
      <c r="J2982">
        <v>103.94</v>
      </c>
      <c r="K2982" s="1">
        <v>45779</v>
      </c>
      <c r="L2982" t="s">
        <v>79</v>
      </c>
      <c r="M2982">
        <v>2</v>
      </c>
      <c r="N2982">
        <v>5</v>
      </c>
      <c r="O2982">
        <v>2</v>
      </c>
      <c r="P2982">
        <v>2025</v>
      </c>
    </row>
    <row r="2983" spans="1:16">
      <c r="A2983">
        <v>292.22000000000003</v>
      </c>
      <c r="B2983">
        <v>2</v>
      </c>
      <c r="C2983" t="s">
        <v>1255</v>
      </c>
      <c r="D2983" t="s">
        <v>1256</v>
      </c>
      <c r="E2983" t="s">
        <v>969</v>
      </c>
      <c r="F2983" t="s">
        <v>1257</v>
      </c>
      <c r="G2983" t="s">
        <v>839</v>
      </c>
      <c r="H2983" t="s">
        <v>382</v>
      </c>
      <c r="I2983" t="s">
        <v>122</v>
      </c>
      <c r="J2983">
        <v>146.11000000000001</v>
      </c>
      <c r="K2983" s="1">
        <v>45648</v>
      </c>
      <c r="L2983" t="s">
        <v>28</v>
      </c>
      <c r="M2983">
        <v>22</v>
      </c>
      <c r="N2983">
        <v>12</v>
      </c>
      <c r="O2983">
        <v>4</v>
      </c>
      <c r="P2983">
        <v>2024</v>
      </c>
    </row>
    <row r="2984" spans="1:16">
      <c r="A2984">
        <v>14.62</v>
      </c>
      <c r="B2984">
        <v>1</v>
      </c>
      <c r="C2984" t="s">
        <v>1438</v>
      </c>
      <c r="D2984" t="s">
        <v>1439</v>
      </c>
      <c r="E2984" t="s">
        <v>1440</v>
      </c>
      <c r="F2984" t="s">
        <v>29</v>
      </c>
      <c r="G2984" t="s">
        <v>763</v>
      </c>
      <c r="H2984" t="s">
        <v>102</v>
      </c>
      <c r="I2984" t="s">
        <v>51</v>
      </c>
      <c r="J2984">
        <v>14.62</v>
      </c>
      <c r="K2984" s="1">
        <v>45891</v>
      </c>
      <c r="L2984" t="s">
        <v>79</v>
      </c>
      <c r="M2984">
        <v>22</v>
      </c>
      <c r="N2984">
        <v>8</v>
      </c>
      <c r="O2984">
        <v>3</v>
      </c>
      <c r="P2984">
        <v>2025</v>
      </c>
    </row>
    <row r="2985" spans="1:16">
      <c r="A2985">
        <v>1074.75</v>
      </c>
      <c r="B2985">
        <v>5</v>
      </c>
      <c r="C2985" t="s">
        <v>2406</v>
      </c>
      <c r="D2985" t="s">
        <v>2407</v>
      </c>
      <c r="E2985" t="s">
        <v>994</v>
      </c>
      <c r="F2985" t="s">
        <v>478</v>
      </c>
      <c r="G2985" t="s">
        <v>781</v>
      </c>
      <c r="H2985" t="s">
        <v>195</v>
      </c>
      <c r="I2985" t="s">
        <v>31</v>
      </c>
      <c r="J2985">
        <v>214.95</v>
      </c>
      <c r="K2985" s="1">
        <v>46012</v>
      </c>
      <c r="L2985" t="s">
        <v>28</v>
      </c>
      <c r="M2985">
        <v>21</v>
      </c>
      <c r="N2985">
        <v>12</v>
      </c>
      <c r="O2985">
        <v>4</v>
      </c>
      <c r="P2985">
        <v>2025</v>
      </c>
    </row>
    <row r="2986" spans="1:16">
      <c r="A2986">
        <v>248.07</v>
      </c>
      <c r="B2986">
        <v>3</v>
      </c>
      <c r="C2986" t="s">
        <v>3504</v>
      </c>
      <c r="D2986" t="s">
        <v>3505</v>
      </c>
      <c r="E2986" t="s">
        <v>2419</v>
      </c>
      <c r="F2986" t="s">
        <v>1626</v>
      </c>
      <c r="G2986" t="s">
        <v>812</v>
      </c>
      <c r="H2986" t="s">
        <v>650</v>
      </c>
      <c r="I2986" t="s">
        <v>37</v>
      </c>
      <c r="J2986">
        <v>82.69</v>
      </c>
      <c r="K2986" s="1">
        <v>46229</v>
      </c>
      <c r="L2986" t="s">
        <v>28</v>
      </c>
      <c r="M2986">
        <v>26</v>
      </c>
      <c r="N2986">
        <v>7</v>
      </c>
      <c r="O2986">
        <v>3</v>
      </c>
      <c r="P2986">
        <v>2026</v>
      </c>
    </row>
    <row r="2987" spans="1:16">
      <c r="A2987">
        <v>41.48</v>
      </c>
      <c r="B2987">
        <v>2</v>
      </c>
      <c r="C2987" t="s">
        <v>2729</v>
      </c>
      <c r="D2987" t="s">
        <v>2730</v>
      </c>
      <c r="E2987" t="s">
        <v>1582</v>
      </c>
      <c r="F2987" t="s">
        <v>1254</v>
      </c>
      <c r="G2987" t="s">
        <v>781</v>
      </c>
      <c r="H2987" t="s">
        <v>70</v>
      </c>
      <c r="I2987" t="s">
        <v>27</v>
      </c>
      <c r="J2987">
        <v>20.74</v>
      </c>
      <c r="K2987" s="1">
        <v>45792</v>
      </c>
      <c r="L2987" t="s">
        <v>105</v>
      </c>
      <c r="M2987">
        <v>15</v>
      </c>
      <c r="N2987">
        <v>5</v>
      </c>
      <c r="O2987">
        <v>2</v>
      </c>
      <c r="P2987">
        <v>2025</v>
      </c>
    </row>
    <row r="2988" spans="1:16">
      <c r="A2988">
        <v>121.82</v>
      </c>
      <c r="B2988">
        <v>2</v>
      </c>
      <c r="C2988" t="s">
        <v>1393</v>
      </c>
      <c r="D2988" t="s">
        <v>1394</v>
      </c>
      <c r="E2988" t="s">
        <v>1182</v>
      </c>
      <c r="F2988" t="s">
        <v>1395</v>
      </c>
      <c r="G2988" t="s">
        <v>776</v>
      </c>
      <c r="H2988" t="s">
        <v>550</v>
      </c>
      <c r="I2988" t="s">
        <v>55</v>
      </c>
      <c r="J2988">
        <v>60.91</v>
      </c>
      <c r="K2988" s="1">
        <v>46208</v>
      </c>
      <c r="L2988" t="s">
        <v>28</v>
      </c>
      <c r="M2988">
        <v>5</v>
      </c>
      <c r="N2988">
        <v>7</v>
      </c>
      <c r="O2988">
        <v>3</v>
      </c>
      <c r="P2988">
        <v>2026</v>
      </c>
    </row>
    <row r="2989" spans="1:16">
      <c r="A2989">
        <v>430.71</v>
      </c>
      <c r="B2989">
        <v>3</v>
      </c>
      <c r="C2989" t="s">
        <v>787</v>
      </c>
      <c r="D2989" t="s">
        <v>788</v>
      </c>
      <c r="E2989" t="s">
        <v>789</v>
      </c>
      <c r="F2989" t="s">
        <v>160</v>
      </c>
      <c r="G2989" t="s">
        <v>790</v>
      </c>
      <c r="H2989" t="s">
        <v>514</v>
      </c>
      <c r="I2989" t="s">
        <v>23</v>
      </c>
      <c r="J2989">
        <v>143.57</v>
      </c>
      <c r="K2989" s="1">
        <v>46029</v>
      </c>
      <c r="L2989" t="s">
        <v>34</v>
      </c>
      <c r="M2989">
        <v>7</v>
      </c>
      <c r="N2989">
        <v>1</v>
      </c>
      <c r="O2989">
        <v>1</v>
      </c>
      <c r="P2989">
        <v>2026</v>
      </c>
    </row>
    <row r="2990" spans="1:16">
      <c r="A2990">
        <v>109.84</v>
      </c>
      <c r="B2990">
        <v>1</v>
      </c>
      <c r="C2990" t="s">
        <v>3177</v>
      </c>
      <c r="D2990" t="s">
        <v>3178</v>
      </c>
      <c r="E2990" t="s">
        <v>1162</v>
      </c>
      <c r="F2990" t="s">
        <v>1359</v>
      </c>
      <c r="G2990" t="s">
        <v>768</v>
      </c>
      <c r="H2990" t="s">
        <v>663</v>
      </c>
      <c r="I2990" t="s">
        <v>27</v>
      </c>
      <c r="J2990">
        <v>109.84</v>
      </c>
      <c r="K2990" s="1">
        <v>45979</v>
      </c>
      <c r="L2990" t="s">
        <v>48</v>
      </c>
      <c r="M2990">
        <v>18</v>
      </c>
      <c r="N2990">
        <v>11</v>
      </c>
      <c r="O2990">
        <v>4</v>
      </c>
      <c r="P2990">
        <v>2025</v>
      </c>
    </row>
    <row r="2991" spans="1:16">
      <c r="A2991">
        <v>259.24</v>
      </c>
      <c r="B2991">
        <v>4</v>
      </c>
      <c r="C2991" t="s">
        <v>2283</v>
      </c>
      <c r="D2991" t="s">
        <v>2284</v>
      </c>
      <c r="E2991" t="s">
        <v>2285</v>
      </c>
      <c r="F2991" t="s">
        <v>862</v>
      </c>
      <c r="G2991" t="s">
        <v>908</v>
      </c>
      <c r="H2991" t="s">
        <v>471</v>
      </c>
      <c r="I2991" t="s">
        <v>19</v>
      </c>
      <c r="J2991">
        <v>64.81</v>
      </c>
      <c r="K2991" s="1">
        <v>45606</v>
      </c>
      <c r="L2991" t="s">
        <v>28</v>
      </c>
      <c r="M2991">
        <v>10</v>
      </c>
      <c r="N2991">
        <v>11</v>
      </c>
      <c r="O2991">
        <v>4</v>
      </c>
      <c r="P2991">
        <v>2024</v>
      </c>
    </row>
    <row r="2992" spans="1:16">
      <c r="A2992">
        <v>131.87</v>
      </c>
      <c r="B2992">
        <v>1</v>
      </c>
      <c r="C2992" t="s">
        <v>3244</v>
      </c>
      <c r="D2992" t="s">
        <v>3245</v>
      </c>
      <c r="E2992" t="s">
        <v>1114</v>
      </c>
      <c r="F2992" t="s">
        <v>1401</v>
      </c>
      <c r="G2992" t="s">
        <v>943</v>
      </c>
      <c r="H2992" t="s">
        <v>165</v>
      </c>
      <c r="I2992" t="s">
        <v>69</v>
      </c>
      <c r="J2992">
        <v>131.87</v>
      </c>
      <c r="K2992" s="1">
        <v>46111</v>
      </c>
      <c r="L2992" t="s">
        <v>93</v>
      </c>
      <c r="M2992">
        <v>30</v>
      </c>
      <c r="N2992">
        <v>3</v>
      </c>
      <c r="O2992">
        <v>1</v>
      </c>
      <c r="P2992">
        <v>2026</v>
      </c>
    </row>
    <row r="2993" spans="1:16">
      <c r="A2993">
        <v>414.14</v>
      </c>
      <c r="B2993">
        <v>2</v>
      </c>
      <c r="C2993" t="s">
        <v>855</v>
      </c>
      <c r="D2993" t="s">
        <v>856</v>
      </c>
      <c r="E2993" t="s">
        <v>857</v>
      </c>
      <c r="F2993" t="s">
        <v>858</v>
      </c>
      <c r="G2993" t="s">
        <v>753</v>
      </c>
      <c r="H2993" t="s">
        <v>201</v>
      </c>
      <c r="I2993" t="s">
        <v>37</v>
      </c>
      <c r="J2993">
        <v>207.07</v>
      </c>
      <c r="K2993" s="1">
        <v>45844</v>
      </c>
      <c r="L2993" t="s">
        <v>28</v>
      </c>
      <c r="M2993">
        <v>6</v>
      </c>
      <c r="N2993">
        <v>7</v>
      </c>
      <c r="O2993">
        <v>3</v>
      </c>
      <c r="P2993">
        <v>2025</v>
      </c>
    </row>
    <row r="2994" spans="1:16">
      <c r="A2994">
        <v>31.32</v>
      </c>
      <c r="B2994">
        <v>4</v>
      </c>
      <c r="C2994" t="s">
        <v>1163</v>
      </c>
      <c r="D2994" t="s">
        <v>1164</v>
      </c>
      <c r="E2994" t="s">
        <v>1165</v>
      </c>
      <c r="F2994" t="s">
        <v>464</v>
      </c>
      <c r="G2994" t="s">
        <v>896</v>
      </c>
      <c r="H2994" t="s">
        <v>489</v>
      </c>
      <c r="I2994" t="s">
        <v>51</v>
      </c>
      <c r="J2994">
        <v>7.83</v>
      </c>
      <c r="K2994" s="1">
        <v>45858</v>
      </c>
      <c r="L2994" t="s">
        <v>28</v>
      </c>
      <c r="M2994">
        <v>20</v>
      </c>
      <c r="N2994">
        <v>7</v>
      </c>
      <c r="O2994">
        <v>3</v>
      </c>
      <c r="P2994">
        <v>2025</v>
      </c>
    </row>
    <row r="2995" spans="1:16">
      <c r="A2995">
        <v>124.64</v>
      </c>
      <c r="B2995">
        <v>1</v>
      </c>
      <c r="C2995" t="s">
        <v>809</v>
      </c>
      <c r="D2995" t="s">
        <v>810</v>
      </c>
      <c r="E2995" t="s">
        <v>811</v>
      </c>
      <c r="F2995" t="s">
        <v>280</v>
      </c>
      <c r="G2995" t="s">
        <v>812</v>
      </c>
      <c r="H2995" t="s">
        <v>356</v>
      </c>
      <c r="I2995" t="s">
        <v>69</v>
      </c>
      <c r="J2995">
        <v>124.64</v>
      </c>
      <c r="K2995" s="1">
        <v>45900</v>
      </c>
      <c r="L2995" t="s">
        <v>28</v>
      </c>
      <c r="M2995">
        <v>31</v>
      </c>
      <c r="N2995">
        <v>8</v>
      </c>
      <c r="O2995">
        <v>3</v>
      </c>
      <c r="P2995">
        <v>2025</v>
      </c>
    </row>
    <row r="2996" spans="1:16">
      <c r="A2996">
        <v>85.7</v>
      </c>
      <c r="B2996">
        <v>5</v>
      </c>
      <c r="C2996" t="s">
        <v>1101</v>
      </c>
      <c r="D2996" t="s">
        <v>1102</v>
      </c>
      <c r="E2996" t="s">
        <v>1103</v>
      </c>
      <c r="F2996" t="s">
        <v>825</v>
      </c>
      <c r="G2996" t="s">
        <v>781</v>
      </c>
      <c r="H2996" t="s">
        <v>633</v>
      </c>
      <c r="I2996" t="s">
        <v>17</v>
      </c>
      <c r="J2996">
        <v>17.14</v>
      </c>
      <c r="K2996" s="1">
        <v>46087</v>
      </c>
      <c r="L2996" t="s">
        <v>79</v>
      </c>
      <c r="M2996">
        <v>6</v>
      </c>
      <c r="N2996">
        <v>3</v>
      </c>
      <c r="O2996">
        <v>1</v>
      </c>
      <c r="P2996">
        <v>2026</v>
      </c>
    </row>
    <row r="2997" spans="1:16">
      <c r="A2997">
        <v>9.42</v>
      </c>
      <c r="B2997">
        <v>2</v>
      </c>
      <c r="C2997" t="s">
        <v>1055</v>
      </c>
      <c r="D2997" t="s">
        <v>1056</v>
      </c>
      <c r="E2997" t="s">
        <v>1057</v>
      </c>
      <c r="F2997" t="s">
        <v>380</v>
      </c>
      <c r="G2997" t="s">
        <v>776</v>
      </c>
      <c r="H2997" t="s">
        <v>454</v>
      </c>
      <c r="I2997" t="s">
        <v>23</v>
      </c>
      <c r="J2997">
        <v>4.71</v>
      </c>
      <c r="K2997" s="1">
        <v>45844</v>
      </c>
      <c r="L2997" t="s">
        <v>28</v>
      </c>
      <c r="M2997">
        <v>6</v>
      </c>
      <c r="N2997">
        <v>7</v>
      </c>
      <c r="O2997">
        <v>3</v>
      </c>
      <c r="P2997">
        <v>2025</v>
      </c>
    </row>
    <row r="2998" spans="1:16">
      <c r="A2998">
        <v>174.96</v>
      </c>
      <c r="B2998">
        <v>2</v>
      </c>
      <c r="C2998" t="s">
        <v>3205</v>
      </c>
      <c r="D2998" t="s">
        <v>3206</v>
      </c>
      <c r="E2998" t="s">
        <v>1192</v>
      </c>
      <c r="F2998" t="s">
        <v>1206</v>
      </c>
      <c r="G2998" t="s">
        <v>943</v>
      </c>
      <c r="H2998" t="s">
        <v>604</v>
      </c>
      <c r="I2998" t="s">
        <v>69</v>
      </c>
      <c r="J2998">
        <v>87.48</v>
      </c>
      <c r="K2998" s="1">
        <v>46169</v>
      </c>
      <c r="L2998" t="s">
        <v>34</v>
      </c>
      <c r="M2998">
        <v>27</v>
      </c>
      <c r="N2998">
        <v>5</v>
      </c>
      <c r="O2998">
        <v>2</v>
      </c>
      <c r="P2998">
        <v>2026</v>
      </c>
    </row>
    <row r="2999" spans="1:16">
      <c r="A2999">
        <v>583.47</v>
      </c>
      <c r="B2999">
        <v>3</v>
      </c>
      <c r="C2999" t="s">
        <v>2487</v>
      </c>
      <c r="D2999" t="s">
        <v>2488</v>
      </c>
      <c r="E2999" t="s">
        <v>1515</v>
      </c>
      <c r="F2999" t="s">
        <v>2489</v>
      </c>
      <c r="G2999" t="s">
        <v>1247</v>
      </c>
      <c r="H2999" t="s">
        <v>560</v>
      </c>
      <c r="I2999" t="s">
        <v>122</v>
      </c>
      <c r="J2999">
        <v>194.49</v>
      </c>
      <c r="K2999" s="1">
        <v>46092</v>
      </c>
      <c r="L2999" t="s">
        <v>34</v>
      </c>
      <c r="M2999">
        <v>11</v>
      </c>
      <c r="N2999">
        <v>3</v>
      </c>
      <c r="O2999">
        <v>1</v>
      </c>
      <c r="P2999">
        <v>2026</v>
      </c>
    </row>
    <row r="3000" spans="1:16">
      <c r="A3000">
        <v>461.08</v>
      </c>
      <c r="B3000">
        <v>4</v>
      </c>
      <c r="C3000" t="s">
        <v>2773</v>
      </c>
      <c r="D3000" t="s">
        <v>2774</v>
      </c>
      <c r="E3000" t="s">
        <v>2775</v>
      </c>
      <c r="F3000" t="s">
        <v>1172</v>
      </c>
      <c r="G3000" t="s">
        <v>830</v>
      </c>
      <c r="H3000" t="s">
        <v>198</v>
      </c>
      <c r="I3000" t="s">
        <v>43</v>
      </c>
      <c r="J3000">
        <v>115.27</v>
      </c>
      <c r="K3000" s="1">
        <v>45662</v>
      </c>
      <c r="L3000" t="s">
        <v>28</v>
      </c>
      <c r="M3000">
        <v>5</v>
      </c>
      <c r="N3000">
        <v>1</v>
      </c>
      <c r="O3000">
        <v>1</v>
      </c>
      <c r="P3000">
        <v>2025</v>
      </c>
    </row>
    <row r="3001" spans="1:16">
      <c r="A3001">
        <v>1122.95</v>
      </c>
      <c r="B3001">
        <v>5</v>
      </c>
      <c r="C3001" t="s">
        <v>2309</v>
      </c>
      <c r="D3001" t="s">
        <v>2310</v>
      </c>
      <c r="E3001" t="s">
        <v>1660</v>
      </c>
      <c r="F3001" t="s">
        <v>1421</v>
      </c>
      <c r="G3001" t="s">
        <v>776</v>
      </c>
      <c r="H3001" t="s">
        <v>121</v>
      </c>
      <c r="I3001" t="s">
        <v>122</v>
      </c>
      <c r="J3001">
        <v>224.59</v>
      </c>
      <c r="K3001" s="1">
        <v>46104</v>
      </c>
      <c r="L3001" t="s">
        <v>93</v>
      </c>
      <c r="M3001">
        <v>23</v>
      </c>
      <c r="N3001">
        <v>3</v>
      </c>
      <c r="O3001">
        <v>1</v>
      </c>
      <c r="P3001">
        <v>2026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F3CF-A5D8-4676-9CBF-673B89E2597C}">
  <dimension ref="A1:M1926"/>
  <sheetViews>
    <sheetView workbookViewId="0">
      <selection activeCell="D16" sqref="D16"/>
    </sheetView>
  </sheetViews>
  <sheetFormatPr defaultRowHeight="14.6"/>
  <cols>
    <col min="1" max="1" width="11.69140625" bestFit="1" customWidth="1"/>
    <col min="2" max="2" width="16" bestFit="1" customWidth="1"/>
    <col min="3" max="3" width="16.15234375" bestFit="1" customWidth="1"/>
    <col min="4" max="4" width="5.69140625" bestFit="1" customWidth="1"/>
    <col min="5" max="5" width="6.61328125" bestFit="1" customWidth="1"/>
    <col min="6" max="6" width="11" bestFit="1" customWidth="1"/>
    <col min="7" max="7" width="6.15234375" bestFit="1" customWidth="1"/>
    <col min="8" max="8" width="25.61328125" bestFit="1" customWidth="1"/>
    <col min="9" max="9" width="59.23046875" bestFit="1" customWidth="1"/>
    <col min="10" max="10" width="21.53515625" bestFit="1" customWidth="1"/>
    <col min="11" max="11" width="12.61328125" bestFit="1" customWidth="1"/>
    <col min="12" max="12" width="15.3046875" bestFit="1" customWidth="1"/>
    <col min="13" max="13" width="19.84375" bestFit="1" customWidth="1"/>
  </cols>
  <sheetData>
    <row r="1" spans="1:1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1</v>
      </c>
      <c r="B2" s="1">
        <v>46067</v>
      </c>
      <c r="C2" t="s">
        <v>14</v>
      </c>
      <c r="D2">
        <v>14</v>
      </c>
      <c r="E2">
        <v>2</v>
      </c>
      <c r="F2">
        <v>1</v>
      </c>
      <c r="G2">
        <v>2026</v>
      </c>
      <c r="H2" t="s">
        <v>15</v>
      </c>
      <c r="I2" t="s">
        <v>16</v>
      </c>
      <c r="J2" t="s">
        <v>17</v>
      </c>
      <c r="K2">
        <v>48</v>
      </c>
      <c r="L2">
        <v>7</v>
      </c>
      <c r="M2">
        <v>372</v>
      </c>
    </row>
    <row r="3" spans="1:13">
      <c r="A3">
        <v>2</v>
      </c>
      <c r="B3" s="1">
        <v>46067</v>
      </c>
      <c r="C3" t="s">
        <v>14</v>
      </c>
      <c r="D3">
        <v>14</v>
      </c>
      <c r="E3">
        <v>2</v>
      </c>
      <c r="F3">
        <v>1</v>
      </c>
      <c r="G3">
        <v>2026</v>
      </c>
      <c r="H3" t="s">
        <v>15</v>
      </c>
      <c r="I3" t="s">
        <v>18</v>
      </c>
      <c r="J3" t="s">
        <v>19</v>
      </c>
      <c r="K3">
        <v>48</v>
      </c>
      <c r="L3">
        <v>1</v>
      </c>
      <c r="M3">
        <v>66</v>
      </c>
    </row>
    <row r="4" spans="1:13">
      <c r="A4">
        <v>3</v>
      </c>
      <c r="B4" s="1">
        <v>46067</v>
      </c>
      <c r="C4" t="s">
        <v>14</v>
      </c>
      <c r="D4">
        <v>14</v>
      </c>
      <c r="E4">
        <v>2</v>
      </c>
      <c r="F4">
        <v>1</v>
      </c>
      <c r="G4">
        <v>2026</v>
      </c>
      <c r="H4" t="s">
        <v>15</v>
      </c>
      <c r="I4" t="s">
        <v>20</v>
      </c>
      <c r="J4" t="s">
        <v>21</v>
      </c>
      <c r="K4">
        <v>44</v>
      </c>
      <c r="L4">
        <v>3</v>
      </c>
      <c r="M4">
        <v>144</v>
      </c>
    </row>
    <row r="5" spans="1:13">
      <c r="A5">
        <v>4</v>
      </c>
      <c r="B5" s="1">
        <v>46067</v>
      </c>
      <c r="C5" t="s">
        <v>14</v>
      </c>
      <c r="D5">
        <v>14</v>
      </c>
      <c r="E5">
        <v>2</v>
      </c>
      <c r="F5">
        <v>1</v>
      </c>
      <c r="G5">
        <v>2026</v>
      </c>
      <c r="H5" t="s">
        <v>15</v>
      </c>
      <c r="I5" t="s">
        <v>22</v>
      </c>
      <c r="J5" t="s">
        <v>23</v>
      </c>
      <c r="K5">
        <v>47</v>
      </c>
      <c r="L5">
        <v>3</v>
      </c>
      <c r="M5">
        <v>158</v>
      </c>
    </row>
    <row r="6" spans="1:13">
      <c r="A6">
        <v>5</v>
      </c>
      <c r="B6" s="1">
        <v>46067</v>
      </c>
      <c r="C6" t="s">
        <v>14</v>
      </c>
      <c r="D6">
        <v>14</v>
      </c>
      <c r="E6">
        <v>2</v>
      </c>
      <c r="F6">
        <v>1</v>
      </c>
      <c r="G6">
        <v>2026</v>
      </c>
      <c r="H6" t="s">
        <v>15</v>
      </c>
      <c r="I6" t="s">
        <v>24</v>
      </c>
      <c r="J6" t="s">
        <v>25</v>
      </c>
      <c r="K6">
        <v>48</v>
      </c>
      <c r="L6">
        <v>8</v>
      </c>
      <c r="M6">
        <v>430</v>
      </c>
    </row>
    <row r="7" spans="1:13">
      <c r="A7">
        <v>6</v>
      </c>
      <c r="B7" s="1">
        <v>46067</v>
      </c>
      <c r="C7" t="s">
        <v>14</v>
      </c>
      <c r="D7">
        <v>14</v>
      </c>
      <c r="E7">
        <v>2</v>
      </c>
      <c r="F7">
        <v>1</v>
      </c>
      <c r="G7">
        <v>2026</v>
      </c>
      <c r="H7" t="s">
        <v>15</v>
      </c>
      <c r="I7" t="s">
        <v>26</v>
      </c>
      <c r="J7" t="s">
        <v>27</v>
      </c>
      <c r="K7">
        <v>29</v>
      </c>
      <c r="L7">
        <v>10</v>
      </c>
      <c r="M7">
        <v>301</v>
      </c>
    </row>
    <row r="8" spans="1:13">
      <c r="A8">
        <v>7</v>
      </c>
      <c r="B8" s="1">
        <v>45606</v>
      </c>
      <c r="C8" t="s">
        <v>28</v>
      </c>
      <c r="D8">
        <v>10</v>
      </c>
      <c r="E8">
        <v>11</v>
      </c>
      <c r="F8">
        <v>4</v>
      </c>
      <c r="G8">
        <v>2024</v>
      </c>
      <c r="H8" t="s">
        <v>29</v>
      </c>
      <c r="I8" t="s">
        <v>30</v>
      </c>
      <c r="J8" t="s">
        <v>31</v>
      </c>
      <c r="K8">
        <v>32</v>
      </c>
      <c r="L8">
        <v>9</v>
      </c>
      <c r="M8">
        <v>298</v>
      </c>
    </row>
    <row r="9" spans="1:13">
      <c r="A9">
        <v>8</v>
      </c>
      <c r="B9" s="1">
        <v>45606</v>
      </c>
      <c r="C9" t="s">
        <v>28</v>
      </c>
      <c r="D9">
        <v>10</v>
      </c>
      <c r="E9">
        <v>11</v>
      </c>
      <c r="F9">
        <v>4</v>
      </c>
      <c r="G9">
        <v>2024</v>
      </c>
      <c r="H9" t="s">
        <v>29</v>
      </c>
      <c r="I9" t="s">
        <v>32</v>
      </c>
      <c r="J9" t="s">
        <v>19</v>
      </c>
      <c r="K9">
        <v>40</v>
      </c>
      <c r="L9">
        <v>6</v>
      </c>
      <c r="M9">
        <v>275</v>
      </c>
    </row>
    <row r="10" spans="1:13">
      <c r="A10">
        <v>9</v>
      </c>
      <c r="B10" s="1">
        <v>45606</v>
      </c>
      <c r="C10" t="s">
        <v>28</v>
      </c>
      <c r="D10">
        <v>10</v>
      </c>
      <c r="E10">
        <v>11</v>
      </c>
      <c r="F10">
        <v>4</v>
      </c>
      <c r="G10">
        <v>2024</v>
      </c>
      <c r="H10" t="s">
        <v>29</v>
      </c>
      <c r="I10" t="s">
        <v>33</v>
      </c>
      <c r="J10" t="s">
        <v>19</v>
      </c>
      <c r="K10">
        <v>28</v>
      </c>
      <c r="L10">
        <v>9</v>
      </c>
      <c r="M10">
        <v>276</v>
      </c>
    </row>
    <row r="11" spans="1:13">
      <c r="A11">
        <v>10</v>
      </c>
      <c r="B11" s="1">
        <v>46218</v>
      </c>
      <c r="C11" t="s">
        <v>34</v>
      </c>
      <c r="D11">
        <v>15</v>
      </c>
      <c r="E11">
        <v>7</v>
      </c>
      <c r="F11">
        <v>3</v>
      </c>
      <c r="G11">
        <v>2026</v>
      </c>
      <c r="H11" t="s">
        <v>35</v>
      </c>
      <c r="I11" t="s">
        <v>36</v>
      </c>
      <c r="J11" t="s">
        <v>37</v>
      </c>
      <c r="K11">
        <v>12</v>
      </c>
      <c r="L11">
        <v>23</v>
      </c>
      <c r="M11">
        <v>276</v>
      </c>
    </row>
    <row r="12" spans="1:13">
      <c r="A12">
        <v>11</v>
      </c>
      <c r="B12" s="1">
        <v>46218</v>
      </c>
      <c r="C12" t="s">
        <v>34</v>
      </c>
      <c r="D12">
        <v>15</v>
      </c>
      <c r="E12">
        <v>7</v>
      </c>
      <c r="F12">
        <v>3</v>
      </c>
      <c r="G12">
        <v>2026</v>
      </c>
      <c r="H12" t="s">
        <v>35</v>
      </c>
      <c r="I12" t="s">
        <v>38</v>
      </c>
      <c r="J12" t="s">
        <v>39</v>
      </c>
      <c r="K12">
        <v>33</v>
      </c>
      <c r="L12">
        <v>15</v>
      </c>
      <c r="M12">
        <v>495</v>
      </c>
    </row>
    <row r="13" spans="1:13">
      <c r="A13">
        <v>12</v>
      </c>
      <c r="B13" s="1">
        <v>46218</v>
      </c>
      <c r="C13" t="s">
        <v>34</v>
      </c>
      <c r="D13">
        <v>15</v>
      </c>
      <c r="E13">
        <v>7</v>
      </c>
      <c r="F13">
        <v>3</v>
      </c>
      <c r="G13">
        <v>2026</v>
      </c>
      <c r="H13" t="s">
        <v>35</v>
      </c>
      <c r="I13" t="s">
        <v>40</v>
      </c>
      <c r="J13" t="s">
        <v>37</v>
      </c>
      <c r="K13">
        <v>26</v>
      </c>
      <c r="L13">
        <v>8</v>
      </c>
      <c r="M13">
        <v>210</v>
      </c>
    </row>
    <row r="14" spans="1:13">
      <c r="A14">
        <v>13</v>
      </c>
      <c r="B14" s="1">
        <v>46218</v>
      </c>
      <c r="C14" t="s">
        <v>34</v>
      </c>
      <c r="D14">
        <v>15</v>
      </c>
      <c r="E14">
        <v>7</v>
      </c>
      <c r="F14">
        <v>3</v>
      </c>
      <c r="G14">
        <v>2026</v>
      </c>
      <c r="H14" t="s">
        <v>35</v>
      </c>
      <c r="I14" t="s">
        <v>41</v>
      </c>
      <c r="J14" t="s">
        <v>39</v>
      </c>
      <c r="K14">
        <v>54</v>
      </c>
      <c r="L14">
        <v>5</v>
      </c>
      <c r="M14">
        <v>318</v>
      </c>
    </row>
    <row r="15" spans="1:13">
      <c r="A15">
        <v>14</v>
      </c>
      <c r="B15" s="1">
        <v>46218</v>
      </c>
      <c r="C15" t="s">
        <v>34</v>
      </c>
      <c r="D15">
        <v>15</v>
      </c>
      <c r="E15">
        <v>7</v>
      </c>
      <c r="F15">
        <v>3</v>
      </c>
      <c r="G15">
        <v>2026</v>
      </c>
      <c r="H15" t="s">
        <v>35</v>
      </c>
      <c r="I15" t="s">
        <v>42</v>
      </c>
      <c r="J15" t="s">
        <v>43</v>
      </c>
      <c r="K15">
        <v>13</v>
      </c>
      <c r="L15">
        <v>29</v>
      </c>
      <c r="M15">
        <v>381</v>
      </c>
    </row>
    <row r="16" spans="1:13">
      <c r="A16">
        <v>15</v>
      </c>
      <c r="B16" s="1">
        <v>46218</v>
      </c>
      <c r="C16" t="s">
        <v>34</v>
      </c>
      <c r="D16">
        <v>15</v>
      </c>
      <c r="E16">
        <v>7</v>
      </c>
      <c r="F16">
        <v>3</v>
      </c>
      <c r="G16">
        <v>2026</v>
      </c>
      <c r="H16" t="s">
        <v>35</v>
      </c>
      <c r="I16" t="s">
        <v>44</v>
      </c>
      <c r="J16" t="s">
        <v>31</v>
      </c>
      <c r="K16">
        <v>28</v>
      </c>
      <c r="L16">
        <v>10</v>
      </c>
      <c r="M16">
        <v>291</v>
      </c>
    </row>
    <row r="17" spans="1:13">
      <c r="A17">
        <v>16</v>
      </c>
      <c r="B17" s="1">
        <v>46218</v>
      </c>
      <c r="C17" t="s">
        <v>34</v>
      </c>
      <c r="D17">
        <v>15</v>
      </c>
      <c r="E17">
        <v>7</v>
      </c>
      <c r="F17">
        <v>3</v>
      </c>
      <c r="G17">
        <v>2026</v>
      </c>
      <c r="H17" t="s">
        <v>35</v>
      </c>
      <c r="I17" t="s">
        <v>45</v>
      </c>
      <c r="J17" t="s">
        <v>46</v>
      </c>
      <c r="K17">
        <v>39</v>
      </c>
      <c r="L17">
        <v>7</v>
      </c>
      <c r="M17">
        <v>297</v>
      </c>
    </row>
    <row r="18" spans="1:13">
      <c r="A18">
        <v>17</v>
      </c>
      <c r="B18" s="1">
        <v>46218</v>
      </c>
      <c r="C18" t="s">
        <v>34</v>
      </c>
      <c r="D18">
        <v>15</v>
      </c>
      <c r="E18">
        <v>7</v>
      </c>
      <c r="F18">
        <v>3</v>
      </c>
      <c r="G18">
        <v>2026</v>
      </c>
      <c r="H18" t="s">
        <v>35</v>
      </c>
      <c r="I18" t="s">
        <v>47</v>
      </c>
      <c r="J18" t="s">
        <v>46</v>
      </c>
      <c r="K18">
        <v>57</v>
      </c>
      <c r="L18">
        <v>5</v>
      </c>
      <c r="M18">
        <v>291</v>
      </c>
    </row>
    <row r="19" spans="1:13">
      <c r="A19">
        <v>18</v>
      </c>
      <c r="B19" s="1">
        <v>45769</v>
      </c>
      <c r="C19" t="s">
        <v>48</v>
      </c>
      <c r="D19">
        <v>22</v>
      </c>
      <c r="E19">
        <v>4</v>
      </c>
      <c r="F19">
        <v>2</v>
      </c>
      <c r="G19">
        <v>2025</v>
      </c>
      <c r="H19" t="s">
        <v>49</v>
      </c>
      <c r="I19" t="s">
        <v>50</v>
      </c>
      <c r="J19" t="s">
        <v>51</v>
      </c>
      <c r="K19">
        <v>49</v>
      </c>
      <c r="L19">
        <v>3</v>
      </c>
      <c r="M19">
        <v>176</v>
      </c>
    </row>
    <row r="20" spans="1:13">
      <c r="A20">
        <v>19</v>
      </c>
      <c r="B20" s="1">
        <v>45769</v>
      </c>
      <c r="C20" t="s">
        <v>48</v>
      </c>
      <c r="D20">
        <v>22</v>
      </c>
      <c r="E20">
        <v>4</v>
      </c>
      <c r="F20">
        <v>2</v>
      </c>
      <c r="G20">
        <v>2025</v>
      </c>
      <c r="H20" t="s">
        <v>49</v>
      </c>
      <c r="I20" t="s">
        <v>52</v>
      </c>
      <c r="J20" t="s">
        <v>21</v>
      </c>
      <c r="K20">
        <v>51</v>
      </c>
      <c r="L20">
        <v>2</v>
      </c>
      <c r="M20">
        <v>104</v>
      </c>
    </row>
    <row r="21" spans="1:13">
      <c r="A21">
        <v>20</v>
      </c>
      <c r="B21" s="1">
        <v>45769</v>
      </c>
      <c r="C21" t="s">
        <v>48</v>
      </c>
      <c r="D21">
        <v>22</v>
      </c>
      <c r="E21">
        <v>4</v>
      </c>
      <c r="F21">
        <v>2</v>
      </c>
      <c r="G21">
        <v>2025</v>
      </c>
      <c r="H21" t="s">
        <v>49</v>
      </c>
      <c r="I21" t="s">
        <v>53</v>
      </c>
      <c r="J21" t="s">
        <v>43</v>
      </c>
      <c r="K21">
        <v>36</v>
      </c>
      <c r="L21">
        <v>6</v>
      </c>
      <c r="M21">
        <v>218</v>
      </c>
    </row>
    <row r="22" spans="1:13">
      <c r="A22">
        <v>21</v>
      </c>
      <c r="B22" s="1">
        <v>45769</v>
      </c>
      <c r="C22" t="s">
        <v>48</v>
      </c>
      <c r="D22">
        <v>22</v>
      </c>
      <c r="E22">
        <v>4</v>
      </c>
      <c r="F22">
        <v>2</v>
      </c>
      <c r="G22">
        <v>2025</v>
      </c>
      <c r="H22" t="s">
        <v>49</v>
      </c>
      <c r="I22" t="s">
        <v>54</v>
      </c>
      <c r="J22" t="s">
        <v>55</v>
      </c>
      <c r="K22">
        <v>41</v>
      </c>
      <c r="L22">
        <v>6</v>
      </c>
      <c r="M22">
        <v>275</v>
      </c>
    </row>
    <row r="23" spans="1:13">
      <c r="A23">
        <v>22</v>
      </c>
      <c r="B23" s="1">
        <v>45769</v>
      </c>
      <c r="C23" t="s">
        <v>48</v>
      </c>
      <c r="D23">
        <v>22</v>
      </c>
      <c r="E23">
        <v>4</v>
      </c>
      <c r="F23">
        <v>2</v>
      </c>
      <c r="G23">
        <v>2025</v>
      </c>
      <c r="H23" t="s">
        <v>49</v>
      </c>
      <c r="I23" t="s">
        <v>56</v>
      </c>
      <c r="J23" t="s">
        <v>57</v>
      </c>
      <c r="K23">
        <v>59</v>
      </c>
      <c r="L23">
        <v>6</v>
      </c>
      <c r="M23">
        <v>357</v>
      </c>
    </row>
    <row r="24" spans="1:13">
      <c r="A24">
        <v>23</v>
      </c>
      <c r="B24" s="1">
        <v>45769</v>
      </c>
      <c r="C24" t="s">
        <v>48</v>
      </c>
      <c r="D24">
        <v>22</v>
      </c>
      <c r="E24">
        <v>4</v>
      </c>
      <c r="F24">
        <v>2</v>
      </c>
      <c r="G24">
        <v>2025</v>
      </c>
      <c r="H24" t="s">
        <v>49</v>
      </c>
      <c r="I24" t="s">
        <v>58</v>
      </c>
      <c r="J24" t="s">
        <v>25</v>
      </c>
      <c r="K24">
        <v>15</v>
      </c>
      <c r="L24">
        <v>10</v>
      </c>
      <c r="M24">
        <v>157</v>
      </c>
    </row>
    <row r="25" spans="1:13">
      <c r="A25">
        <v>24</v>
      </c>
      <c r="B25" s="1">
        <v>45769</v>
      </c>
      <c r="C25" t="s">
        <v>48</v>
      </c>
      <c r="D25">
        <v>22</v>
      </c>
      <c r="E25">
        <v>4</v>
      </c>
      <c r="F25">
        <v>2</v>
      </c>
      <c r="G25">
        <v>2025</v>
      </c>
      <c r="H25" t="s">
        <v>49</v>
      </c>
      <c r="I25" t="s">
        <v>59</v>
      </c>
      <c r="J25" t="s">
        <v>60</v>
      </c>
      <c r="K25">
        <v>52</v>
      </c>
      <c r="L25">
        <v>2</v>
      </c>
      <c r="M25">
        <v>151</v>
      </c>
    </row>
    <row r="26" spans="1:13">
      <c r="A26">
        <v>25</v>
      </c>
      <c r="B26" s="1">
        <v>45769</v>
      </c>
      <c r="C26" t="s">
        <v>48</v>
      </c>
      <c r="D26">
        <v>22</v>
      </c>
      <c r="E26">
        <v>4</v>
      </c>
      <c r="F26">
        <v>2</v>
      </c>
      <c r="G26">
        <v>2025</v>
      </c>
      <c r="H26" t="s">
        <v>49</v>
      </c>
      <c r="I26" t="s">
        <v>61</v>
      </c>
      <c r="J26" t="s">
        <v>55</v>
      </c>
      <c r="K26">
        <v>42</v>
      </c>
      <c r="L26">
        <v>4</v>
      </c>
      <c r="M26">
        <v>194</v>
      </c>
    </row>
    <row r="27" spans="1:13">
      <c r="A27">
        <v>26</v>
      </c>
      <c r="B27" s="1">
        <v>45769</v>
      </c>
      <c r="C27" t="s">
        <v>48</v>
      </c>
      <c r="D27">
        <v>22</v>
      </c>
      <c r="E27">
        <v>4</v>
      </c>
      <c r="F27">
        <v>2</v>
      </c>
      <c r="G27">
        <v>2025</v>
      </c>
      <c r="H27" t="s">
        <v>49</v>
      </c>
      <c r="I27" t="s">
        <v>62</v>
      </c>
      <c r="J27" t="s">
        <v>17</v>
      </c>
      <c r="K27">
        <v>37</v>
      </c>
      <c r="L27">
        <v>5</v>
      </c>
      <c r="M27">
        <v>192</v>
      </c>
    </row>
    <row r="28" spans="1:13">
      <c r="A28">
        <v>27</v>
      </c>
      <c r="B28" s="1">
        <v>45769</v>
      </c>
      <c r="C28" t="s">
        <v>48</v>
      </c>
      <c r="D28">
        <v>22</v>
      </c>
      <c r="E28">
        <v>4</v>
      </c>
      <c r="F28">
        <v>2</v>
      </c>
      <c r="G28">
        <v>2025</v>
      </c>
      <c r="H28" t="s">
        <v>49</v>
      </c>
      <c r="I28" t="s">
        <v>63</v>
      </c>
      <c r="J28" t="s">
        <v>25</v>
      </c>
      <c r="K28">
        <v>51</v>
      </c>
      <c r="L28">
        <v>3</v>
      </c>
      <c r="M28">
        <v>190</v>
      </c>
    </row>
    <row r="29" spans="1:13">
      <c r="A29">
        <v>28</v>
      </c>
      <c r="B29" s="1">
        <v>45797</v>
      </c>
      <c r="C29" t="s">
        <v>48</v>
      </c>
      <c r="D29">
        <v>20</v>
      </c>
      <c r="E29">
        <v>5</v>
      </c>
      <c r="F29">
        <v>2</v>
      </c>
      <c r="G29">
        <v>2025</v>
      </c>
      <c r="H29" t="s">
        <v>64</v>
      </c>
      <c r="I29" t="s">
        <v>65</v>
      </c>
      <c r="J29" t="s">
        <v>60</v>
      </c>
      <c r="K29">
        <v>12</v>
      </c>
      <c r="L29">
        <v>20</v>
      </c>
      <c r="M29">
        <v>241</v>
      </c>
    </row>
    <row r="30" spans="1:13">
      <c r="A30">
        <v>29</v>
      </c>
      <c r="B30" s="1">
        <v>45797</v>
      </c>
      <c r="C30" t="s">
        <v>48</v>
      </c>
      <c r="D30">
        <v>20</v>
      </c>
      <c r="E30">
        <v>5</v>
      </c>
      <c r="F30">
        <v>2</v>
      </c>
      <c r="G30">
        <v>2025</v>
      </c>
      <c r="H30" t="s">
        <v>64</v>
      </c>
      <c r="I30" t="s">
        <v>53</v>
      </c>
      <c r="J30" t="s">
        <v>43</v>
      </c>
      <c r="K30">
        <v>42</v>
      </c>
      <c r="L30">
        <v>5</v>
      </c>
      <c r="M30">
        <v>218</v>
      </c>
    </row>
    <row r="31" spans="1:13">
      <c r="A31">
        <v>30</v>
      </c>
      <c r="B31" s="1">
        <v>45797</v>
      </c>
      <c r="C31" t="s">
        <v>48</v>
      </c>
      <c r="D31">
        <v>20</v>
      </c>
      <c r="E31">
        <v>5</v>
      </c>
      <c r="F31">
        <v>2</v>
      </c>
      <c r="G31">
        <v>2025</v>
      </c>
      <c r="H31" t="s">
        <v>64</v>
      </c>
      <c r="I31" t="s">
        <v>66</v>
      </c>
      <c r="J31" t="s">
        <v>46</v>
      </c>
      <c r="K31">
        <v>25</v>
      </c>
      <c r="L31">
        <v>14</v>
      </c>
      <c r="M31">
        <v>357</v>
      </c>
    </row>
    <row r="32" spans="1:13">
      <c r="A32">
        <v>31</v>
      </c>
      <c r="B32" s="1">
        <v>45797</v>
      </c>
      <c r="C32" t="s">
        <v>48</v>
      </c>
      <c r="D32">
        <v>20</v>
      </c>
      <c r="E32">
        <v>5</v>
      </c>
      <c r="F32">
        <v>2</v>
      </c>
      <c r="G32">
        <v>2025</v>
      </c>
      <c r="H32" t="s">
        <v>64</v>
      </c>
      <c r="I32" t="s">
        <v>67</v>
      </c>
      <c r="J32" t="s">
        <v>31</v>
      </c>
      <c r="K32">
        <v>32</v>
      </c>
      <c r="L32">
        <v>6</v>
      </c>
      <c r="M32">
        <v>208</v>
      </c>
    </row>
    <row r="33" spans="1:13">
      <c r="A33">
        <v>32</v>
      </c>
      <c r="B33" s="1">
        <v>45797</v>
      </c>
      <c r="C33" t="s">
        <v>48</v>
      </c>
      <c r="D33">
        <v>20</v>
      </c>
      <c r="E33">
        <v>5</v>
      </c>
      <c r="F33">
        <v>2</v>
      </c>
      <c r="G33">
        <v>2025</v>
      </c>
      <c r="H33" t="s">
        <v>64</v>
      </c>
      <c r="I33" t="s">
        <v>68</v>
      </c>
      <c r="J33" t="s">
        <v>69</v>
      </c>
      <c r="K33">
        <v>23</v>
      </c>
      <c r="L33">
        <v>11</v>
      </c>
      <c r="M33">
        <v>274</v>
      </c>
    </row>
    <row r="34" spans="1:13">
      <c r="A34">
        <v>33</v>
      </c>
      <c r="B34" s="1">
        <v>45797</v>
      </c>
      <c r="C34" t="s">
        <v>48</v>
      </c>
      <c r="D34">
        <v>20</v>
      </c>
      <c r="E34">
        <v>5</v>
      </c>
      <c r="F34">
        <v>2</v>
      </c>
      <c r="G34">
        <v>2025</v>
      </c>
      <c r="H34" t="s">
        <v>64</v>
      </c>
      <c r="I34" t="s">
        <v>70</v>
      </c>
      <c r="J34" t="s">
        <v>27</v>
      </c>
      <c r="K34">
        <v>28</v>
      </c>
      <c r="L34">
        <v>10</v>
      </c>
      <c r="M34">
        <v>295</v>
      </c>
    </row>
    <row r="35" spans="1:13">
      <c r="A35">
        <v>34</v>
      </c>
      <c r="B35" s="1">
        <v>45797</v>
      </c>
      <c r="C35" t="s">
        <v>48</v>
      </c>
      <c r="D35">
        <v>20</v>
      </c>
      <c r="E35">
        <v>5</v>
      </c>
      <c r="F35">
        <v>2</v>
      </c>
      <c r="G35">
        <v>2025</v>
      </c>
      <c r="H35" t="s">
        <v>64</v>
      </c>
      <c r="I35" t="s">
        <v>71</v>
      </c>
      <c r="J35" t="s">
        <v>23</v>
      </c>
      <c r="K35">
        <v>18</v>
      </c>
      <c r="L35">
        <v>11</v>
      </c>
      <c r="M35">
        <v>206</v>
      </c>
    </row>
    <row r="36" spans="1:13">
      <c r="A36">
        <v>35</v>
      </c>
      <c r="B36" s="1">
        <v>45797</v>
      </c>
      <c r="C36" t="s">
        <v>48</v>
      </c>
      <c r="D36">
        <v>20</v>
      </c>
      <c r="E36">
        <v>5</v>
      </c>
      <c r="F36">
        <v>2</v>
      </c>
      <c r="G36">
        <v>2025</v>
      </c>
      <c r="H36" t="s">
        <v>64</v>
      </c>
      <c r="I36" t="s">
        <v>72</v>
      </c>
      <c r="J36" t="s">
        <v>37</v>
      </c>
      <c r="K36">
        <v>50</v>
      </c>
      <c r="L36">
        <v>9</v>
      </c>
      <c r="M36">
        <v>470</v>
      </c>
    </row>
    <row r="37" spans="1:13">
      <c r="A37">
        <v>36</v>
      </c>
      <c r="B37" s="1">
        <v>45797</v>
      </c>
      <c r="C37" t="s">
        <v>48</v>
      </c>
      <c r="D37">
        <v>20</v>
      </c>
      <c r="E37">
        <v>5</v>
      </c>
      <c r="F37">
        <v>2</v>
      </c>
      <c r="G37">
        <v>2025</v>
      </c>
      <c r="H37" t="s">
        <v>64</v>
      </c>
      <c r="I37" t="s">
        <v>73</v>
      </c>
      <c r="J37" t="s">
        <v>39</v>
      </c>
      <c r="K37">
        <v>37</v>
      </c>
      <c r="L37">
        <v>7</v>
      </c>
      <c r="M37">
        <v>261</v>
      </c>
    </row>
    <row r="38" spans="1:13">
      <c r="A38">
        <v>37</v>
      </c>
      <c r="B38" s="1">
        <v>46196</v>
      </c>
      <c r="C38" t="s">
        <v>48</v>
      </c>
      <c r="D38">
        <v>23</v>
      </c>
      <c r="E38">
        <v>6</v>
      </c>
      <c r="F38">
        <v>2</v>
      </c>
      <c r="G38">
        <v>2026</v>
      </c>
      <c r="H38" t="s">
        <v>74</v>
      </c>
      <c r="I38" t="s">
        <v>75</v>
      </c>
      <c r="J38" t="s">
        <v>27</v>
      </c>
      <c r="K38">
        <v>32</v>
      </c>
      <c r="L38">
        <v>4</v>
      </c>
      <c r="M38">
        <v>145</v>
      </c>
    </row>
    <row r="39" spans="1:13">
      <c r="A39">
        <v>38</v>
      </c>
      <c r="B39" s="1">
        <v>46196</v>
      </c>
      <c r="C39" t="s">
        <v>48</v>
      </c>
      <c r="D39">
        <v>23</v>
      </c>
      <c r="E39">
        <v>6</v>
      </c>
      <c r="F39">
        <v>2</v>
      </c>
      <c r="G39">
        <v>2026</v>
      </c>
      <c r="H39" t="s">
        <v>74</v>
      </c>
      <c r="I39" t="s">
        <v>76</v>
      </c>
      <c r="J39" t="s">
        <v>69</v>
      </c>
      <c r="K39">
        <v>23</v>
      </c>
      <c r="L39">
        <v>14</v>
      </c>
      <c r="M39">
        <v>325</v>
      </c>
    </row>
    <row r="40" spans="1:13">
      <c r="A40">
        <v>39</v>
      </c>
      <c r="B40" s="1">
        <v>46196</v>
      </c>
      <c r="C40" t="s">
        <v>48</v>
      </c>
      <c r="D40">
        <v>23</v>
      </c>
      <c r="E40">
        <v>6</v>
      </c>
      <c r="F40">
        <v>2</v>
      </c>
      <c r="G40">
        <v>2026</v>
      </c>
      <c r="H40" t="s">
        <v>74</v>
      </c>
      <c r="I40" t="s">
        <v>77</v>
      </c>
      <c r="J40" t="s">
        <v>17</v>
      </c>
      <c r="K40">
        <v>42</v>
      </c>
      <c r="L40">
        <v>8</v>
      </c>
      <c r="M40">
        <v>339</v>
      </c>
    </row>
    <row r="41" spans="1:13">
      <c r="A41">
        <v>40</v>
      </c>
      <c r="B41" s="1">
        <v>46196</v>
      </c>
      <c r="C41" t="s">
        <v>48</v>
      </c>
      <c r="D41">
        <v>23</v>
      </c>
      <c r="E41">
        <v>6</v>
      </c>
      <c r="F41">
        <v>2</v>
      </c>
      <c r="G41">
        <v>2026</v>
      </c>
      <c r="H41" t="s">
        <v>74</v>
      </c>
      <c r="I41" t="s">
        <v>78</v>
      </c>
      <c r="J41" t="s">
        <v>51</v>
      </c>
      <c r="K41">
        <v>21</v>
      </c>
      <c r="L41">
        <v>5</v>
      </c>
      <c r="M41">
        <v>111</v>
      </c>
    </row>
    <row r="42" spans="1:13">
      <c r="A42">
        <v>41</v>
      </c>
      <c r="B42" s="1">
        <v>45583</v>
      </c>
      <c r="C42" t="s">
        <v>79</v>
      </c>
      <c r="D42">
        <v>18</v>
      </c>
      <c r="E42">
        <v>10</v>
      </c>
      <c r="F42">
        <v>4</v>
      </c>
      <c r="G42">
        <v>2024</v>
      </c>
      <c r="H42" t="s">
        <v>80</v>
      </c>
      <c r="I42" t="s">
        <v>81</v>
      </c>
      <c r="J42" t="s">
        <v>82</v>
      </c>
      <c r="K42">
        <v>49</v>
      </c>
      <c r="L42">
        <v>1</v>
      </c>
      <c r="M42">
        <v>51</v>
      </c>
    </row>
    <row r="43" spans="1:13">
      <c r="A43">
        <v>42</v>
      </c>
      <c r="B43" s="1">
        <v>45583</v>
      </c>
      <c r="C43" t="s">
        <v>79</v>
      </c>
      <c r="D43">
        <v>18</v>
      </c>
      <c r="E43">
        <v>10</v>
      </c>
      <c r="F43">
        <v>4</v>
      </c>
      <c r="G43">
        <v>2024</v>
      </c>
      <c r="H43" t="s">
        <v>80</v>
      </c>
      <c r="I43" t="s">
        <v>83</v>
      </c>
      <c r="J43" t="s">
        <v>51</v>
      </c>
      <c r="K43">
        <v>21</v>
      </c>
      <c r="L43">
        <v>5</v>
      </c>
      <c r="M43">
        <v>118</v>
      </c>
    </row>
    <row r="44" spans="1:13">
      <c r="A44">
        <v>43</v>
      </c>
      <c r="B44" s="1">
        <v>45583</v>
      </c>
      <c r="C44" t="s">
        <v>79</v>
      </c>
      <c r="D44">
        <v>18</v>
      </c>
      <c r="E44">
        <v>10</v>
      </c>
      <c r="F44">
        <v>4</v>
      </c>
      <c r="G44">
        <v>2024</v>
      </c>
      <c r="H44" t="s">
        <v>80</v>
      </c>
      <c r="I44" t="s">
        <v>84</v>
      </c>
      <c r="J44" t="s">
        <v>31</v>
      </c>
      <c r="K44">
        <v>29</v>
      </c>
      <c r="L44">
        <v>9</v>
      </c>
      <c r="M44">
        <v>282</v>
      </c>
    </row>
    <row r="45" spans="1:13">
      <c r="A45">
        <v>44</v>
      </c>
      <c r="B45" s="1">
        <v>45583</v>
      </c>
      <c r="C45" t="s">
        <v>79</v>
      </c>
      <c r="D45">
        <v>18</v>
      </c>
      <c r="E45">
        <v>10</v>
      </c>
      <c r="F45">
        <v>4</v>
      </c>
      <c r="G45">
        <v>2024</v>
      </c>
      <c r="H45" t="s">
        <v>80</v>
      </c>
      <c r="I45" t="s">
        <v>85</v>
      </c>
      <c r="J45" t="s">
        <v>37</v>
      </c>
      <c r="K45">
        <v>45</v>
      </c>
      <c r="L45">
        <v>3</v>
      </c>
      <c r="M45">
        <v>172</v>
      </c>
    </row>
    <row r="46" spans="1:13">
      <c r="A46">
        <v>45</v>
      </c>
      <c r="B46" s="1">
        <v>45583</v>
      </c>
      <c r="C46" t="s">
        <v>79</v>
      </c>
      <c r="D46">
        <v>18</v>
      </c>
      <c r="E46">
        <v>10</v>
      </c>
      <c r="F46">
        <v>4</v>
      </c>
      <c r="G46">
        <v>2024</v>
      </c>
      <c r="H46" t="s">
        <v>80</v>
      </c>
      <c r="I46" t="s">
        <v>86</v>
      </c>
      <c r="J46" t="s">
        <v>46</v>
      </c>
      <c r="K46">
        <v>55</v>
      </c>
      <c r="L46">
        <v>3</v>
      </c>
      <c r="M46">
        <v>211</v>
      </c>
    </row>
    <row r="47" spans="1:13">
      <c r="A47">
        <v>46</v>
      </c>
      <c r="B47" s="1">
        <v>45583</v>
      </c>
      <c r="C47" t="s">
        <v>79</v>
      </c>
      <c r="D47">
        <v>18</v>
      </c>
      <c r="E47">
        <v>10</v>
      </c>
      <c r="F47">
        <v>4</v>
      </c>
      <c r="G47">
        <v>2024</v>
      </c>
      <c r="H47" t="s">
        <v>80</v>
      </c>
      <c r="I47" t="s">
        <v>87</v>
      </c>
      <c r="J47" t="s">
        <v>39</v>
      </c>
      <c r="K47">
        <v>14</v>
      </c>
      <c r="L47">
        <v>19</v>
      </c>
      <c r="M47">
        <v>274</v>
      </c>
    </row>
    <row r="48" spans="1:13">
      <c r="A48">
        <v>47</v>
      </c>
      <c r="B48" s="1">
        <v>45674</v>
      </c>
      <c r="C48" t="s">
        <v>79</v>
      </c>
      <c r="D48">
        <v>17</v>
      </c>
      <c r="E48">
        <v>1</v>
      </c>
      <c r="F48">
        <v>1</v>
      </c>
      <c r="G48">
        <v>2025</v>
      </c>
      <c r="H48" t="s">
        <v>88</v>
      </c>
      <c r="I48" t="s">
        <v>89</v>
      </c>
      <c r="J48" t="s">
        <v>69</v>
      </c>
      <c r="K48">
        <v>15</v>
      </c>
      <c r="L48">
        <v>23</v>
      </c>
      <c r="M48">
        <v>350</v>
      </c>
    </row>
    <row r="49" spans="1:13">
      <c r="A49">
        <v>48</v>
      </c>
      <c r="B49" s="1">
        <v>45674</v>
      </c>
      <c r="C49" t="s">
        <v>79</v>
      </c>
      <c r="D49">
        <v>17</v>
      </c>
      <c r="E49">
        <v>1</v>
      </c>
      <c r="F49">
        <v>1</v>
      </c>
      <c r="G49">
        <v>2025</v>
      </c>
      <c r="H49" t="s">
        <v>88</v>
      </c>
      <c r="I49" t="s">
        <v>90</v>
      </c>
      <c r="J49" t="s">
        <v>23</v>
      </c>
      <c r="K49">
        <v>21</v>
      </c>
      <c r="L49">
        <v>12</v>
      </c>
      <c r="M49">
        <v>257</v>
      </c>
    </row>
    <row r="50" spans="1:13">
      <c r="A50">
        <v>49</v>
      </c>
      <c r="B50" s="1">
        <v>45674</v>
      </c>
      <c r="C50" t="s">
        <v>79</v>
      </c>
      <c r="D50">
        <v>17</v>
      </c>
      <c r="E50">
        <v>1</v>
      </c>
      <c r="F50">
        <v>1</v>
      </c>
      <c r="G50">
        <v>2025</v>
      </c>
      <c r="H50" t="s">
        <v>88</v>
      </c>
      <c r="I50" t="s">
        <v>91</v>
      </c>
      <c r="J50" t="s">
        <v>55</v>
      </c>
      <c r="K50">
        <v>21</v>
      </c>
      <c r="L50">
        <v>17</v>
      </c>
      <c r="M50">
        <v>362</v>
      </c>
    </row>
    <row r="51" spans="1:13">
      <c r="A51">
        <v>50</v>
      </c>
      <c r="B51" s="1">
        <v>45674</v>
      </c>
      <c r="C51" t="s">
        <v>79</v>
      </c>
      <c r="D51">
        <v>17</v>
      </c>
      <c r="E51">
        <v>1</v>
      </c>
      <c r="F51">
        <v>1</v>
      </c>
      <c r="G51">
        <v>2025</v>
      </c>
      <c r="H51" t="s">
        <v>88</v>
      </c>
      <c r="I51" t="s">
        <v>92</v>
      </c>
      <c r="J51" t="s">
        <v>51</v>
      </c>
      <c r="K51">
        <v>43</v>
      </c>
      <c r="L51">
        <v>2</v>
      </c>
      <c r="M51">
        <v>121</v>
      </c>
    </row>
    <row r="52" spans="1:13">
      <c r="A52">
        <v>51</v>
      </c>
      <c r="B52" s="1">
        <v>45628</v>
      </c>
      <c r="C52" t="s">
        <v>93</v>
      </c>
      <c r="D52">
        <v>2</v>
      </c>
      <c r="E52">
        <v>12</v>
      </c>
      <c r="F52">
        <v>4</v>
      </c>
      <c r="G52">
        <v>2024</v>
      </c>
      <c r="H52" t="s">
        <v>94</v>
      </c>
      <c r="I52" t="s">
        <v>95</v>
      </c>
      <c r="J52" t="s">
        <v>46</v>
      </c>
      <c r="K52">
        <v>38</v>
      </c>
      <c r="L52">
        <v>2</v>
      </c>
      <c r="M52">
        <v>101</v>
      </c>
    </row>
    <row r="53" spans="1:13">
      <c r="A53">
        <v>52</v>
      </c>
      <c r="B53" s="1">
        <v>45628</v>
      </c>
      <c r="C53" t="s">
        <v>93</v>
      </c>
      <c r="D53">
        <v>2</v>
      </c>
      <c r="E53">
        <v>12</v>
      </c>
      <c r="F53">
        <v>4</v>
      </c>
      <c r="G53">
        <v>2024</v>
      </c>
      <c r="H53" t="s">
        <v>94</v>
      </c>
      <c r="I53" t="s">
        <v>96</v>
      </c>
      <c r="J53" t="s">
        <v>97</v>
      </c>
      <c r="K53">
        <v>39</v>
      </c>
      <c r="L53">
        <v>7</v>
      </c>
      <c r="M53">
        <v>303</v>
      </c>
    </row>
    <row r="54" spans="1:13">
      <c r="A54">
        <v>53</v>
      </c>
      <c r="B54" s="1">
        <v>45698</v>
      </c>
      <c r="C54" t="s">
        <v>93</v>
      </c>
      <c r="D54">
        <v>10</v>
      </c>
      <c r="E54">
        <v>2</v>
      </c>
      <c r="F54">
        <v>1</v>
      </c>
      <c r="G54">
        <v>2025</v>
      </c>
      <c r="H54" t="s">
        <v>98</v>
      </c>
      <c r="I54" t="s">
        <v>99</v>
      </c>
      <c r="J54" t="s">
        <v>100</v>
      </c>
      <c r="K54">
        <v>12</v>
      </c>
      <c r="L54">
        <v>19</v>
      </c>
      <c r="M54">
        <v>238</v>
      </c>
    </row>
    <row r="55" spans="1:13">
      <c r="A55">
        <v>54</v>
      </c>
      <c r="B55" s="1">
        <v>46154</v>
      </c>
      <c r="C55" t="s">
        <v>48</v>
      </c>
      <c r="D55">
        <v>12</v>
      </c>
      <c r="E55">
        <v>5</v>
      </c>
      <c r="F55">
        <v>2</v>
      </c>
      <c r="G55">
        <v>2026</v>
      </c>
      <c r="H55" t="s">
        <v>101</v>
      </c>
      <c r="I55" t="s">
        <v>102</v>
      </c>
      <c r="J55" t="s">
        <v>51</v>
      </c>
      <c r="K55">
        <v>43</v>
      </c>
      <c r="L55">
        <v>4</v>
      </c>
      <c r="M55">
        <v>176</v>
      </c>
    </row>
    <row r="56" spans="1:13">
      <c r="A56">
        <v>55</v>
      </c>
      <c r="B56" s="1">
        <v>46154</v>
      </c>
      <c r="C56" t="s">
        <v>48</v>
      </c>
      <c r="D56">
        <v>12</v>
      </c>
      <c r="E56">
        <v>5</v>
      </c>
      <c r="F56">
        <v>2</v>
      </c>
      <c r="G56">
        <v>2026</v>
      </c>
      <c r="H56" t="s">
        <v>101</v>
      </c>
      <c r="I56" t="s">
        <v>103</v>
      </c>
      <c r="J56" t="s">
        <v>46</v>
      </c>
      <c r="K56">
        <v>37</v>
      </c>
      <c r="L56">
        <v>11</v>
      </c>
      <c r="M56">
        <v>416</v>
      </c>
    </row>
    <row r="57" spans="1:13">
      <c r="A57">
        <v>56</v>
      </c>
      <c r="B57" s="1">
        <v>46154</v>
      </c>
      <c r="C57" t="s">
        <v>48</v>
      </c>
      <c r="D57">
        <v>12</v>
      </c>
      <c r="E57">
        <v>5</v>
      </c>
      <c r="F57">
        <v>2</v>
      </c>
      <c r="G57">
        <v>2026</v>
      </c>
      <c r="H57" t="s">
        <v>101</v>
      </c>
      <c r="I57" t="s">
        <v>104</v>
      </c>
      <c r="J57" t="s">
        <v>51</v>
      </c>
      <c r="K57">
        <v>25</v>
      </c>
      <c r="L57">
        <v>19</v>
      </c>
      <c r="M57">
        <v>477</v>
      </c>
    </row>
    <row r="58" spans="1:13">
      <c r="A58">
        <v>57</v>
      </c>
      <c r="B58" s="1">
        <v>45722</v>
      </c>
      <c r="C58" t="s">
        <v>105</v>
      </c>
      <c r="D58">
        <v>6</v>
      </c>
      <c r="E58">
        <v>3</v>
      </c>
      <c r="F58">
        <v>1</v>
      </c>
      <c r="G58">
        <v>2025</v>
      </c>
      <c r="H58" t="s">
        <v>106</v>
      </c>
      <c r="I58" t="s">
        <v>107</v>
      </c>
      <c r="J58" t="s">
        <v>17</v>
      </c>
      <c r="K58">
        <v>10</v>
      </c>
      <c r="L58">
        <v>15</v>
      </c>
      <c r="M58">
        <v>157</v>
      </c>
    </row>
    <row r="59" spans="1:13">
      <c r="A59">
        <v>58</v>
      </c>
      <c r="B59" s="1">
        <v>45722</v>
      </c>
      <c r="C59" t="s">
        <v>105</v>
      </c>
      <c r="D59">
        <v>6</v>
      </c>
      <c r="E59">
        <v>3</v>
      </c>
      <c r="F59">
        <v>1</v>
      </c>
      <c r="G59">
        <v>2025</v>
      </c>
      <c r="H59" t="s">
        <v>106</v>
      </c>
      <c r="I59" t="s">
        <v>108</v>
      </c>
      <c r="J59" t="s">
        <v>51</v>
      </c>
      <c r="K59">
        <v>44</v>
      </c>
      <c r="L59">
        <v>5</v>
      </c>
      <c r="M59">
        <v>251</v>
      </c>
    </row>
    <row r="60" spans="1:13">
      <c r="A60">
        <v>59</v>
      </c>
      <c r="B60" s="1">
        <v>45722</v>
      </c>
      <c r="C60" t="s">
        <v>105</v>
      </c>
      <c r="D60">
        <v>6</v>
      </c>
      <c r="E60">
        <v>3</v>
      </c>
      <c r="F60">
        <v>1</v>
      </c>
      <c r="G60">
        <v>2025</v>
      </c>
      <c r="H60" t="s">
        <v>106</v>
      </c>
      <c r="I60" t="s">
        <v>92</v>
      </c>
      <c r="J60" t="s">
        <v>51</v>
      </c>
      <c r="K60">
        <v>26</v>
      </c>
      <c r="L60">
        <v>5</v>
      </c>
      <c r="M60">
        <v>134</v>
      </c>
    </row>
    <row r="61" spans="1:13">
      <c r="A61">
        <v>60</v>
      </c>
      <c r="B61" s="1">
        <v>45722</v>
      </c>
      <c r="C61" t="s">
        <v>105</v>
      </c>
      <c r="D61">
        <v>6</v>
      </c>
      <c r="E61">
        <v>3</v>
      </c>
      <c r="F61">
        <v>1</v>
      </c>
      <c r="G61">
        <v>2025</v>
      </c>
      <c r="H61" t="s">
        <v>106</v>
      </c>
      <c r="I61" t="s">
        <v>109</v>
      </c>
      <c r="J61" t="s">
        <v>46</v>
      </c>
      <c r="K61">
        <v>52</v>
      </c>
      <c r="L61">
        <v>1</v>
      </c>
      <c r="M61">
        <v>102</v>
      </c>
    </row>
    <row r="62" spans="1:13">
      <c r="A62">
        <v>61</v>
      </c>
      <c r="B62" s="1">
        <v>45722</v>
      </c>
      <c r="C62" t="s">
        <v>105</v>
      </c>
      <c r="D62">
        <v>6</v>
      </c>
      <c r="E62">
        <v>3</v>
      </c>
      <c r="F62">
        <v>1</v>
      </c>
      <c r="G62">
        <v>2025</v>
      </c>
      <c r="H62" t="s">
        <v>106</v>
      </c>
      <c r="I62" t="s">
        <v>110</v>
      </c>
      <c r="J62" t="s">
        <v>51</v>
      </c>
      <c r="K62">
        <v>13</v>
      </c>
      <c r="L62">
        <v>8</v>
      </c>
      <c r="M62">
        <v>115</v>
      </c>
    </row>
    <row r="63" spans="1:13">
      <c r="A63">
        <v>62</v>
      </c>
      <c r="B63" s="1">
        <v>46151</v>
      </c>
      <c r="C63" t="s">
        <v>14</v>
      </c>
      <c r="D63">
        <v>9</v>
      </c>
      <c r="E63">
        <v>5</v>
      </c>
      <c r="F63">
        <v>2</v>
      </c>
      <c r="G63">
        <v>2026</v>
      </c>
      <c r="H63" t="s">
        <v>111</v>
      </c>
      <c r="I63" t="s">
        <v>112</v>
      </c>
      <c r="J63" t="s">
        <v>21</v>
      </c>
      <c r="K63">
        <v>15</v>
      </c>
      <c r="L63">
        <v>21</v>
      </c>
      <c r="M63">
        <v>320</v>
      </c>
    </row>
    <row r="64" spans="1:13">
      <c r="A64">
        <v>63</v>
      </c>
      <c r="B64" s="1">
        <v>46267</v>
      </c>
      <c r="C64" t="s">
        <v>34</v>
      </c>
      <c r="D64">
        <v>2</v>
      </c>
      <c r="E64">
        <v>9</v>
      </c>
      <c r="F64">
        <v>3</v>
      </c>
      <c r="G64">
        <v>2026</v>
      </c>
      <c r="H64" t="s">
        <v>113</v>
      </c>
      <c r="I64" t="s">
        <v>114</v>
      </c>
      <c r="J64" t="s">
        <v>23</v>
      </c>
      <c r="K64">
        <v>37</v>
      </c>
      <c r="L64">
        <v>5</v>
      </c>
      <c r="M64">
        <v>219</v>
      </c>
    </row>
    <row r="65" spans="1:13">
      <c r="A65">
        <v>64</v>
      </c>
      <c r="B65" s="1">
        <v>46267</v>
      </c>
      <c r="C65" t="s">
        <v>34</v>
      </c>
      <c r="D65">
        <v>2</v>
      </c>
      <c r="E65">
        <v>9</v>
      </c>
      <c r="F65">
        <v>3</v>
      </c>
      <c r="G65">
        <v>2026</v>
      </c>
      <c r="H65" t="s">
        <v>113</v>
      </c>
      <c r="I65" t="s">
        <v>115</v>
      </c>
      <c r="J65" t="s">
        <v>55</v>
      </c>
      <c r="K65">
        <v>14</v>
      </c>
      <c r="L65">
        <v>23</v>
      </c>
      <c r="M65">
        <v>332</v>
      </c>
    </row>
    <row r="66" spans="1:13">
      <c r="A66">
        <v>65</v>
      </c>
      <c r="B66" s="1">
        <v>46267</v>
      </c>
      <c r="C66" t="s">
        <v>34</v>
      </c>
      <c r="D66">
        <v>2</v>
      </c>
      <c r="E66">
        <v>9</v>
      </c>
      <c r="F66">
        <v>3</v>
      </c>
      <c r="G66">
        <v>2026</v>
      </c>
      <c r="H66" t="s">
        <v>113</v>
      </c>
      <c r="I66" t="s">
        <v>116</v>
      </c>
      <c r="J66" t="s">
        <v>57</v>
      </c>
      <c r="K66">
        <v>31</v>
      </c>
      <c r="L66">
        <v>7</v>
      </c>
      <c r="M66">
        <v>217</v>
      </c>
    </row>
    <row r="67" spans="1:13">
      <c r="A67">
        <v>66</v>
      </c>
      <c r="B67" s="1">
        <v>46267</v>
      </c>
      <c r="C67" t="s">
        <v>34</v>
      </c>
      <c r="D67">
        <v>2</v>
      </c>
      <c r="E67">
        <v>9</v>
      </c>
      <c r="F67">
        <v>3</v>
      </c>
      <c r="G67">
        <v>2026</v>
      </c>
      <c r="H67" t="s">
        <v>113</v>
      </c>
      <c r="I67" t="s">
        <v>117</v>
      </c>
      <c r="J67" t="s">
        <v>55</v>
      </c>
      <c r="K67">
        <v>19</v>
      </c>
      <c r="L67">
        <v>16</v>
      </c>
      <c r="M67">
        <v>308</v>
      </c>
    </row>
    <row r="68" spans="1:13">
      <c r="A68">
        <v>67</v>
      </c>
      <c r="B68" s="1">
        <v>46267</v>
      </c>
      <c r="C68" t="s">
        <v>34</v>
      </c>
      <c r="D68">
        <v>2</v>
      </c>
      <c r="E68">
        <v>9</v>
      </c>
      <c r="F68">
        <v>3</v>
      </c>
      <c r="G68">
        <v>2026</v>
      </c>
      <c r="H68" t="s">
        <v>113</v>
      </c>
      <c r="I68" t="s">
        <v>118</v>
      </c>
      <c r="J68" t="s">
        <v>31</v>
      </c>
      <c r="K68">
        <v>15</v>
      </c>
      <c r="L68">
        <v>22</v>
      </c>
      <c r="M68">
        <v>330</v>
      </c>
    </row>
    <row r="69" spans="1:13">
      <c r="A69">
        <v>68</v>
      </c>
      <c r="B69" s="1">
        <v>46267</v>
      </c>
      <c r="C69" t="s">
        <v>34</v>
      </c>
      <c r="D69">
        <v>2</v>
      </c>
      <c r="E69">
        <v>9</v>
      </c>
      <c r="F69">
        <v>3</v>
      </c>
      <c r="G69">
        <v>2026</v>
      </c>
      <c r="H69" t="s">
        <v>113</v>
      </c>
      <c r="I69" t="s">
        <v>119</v>
      </c>
      <c r="J69" t="s">
        <v>60</v>
      </c>
      <c r="K69">
        <v>49</v>
      </c>
      <c r="L69">
        <v>8</v>
      </c>
      <c r="M69">
        <v>400</v>
      </c>
    </row>
    <row r="70" spans="1:13">
      <c r="A70">
        <v>69</v>
      </c>
      <c r="B70" s="1">
        <v>46251</v>
      </c>
      <c r="C70" t="s">
        <v>93</v>
      </c>
      <c r="D70">
        <v>17</v>
      </c>
      <c r="E70">
        <v>8</v>
      </c>
      <c r="F70">
        <v>3</v>
      </c>
      <c r="G70">
        <v>2026</v>
      </c>
      <c r="H70" t="s">
        <v>120</v>
      </c>
      <c r="I70" t="s">
        <v>121</v>
      </c>
      <c r="J70" t="s">
        <v>122</v>
      </c>
      <c r="K70">
        <v>49</v>
      </c>
      <c r="L70">
        <v>1</v>
      </c>
      <c r="M70">
        <v>90</v>
      </c>
    </row>
    <row r="71" spans="1:13">
      <c r="A71">
        <v>70</v>
      </c>
      <c r="B71" s="1">
        <v>46251</v>
      </c>
      <c r="C71" t="s">
        <v>93</v>
      </c>
      <c r="D71">
        <v>17</v>
      </c>
      <c r="E71">
        <v>8</v>
      </c>
      <c r="F71">
        <v>3</v>
      </c>
      <c r="G71">
        <v>2026</v>
      </c>
      <c r="H71" t="s">
        <v>120</v>
      </c>
      <c r="I71" t="s">
        <v>123</v>
      </c>
      <c r="J71" t="s">
        <v>43</v>
      </c>
      <c r="K71">
        <v>44</v>
      </c>
      <c r="L71">
        <v>3</v>
      </c>
      <c r="M71">
        <v>156</v>
      </c>
    </row>
    <row r="72" spans="1:13">
      <c r="A72">
        <v>71</v>
      </c>
      <c r="B72" s="1">
        <v>45850</v>
      </c>
      <c r="C72" t="s">
        <v>14</v>
      </c>
      <c r="D72">
        <v>12</v>
      </c>
      <c r="E72">
        <v>7</v>
      </c>
      <c r="F72">
        <v>3</v>
      </c>
      <c r="G72">
        <v>2025</v>
      </c>
      <c r="H72" t="s">
        <v>106</v>
      </c>
      <c r="I72" t="s">
        <v>33</v>
      </c>
      <c r="J72" t="s">
        <v>19</v>
      </c>
      <c r="K72">
        <v>28</v>
      </c>
      <c r="L72">
        <v>9</v>
      </c>
      <c r="M72">
        <v>253</v>
      </c>
    </row>
    <row r="73" spans="1:13">
      <c r="A73">
        <v>72</v>
      </c>
      <c r="B73" s="1">
        <v>45850</v>
      </c>
      <c r="C73" t="s">
        <v>14</v>
      </c>
      <c r="D73">
        <v>12</v>
      </c>
      <c r="E73">
        <v>7</v>
      </c>
      <c r="F73">
        <v>3</v>
      </c>
      <c r="G73">
        <v>2025</v>
      </c>
      <c r="H73" t="s">
        <v>106</v>
      </c>
      <c r="I73" t="s">
        <v>124</v>
      </c>
      <c r="J73" t="s">
        <v>82</v>
      </c>
      <c r="K73">
        <v>51</v>
      </c>
      <c r="L73">
        <v>4</v>
      </c>
      <c r="M73">
        <v>254</v>
      </c>
    </row>
    <row r="74" spans="1:13">
      <c r="A74">
        <v>73</v>
      </c>
      <c r="B74" s="1">
        <v>45594</v>
      </c>
      <c r="C74" t="s">
        <v>48</v>
      </c>
      <c r="D74">
        <v>29</v>
      </c>
      <c r="E74">
        <v>10</v>
      </c>
      <c r="F74">
        <v>4</v>
      </c>
      <c r="G74">
        <v>2024</v>
      </c>
      <c r="H74" t="s">
        <v>125</v>
      </c>
      <c r="I74" t="s">
        <v>126</v>
      </c>
      <c r="J74" t="s">
        <v>43</v>
      </c>
      <c r="K74">
        <v>34</v>
      </c>
      <c r="L74">
        <v>8</v>
      </c>
      <c r="M74">
        <v>280</v>
      </c>
    </row>
    <row r="75" spans="1:13">
      <c r="A75">
        <v>74</v>
      </c>
      <c r="B75" s="1">
        <v>45594</v>
      </c>
      <c r="C75" t="s">
        <v>48</v>
      </c>
      <c r="D75">
        <v>29</v>
      </c>
      <c r="E75">
        <v>10</v>
      </c>
      <c r="F75">
        <v>4</v>
      </c>
      <c r="G75">
        <v>2024</v>
      </c>
      <c r="H75" t="s">
        <v>125</v>
      </c>
      <c r="I75" t="s">
        <v>127</v>
      </c>
      <c r="J75" t="s">
        <v>21</v>
      </c>
      <c r="K75">
        <v>43</v>
      </c>
      <c r="L75">
        <v>9</v>
      </c>
      <c r="M75">
        <v>391</v>
      </c>
    </row>
    <row r="76" spans="1:13">
      <c r="A76">
        <v>75</v>
      </c>
      <c r="B76" s="1">
        <v>45594</v>
      </c>
      <c r="C76" t="s">
        <v>48</v>
      </c>
      <c r="D76">
        <v>29</v>
      </c>
      <c r="E76">
        <v>10</v>
      </c>
      <c r="F76">
        <v>4</v>
      </c>
      <c r="G76">
        <v>2024</v>
      </c>
      <c r="H76" t="s">
        <v>125</v>
      </c>
      <c r="I76" t="s">
        <v>128</v>
      </c>
      <c r="J76" t="s">
        <v>55</v>
      </c>
      <c r="K76">
        <v>58</v>
      </c>
      <c r="L76">
        <v>1</v>
      </c>
      <c r="M76">
        <v>78</v>
      </c>
    </row>
    <row r="77" spans="1:13">
      <c r="A77">
        <v>76</v>
      </c>
      <c r="B77" s="1">
        <v>45594</v>
      </c>
      <c r="C77" t="s">
        <v>48</v>
      </c>
      <c r="D77">
        <v>29</v>
      </c>
      <c r="E77">
        <v>10</v>
      </c>
      <c r="F77">
        <v>4</v>
      </c>
      <c r="G77">
        <v>2024</v>
      </c>
      <c r="H77" t="s">
        <v>125</v>
      </c>
      <c r="I77" t="s">
        <v>129</v>
      </c>
      <c r="J77" t="s">
        <v>25</v>
      </c>
      <c r="K77">
        <v>15</v>
      </c>
      <c r="L77">
        <v>9</v>
      </c>
      <c r="M77">
        <v>144</v>
      </c>
    </row>
    <row r="78" spans="1:13">
      <c r="A78">
        <v>77</v>
      </c>
      <c r="B78" s="1">
        <v>45594</v>
      </c>
      <c r="C78" t="s">
        <v>48</v>
      </c>
      <c r="D78">
        <v>29</v>
      </c>
      <c r="E78">
        <v>10</v>
      </c>
      <c r="F78">
        <v>4</v>
      </c>
      <c r="G78">
        <v>2024</v>
      </c>
      <c r="H78" t="s">
        <v>125</v>
      </c>
      <c r="I78" t="s">
        <v>130</v>
      </c>
      <c r="J78" t="s">
        <v>69</v>
      </c>
      <c r="K78">
        <v>28</v>
      </c>
      <c r="L78">
        <v>9</v>
      </c>
      <c r="M78">
        <v>269</v>
      </c>
    </row>
    <row r="79" spans="1:13">
      <c r="A79">
        <v>78</v>
      </c>
      <c r="B79" s="1">
        <v>45594</v>
      </c>
      <c r="C79" t="s">
        <v>48</v>
      </c>
      <c r="D79">
        <v>29</v>
      </c>
      <c r="E79">
        <v>10</v>
      </c>
      <c r="F79">
        <v>4</v>
      </c>
      <c r="G79">
        <v>2024</v>
      </c>
      <c r="H79" t="s">
        <v>125</v>
      </c>
      <c r="I79" t="s">
        <v>121</v>
      </c>
      <c r="J79" t="s">
        <v>122</v>
      </c>
      <c r="K79">
        <v>15</v>
      </c>
      <c r="L79">
        <v>6</v>
      </c>
      <c r="M79">
        <v>92</v>
      </c>
    </row>
    <row r="80" spans="1:13">
      <c r="A80">
        <v>79</v>
      </c>
      <c r="B80" s="1">
        <v>45867</v>
      </c>
      <c r="C80" t="s">
        <v>48</v>
      </c>
      <c r="D80">
        <v>29</v>
      </c>
      <c r="E80">
        <v>7</v>
      </c>
      <c r="F80">
        <v>3</v>
      </c>
      <c r="G80">
        <v>2025</v>
      </c>
      <c r="H80" t="s">
        <v>131</v>
      </c>
      <c r="I80" t="s">
        <v>132</v>
      </c>
      <c r="J80" t="s">
        <v>31</v>
      </c>
      <c r="K80">
        <v>50</v>
      </c>
      <c r="L80">
        <v>4</v>
      </c>
      <c r="M80">
        <v>216</v>
      </c>
    </row>
    <row r="81" spans="1:13">
      <c r="A81">
        <v>80</v>
      </c>
      <c r="B81" s="1">
        <v>45867</v>
      </c>
      <c r="C81" t="s">
        <v>48</v>
      </c>
      <c r="D81">
        <v>29</v>
      </c>
      <c r="E81">
        <v>7</v>
      </c>
      <c r="F81">
        <v>3</v>
      </c>
      <c r="G81">
        <v>2025</v>
      </c>
      <c r="H81" t="s">
        <v>131</v>
      </c>
      <c r="I81" t="s">
        <v>133</v>
      </c>
      <c r="J81" t="s">
        <v>97</v>
      </c>
      <c r="K81">
        <v>58</v>
      </c>
      <c r="L81">
        <v>6</v>
      </c>
      <c r="M81">
        <v>383</v>
      </c>
    </row>
    <row r="82" spans="1:13">
      <c r="A82">
        <v>81</v>
      </c>
      <c r="B82" s="1">
        <v>45867</v>
      </c>
      <c r="C82" t="s">
        <v>48</v>
      </c>
      <c r="D82">
        <v>29</v>
      </c>
      <c r="E82">
        <v>7</v>
      </c>
      <c r="F82">
        <v>3</v>
      </c>
      <c r="G82">
        <v>2025</v>
      </c>
      <c r="H82" t="s">
        <v>131</v>
      </c>
      <c r="I82" t="s">
        <v>65</v>
      </c>
      <c r="J82" t="s">
        <v>60</v>
      </c>
      <c r="K82">
        <v>19</v>
      </c>
      <c r="L82">
        <v>13</v>
      </c>
      <c r="M82">
        <v>265</v>
      </c>
    </row>
    <row r="83" spans="1:13">
      <c r="A83">
        <v>82</v>
      </c>
      <c r="B83" s="1">
        <v>45867</v>
      </c>
      <c r="C83" t="s">
        <v>48</v>
      </c>
      <c r="D83">
        <v>29</v>
      </c>
      <c r="E83">
        <v>7</v>
      </c>
      <c r="F83">
        <v>3</v>
      </c>
      <c r="G83">
        <v>2025</v>
      </c>
      <c r="H83" t="s">
        <v>131</v>
      </c>
      <c r="I83" t="s">
        <v>134</v>
      </c>
      <c r="J83" t="s">
        <v>100</v>
      </c>
      <c r="K83">
        <v>19</v>
      </c>
      <c r="L83">
        <v>8</v>
      </c>
      <c r="M83">
        <v>157</v>
      </c>
    </row>
    <row r="84" spans="1:13">
      <c r="A84">
        <v>83</v>
      </c>
      <c r="B84" s="1">
        <v>45867</v>
      </c>
      <c r="C84" t="s">
        <v>48</v>
      </c>
      <c r="D84">
        <v>29</v>
      </c>
      <c r="E84">
        <v>7</v>
      </c>
      <c r="F84">
        <v>3</v>
      </c>
      <c r="G84">
        <v>2025</v>
      </c>
      <c r="H84" t="s">
        <v>131</v>
      </c>
      <c r="I84" t="s">
        <v>135</v>
      </c>
      <c r="J84" t="s">
        <v>122</v>
      </c>
      <c r="K84">
        <v>39</v>
      </c>
      <c r="L84">
        <v>6</v>
      </c>
      <c r="M84">
        <v>250</v>
      </c>
    </row>
    <row r="85" spans="1:13">
      <c r="A85">
        <v>84</v>
      </c>
      <c r="B85" s="1">
        <v>45859</v>
      </c>
      <c r="C85" t="s">
        <v>93</v>
      </c>
      <c r="D85">
        <v>21</v>
      </c>
      <c r="E85">
        <v>7</v>
      </c>
      <c r="F85">
        <v>3</v>
      </c>
      <c r="G85">
        <v>2025</v>
      </c>
      <c r="H85" t="s">
        <v>136</v>
      </c>
      <c r="I85" t="s">
        <v>137</v>
      </c>
      <c r="J85" t="s">
        <v>82</v>
      </c>
      <c r="K85">
        <v>43</v>
      </c>
      <c r="L85">
        <v>7</v>
      </c>
      <c r="M85">
        <v>304</v>
      </c>
    </row>
    <row r="86" spans="1:13">
      <c r="A86">
        <v>85</v>
      </c>
      <c r="B86" s="1">
        <v>45859</v>
      </c>
      <c r="C86" t="s">
        <v>93</v>
      </c>
      <c r="D86">
        <v>21</v>
      </c>
      <c r="E86">
        <v>7</v>
      </c>
      <c r="F86">
        <v>3</v>
      </c>
      <c r="G86">
        <v>2025</v>
      </c>
      <c r="H86" t="s">
        <v>136</v>
      </c>
      <c r="I86" t="s">
        <v>138</v>
      </c>
      <c r="J86" t="s">
        <v>97</v>
      </c>
      <c r="K86">
        <v>56</v>
      </c>
      <c r="L86">
        <v>4</v>
      </c>
      <c r="M86">
        <v>279</v>
      </c>
    </row>
    <row r="87" spans="1:13">
      <c r="A87">
        <v>86</v>
      </c>
      <c r="B87" s="1">
        <v>45859</v>
      </c>
      <c r="C87" t="s">
        <v>93</v>
      </c>
      <c r="D87">
        <v>21</v>
      </c>
      <c r="E87">
        <v>7</v>
      </c>
      <c r="F87">
        <v>3</v>
      </c>
      <c r="G87">
        <v>2025</v>
      </c>
      <c r="H87" t="s">
        <v>136</v>
      </c>
      <c r="I87" t="s">
        <v>139</v>
      </c>
      <c r="J87" t="s">
        <v>122</v>
      </c>
      <c r="K87">
        <v>19</v>
      </c>
      <c r="L87">
        <v>12</v>
      </c>
      <c r="M87">
        <v>246</v>
      </c>
    </row>
    <row r="88" spans="1:13">
      <c r="A88">
        <v>87</v>
      </c>
      <c r="B88" s="1">
        <v>45859</v>
      </c>
      <c r="C88" t="s">
        <v>93</v>
      </c>
      <c r="D88">
        <v>21</v>
      </c>
      <c r="E88">
        <v>7</v>
      </c>
      <c r="F88">
        <v>3</v>
      </c>
      <c r="G88">
        <v>2025</v>
      </c>
      <c r="H88" t="s">
        <v>136</v>
      </c>
      <c r="I88" t="s">
        <v>140</v>
      </c>
      <c r="J88" t="s">
        <v>17</v>
      </c>
      <c r="K88">
        <v>10</v>
      </c>
      <c r="L88">
        <v>37</v>
      </c>
      <c r="M88">
        <v>379</v>
      </c>
    </row>
    <row r="89" spans="1:13">
      <c r="A89">
        <v>88</v>
      </c>
      <c r="B89" s="1">
        <v>45859</v>
      </c>
      <c r="C89" t="s">
        <v>93</v>
      </c>
      <c r="D89">
        <v>21</v>
      </c>
      <c r="E89">
        <v>7</v>
      </c>
      <c r="F89">
        <v>3</v>
      </c>
      <c r="G89">
        <v>2025</v>
      </c>
      <c r="H89" t="s">
        <v>136</v>
      </c>
      <c r="I89" t="s">
        <v>141</v>
      </c>
      <c r="J89" t="s">
        <v>46</v>
      </c>
      <c r="K89">
        <v>27</v>
      </c>
      <c r="L89">
        <v>3</v>
      </c>
      <c r="M89">
        <v>93</v>
      </c>
    </row>
    <row r="90" spans="1:13">
      <c r="A90">
        <v>89</v>
      </c>
      <c r="B90" s="1">
        <v>45859</v>
      </c>
      <c r="C90" t="s">
        <v>93</v>
      </c>
      <c r="D90">
        <v>21</v>
      </c>
      <c r="E90">
        <v>7</v>
      </c>
      <c r="F90">
        <v>3</v>
      </c>
      <c r="G90">
        <v>2025</v>
      </c>
      <c r="H90" t="s">
        <v>136</v>
      </c>
      <c r="I90" t="s">
        <v>72</v>
      </c>
      <c r="J90" t="s">
        <v>37</v>
      </c>
      <c r="K90">
        <v>40</v>
      </c>
      <c r="L90">
        <v>12</v>
      </c>
      <c r="M90">
        <v>495</v>
      </c>
    </row>
    <row r="91" spans="1:13">
      <c r="A91">
        <v>90</v>
      </c>
      <c r="B91" s="1">
        <v>45859</v>
      </c>
      <c r="C91" t="s">
        <v>93</v>
      </c>
      <c r="D91">
        <v>21</v>
      </c>
      <c r="E91">
        <v>7</v>
      </c>
      <c r="F91">
        <v>3</v>
      </c>
      <c r="G91">
        <v>2025</v>
      </c>
      <c r="H91" t="s">
        <v>136</v>
      </c>
      <c r="I91" t="s">
        <v>142</v>
      </c>
      <c r="J91" t="s">
        <v>60</v>
      </c>
      <c r="K91">
        <v>23</v>
      </c>
      <c r="L91">
        <v>6</v>
      </c>
      <c r="M91">
        <v>143</v>
      </c>
    </row>
    <row r="92" spans="1:13">
      <c r="A92">
        <v>91</v>
      </c>
      <c r="B92" s="1">
        <v>45859</v>
      </c>
      <c r="C92" t="s">
        <v>93</v>
      </c>
      <c r="D92">
        <v>21</v>
      </c>
      <c r="E92">
        <v>7</v>
      </c>
      <c r="F92">
        <v>3</v>
      </c>
      <c r="G92">
        <v>2025</v>
      </c>
      <c r="H92" t="s">
        <v>136</v>
      </c>
      <c r="I92" t="s">
        <v>143</v>
      </c>
      <c r="J92" t="s">
        <v>69</v>
      </c>
      <c r="K92">
        <v>11</v>
      </c>
      <c r="L92">
        <v>28</v>
      </c>
      <c r="M92">
        <v>311</v>
      </c>
    </row>
    <row r="93" spans="1:13">
      <c r="A93">
        <v>92</v>
      </c>
      <c r="B93" s="1">
        <v>45859</v>
      </c>
      <c r="C93" t="s">
        <v>93</v>
      </c>
      <c r="D93">
        <v>21</v>
      </c>
      <c r="E93">
        <v>7</v>
      </c>
      <c r="F93">
        <v>3</v>
      </c>
      <c r="G93">
        <v>2025</v>
      </c>
      <c r="H93" t="s">
        <v>136</v>
      </c>
      <c r="I93" t="s">
        <v>144</v>
      </c>
      <c r="J93" t="s">
        <v>97</v>
      </c>
      <c r="K93">
        <v>20</v>
      </c>
      <c r="L93">
        <v>9</v>
      </c>
      <c r="M93">
        <v>191</v>
      </c>
    </row>
    <row r="94" spans="1:13">
      <c r="A94">
        <v>93</v>
      </c>
      <c r="B94" s="1">
        <v>45732</v>
      </c>
      <c r="C94" t="s">
        <v>28</v>
      </c>
      <c r="D94">
        <v>16</v>
      </c>
      <c r="E94">
        <v>3</v>
      </c>
      <c r="F94">
        <v>1</v>
      </c>
      <c r="G94">
        <v>2025</v>
      </c>
      <c r="H94" t="s">
        <v>145</v>
      </c>
      <c r="I94" t="s">
        <v>83</v>
      </c>
      <c r="J94" t="s">
        <v>51</v>
      </c>
      <c r="K94">
        <v>39</v>
      </c>
      <c r="L94">
        <v>3</v>
      </c>
      <c r="M94">
        <v>128</v>
      </c>
    </row>
    <row r="95" spans="1:13">
      <c r="A95">
        <v>94</v>
      </c>
      <c r="B95" s="1">
        <v>45732</v>
      </c>
      <c r="C95" t="s">
        <v>28</v>
      </c>
      <c r="D95">
        <v>16</v>
      </c>
      <c r="E95">
        <v>3</v>
      </c>
      <c r="F95">
        <v>1</v>
      </c>
      <c r="G95">
        <v>2025</v>
      </c>
      <c r="H95" t="s">
        <v>145</v>
      </c>
      <c r="I95" t="s">
        <v>146</v>
      </c>
      <c r="J95" t="s">
        <v>97</v>
      </c>
      <c r="K95">
        <v>16</v>
      </c>
      <c r="L95">
        <v>15</v>
      </c>
      <c r="M95">
        <v>247</v>
      </c>
    </row>
    <row r="96" spans="1:13">
      <c r="A96">
        <v>95</v>
      </c>
      <c r="B96" s="1">
        <v>45732</v>
      </c>
      <c r="C96" t="s">
        <v>28</v>
      </c>
      <c r="D96">
        <v>16</v>
      </c>
      <c r="E96">
        <v>3</v>
      </c>
      <c r="F96">
        <v>1</v>
      </c>
      <c r="G96">
        <v>2025</v>
      </c>
      <c r="H96" t="s">
        <v>145</v>
      </c>
      <c r="I96" t="s">
        <v>87</v>
      </c>
      <c r="J96" t="s">
        <v>39</v>
      </c>
      <c r="K96">
        <v>57</v>
      </c>
      <c r="L96">
        <v>4</v>
      </c>
      <c r="M96">
        <v>280</v>
      </c>
    </row>
    <row r="97" spans="1:13">
      <c r="A97">
        <v>96</v>
      </c>
      <c r="B97" s="1">
        <v>45732</v>
      </c>
      <c r="C97" t="s">
        <v>28</v>
      </c>
      <c r="D97">
        <v>16</v>
      </c>
      <c r="E97">
        <v>3</v>
      </c>
      <c r="F97">
        <v>1</v>
      </c>
      <c r="G97">
        <v>2025</v>
      </c>
      <c r="H97" t="s">
        <v>145</v>
      </c>
      <c r="I97" t="s">
        <v>147</v>
      </c>
      <c r="J97" t="s">
        <v>27</v>
      </c>
      <c r="K97">
        <v>31</v>
      </c>
      <c r="L97">
        <v>8</v>
      </c>
      <c r="M97">
        <v>260</v>
      </c>
    </row>
    <row r="98" spans="1:13">
      <c r="A98">
        <v>97</v>
      </c>
      <c r="B98" s="1">
        <v>45732</v>
      </c>
      <c r="C98" t="s">
        <v>28</v>
      </c>
      <c r="D98">
        <v>16</v>
      </c>
      <c r="E98">
        <v>3</v>
      </c>
      <c r="F98">
        <v>1</v>
      </c>
      <c r="G98">
        <v>2025</v>
      </c>
      <c r="H98" t="s">
        <v>145</v>
      </c>
      <c r="I98" t="s">
        <v>148</v>
      </c>
      <c r="J98" t="s">
        <v>51</v>
      </c>
      <c r="K98">
        <v>47</v>
      </c>
      <c r="L98">
        <v>5</v>
      </c>
      <c r="M98">
        <v>235</v>
      </c>
    </row>
    <row r="99" spans="1:13">
      <c r="A99">
        <v>98</v>
      </c>
      <c r="B99" s="1">
        <v>45732</v>
      </c>
      <c r="C99" t="s">
        <v>28</v>
      </c>
      <c r="D99">
        <v>16</v>
      </c>
      <c r="E99">
        <v>3</v>
      </c>
      <c r="F99">
        <v>1</v>
      </c>
      <c r="G99">
        <v>2025</v>
      </c>
      <c r="H99" t="s">
        <v>145</v>
      </c>
      <c r="I99" t="s">
        <v>149</v>
      </c>
      <c r="J99" t="s">
        <v>100</v>
      </c>
      <c r="K99">
        <v>21</v>
      </c>
      <c r="L99">
        <v>13</v>
      </c>
      <c r="M99">
        <v>280</v>
      </c>
    </row>
    <row r="100" spans="1:13">
      <c r="A100">
        <v>99</v>
      </c>
      <c r="B100" s="1">
        <v>45732</v>
      </c>
      <c r="C100" t="s">
        <v>28</v>
      </c>
      <c r="D100">
        <v>16</v>
      </c>
      <c r="E100">
        <v>3</v>
      </c>
      <c r="F100">
        <v>1</v>
      </c>
      <c r="G100">
        <v>2025</v>
      </c>
      <c r="H100" t="s">
        <v>145</v>
      </c>
      <c r="I100" t="s">
        <v>42</v>
      </c>
      <c r="J100" t="s">
        <v>43</v>
      </c>
      <c r="K100">
        <v>54</v>
      </c>
      <c r="L100">
        <v>7</v>
      </c>
      <c r="M100">
        <v>378</v>
      </c>
    </row>
    <row r="101" spans="1:13">
      <c r="A101">
        <v>100</v>
      </c>
      <c r="B101" s="1">
        <v>45732</v>
      </c>
      <c r="C101" t="s">
        <v>28</v>
      </c>
      <c r="D101">
        <v>16</v>
      </c>
      <c r="E101">
        <v>3</v>
      </c>
      <c r="F101">
        <v>1</v>
      </c>
      <c r="G101">
        <v>2025</v>
      </c>
      <c r="H101" t="s">
        <v>145</v>
      </c>
      <c r="I101" t="s">
        <v>129</v>
      </c>
      <c r="J101" t="s">
        <v>25</v>
      </c>
      <c r="K101">
        <v>39</v>
      </c>
      <c r="L101">
        <v>3</v>
      </c>
      <c r="M101">
        <v>124</v>
      </c>
    </row>
    <row r="102" spans="1:13">
      <c r="A102">
        <v>101</v>
      </c>
      <c r="B102" s="1">
        <v>45732</v>
      </c>
      <c r="C102" t="s">
        <v>28</v>
      </c>
      <c r="D102">
        <v>16</v>
      </c>
      <c r="E102">
        <v>3</v>
      </c>
      <c r="F102">
        <v>1</v>
      </c>
      <c r="G102">
        <v>2025</v>
      </c>
      <c r="H102" t="s">
        <v>145</v>
      </c>
      <c r="I102" t="s">
        <v>150</v>
      </c>
      <c r="J102" t="s">
        <v>60</v>
      </c>
      <c r="K102">
        <v>45</v>
      </c>
      <c r="L102">
        <v>5</v>
      </c>
      <c r="M102">
        <v>225</v>
      </c>
    </row>
    <row r="103" spans="1:13">
      <c r="A103">
        <v>102</v>
      </c>
      <c r="B103" s="1">
        <v>46203</v>
      </c>
      <c r="C103" t="s">
        <v>48</v>
      </c>
      <c r="D103">
        <v>30</v>
      </c>
      <c r="E103">
        <v>6</v>
      </c>
      <c r="F103">
        <v>2</v>
      </c>
      <c r="G103">
        <v>2026</v>
      </c>
      <c r="H103" t="s">
        <v>151</v>
      </c>
      <c r="I103" t="s">
        <v>152</v>
      </c>
      <c r="J103" t="s">
        <v>19</v>
      </c>
      <c r="K103">
        <v>20</v>
      </c>
      <c r="L103">
        <v>15</v>
      </c>
      <c r="M103">
        <v>308</v>
      </c>
    </row>
    <row r="104" spans="1:13">
      <c r="A104">
        <v>103</v>
      </c>
      <c r="B104" s="1">
        <v>46203</v>
      </c>
      <c r="C104" t="s">
        <v>48</v>
      </c>
      <c r="D104">
        <v>30</v>
      </c>
      <c r="E104">
        <v>6</v>
      </c>
      <c r="F104">
        <v>2</v>
      </c>
      <c r="G104">
        <v>2026</v>
      </c>
      <c r="H104" t="s">
        <v>151</v>
      </c>
      <c r="I104" t="s">
        <v>153</v>
      </c>
      <c r="J104" t="s">
        <v>37</v>
      </c>
      <c r="K104">
        <v>21</v>
      </c>
      <c r="L104">
        <v>16</v>
      </c>
      <c r="M104">
        <v>348</v>
      </c>
    </row>
    <row r="105" spans="1:13">
      <c r="A105">
        <v>104</v>
      </c>
      <c r="B105" s="1">
        <v>46203</v>
      </c>
      <c r="C105" t="s">
        <v>48</v>
      </c>
      <c r="D105">
        <v>30</v>
      </c>
      <c r="E105">
        <v>6</v>
      </c>
      <c r="F105">
        <v>2</v>
      </c>
      <c r="G105">
        <v>2026</v>
      </c>
      <c r="H105" t="s">
        <v>151</v>
      </c>
      <c r="I105" t="s">
        <v>154</v>
      </c>
      <c r="J105" t="s">
        <v>37</v>
      </c>
      <c r="K105">
        <v>30</v>
      </c>
      <c r="L105">
        <v>8</v>
      </c>
      <c r="M105">
        <v>269</v>
      </c>
    </row>
    <row r="106" spans="1:13">
      <c r="A106">
        <v>105</v>
      </c>
      <c r="B106" s="1">
        <v>46203</v>
      </c>
      <c r="C106" t="s">
        <v>48</v>
      </c>
      <c r="D106">
        <v>30</v>
      </c>
      <c r="E106">
        <v>6</v>
      </c>
      <c r="F106">
        <v>2</v>
      </c>
      <c r="G106">
        <v>2026</v>
      </c>
      <c r="H106" t="s">
        <v>151</v>
      </c>
      <c r="I106" t="s">
        <v>155</v>
      </c>
      <c r="J106" t="s">
        <v>19</v>
      </c>
      <c r="K106">
        <v>21</v>
      </c>
      <c r="L106">
        <v>14</v>
      </c>
      <c r="M106">
        <v>305</v>
      </c>
    </row>
    <row r="107" spans="1:13">
      <c r="A107">
        <v>106</v>
      </c>
      <c r="B107" s="1">
        <v>46203</v>
      </c>
      <c r="C107" t="s">
        <v>48</v>
      </c>
      <c r="D107">
        <v>30</v>
      </c>
      <c r="E107">
        <v>6</v>
      </c>
      <c r="F107">
        <v>2</v>
      </c>
      <c r="G107">
        <v>2026</v>
      </c>
      <c r="H107" t="s">
        <v>151</v>
      </c>
      <c r="I107" t="s">
        <v>89</v>
      </c>
      <c r="J107" t="s">
        <v>69</v>
      </c>
      <c r="K107">
        <v>47</v>
      </c>
      <c r="L107">
        <v>7</v>
      </c>
      <c r="M107">
        <v>358</v>
      </c>
    </row>
    <row r="108" spans="1:13">
      <c r="A108">
        <v>107</v>
      </c>
      <c r="B108" s="1">
        <v>46203</v>
      </c>
      <c r="C108" t="s">
        <v>48</v>
      </c>
      <c r="D108">
        <v>30</v>
      </c>
      <c r="E108">
        <v>6</v>
      </c>
      <c r="F108">
        <v>2</v>
      </c>
      <c r="G108">
        <v>2026</v>
      </c>
      <c r="H108" t="s">
        <v>151</v>
      </c>
      <c r="I108" t="s">
        <v>156</v>
      </c>
      <c r="J108" t="s">
        <v>57</v>
      </c>
      <c r="K108">
        <v>15</v>
      </c>
      <c r="L108">
        <v>11</v>
      </c>
      <c r="M108">
        <v>179</v>
      </c>
    </row>
    <row r="109" spans="1:13">
      <c r="A109">
        <v>108</v>
      </c>
      <c r="B109" s="1">
        <v>46203</v>
      </c>
      <c r="C109" t="s">
        <v>48</v>
      </c>
      <c r="D109">
        <v>30</v>
      </c>
      <c r="E109">
        <v>6</v>
      </c>
      <c r="F109">
        <v>2</v>
      </c>
      <c r="G109">
        <v>2026</v>
      </c>
      <c r="H109" t="s">
        <v>151</v>
      </c>
      <c r="I109" t="s">
        <v>157</v>
      </c>
      <c r="J109" t="s">
        <v>19</v>
      </c>
      <c r="K109">
        <v>53</v>
      </c>
      <c r="L109">
        <v>8</v>
      </c>
      <c r="M109">
        <v>426</v>
      </c>
    </row>
    <row r="110" spans="1:13">
      <c r="A110">
        <v>109</v>
      </c>
      <c r="B110" s="1">
        <v>46203</v>
      </c>
      <c r="C110" t="s">
        <v>48</v>
      </c>
      <c r="D110">
        <v>30</v>
      </c>
      <c r="E110">
        <v>6</v>
      </c>
      <c r="F110">
        <v>2</v>
      </c>
      <c r="G110">
        <v>2026</v>
      </c>
      <c r="H110" t="s">
        <v>151</v>
      </c>
      <c r="I110" t="s">
        <v>158</v>
      </c>
      <c r="J110" t="s">
        <v>60</v>
      </c>
      <c r="K110">
        <v>51</v>
      </c>
      <c r="L110">
        <v>1</v>
      </c>
      <c r="M110">
        <v>75</v>
      </c>
    </row>
    <row r="111" spans="1:13">
      <c r="A111">
        <v>110</v>
      </c>
      <c r="B111" s="1">
        <v>46203</v>
      </c>
      <c r="C111" t="s">
        <v>48</v>
      </c>
      <c r="D111">
        <v>30</v>
      </c>
      <c r="E111">
        <v>6</v>
      </c>
      <c r="F111">
        <v>2</v>
      </c>
      <c r="G111">
        <v>2026</v>
      </c>
      <c r="H111" t="s">
        <v>151</v>
      </c>
      <c r="I111" t="s">
        <v>159</v>
      </c>
      <c r="J111" t="s">
        <v>21</v>
      </c>
      <c r="K111">
        <v>23</v>
      </c>
      <c r="L111">
        <v>19</v>
      </c>
      <c r="M111">
        <v>453</v>
      </c>
    </row>
    <row r="112" spans="1:13">
      <c r="A112">
        <v>111</v>
      </c>
      <c r="B112" s="1">
        <v>45795</v>
      </c>
      <c r="C112" t="s">
        <v>28</v>
      </c>
      <c r="D112">
        <v>18</v>
      </c>
      <c r="E112">
        <v>5</v>
      </c>
      <c r="F112">
        <v>2</v>
      </c>
      <c r="G112">
        <v>2025</v>
      </c>
      <c r="H112" t="s">
        <v>160</v>
      </c>
      <c r="I112" t="s">
        <v>161</v>
      </c>
      <c r="J112" t="s">
        <v>37</v>
      </c>
      <c r="K112">
        <v>44</v>
      </c>
      <c r="L112">
        <v>6</v>
      </c>
      <c r="M112">
        <v>305</v>
      </c>
    </row>
    <row r="113" spans="1:13">
      <c r="A113">
        <v>112</v>
      </c>
      <c r="B113" s="1">
        <v>45795</v>
      </c>
      <c r="C113" t="s">
        <v>28</v>
      </c>
      <c r="D113">
        <v>18</v>
      </c>
      <c r="E113">
        <v>5</v>
      </c>
      <c r="F113">
        <v>2</v>
      </c>
      <c r="G113">
        <v>2025</v>
      </c>
      <c r="H113" t="s">
        <v>160</v>
      </c>
      <c r="I113" t="s">
        <v>162</v>
      </c>
      <c r="J113" t="s">
        <v>51</v>
      </c>
      <c r="K113">
        <v>49</v>
      </c>
      <c r="L113">
        <v>4</v>
      </c>
      <c r="M113">
        <v>237</v>
      </c>
    </row>
    <row r="114" spans="1:13">
      <c r="A114">
        <v>113</v>
      </c>
      <c r="B114" s="1">
        <v>45795</v>
      </c>
      <c r="C114" t="s">
        <v>28</v>
      </c>
      <c r="D114">
        <v>18</v>
      </c>
      <c r="E114">
        <v>5</v>
      </c>
      <c r="F114">
        <v>2</v>
      </c>
      <c r="G114">
        <v>2025</v>
      </c>
      <c r="H114" t="s">
        <v>160</v>
      </c>
      <c r="I114" t="s">
        <v>163</v>
      </c>
      <c r="J114" t="s">
        <v>97</v>
      </c>
      <c r="K114">
        <v>44</v>
      </c>
      <c r="L114">
        <v>6</v>
      </c>
      <c r="M114">
        <v>281</v>
      </c>
    </row>
    <row r="115" spans="1:13">
      <c r="A115">
        <v>114</v>
      </c>
      <c r="B115" s="1">
        <v>45795</v>
      </c>
      <c r="C115" t="s">
        <v>28</v>
      </c>
      <c r="D115">
        <v>18</v>
      </c>
      <c r="E115">
        <v>5</v>
      </c>
      <c r="F115">
        <v>2</v>
      </c>
      <c r="G115">
        <v>2025</v>
      </c>
      <c r="H115" t="s">
        <v>160</v>
      </c>
      <c r="I115" t="s">
        <v>164</v>
      </c>
      <c r="J115" t="s">
        <v>46</v>
      </c>
      <c r="K115">
        <v>59</v>
      </c>
      <c r="L115">
        <v>4</v>
      </c>
      <c r="M115">
        <v>266</v>
      </c>
    </row>
    <row r="116" spans="1:13">
      <c r="A116">
        <v>115</v>
      </c>
      <c r="B116" s="1">
        <v>45795</v>
      </c>
      <c r="C116" t="s">
        <v>28</v>
      </c>
      <c r="D116">
        <v>18</v>
      </c>
      <c r="E116">
        <v>5</v>
      </c>
      <c r="F116">
        <v>2</v>
      </c>
      <c r="G116">
        <v>2025</v>
      </c>
      <c r="H116" t="s">
        <v>160</v>
      </c>
      <c r="I116" t="s">
        <v>165</v>
      </c>
      <c r="J116" t="s">
        <v>69</v>
      </c>
      <c r="K116">
        <v>31</v>
      </c>
      <c r="L116">
        <v>6</v>
      </c>
      <c r="M116">
        <v>189</v>
      </c>
    </row>
    <row r="117" spans="1:13">
      <c r="A117">
        <v>116</v>
      </c>
      <c r="B117" s="1">
        <v>45795</v>
      </c>
      <c r="C117" t="s">
        <v>28</v>
      </c>
      <c r="D117">
        <v>18</v>
      </c>
      <c r="E117">
        <v>5</v>
      </c>
      <c r="F117">
        <v>2</v>
      </c>
      <c r="G117">
        <v>2025</v>
      </c>
      <c r="H117" t="s">
        <v>160</v>
      </c>
      <c r="I117" t="s">
        <v>166</v>
      </c>
      <c r="J117" t="s">
        <v>23</v>
      </c>
      <c r="K117">
        <v>56</v>
      </c>
      <c r="L117">
        <v>4</v>
      </c>
      <c r="M117">
        <v>224</v>
      </c>
    </row>
    <row r="118" spans="1:13">
      <c r="A118">
        <v>117</v>
      </c>
      <c r="B118" s="1">
        <v>45795</v>
      </c>
      <c r="C118" t="s">
        <v>28</v>
      </c>
      <c r="D118">
        <v>18</v>
      </c>
      <c r="E118">
        <v>5</v>
      </c>
      <c r="F118">
        <v>2</v>
      </c>
      <c r="G118">
        <v>2025</v>
      </c>
      <c r="H118" t="s">
        <v>160</v>
      </c>
      <c r="I118" t="s">
        <v>167</v>
      </c>
      <c r="J118" t="s">
        <v>23</v>
      </c>
      <c r="K118">
        <v>37</v>
      </c>
      <c r="L118">
        <v>10</v>
      </c>
      <c r="M118">
        <v>401</v>
      </c>
    </row>
    <row r="119" spans="1:13">
      <c r="A119">
        <v>118</v>
      </c>
      <c r="B119" s="1">
        <v>45795</v>
      </c>
      <c r="C119" t="s">
        <v>28</v>
      </c>
      <c r="D119">
        <v>18</v>
      </c>
      <c r="E119">
        <v>5</v>
      </c>
      <c r="F119">
        <v>2</v>
      </c>
      <c r="G119">
        <v>2025</v>
      </c>
      <c r="H119" t="s">
        <v>160</v>
      </c>
      <c r="I119" t="s">
        <v>168</v>
      </c>
      <c r="J119" t="s">
        <v>46</v>
      </c>
      <c r="K119">
        <v>21</v>
      </c>
      <c r="L119">
        <v>22</v>
      </c>
      <c r="M119">
        <v>468</v>
      </c>
    </row>
    <row r="120" spans="1:13">
      <c r="A120">
        <v>119</v>
      </c>
      <c r="B120" s="1">
        <v>45564</v>
      </c>
      <c r="C120" t="s">
        <v>28</v>
      </c>
      <c r="D120">
        <v>29</v>
      </c>
      <c r="E120">
        <v>9</v>
      </c>
      <c r="F120">
        <v>3</v>
      </c>
      <c r="G120">
        <v>2024</v>
      </c>
      <c r="H120" t="s">
        <v>169</v>
      </c>
      <c r="I120" t="s">
        <v>170</v>
      </c>
      <c r="J120" t="s">
        <v>82</v>
      </c>
      <c r="K120">
        <v>47</v>
      </c>
      <c r="L120">
        <v>4</v>
      </c>
      <c r="M120">
        <v>205</v>
      </c>
    </row>
    <row r="121" spans="1:13">
      <c r="A121">
        <v>120</v>
      </c>
      <c r="B121" s="1">
        <v>45564</v>
      </c>
      <c r="C121" t="s">
        <v>28</v>
      </c>
      <c r="D121">
        <v>29</v>
      </c>
      <c r="E121">
        <v>9</v>
      </c>
      <c r="F121">
        <v>3</v>
      </c>
      <c r="G121">
        <v>2024</v>
      </c>
      <c r="H121" t="s">
        <v>169</v>
      </c>
      <c r="I121" t="s">
        <v>171</v>
      </c>
      <c r="J121" t="s">
        <v>46</v>
      </c>
      <c r="K121">
        <v>42</v>
      </c>
      <c r="L121">
        <v>5</v>
      </c>
      <c r="M121">
        <v>228</v>
      </c>
    </row>
    <row r="122" spans="1:13">
      <c r="A122">
        <v>121</v>
      </c>
      <c r="B122" s="1">
        <v>45564</v>
      </c>
      <c r="C122" t="s">
        <v>28</v>
      </c>
      <c r="D122">
        <v>29</v>
      </c>
      <c r="E122">
        <v>9</v>
      </c>
      <c r="F122">
        <v>3</v>
      </c>
      <c r="G122">
        <v>2024</v>
      </c>
      <c r="H122" t="s">
        <v>169</v>
      </c>
      <c r="I122" t="s">
        <v>172</v>
      </c>
      <c r="J122" t="s">
        <v>46</v>
      </c>
      <c r="K122">
        <v>19</v>
      </c>
      <c r="L122">
        <v>10</v>
      </c>
      <c r="M122">
        <v>196</v>
      </c>
    </row>
    <row r="123" spans="1:13">
      <c r="A123">
        <v>122</v>
      </c>
      <c r="B123" s="1">
        <v>45564</v>
      </c>
      <c r="C123" t="s">
        <v>28</v>
      </c>
      <c r="D123">
        <v>29</v>
      </c>
      <c r="E123">
        <v>9</v>
      </c>
      <c r="F123">
        <v>3</v>
      </c>
      <c r="G123">
        <v>2024</v>
      </c>
      <c r="H123" t="s">
        <v>169</v>
      </c>
      <c r="I123" t="s">
        <v>173</v>
      </c>
      <c r="J123" t="s">
        <v>55</v>
      </c>
      <c r="K123">
        <v>59</v>
      </c>
      <c r="L123">
        <v>5</v>
      </c>
      <c r="M123">
        <v>310</v>
      </c>
    </row>
    <row r="124" spans="1:13">
      <c r="A124">
        <v>123</v>
      </c>
      <c r="B124" s="1">
        <v>45564</v>
      </c>
      <c r="C124" t="s">
        <v>28</v>
      </c>
      <c r="D124">
        <v>29</v>
      </c>
      <c r="E124">
        <v>9</v>
      </c>
      <c r="F124">
        <v>3</v>
      </c>
      <c r="G124">
        <v>2024</v>
      </c>
      <c r="H124" t="s">
        <v>169</v>
      </c>
      <c r="I124" t="s">
        <v>174</v>
      </c>
      <c r="J124" t="s">
        <v>122</v>
      </c>
      <c r="K124">
        <v>44</v>
      </c>
      <c r="L124">
        <v>5</v>
      </c>
      <c r="M124">
        <v>256</v>
      </c>
    </row>
    <row r="125" spans="1:13">
      <c r="A125">
        <v>124</v>
      </c>
      <c r="B125" s="1">
        <v>45564</v>
      </c>
      <c r="C125" t="s">
        <v>28</v>
      </c>
      <c r="D125">
        <v>29</v>
      </c>
      <c r="E125">
        <v>9</v>
      </c>
      <c r="F125">
        <v>3</v>
      </c>
      <c r="G125">
        <v>2024</v>
      </c>
      <c r="H125" t="s">
        <v>169</v>
      </c>
      <c r="I125" t="s">
        <v>175</v>
      </c>
      <c r="J125" t="s">
        <v>21</v>
      </c>
      <c r="K125">
        <v>46</v>
      </c>
      <c r="L125">
        <v>6</v>
      </c>
      <c r="M125">
        <v>318</v>
      </c>
    </row>
    <row r="126" spans="1:13">
      <c r="A126">
        <v>125</v>
      </c>
      <c r="B126" s="1">
        <v>45564</v>
      </c>
      <c r="C126" t="s">
        <v>28</v>
      </c>
      <c r="D126">
        <v>29</v>
      </c>
      <c r="E126">
        <v>9</v>
      </c>
      <c r="F126">
        <v>3</v>
      </c>
      <c r="G126">
        <v>2024</v>
      </c>
      <c r="H126" t="s">
        <v>169</v>
      </c>
      <c r="I126" t="s">
        <v>114</v>
      </c>
      <c r="J126" t="s">
        <v>23</v>
      </c>
      <c r="K126">
        <v>31</v>
      </c>
      <c r="L126">
        <v>7</v>
      </c>
      <c r="M126">
        <v>239</v>
      </c>
    </row>
    <row r="127" spans="1:13">
      <c r="A127">
        <v>126</v>
      </c>
      <c r="B127" s="1">
        <v>45564</v>
      </c>
      <c r="C127" t="s">
        <v>28</v>
      </c>
      <c r="D127">
        <v>29</v>
      </c>
      <c r="E127">
        <v>9</v>
      </c>
      <c r="F127">
        <v>3</v>
      </c>
      <c r="G127">
        <v>2024</v>
      </c>
      <c r="H127" t="s">
        <v>169</v>
      </c>
      <c r="I127" t="s">
        <v>176</v>
      </c>
      <c r="J127" t="s">
        <v>21</v>
      </c>
      <c r="K127">
        <v>22</v>
      </c>
      <c r="L127">
        <v>13</v>
      </c>
      <c r="M127">
        <v>296</v>
      </c>
    </row>
    <row r="128" spans="1:13">
      <c r="A128">
        <v>127</v>
      </c>
      <c r="B128" s="1">
        <v>45564</v>
      </c>
      <c r="C128" t="s">
        <v>28</v>
      </c>
      <c r="D128">
        <v>29</v>
      </c>
      <c r="E128">
        <v>9</v>
      </c>
      <c r="F128">
        <v>3</v>
      </c>
      <c r="G128">
        <v>2024</v>
      </c>
      <c r="H128" t="s">
        <v>169</v>
      </c>
      <c r="I128" t="s">
        <v>177</v>
      </c>
      <c r="J128" t="s">
        <v>17</v>
      </c>
      <c r="K128">
        <v>21</v>
      </c>
      <c r="L128">
        <v>6</v>
      </c>
      <c r="M128">
        <v>140</v>
      </c>
    </row>
    <row r="129" spans="1:13">
      <c r="A129">
        <v>128</v>
      </c>
      <c r="B129" s="1">
        <v>45564</v>
      </c>
      <c r="C129" t="s">
        <v>28</v>
      </c>
      <c r="D129">
        <v>29</v>
      </c>
      <c r="E129">
        <v>9</v>
      </c>
      <c r="F129">
        <v>3</v>
      </c>
      <c r="G129">
        <v>2024</v>
      </c>
      <c r="H129" t="s">
        <v>169</v>
      </c>
      <c r="I129" t="s">
        <v>52</v>
      </c>
      <c r="J129" t="s">
        <v>21</v>
      </c>
      <c r="K129">
        <v>43</v>
      </c>
      <c r="L129">
        <v>2</v>
      </c>
      <c r="M129">
        <v>109</v>
      </c>
    </row>
    <row r="130" spans="1:13">
      <c r="A130">
        <v>129</v>
      </c>
      <c r="B130" s="1">
        <v>45564</v>
      </c>
      <c r="C130" t="s">
        <v>28</v>
      </c>
      <c r="D130">
        <v>29</v>
      </c>
      <c r="E130">
        <v>9</v>
      </c>
      <c r="F130">
        <v>3</v>
      </c>
      <c r="G130">
        <v>2024</v>
      </c>
      <c r="H130" t="s">
        <v>169</v>
      </c>
      <c r="I130" t="s">
        <v>178</v>
      </c>
      <c r="J130" t="s">
        <v>122</v>
      </c>
      <c r="K130">
        <v>32</v>
      </c>
      <c r="L130">
        <v>10</v>
      </c>
      <c r="M130">
        <v>338</v>
      </c>
    </row>
    <row r="131" spans="1:13">
      <c r="A131">
        <v>130</v>
      </c>
      <c r="B131" s="1">
        <v>45564</v>
      </c>
      <c r="C131" t="s">
        <v>28</v>
      </c>
      <c r="D131">
        <v>29</v>
      </c>
      <c r="E131">
        <v>9</v>
      </c>
      <c r="F131">
        <v>3</v>
      </c>
      <c r="G131">
        <v>2024</v>
      </c>
      <c r="H131" t="s">
        <v>169</v>
      </c>
      <c r="I131" t="s">
        <v>179</v>
      </c>
      <c r="J131" t="s">
        <v>37</v>
      </c>
      <c r="K131">
        <v>26</v>
      </c>
      <c r="L131">
        <v>10</v>
      </c>
      <c r="M131">
        <v>274</v>
      </c>
    </row>
    <row r="132" spans="1:13">
      <c r="A132">
        <v>131</v>
      </c>
      <c r="B132" s="1">
        <v>45623</v>
      </c>
      <c r="C132" t="s">
        <v>34</v>
      </c>
      <c r="D132">
        <v>27</v>
      </c>
      <c r="E132">
        <v>11</v>
      </c>
      <c r="F132">
        <v>4</v>
      </c>
      <c r="G132">
        <v>2024</v>
      </c>
      <c r="H132" t="s">
        <v>160</v>
      </c>
      <c r="I132" t="s">
        <v>118</v>
      </c>
      <c r="J132" t="s">
        <v>31</v>
      </c>
      <c r="K132">
        <v>59</v>
      </c>
      <c r="L132">
        <v>6</v>
      </c>
      <c r="M132">
        <v>365</v>
      </c>
    </row>
    <row r="133" spans="1:13">
      <c r="A133">
        <v>132</v>
      </c>
      <c r="B133" s="1">
        <v>45623</v>
      </c>
      <c r="C133" t="s">
        <v>34</v>
      </c>
      <c r="D133">
        <v>27</v>
      </c>
      <c r="E133">
        <v>11</v>
      </c>
      <c r="F133">
        <v>4</v>
      </c>
      <c r="G133">
        <v>2024</v>
      </c>
      <c r="H133" t="s">
        <v>160</v>
      </c>
      <c r="I133" t="s">
        <v>180</v>
      </c>
      <c r="J133" t="s">
        <v>55</v>
      </c>
      <c r="K133">
        <v>17</v>
      </c>
      <c r="L133">
        <v>16</v>
      </c>
      <c r="M133">
        <v>287</v>
      </c>
    </row>
    <row r="134" spans="1:13">
      <c r="A134">
        <v>133</v>
      </c>
      <c r="B134" s="1">
        <v>45623</v>
      </c>
      <c r="C134" t="s">
        <v>34</v>
      </c>
      <c r="D134">
        <v>27</v>
      </c>
      <c r="E134">
        <v>11</v>
      </c>
      <c r="F134">
        <v>4</v>
      </c>
      <c r="G134">
        <v>2024</v>
      </c>
      <c r="H134" t="s">
        <v>160</v>
      </c>
      <c r="I134" t="s">
        <v>181</v>
      </c>
      <c r="J134" t="s">
        <v>82</v>
      </c>
      <c r="K134">
        <v>54</v>
      </c>
      <c r="L134">
        <v>2</v>
      </c>
      <c r="M134">
        <v>122</v>
      </c>
    </row>
    <row r="135" spans="1:13">
      <c r="A135">
        <v>134</v>
      </c>
      <c r="B135" s="1">
        <v>45623</v>
      </c>
      <c r="C135" t="s">
        <v>34</v>
      </c>
      <c r="D135">
        <v>27</v>
      </c>
      <c r="E135">
        <v>11</v>
      </c>
      <c r="F135">
        <v>4</v>
      </c>
      <c r="G135">
        <v>2024</v>
      </c>
      <c r="H135" t="s">
        <v>160</v>
      </c>
      <c r="I135" t="s">
        <v>182</v>
      </c>
      <c r="J135" t="s">
        <v>39</v>
      </c>
      <c r="K135">
        <v>40</v>
      </c>
      <c r="L135">
        <v>4</v>
      </c>
      <c r="M135">
        <v>181</v>
      </c>
    </row>
    <row r="136" spans="1:13">
      <c r="A136">
        <v>135</v>
      </c>
      <c r="B136" s="1">
        <v>45623</v>
      </c>
      <c r="C136" t="s">
        <v>34</v>
      </c>
      <c r="D136">
        <v>27</v>
      </c>
      <c r="E136">
        <v>11</v>
      </c>
      <c r="F136">
        <v>4</v>
      </c>
      <c r="G136">
        <v>2024</v>
      </c>
      <c r="H136" t="s">
        <v>160</v>
      </c>
      <c r="I136" t="s">
        <v>183</v>
      </c>
      <c r="J136" t="s">
        <v>19</v>
      </c>
      <c r="K136">
        <v>25</v>
      </c>
      <c r="L136">
        <v>10</v>
      </c>
      <c r="M136">
        <v>262</v>
      </c>
    </row>
    <row r="137" spans="1:13">
      <c r="A137">
        <v>136</v>
      </c>
      <c r="B137" s="1">
        <v>45623</v>
      </c>
      <c r="C137" t="s">
        <v>34</v>
      </c>
      <c r="D137">
        <v>27</v>
      </c>
      <c r="E137">
        <v>11</v>
      </c>
      <c r="F137">
        <v>4</v>
      </c>
      <c r="G137">
        <v>2024</v>
      </c>
      <c r="H137" t="s">
        <v>160</v>
      </c>
      <c r="I137" t="s">
        <v>184</v>
      </c>
      <c r="J137" t="s">
        <v>31</v>
      </c>
      <c r="K137">
        <v>55</v>
      </c>
      <c r="L137">
        <v>6</v>
      </c>
      <c r="M137">
        <v>370</v>
      </c>
    </row>
    <row r="138" spans="1:13">
      <c r="A138">
        <v>137</v>
      </c>
      <c r="B138" s="1">
        <v>45623</v>
      </c>
      <c r="C138" t="s">
        <v>34</v>
      </c>
      <c r="D138">
        <v>27</v>
      </c>
      <c r="E138">
        <v>11</v>
      </c>
      <c r="F138">
        <v>4</v>
      </c>
      <c r="G138">
        <v>2024</v>
      </c>
      <c r="H138" t="s">
        <v>160</v>
      </c>
      <c r="I138" t="s">
        <v>185</v>
      </c>
      <c r="J138" t="s">
        <v>57</v>
      </c>
      <c r="K138">
        <v>38</v>
      </c>
      <c r="L138">
        <v>8</v>
      </c>
      <c r="M138">
        <v>338</v>
      </c>
    </row>
    <row r="139" spans="1:13">
      <c r="A139">
        <v>138</v>
      </c>
      <c r="B139" s="1">
        <v>45623</v>
      </c>
      <c r="C139" t="s">
        <v>34</v>
      </c>
      <c r="D139">
        <v>27</v>
      </c>
      <c r="E139">
        <v>11</v>
      </c>
      <c r="F139">
        <v>4</v>
      </c>
      <c r="G139">
        <v>2024</v>
      </c>
      <c r="H139" t="s">
        <v>160</v>
      </c>
      <c r="I139" t="s">
        <v>186</v>
      </c>
      <c r="J139" t="s">
        <v>37</v>
      </c>
      <c r="K139">
        <v>14</v>
      </c>
      <c r="L139">
        <v>12</v>
      </c>
      <c r="M139">
        <v>178</v>
      </c>
    </row>
    <row r="140" spans="1:13">
      <c r="A140">
        <v>139</v>
      </c>
      <c r="B140" s="1">
        <v>45623</v>
      </c>
      <c r="C140" t="s">
        <v>34</v>
      </c>
      <c r="D140">
        <v>27</v>
      </c>
      <c r="E140">
        <v>11</v>
      </c>
      <c r="F140">
        <v>4</v>
      </c>
      <c r="G140">
        <v>2024</v>
      </c>
      <c r="H140" t="s">
        <v>160</v>
      </c>
      <c r="I140" t="s">
        <v>187</v>
      </c>
      <c r="J140" t="s">
        <v>60</v>
      </c>
      <c r="K140">
        <v>49</v>
      </c>
      <c r="L140">
        <v>3</v>
      </c>
      <c r="M140">
        <v>149</v>
      </c>
    </row>
    <row r="141" spans="1:13">
      <c r="A141">
        <v>140</v>
      </c>
      <c r="B141" s="1">
        <v>45623</v>
      </c>
      <c r="C141" t="s">
        <v>34</v>
      </c>
      <c r="D141">
        <v>27</v>
      </c>
      <c r="E141">
        <v>11</v>
      </c>
      <c r="F141">
        <v>4</v>
      </c>
      <c r="G141">
        <v>2024</v>
      </c>
      <c r="H141" t="s">
        <v>160</v>
      </c>
      <c r="I141" t="s">
        <v>188</v>
      </c>
      <c r="J141" t="s">
        <v>57</v>
      </c>
      <c r="K141">
        <v>11</v>
      </c>
      <c r="L141">
        <v>8</v>
      </c>
      <c r="M141">
        <v>88</v>
      </c>
    </row>
    <row r="142" spans="1:13">
      <c r="A142">
        <v>141</v>
      </c>
      <c r="B142" s="1">
        <v>45696</v>
      </c>
      <c r="C142" t="s">
        <v>14</v>
      </c>
      <c r="D142">
        <v>8</v>
      </c>
      <c r="E142">
        <v>2</v>
      </c>
      <c r="F142">
        <v>1</v>
      </c>
      <c r="G142">
        <v>2025</v>
      </c>
      <c r="H142" t="s">
        <v>160</v>
      </c>
      <c r="I142" t="s">
        <v>189</v>
      </c>
      <c r="J142" t="s">
        <v>43</v>
      </c>
      <c r="K142">
        <v>10</v>
      </c>
      <c r="L142">
        <v>31</v>
      </c>
      <c r="M142">
        <v>315</v>
      </c>
    </row>
    <row r="143" spans="1:13">
      <c r="A143">
        <v>142</v>
      </c>
      <c r="B143" s="1">
        <v>45696</v>
      </c>
      <c r="C143" t="s">
        <v>14</v>
      </c>
      <c r="D143">
        <v>8</v>
      </c>
      <c r="E143">
        <v>2</v>
      </c>
      <c r="F143">
        <v>1</v>
      </c>
      <c r="G143">
        <v>2025</v>
      </c>
      <c r="H143" t="s">
        <v>160</v>
      </c>
      <c r="I143" t="s">
        <v>190</v>
      </c>
      <c r="J143" t="s">
        <v>39</v>
      </c>
      <c r="K143">
        <v>47</v>
      </c>
      <c r="L143">
        <v>4</v>
      </c>
      <c r="M143">
        <v>188</v>
      </c>
    </row>
    <row r="144" spans="1:13">
      <c r="A144">
        <v>143</v>
      </c>
      <c r="B144" s="1">
        <v>45696</v>
      </c>
      <c r="C144" t="s">
        <v>14</v>
      </c>
      <c r="D144">
        <v>8</v>
      </c>
      <c r="E144">
        <v>2</v>
      </c>
      <c r="F144">
        <v>1</v>
      </c>
      <c r="G144">
        <v>2025</v>
      </c>
      <c r="H144" t="s">
        <v>160</v>
      </c>
      <c r="I144" t="s">
        <v>191</v>
      </c>
      <c r="J144" t="s">
        <v>60</v>
      </c>
      <c r="K144">
        <v>53</v>
      </c>
      <c r="L144">
        <v>4</v>
      </c>
      <c r="M144">
        <v>214</v>
      </c>
    </row>
    <row r="145" spans="1:13">
      <c r="A145">
        <v>144</v>
      </c>
      <c r="B145" s="1">
        <v>45696</v>
      </c>
      <c r="C145" t="s">
        <v>14</v>
      </c>
      <c r="D145">
        <v>8</v>
      </c>
      <c r="E145">
        <v>2</v>
      </c>
      <c r="F145">
        <v>1</v>
      </c>
      <c r="G145">
        <v>2025</v>
      </c>
      <c r="H145" t="s">
        <v>160</v>
      </c>
      <c r="I145" t="s">
        <v>192</v>
      </c>
      <c r="J145" t="s">
        <v>46</v>
      </c>
      <c r="K145">
        <v>20</v>
      </c>
      <c r="L145">
        <v>8</v>
      </c>
      <c r="M145">
        <v>160</v>
      </c>
    </row>
    <row r="146" spans="1:13">
      <c r="A146">
        <v>145</v>
      </c>
      <c r="B146" s="1">
        <v>45696</v>
      </c>
      <c r="C146" t="s">
        <v>14</v>
      </c>
      <c r="D146">
        <v>8</v>
      </c>
      <c r="E146">
        <v>2</v>
      </c>
      <c r="F146">
        <v>1</v>
      </c>
      <c r="G146">
        <v>2025</v>
      </c>
      <c r="H146" t="s">
        <v>160</v>
      </c>
      <c r="I146" t="s">
        <v>193</v>
      </c>
      <c r="J146" t="s">
        <v>55</v>
      </c>
      <c r="K146">
        <v>20</v>
      </c>
      <c r="L146">
        <v>10</v>
      </c>
      <c r="M146">
        <v>209</v>
      </c>
    </row>
    <row r="147" spans="1:13">
      <c r="A147">
        <v>146</v>
      </c>
      <c r="B147" s="1">
        <v>45696</v>
      </c>
      <c r="C147" t="s">
        <v>14</v>
      </c>
      <c r="D147">
        <v>8</v>
      </c>
      <c r="E147">
        <v>2</v>
      </c>
      <c r="F147">
        <v>1</v>
      </c>
      <c r="G147">
        <v>2025</v>
      </c>
      <c r="H147" t="s">
        <v>160</v>
      </c>
      <c r="I147" t="s">
        <v>138</v>
      </c>
      <c r="J147" t="s">
        <v>97</v>
      </c>
      <c r="K147">
        <v>41</v>
      </c>
      <c r="L147">
        <v>6</v>
      </c>
      <c r="M147">
        <v>265</v>
      </c>
    </row>
    <row r="148" spans="1:13">
      <c r="A148">
        <v>147</v>
      </c>
      <c r="B148" s="1">
        <v>45696</v>
      </c>
      <c r="C148" t="s">
        <v>14</v>
      </c>
      <c r="D148">
        <v>8</v>
      </c>
      <c r="E148">
        <v>2</v>
      </c>
      <c r="F148">
        <v>1</v>
      </c>
      <c r="G148">
        <v>2025</v>
      </c>
      <c r="H148" t="s">
        <v>160</v>
      </c>
      <c r="I148" t="s">
        <v>194</v>
      </c>
      <c r="J148" t="s">
        <v>39</v>
      </c>
      <c r="K148">
        <v>29</v>
      </c>
      <c r="L148">
        <v>8</v>
      </c>
      <c r="M148">
        <v>260</v>
      </c>
    </row>
    <row r="149" spans="1:13">
      <c r="A149">
        <v>148</v>
      </c>
      <c r="B149" s="1">
        <v>45696</v>
      </c>
      <c r="C149" t="s">
        <v>14</v>
      </c>
      <c r="D149">
        <v>8</v>
      </c>
      <c r="E149">
        <v>2</v>
      </c>
      <c r="F149">
        <v>1</v>
      </c>
      <c r="G149">
        <v>2025</v>
      </c>
      <c r="H149" t="s">
        <v>160</v>
      </c>
      <c r="I149" t="s">
        <v>195</v>
      </c>
      <c r="J149" t="s">
        <v>31</v>
      </c>
      <c r="K149">
        <v>58</v>
      </c>
      <c r="L149">
        <v>4</v>
      </c>
      <c r="M149">
        <v>286</v>
      </c>
    </row>
    <row r="150" spans="1:13">
      <c r="A150">
        <v>149</v>
      </c>
      <c r="B150" s="1">
        <v>45696</v>
      </c>
      <c r="C150" t="s">
        <v>14</v>
      </c>
      <c r="D150">
        <v>8</v>
      </c>
      <c r="E150">
        <v>2</v>
      </c>
      <c r="F150">
        <v>1</v>
      </c>
      <c r="G150">
        <v>2025</v>
      </c>
      <c r="H150" t="s">
        <v>160</v>
      </c>
      <c r="I150" t="s">
        <v>124</v>
      </c>
      <c r="J150" t="s">
        <v>82</v>
      </c>
      <c r="K150">
        <v>20</v>
      </c>
      <c r="L150">
        <v>13</v>
      </c>
      <c r="M150">
        <v>268</v>
      </c>
    </row>
    <row r="151" spans="1:13">
      <c r="A151">
        <v>150</v>
      </c>
      <c r="B151" s="1">
        <v>45696</v>
      </c>
      <c r="C151" t="s">
        <v>14</v>
      </c>
      <c r="D151">
        <v>8</v>
      </c>
      <c r="E151">
        <v>2</v>
      </c>
      <c r="F151">
        <v>1</v>
      </c>
      <c r="G151">
        <v>2025</v>
      </c>
      <c r="H151" t="s">
        <v>160</v>
      </c>
      <c r="I151" t="s">
        <v>133</v>
      </c>
      <c r="J151" t="s">
        <v>97</v>
      </c>
      <c r="K151">
        <v>32</v>
      </c>
      <c r="L151">
        <v>10</v>
      </c>
      <c r="M151">
        <v>350</v>
      </c>
    </row>
    <row r="152" spans="1:13">
      <c r="A152">
        <v>151</v>
      </c>
      <c r="B152" s="1">
        <v>45793</v>
      </c>
      <c r="C152" t="s">
        <v>79</v>
      </c>
      <c r="D152">
        <v>16</v>
      </c>
      <c r="E152">
        <v>5</v>
      </c>
      <c r="F152">
        <v>2</v>
      </c>
      <c r="G152">
        <v>2025</v>
      </c>
      <c r="H152" t="s">
        <v>196</v>
      </c>
      <c r="I152" t="s">
        <v>197</v>
      </c>
      <c r="J152" t="s">
        <v>19</v>
      </c>
      <c r="K152">
        <v>41</v>
      </c>
      <c r="L152">
        <v>5</v>
      </c>
      <c r="M152">
        <v>217</v>
      </c>
    </row>
    <row r="153" spans="1:13">
      <c r="A153">
        <v>152</v>
      </c>
      <c r="B153" s="1">
        <v>45793</v>
      </c>
      <c r="C153" t="s">
        <v>79</v>
      </c>
      <c r="D153">
        <v>16</v>
      </c>
      <c r="E153">
        <v>5</v>
      </c>
      <c r="F153">
        <v>2</v>
      </c>
      <c r="G153">
        <v>2025</v>
      </c>
      <c r="H153" t="s">
        <v>196</v>
      </c>
      <c r="I153" t="s">
        <v>198</v>
      </c>
      <c r="J153" t="s">
        <v>43</v>
      </c>
      <c r="K153">
        <v>48</v>
      </c>
      <c r="L153">
        <v>3</v>
      </c>
      <c r="M153">
        <v>154</v>
      </c>
    </row>
    <row r="154" spans="1:13">
      <c r="A154">
        <v>153</v>
      </c>
      <c r="B154" s="1">
        <v>46069</v>
      </c>
      <c r="C154" t="s">
        <v>93</v>
      </c>
      <c r="D154">
        <v>16</v>
      </c>
      <c r="E154">
        <v>2</v>
      </c>
      <c r="F154">
        <v>1</v>
      </c>
      <c r="G154">
        <v>2026</v>
      </c>
      <c r="H154" t="s">
        <v>199</v>
      </c>
      <c r="I154" t="s">
        <v>200</v>
      </c>
      <c r="J154" t="s">
        <v>17</v>
      </c>
      <c r="K154">
        <v>30</v>
      </c>
      <c r="L154">
        <v>6</v>
      </c>
      <c r="M154">
        <v>199</v>
      </c>
    </row>
    <row r="155" spans="1:13">
      <c r="A155">
        <v>154</v>
      </c>
      <c r="B155" s="1">
        <v>46069</v>
      </c>
      <c r="C155" t="s">
        <v>93</v>
      </c>
      <c r="D155">
        <v>16</v>
      </c>
      <c r="E155">
        <v>2</v>
      </c>
      <c r="F155">
        <v>1</v>
      </c>
      <c r="G155">
        <v>2026</v>
      </c>
      <c r="H155" t="s">
        <v>199</v>
      </c>
      <c r="I155" t="s">
        <v>201</v>
      </c>
      <c r="J155" t="s">
        <v>37</v>
      </c>
      <c r="K155">
        <v>27</v>
      </c>
      <c r="L155">
        <v>8</v>
      </c>
      <c r="M155">
        <v>239</v>
      </c>
    </row>
    <row r="156" spans="1:13">
      <c r="A156">
        <v>155</v>
      </c>
      <c r="B156" s="1">
        <v>46069</v>
      </c>
      <c r="C156" t="s">
        <v>93</v>
      </c>
      <c r="D156">
        <v>16</v>
      </c>
      <c r="E156">
        <v>2</v>
      </c>
      <c r="F156">
        <v>1</v>
      </c>
      <c r="G156">
        <v>2026</v>
      </c>
      <c r="H156" t="s">
        <v>199</v>
      </c>
      <c r="I156" t="s">
        <v>202</v>
      </c>
      <c r="J156" t="s">
        <v>17</v>
      </c>
      <c r="K156">
        <v>45</v>
      </c>
      <c r="L156">
        <v>6</v>
      </c>
      <c r="M156">
        <v>291</v>
      </c>
    </row>
    <row r="157" spans="1:13">
      <c r="A157">
        <v>156</v>
      </c>
      <c r="B157" s="1">
        <v>46069</v>
      </c>
      <c r="C157" t="s">
        <v>93</v>
      </c>
      <c r="D157">
        <v>16</v>
      </c>
      <c r="E157">
        <v>2</v>
      </c>
      <c r="F157">
        <v>1</v>
      </c>
      <c r="G157">
        <v>2026</v>
      </c>
      <c r="H157" t="s">
        <v>199</v>
      </c>
      <c r="I157" t="s">
        <v>203</v>
      </c>
      <c r="J157" t="s">
        <v>100</v>
      </c>
      <c r="K157">
        <v>58</v>
      </c>
      <c r="L157">
        <v>1</v>
      </c>
      <c r="M157">
        <v>61</v>
      </c>
    </row>
    <row r="158" spans="1:13">
      <c r="A158">
        <v>157</v>
      </c>
      <c r="B158" s="1">
        <v>46069</v>
      </c>
      <c r="C158" t="s">
        <v>93</v>
      </c>
      <c r="D158">
        <v>16</v>
      </c>
      <c r="E158">
        <v>2</v>
      </c>
      <c r="F158">
        <v>1</v>
      </c>
      <c r="G158">
        <v>2026</v>
      </c>
      <c r="H158" t="s">
        <v>199</v>
      </c>
      <c r="I158" t="s">
        <v>204</v>
      </c>
      <c r="J158" t="s">
        <v>97</v>
      </c>
      <c r="K158">
        <v>59</v>
      </c>
      <c r="L158">
        <v>4</v>
      </c>
      <c r="M158">
        <v>246</v>
      </c>
    </row>
    <row r="159" spans="1:13">
      <c r="A159">
        <v>158</v>
      </c>
      <c r="B159" s="1">
        <v>46069</v>
      </c>
      <c r="C159" t="s">
        <v>93</v>
      </c>
      <c r="D159">
        <v>16</v>
      </c>
      <c r="E159">
        <v>2</v>
      </c>
      <c r="F159">
        <v>1</v>
      </c>
      <c r="G159">
        <v>2026</v>
      </c>
      <c r="H159" t="s">
        <v>199</v>
      </c>
      <c r="I159" t="s">
        <v>127</v>
      </c>
      <c r="J159" t="s">
        <v>21</v>
      </c>
      <c r="K159">
        <v>33</v>
      </c>
      <c r="L159">
        <v>11</v>
      </c>
      <c r="M159">
        <v>391</v>
      </c>
    </row>
    <row r="160" spans="1:13">
      <c r="A160">
        <v>159</v>
      </c>
      <c r="B160" s="1">
        <v>46069</v>
      </c>
      <c r="C160" t="s">
        <v>93</v>
      </c>
      <c r="D160">
        <v>16</v>
      </c>
      <c r="E160">
        <v>2</v>
      </c>
      <c r="F160">
        <v>1</v>
      </c>
      <c r="G160">
        <v>2026</v>
      </c>
      <c r="H160" t="s">
        <v>199</v>
      </c>
      <c r="I160" t="s">
        <v>142</v>
      </c>
      <c r="J160" t="s">
        <v>60</v>
      </c>
      <c r="K160">
        <v>32</v>
      </c>
      <c r="L160">
        <v>4</v>
      </c>
      <c r="M160">
        <v>134</v>
      </c>
    </row>
    <row r="161" spans="1:13">
      <c r="A161">
        <v>160</v>
      </c>
      <c r="B161" s="1">
        <v>46265</v>
      </c>
      <c r="C161" t="s">
        <v>93</v>
      </c>
      <c r="D161">
        <v>31</v>
      </c>
      <c r="E161">
        <v>8</v>
      </c>
      <c r="F161">
        <v>3</v>
      </c>
      <c r="G161">
        <v>2026</v>
      </c>
      <c r="H161" t="s">
        <v>205</v>
      </c>
      <c r="I161" t="s">
        <v>206</v>
      </c>
      <c r="J161" t="s">
        <v>82</v>
      </c>
      <c r="K161">
        <v>45</v>
      </c>
      <c r="L161">
        <v>2</v>
      </c>
      <c r="M161">
        <v>104</v>
      </c>
    </row>
    <row r="162" spans="1:13">
      <c r="A162">
        <v>161</v>
      </c>
      <c r="B162" s="1">
        <v>46265</v>
      </c>
      <c r="C162" t="s">
        <v>93</v>
      </c>
      <c r="D162">
        <v>31</v>
      </c>
      <c r="E162">
        <v>8</v>
      </c>
      <c r="F162">
        <v>3</v>
      </c>
      <c r="G162">
        <v>2026</v>
      </c>
      <c r="H162" t="s">
        <v>205</v>
      </c>
      <c r="I162" t="s">
        <v>207</v>
      </c>
      <c r="J162" t="s">
        <v>19</v>
      </c>
      <c r="K162">
        <v>20</v>
      </c>
      <c r="L162">
        <v>8</v>
      </c>
      <c r="M162">
        <v>160</v>
      </c>
    </row>
    <row r="163" spans="1:13">
      <c r="A163">
        <v>162</v>
      </c>
      <c r="B163" s="1">
        <v>46265</v>
      </c>
      <c r="C163" t="s">
        <v>93</v>
      </c>
      <c r="D163">
        <v>31</v>
      </c>
      <c r="E163">
        <v>8</v>
      </c>
      <c r="F163">
        <v>3</v>
      </c>
      <c r="G163">
        <v>2026</v>
      </c>
      <c r="H163" t="s">
        <v>205</v>
      </c>
      <c r="I163" t="s">
        <v>208</v>
      </c>
      <c r="J163" t="s">
        <v>43</v>
      </c>
      <c r="K163">
        <v>52</v>
      </c>
      <c r="L163">
        <v>6</v>
      </c>
      <c r="M163">
        <v>331</v>
      </c>
    </row>
    <row r="164" spans="1:13">
      <c r="A164">
        <v>163</v>
      </c>
      <c r="B164" s="1">
        <v>46265</v>
      </c>
      <c r="C164" t="s">
        <v>93</v>
      </c>
      <c r="D164">
        <v>31</v>
      </c>
      <c r="E164">
        <v>8</v>
      </c>
      <c r="F164">
        <v>3</v>
      </c>
      <c r="G164">
        <v>2026</v>
      </c>
      <c r="H164" t="s">
        <v>205</v>
      </c>
      <c r="I164" t="s">
        <v>209</v>
      </c>
      <c r="J164" t="s">
        <v>25</v>
      </c>
      <c r="K164">
        <v>45</v>
      </c>
      <c r="L164">
        <v>4</v>
      </c>
      <c r="M164">
        <v>198</v>
      </c>
    </row>
    <row r="165" spans="1:13">
      <c r="A165">
        <v>164</v>
      </c>
      <c r="B165" s="1">
        <v>46265</v>
      </c>
      <c r="C165" t="s">
        <v>93</v>
      </c>
      <c r="D165">
        <v>31</v>
      </c>
      <c r="E165">
        <v>8</v>
      </c>
      <c r="F165">
        <v>3</v>
      </c>
      <c r="G165">
        <v>2026</v>
      </c>
      <c r="H165" t="s">
        <v>205</v>
      </c>
      <c r="I165" t="s">
        <v>109</v>
      </c>
      <c r="J165" t="s">
        <v>46</v>
      </c>
      <c r="K165">
        <v>18</v>
      </c>
      <c r="L165">
        <v>5</v>
      </c>
      <c r="M165">
        <v>107</v>
      </c>
    </row>
    <row r="166" spans="1:13">
      <c r="A166">
        <v>165</v>
      </c>
      <c r="B166" s="1">
        <v>46265</v>
      </c>
      <c r="C166" t="s">
        <v>93</v>
      </c>
      <c r="D166">
        <v>31</v>
      </c>
      <c r="E166">
        <v>8</v>
      </c>
      <c r="F166">
        <v>3</v>
      </c>
      <c r="G166">
        <v>2026</v>
      </c>
      <c r="H166" t="s">
        <v>205</v>
      </c>
      <c r="I166" t="s">
        <v>210</v>
      </c>
      <c r="J166" t="s">
        <v>55</v>
      </c>
      <c r="K166">
        <v>57</v>
      </c>
      <c r="L166">
        <v>5</v>
      </c>
      <c r="M166">
        <v>314</v>
      </c>
    </row>
    <row r="167" spans="1:13">
      <c r="A167">
        <v>166</v>
      </c>
      <c r="B167" s="1">
        <v>45871</v>
      </c>
      <c r="C167" t="s">
        <v>14</v>
      </c>
      <c r="D167">
        <v>2</v>
      </c>
      <c r="E167">
        <v>8</v>
      </c>
      <c r="F167">
        <v>3</v>
      </c>
      <c r="G167">
        <v>2025</v>
      </c>
      <c r="H167" t="s">
        <v>211</v>
      </c>
      <c r="I167" t="s">
        <v>212</v>
      </c>
      <c r="J167" t="s">
        <v>57</v>
      </c>
      <c r="K167">
        <v>51</v>
      </c>
      <c r="L167">
        <v>9</v>
      </c>
      <c r="M167">
        <v>465</v>
      </c>
    </row>
    <row r="168" spans="1:13">
      <c r="A168">
        <v>167</v>
      </c>
      <c r="B168" s="1">
        <v>45871</v>
      </c>
      <c r="C168" t="s">
        <v>14</v>
      </c>
      <c r="D168">
        <v>2</v>
      </c>
      <c r="E168">
        <v>8</v>
      </c>
      <c r="F168">
        <v>3</v>
      </c>
      <c r="G168">
        <v>2025</v>
      </c>
      <c r="H168" t="s">
        <v>211</v>
      </c>
      <c r="I168" t="s">
        <v>213</v>
      </c>
      <c r="J168" t="s">
        <v>69</v>
      </c>
      <c r="K168">
        <v>53</v>
      </c>
      <c r="L168">
        <v>6</v>
      </c>
      <c r="M168">
        <v>329</v>
      </c>
    </row>
    <row r="169" spans="1:13">
      <c r="A169">
        <v>168</v>
      </c>
      <c r="B169" s="1">
        <v>45871</v>
      </c>
      <c r="C169" t="s">
        <v>14</v>
      </c>
      <c r="D169">
        <v>2</v>
      </c>
      <c r="E169">
        <v>8</v>
      </c>
      <c r="F169">
        <v>3</v>
      </c>
      <c r="G169">
        <v>2025</v>
      </c>
      <c r="H169" t="s">
        <v>211</v>
      </c>
      <c r="I169" t="s">
        <v>214</v>
      </c>
      <c r="J169" t="s">
        <v>69</v>
      </c>
      <c r="K169">
        <v>30</v>
      </c>
      <c r="L169">
        <v>7</v>
      </c>
      <c r="M169">
        <v>229</v>
      </c>
    </row>
    <row r="170" spans="1:13">
      <c r="A170">
        <v>169</v>
      </c>
      <c r="B170" s="1">
        <v>45871</v>
      </c>
      <c r="C170" t="s">
        <v>14</v>
      </c>
      <c r="D170">
        <v>2</v>
      </c>
      <c r="E170">
        <v>8</v>
      </c>
      <c r="F170">
        <v>3</v>
      </c>
      <c r="G170">
        <v>2025</v>
      </c>
      <c r="H170" t="s">
        <v>211</v>
      </c>
      <c r="I170" t="s">
        <v>128</v>
      </c>
      <c r="J170" t="s">
        <v>55</v>
      </c>
      <c r="K170">
        <v>19</v>
      </c>
      <c r="L170">
        <v>4</v>
      </c>
      <c r="M170">
        <v>84</v>
      </c>
    </row>
    <row r="171" spans="1:13">
      <c r="A171">
        <v>170</v>
      </c>
      <c r="B171" s="1">
        <v>45871</v>
      </c>
      <c r="C171" t="s">
        <v>14</v>
      </c>
      <c r="D171">
        <v>2</v>
      </c>
      <c r="E171">
        <v>8</v>
      </c>
      <c r="F171">
        <v>3</v>
      </c>
      <c r="G171">
        <v>2025</v>
      </c>
      <c r="H171" t="s">
        <v>211</v>
      </c>
      <c r="I171" t="s">
        <v>215</v>
      </c>
      <c r="J171" t="s">
        <v>51</v>
      </c>
      <c r="K171">
        <v>12</v>
      </c>
      <c r="L171">
        <v>22</v>
      </c>
      <c r="M171">
        <v>272</v>
      </c>
    </row>
    <row r="172" spans="1:13">
      <c r="A172">
        <v>171</v>
      </c>
      <c r="B172" s="1">
        <v>45871</v>
      </c>
      <c r="C172" t="s">
        <v>14</v>
      </c>
      <c r="D172">
        <v>2</v>
      </c>
      <c r="E172">
        <v>8</v>
      </c>
      <c r="F172">
        <v>3</v>
      </c>
      <c r="G172">
        <v>2025</v>
      </c>
      <c r="H172" t="s">
        <v>211</v>
      </c>
      <c r="I172" t="s">
        <v>216</v>
      </c>
      <c r="J172" t="s">
        <v>100</v>
      </c>
      <c r="K172">
        <v>56</v>
      </c>
      <c r="L172">
        <v>4</v>
      </c>
      <c r="M172">
        <v>234</v>
      </c>
    </row>
    <row r="173" spans="1:13">
      <c r="A173">
        <v>172</v>
      </c>
      <c r="B173" s="1">
        <v>45871</v>
      </c>
      <c r="C173" t="s">
        <v>14</v>
      </c>
      <c r="D173">
        <v>2</v>
      </c>
      <c r="E173">
        <v>8</v>
      </c>
      <c r="F173">
        <v>3</v>
      </c>
      <c r="G173">
        <v>2025</v>
      </c>
      <c r="H173" t="s">
        <v>211</v>
      </c>
      <c r="I173" t="s">
        <v>217</v>
      </c>
      <c r="J173" t="s">
        <v>60</v>
      </c>
      <c r="K173">
        <v>21</v>
      </c>
      <c r="L173">
        <v>14</v>
      </c>
      <c r="M173">
        <v>295</v>
      </c>
    </row>
    <row r="174" spans="1:13">
      <c r="A174">
        <v>173</v>
      </c>
      <c r="B174" s="1">
        <v>45871</v>
      </c>
      <c r="C174" t="s">
        <v>14</v>
      </c>
      <c r="D174">
        <v>2</v>
      </c>
      <c r="E174">
        <v>8</v>
      </c>
      <c r="F174">
        <v>3</v>
      </c>
      <c r="G174">
        <v>2025</v>
      </c>
      <c r="H174" t="s">
        <v>211</v>
      </c>
      <c r="I174" t="s">
        <v>218</v>
      </c>
      <c r="J174" t="s">
        <v>97</v>
      </c>
      <c r="K174">
        <v>19</v>
      </c>
      <c r="L174">
        <v>12</v>
      </c>
      <c r="M174">
        <v>237</v>
      </c>
    </row>
    <row r="175" spans="1:13">
      <c r="A175">
        <v>174</v>
      </c>
      <c r="B175" s="1">
        <v>45871</v>
      </c>
      <c r="C175" t="s">
        <v>14</v>
      </c>
      <c r="D175">
        <v>2</v>
      </c>
      <c r="E175">
        <v>8</v>
      </c>
      <c r="F175">
        <v>3</v>
      </c>
      <c r="G175">
        <v>2025</v>
      </c>
      <c r="H175" t="s">
        <v>211</v>
      </c>
      <c r="I175" t="s">
        <v>219</v>
      </c>
      <c r="J175" t="s">
        <v>39</v>
      </c>
      <c r="K175">
        <v>23</v>
      </c>
      <c r="L175">
        <v>12</v>
      </c>
      <c r="M175">
        <v>279</v>
      </c>
    </row>
    <row r="176" spans="1:13">
      <c r="A176">
        <v>175</v>
      </c>
      <c r="B176" s="1">
        <v>45871</v>
      </c>
      <c r="C176" t="s">
        <v>14</v>
      </c>
      <c r="D176">
        <v>2</v>
      </c>
      <c r="E176">
        <v>8</v>
      </c>
      <c r="F176">
        <v>3</v>
      </c>
      <c r="G176">
        <v>2025</v>
      </c>
      <c r="H176" t="s">
        <v>211</v>
      </c>
      <c r="I176" t="s">
        <v>220</v>
      </c>
      <c r="J176" t="s">
        <v>97</v>
      </c>
      <c r="K176">
        <v>12</v>
      </c>
      <c r="L176">
        <v>28</v>
      </c>
      <c r="M176">
        <v>341</v>
      </c>
    </row>
    <row r="177" spans="1:13">
      <c r="A177">
        <v>176</v>
      </c>
      <c r="B177" s="1">
        <v>45871</v>
      </c>
      <c r="C177" t="s">
        <v>14</v>
      </c>
      <c r="D177">
        <v>2</v>
      </c>
      <c r="E177">
        <v>8</v>
      </c>
      <c r="F177">
        <v>3</v>
      </c>
      <c r="G177">
        <v>2025</v>
      </c>
      <c r="H177" t="s">
        <v>211</v>
      </c>
      <c r="I177" t="s">
        <v>221</v>
      </c>
      <c r="J177" t="s">
        <v>60</v>
      </c>
      <c r="K177">
        <v>22</v>
      </c>
      <c r="L177">
        <v>16</v>
      </c>
      <c r="M177">
        <v>366</v>
      </c>
    </row>
    <row r="178" spans="1:13">
      <c r="A178">
        <v>177</v>
      </c>
      <c r="B178" s="1">
        <v>45632</v>
      </c>
      <c r="C178" t="s">
        <v>79</v>
      </c>
      <c r="D178">
        <v>6</v>
      </c>
      <c r="E178">
        <v>12</v>
      </c>
      <c r="F178">
        <v>4</v>
      </c>
      <c r="G178">
        <v>2024</v>
      </c>
      <c r="H178" t="s">
        <v>222</v>
      </c>
      <c r="I178" t="s">
        <v>223</v>
      </c>
      <c r="J178" t="s">
        <v>19</v>
      </c>
      <c r="K178">
        <v>20</v>
      </c>
      <c r="L178">
        <v>11</v>
      </c>
      <c r="M178">
        <v>223</v>
      </c>
    </row>
    <row r="179" spans="1:13">
      <c r="A179">
        <v>178</v>
      </c>
      <c r="B179" s="1">
        <v>45632</v>
      </c>
      <c r="C179" t="s">
        <v>79</v>
      </c>
      <c r="D179">
        <v>6</v>
      </c>
      <c r="E179">
        <v>12</v>
      </c>
      <c r="F179">
        <v>4</v>
      </c>
      <c r="G179">
        <v>2024</v>
      </c>
      <c r="H179" t="s">
        <v>222</v>
      </c>
      <c r="I179" t="s">
        <v>224</v>
      </c>
      <c r="J179" t="s">
        <v>39</v>
      </c>
      <c r="K179">
        <v>57</v>
      </c>
      <c r="L179">
        <v>2</v>
      </c>
      <c r="M179">
        <v>131</v>
      </c>
    </row>
    <row r="180" spans="1:13">
      <c r="A180">
        <v>179</v>
      </c>
      <c r="B180" s="1">
        <v>45632</v>
      </c>
      <c r="C180" t="s">
        <v>79</v>
      </c>
      <c r="D180">
        <v>6</v>
      </c>
      <c r="E180">
        <v>12</v>
      </c>
      <c r="F180">
        <v>4</v>
      </c>
      <c r="G180">
        <v>2024</v>
      </c>
      <c r="H180" t="s">
        <v>222</v>
      </c>
      <c r="I180" t="s">
        <v>81</v>
      </c>
      <c r="J180" t="s">
        <v>82</v>
      </c>
      <c r="K180">
        <v>54</v>
      </c>
      <c r="L180">
        <v>1</v>
      </c>
      <c r="M180">
        <v>56</v>
      </c>
    </row>
    <row r="181" spans="1:13">
      <c r="A181">
        <v>180</v>
      </c>
      <c r="B181" s="1">
        <v>45632</v>
      </c>
      <c r="C181" t="s">
        <v>79</v>
      </c>
      <c r="D181">
        <v>6</v>
      </c>
      <c r="E181">
        <v>12</v>
      </c>
      <c r="F181">
        <v>4</v>
      </c>
      <c r="G181">
        <v>2024</v>
      </c>
      <c r="H181" t="s">
        <v>222</v>
      </c>
      <c r="I181" t="s">
        <v>76</v>
      </c>
      <c r="J181" t="s">
        <v>69</v>
      </c>
      <c r="K181">
        <v>16</v>
      </c>
      <c r="L181">
        <v>19</v>
      </c>
      <c r="M181">
        <v>308</v>
      </c>
    </row>
    <row r="182" spans="1:13">
      <c r="A182">
        <v>181</v>
      </c>
      <c r="B182" s="1">
        <v>45632</v>
      </c>
      <c r="C182" t="s">
        <v>79</v>
      </c>
      <c r="D182">
        <v>6</v>
      </c>
      <c r="E182">
        <v>12</v>
      </c>
      <c r="F182">
        <v>4</v>
      </c>
      <c r="G182">
        <v>2024</v>
      </c>
      <c r="H182" t="s">
        <v>222</v>
      </c>
      <c r="I182" t="s">
        <v>225</v>
      </c>
      <c r="J182" t="s">
        <v>21</v>
      </c>
      <c r="K182">
        <v>50</v>
      </c>
      <c r="L182">
        <v>6</v>
      </c>
      <c r="M182">
        <v>333</v>
      </c>
    </row>
    <row r="183" spans="1:13">
      <c r="A183">
        <v>182</v>
      </c>
      <c r="B183" s="1">
        <v>45632</v>
      </c>
      <c r="C183" t="s">
        <v>79</v>
      </c>
      <c r="D183">
        <v>6</v>
      </c>
      <c r="E183">
        <v>12</v>
      </c>
      <c r="F183">
        <v>4</v>
      </c>
      <c r="G183">
        <v>2024</v>
      </c>
      <c r="H183" t="s">
        <v>222</v>
      </c>
      <c r="I183" t="s">
        <v>226</v>
      </c>
      <c r="J183" t="s">
        <v>97</v>
      </c>
      <c r="K183">
        <v>48</v>
      </c>
      <c r="L183">
        <v>5</v>
      </c>
      <c r="M183">
        <v>272</v>
      </c>
    </row>
    <row r="184" spans="1:13">
      <c r="A184">
        <v>183</v>
      </c>
      <c r="B184" s="1">
        <v>45916</v>
      </c>
      <c r="C184" t="s">
        <v>48</v>
      </c>
      <c r="D184">
        <v>16</v>
      </c>
      <c r="E184">
        <v>9</v>
      </c>
      <c r="F184">
        <v>3</v>
      </c>
      <c r="G184">
        <v>2025</v>
      </c>
      <c r="H184" t="s">
        <v>227</v>
      </c>
      <c r="I184" t="s">
        <v>150</v>
      </c>
      <c r="J184" t="s">
        <v>60</v>
      </c>
      <c r="K184">
        <v>60</v>
      </c>
      <c r="L184">
        <v>3</v>
      </c>
      <c r="M184">
        <v>237</v>
      </c>
    </row>
    <row r="185" spans="1:13">
      <c r="A185">
        <v>184</v>
      </c>
      <c r="B185" s="1">
        <v>45916</v>
      </c>
      <c r="C185" t="s">
        <v>48</v>
      </c>
      <c r="D185">
        <v>16</v>
      </c>
      <c r="E185">
        <v>9</v>
      </c>
      <c r="F185">
        <v>3</v>
      </c>
      <c r="G185">
        <v>2025</v>
      </c>
      <c r="H185" t="s">
        <v>227</v>
      </c>
      <c r="I185" t="s">
        <v>124</v>
      </c>
      <c r="J185" t="s">
        <v>82</v>
      </c>
      <c r="K185">
        <v>37</v>
      </c>
      <c r="L185">
        <v>7</v>
      </c>
      <c r="M185">
        <v>261</v>
      </c>
    </row>
    <row r="186" spans="1:13">
      <c r="A186">
        <v>185</v>
      </c>
      <c r="B186" s="1">
        <v>45916</v>
      </c>
      <c r="C186" t="s">
        <v>48</v>
      </c>
      <c r="D186">
        <v>16</v>
      </c>
      <c r="E186">
        <v>9</v>
      </c>
      <c r="F186">
        <v>3</v>
      </c>
      <c r="G186">
        <v>2025</v>
      </c>
      <c r="H186" t="s">
        <v>227</v>
      </c>
      <c r="I186" t="s">
        <v>220</v>
      </c>
      <c r="J186" t="s">
        <v>97</v>
      </c>
      <c r="K186">
        <v>29</v>
      </c>
      <c r="L186">
        <v>10</v>
      </c>
      <c r="M186">
        <v>318</v>
      </c>
    </row>
    <row r="187" spans="1:13">
      <c r="A187">
        <v>186</v>
      </c>
      <c r="B187" s="1">
        <v>45916</v>
      </c>
      <c r="C187" t="s">
        <v>48</v>
      </c>
      <c r="D187">
        <v>16</v>
      </c>
      <c r="E187">
        <v>9</v>
      </c>
      <c r="F187">
        <v>3</v>
      </c>
      <c r="G187">
        <v>2025</v>
      </c>
      <c r="H187" t="s">
        <v>227</v>
      </c>
      <c r="I187" t="s">
        <v>216</v>
      </c>
      <c r="J187" t="s">
        <v>100</v>
      </c>
      <c r="K187">
        <v>32</v>
      </c>
      <c r="L187">
        <v>7</v>
      </c>
      <c r="M187">
        <v>240</v>
      </c>
    </row>
    <row r="188" spans="1:13">
      <c r="A188">
        <v>187</v>
      </c>
      <c r="B188" s="1">
        <v>45916</v>
      </c>
      <c r="C188" t="s">
        <v>48</v>
      </c>
      <c r="D188">
        <v>16</v>
      </c>
      <c r="E188">
        <v>9</v>
      </c>
      <c r="F188">
        <v>3</v>
      </c>
      <c r="G188">
        <v>2025</v>
      </c>
      <c r="H188" t="s">
        <v>227</v>
      </c>
      <c r="I188" t="s">
        <v>176</v>
      </c>
      <c r="J188" t="s">
        <v>21</v>
      </c>
      <c r="K188">
        <v>48</v>
      </c>
      <c r="L188">
        <v>6</v>
      </c>
      <c r="M188">
        <v>317</v>
      </c>
    </row>
    <row r="189" spans="1:13">
      <c r="A189">
        <v>188</v>
      </c>
      <c r="B189" s="1">
        <v>45916</v>
      </c>
      <c r="C189" t="s">
        <v>48</v>
      </c>
      <c r="D189">
        <v>16</v>
      </c>
      <c r="E189">
        <v>9</v>
      </c>
      <c r="F189">
        <v>3</v>
      </c>
      <c r="G189">
        <v>2025</v>
      </c>
      <c r="H189" t="s">
        <v>227</v>
      </c>
      <c r="I189" t="s">
        <v>184</v>
      </c>
      <c r="J189" t="s">
        <v>31</v>
      </c>
      <c r="K189">
        <v>34</v>
      </c>
      <c r="L189">
        <v>9</v>
      </c>
      <c r="M189">
        <v>328</v>
      </c>
    </row>
    <row r="190" spans="1:13">
      <c r="A190">
        <v>189</v>
      </c>
      <c r="B190" s="1">
        <v>45916</v>
      </c>
      <c r="C190" t="s">
        <v>48</v>
      </c>
      <c r="D190">
        <v>16</v>
      </c>
      <c r="E190">
        <v>9</v>
      </c>
      <c r="F190">
        <v>3</v>
      </c>
      <c r="G190">
        <v>2025</v>
      </c>
      <c r="H190" t="s">
        <v>227</v>
      </c>
      <c r="I190" t="s">
        <v>228</v>
      </c>
      <c r="J190" t="s">
        <v>23</v>
      </c>
      <c r="K190">
        <v>33</v>
      </c>
      <c r="L190">
        <v>8</v>
      </c>
      <c r="M190">
        <v>294</v>
      </c>
    </row>
    <row r="191" spans="1:13">
      <c r="A191">
        <v>190</v>
      </c>
      <c r="B191" s="1">
        <v>45916</v>
      </c>
      <c r="C191" t="s">
        <v>48</v>
      </c>
      <c r="D191">
        <v>16</v>
      </c>
      <c r="E191">
        <v>9</v>
      </c>
      <c r="F191">
        <v>3</v>
      </c>
      <c r="G191">
        <v>2025</v>
      </c>
      <c r="H191" t="s">
        <v>227</v>
      </c>
      <c r="I191" t="s">
        <v>229</v>
      </c>
      <c r="J191" t="s">
        <v>97</v>
      </c>
      <c r="K191">
        <v>42</v>
      </c>
      <c r="L191">
        <v>7</v>
      </c>
      <c r="M191">
        <v>297</v>
      </c>
    </row>
    <row r="192" spans="1:13">
      <c r="A192">
        <v>191</v>
      </c>
      <c r="B192" s="1">
        <v>45916</v>
      </c>
      <c r="C192" t="s">
        <v>48</v>
      </c>
      <c r="D192">
        <v>16</v>
      </c>
      <c r="E192">
        <v>9</v>
      </c>
      <c r="F192">
        <v>3</v>
      </c>
      <c r="G192">
        <v>2025</v>
      </c>
      <c r="H192" t="s">
        <v>227</v>
      </c>
      <c r="I192" t="s">
        <v>230</v>
      </c>
      <c r="J192" t="s">
        <v>46</v>
      </c>
      <c r="K192">
        <v>33</v>
      </c>
      <c r="L192">
        <v>9</v>
      </c>
      <c r="M192">
        <v>311</v>
      </c>
    </row>
    <row r="193" spans="1:13">
      <c r="A193">
        <v>192</v>
      </c>
      <c r="B193" s="1">
        <v>45916</v>
      </c>
      <c r="C193" t="s">
        <v>48</v>
      </c>
      <c r="D193">
        <v>16</v>
      </c>
      <c r="E193">
        <v>9</v>
      </c>
      <c r="F193">
        <v>3</v>
      </c>
      <c r="G193">
        <v>2025</v>
      </c>
      <c r="H193" t="s">
        <v>227</v>
      </c>
      <c r="I193" t="s">
        <v>231</v>
      </c>
      <c r="J193" t="s">
        <v>37</v>
      </c>
      <c r="K193">
        <v>20</v>
      </c>
      <c r="L193">
        <v>8</v>
      </c>
      <c r="M193">
        <v>168</v>
      </c>
    </row>
    <row r="194" spans="1:13">
      <c r="A194">
        <v>193</v>
      </c>
      <c r="B194" s="1">
        <v>45687</v>
      </c>
      <c r="C194" t="s">
        <v>105</v>
      </c>
      <c r="D194">
        <v>30</v>
      </c>
      <c r="E194">
        <v>1</v>
      </c>
      <c r="F194">
        <v>1</v>
      </c>
      <c r="G194">
        <v>2025</v>
      </c>
      <c r="H194" t="s">
        <v>49</v>
      </c>
      <c r="I194" t="s">
        <v>232</v>
      </c>
      <c r="J194" t="s">
        <v>97</v>
      </c>
      <c r="K194">
        <v>45</v>
      </c>
      <c r="L194">
        <v>6</v>
      </c>
      <c r="M194">
        <v>289</v>
      </c>
    </row>
    <row r="195" spans="1:13">
      <c r="A195">
        <v>194</v>
      </c>
      <c r="B195" s="1">
        <v>45687</v>
      </c>
      <c r="C195" t="s">
        <v>105</v>
      </c>
      <c r="D195">
        <v>30</v>
      </c>
      <c r="E195">
        <v>1</v>
      </c>
      <c r="F195">
        <v>1</v>
      </c>
      <c r="G195">
        <v>2025</v>
      </c>
      <c r="H195" t="s">
        <v>49</v>
      </c>
      <c r="I195" t="s">
        <v>233</v>
      </c>
      <c r="J195" t="s">
        <v>122</v>
      </c>
      <c r="K195">
        <v>10</v>
      </c>
      <c r="L195">
        <v>22</v>
      </c>
      <c r="M195">
        <v>221</v>
      </c>
    </row>
    <row r="196" spans="1:13">
      <c r="A196">
        <v>195</v>
      </c>
      <c r="B196" s="1">
        <v>45687</v>
      </c>
      <c r="C196" t="s">
        <v>105</v>
      </c>
      <c r="D196">
        <v>30</v>
      </c>
      <c r="E196">
        <v>1</v>
      </c>
      <c r="F196">
        <v>1</v>
      </c>
      <c r="G196">
        <v>2025</v>
      </c>
      <c r="H196" t="s">
        <v>49</v>
      </c>
      <c r="I196" t="s">
        <v>234</v>
      </c>
      <c r="J196" t="s">
        <v>82</v>
      </c>
      <c r="K196">
        <v>22</v>
      </c>
      <c r="L196">
        <v>17</v>
      </c>
      <c r="M196">
        <v>376</v>
      </c>
    </row>
    <row r="197" spans="1:13">
      <c r="A197">
        <v>196</v>
      </c>
      <c r="B197" s="1">
        <v>45687</v>
      </c>
      <c r="C197" t="s">
        <v>105</v>
      </c>
      <c r="D197">
        <v>30</v>
      </c>
      <c r="E197">
        <v>1</v>
      </c>
      <c r="F197">
        <v>1</v>
      </c>
      <c r="G197">
        <v>2025</v>
      </c>
      <c r="H197" t="s">
        <v>49</v>
      </c>
      <c r="I197" t="s">
        <v>200</v>
      </c>
      <c r="J197" t="s">
        <v>17</v>
      </c>
      <c r="K197">
        <v>55</v>
      </c>
      <c r="L197">
        <v>3</v>
      </c>
      <c r="M197">
        <v>177</v>
      </c>
    </row>
    <row r="198" spans="1:13">
      <c r="A198">
        <v>197</v>
      </c>
      <c r="B198" s="1">
        <v>45687</v>
      </c>
      <c r="C198" t="s">
        <v>105</v>
      </c>
      <c r="D198">
        <v>30</v>
      </c>
      <c r="E198">
        <v>1</v>
      </c>
      <c r="F198">
        <v>1</v>
      </c>
      <c r="G198">
        <v>2025</v>
      </c>
      <c r="H198" t="s">
        <v>49</v>
      </c>
      <c r="I198" t="s">
        <v>235</v>
      </c>
      <c r="J198" t="s">
        <v>19</v>
      </c>
      <c r="K198">
        <v>54</v>
      </c>
      <c r="L198">
        <v>5</v>
      </c>
      <c r="M198">
        <v>298</v>
      </c>
    </row>
    <row r="199" spans="1:13">
      <c r="A199">
        <v>198</v>
      </c>
      <c r="B199" s="1">
        <v>45687</v>
      </c>
      <c r="C199" t="s">
        <v>105</v>
      </c>
      <c r="D199">
        <v>30</v>
      </c>
      <c r="E199">
        <v>1</v>
      </c>
      <c r="F199">
        <v>1</v>
      </c>
      <c r="G199">
        <v>2025</v>
      </c>
      <c r="H199" t="s">
        <v>49</v>
      </c>
      <c r="I199" t="s">
        <v>236</v>
      </c>
      <c r="J199" t="s">
        <v>60</v>
      </c>
      <c r="K199">
        <v>10</v>
      </c>
      <c r="L199">
        <v>26</v>
      </c>
      <c r="M199">
        <v>267</v>
      </c>
    </row>
    <row r="200" spans="1:13">
      <c r="A200">
        <v>199</v>
      </c>
      <c r="B200" s="1">
        <v>45687</v>
      </c>
      <c r="C200" t="s">
        <v>105</v>
      </c>
      <c r="D200">
        <v>30</v>
      </c>
      <c r="E200">
        <v>1</v>
      </c>
      <c r="F200">
        <v>1</v>
      </c>
      <c r="G200">
        <v>2025</v>
      </c>
      <c r="H200" t="s">
        <v>49</v>
      </c>
      <c r="I200" t="s">
        <v>237</v>
      </c>
      <c r="J200" t="s">
        <v>27</v>
      </c>
      <c r="K200">
        <v>39</v>
      </c>
      <c r="L200">
        <v>3</v>
      </c>
      <c r="M200">
        <v>147</v>
      </c>
    </row>
    <row r="201" spans="1:13">
      <c r="A201">
        <v>200</v>
      </c>
      <c r="B201" s="1">
        <v>45687</v>
      </c>
      <c r="C201" t="s">
        <v>105</v>
      </c>
      <c r="D201">
        <v>30</v>
      </c>
      <c r="E201">
        <v>1</v>
      </c>
      <c r="F201">
        <v>1</v>
      </c>
      <c r="G201">
        <v>2025</v>
      </c>
      <c r="H201" t="s">
        <v>49</v>
      </c>
      <c r="I201" t="s">
        <v>238</v>
      </c>
      <c r="J201" t="s">
        <v>97</v>
      </c>
      <c r="K201">
        <v>51</v>
      </c>
      <c r="L201">
        <v>5</v>
      </c>
      <c r="M201">
        <v>264</v>
      </c>
    </row>
    <row r="202" spans="1:13">
      <c r="A202">
        <v>201</v>
      </c>
      <c r="B202" s="1">
        <v>45588</v>
      </c>
      <c r="C202" t="s">
        <v>34</v>
      </c>
      <c r="D202">
        <v>23</v>
      </c>
      <c r="E202">
        <v>10</v>
      </c>
      <c r="F202">
        <v>4</v>
      </c>
      <c r="G202">
        <v>2024</v>
      </c>
      <c r="H202" t="s">
        <v>196</v>
      </c>
      <c r="I202" t="s">
        <v>239</v>
      </c>
      <c r="J202" t="s">
        <v>23</v>
      </c>
      <c r="K202">
        <v>18</v>
      </c>
      <c r="L202">
        <v>19</v>
      </c>
      <c r="M202">
        <v>345</v>
      </c>
    </row>
    <row r="203" spans="1:13">
      <c r="A203">
        <v>202</v>
      </c>
      <c r="B203" s="1">
        <v>45588</v>
      </c>
      <c r="C203" t="s">
        <v>34</v>
      </c>
      <c r="D203">
        <v>23</v>
      </c>
      <c r="E203">
        <v>10</v>
      </c>
      <c r="F203">
        <v>4</v>
      </c>
      <c r="G203">
        <v>2024</v>
      </c>
      <c r="H203" t="s">
        <v>196</v>
      </c>
      <c r="I203" t="s">
        <v>240</v>
      </c>
      <c r="J203" t="s">
        <v>23</v>
      </c>
      <c r="K203">
        <v>55</v>
      </c>
      <c r="L203">
        <v>8</v>
      </c>
      <c r="M203">
        <v>442</v>
      </c>
    </row>
    <row r="204" spans="1:13">
      <c r="A204">
        <v>203</v>
      </c>
      <c r="B204" s="1">
        <v>45588</v>
      </c>
      <c r="C204" t="s">
        <v>34</v>
      </c>
      <c r="D204">
        <v>23</v>
      </c>
      <c r="E204">
        <v>10</v>
      </c>
      <c r="F204">
        <v>4</v>
      </c>
      <c r="G204">
        <v>2024</v>
      </c>
      <c r="H204" t="s">
        <v>196</v>
      </c>
      <c r="I204" t="s">
        <v>241</v>
      </c>
      <c r="J204" t="s">
        <v>31</v>
      </c>
      <c r="K204">
        <v>57</v>
      </c>
      <c r="L204">
        <v>4</v>
      </c>
      <c r="M204">
        <v>238</v>
      </c>
    </row>
    <row r="205" spans="1:13">
      <c r="A205">
        <v>204</v>
      </c>
      <c r="B205" s="1">
        <v>45588</v>
      </c>
      <c r="C205" t="s">
        <v>34</v>
      </c>
      <c r="D205">
        <v>23</v>
      </c>
      <c r="E205">
        <v>10</v>
      </c>
      <c r="F205">
        <v>4</v>
      </c>
      <c r="G205">
        <v>2024</v>
      </c>
      <c r="H205" t="s">
        <v>196</v>
      </c>
      <c r="I205" t="s">
        <v>59</v>
      </c>
      <c r="J205" t="s">
        <v>60</v>
      </c>
      <c r="K205">
        <v>48</v>
      </c>
      <c r="L205">
        <v>3</v>
      </c>
      <c r="M205">
        <v>153</v>
      </c>
    </row>
    <row r="206" spans="1:13">
      <c r="A206">
        <v>205</v>
      </c>
      <c r="B206" s="1">
        <v>45588</v>
      </c>
      <c r="C206" t="s">
        <v>34</v>
      </c>
      <c r="D206">
        <v>23</v>
      </c>
      <c r="E206">
        <v>10</v>
      </c>
      <c r="F206">
        <v>4</v>
      </c>
      <c r="G206">
        <v>2024</v>
      </c>
      <c r="H206" t="s">
        <v>196</v>
      </c>
      <c r="I206" t="s">
        <v>242</v>
      </c>
      <c r="J206" t="s">
        <v>19</v>
      </c>
      <c r="K206">
        <v>49</v>
      </c>
      <c r="L206">
        <v>7</v>
      </c>
      <c r="M206">
        <v>358</v>
      </c>
    </row>
    <row r="207" spans="1:13">
      <c r="A207">
        <v>206</v>
      </c>
      <c r="B207" s="1">
        <v>45588</v>
      </c>
      <c r="C207" t="s">
        <v>34</v>
      </c>
      <c r="D207">
        <v>23</v>
      </c>
      <c r="E207">
        <v>10</v>
      </c>
      <c r="F207">
        <v>4</v>
      </c>
      <c r="G207">
        <v>2024</v>
      </c>
      <c r="H207" t="s">
        <v>196</v>
      </c>
      <c r="I207" t="s">
        <v>134</v>
      </c>
      <c r="J207" t="s">
        <v>100</v>
      </c>
      <c r="K207">
        <v>12</v>
      </c>
      <c r="L207">
        <v>14</v>
      </c>
      <c r="M207">
        <v>173</v>
      </c>
    </row>
    <row r="208" spans="1:13">
      <c r="A208">
        <v>207</v>
      </c>
      <c r="B208" s="1">
        <v>45588</v>
      </c>
      <c r="C208" t="s">
        <v>34</v>
      </c>
      <c r="D208">
        <v>23</v>
      </c>
      <c r="E208">
        <v>10</v>
      </c>
      <c r="F208">
        <v>4</v>
      </c>
      <c r="G208">
        <v>2024</v>
      </c>
      <c r="H208" t="s">
        <v>196</v>
      </c>
      <c r="I208" t="s">
        <v>243</v>
      </c>
      <c r="J208" t="s">
        <v>57</v>
      </c>
      <c r="K208">
        <v>58</v>
      </c>
      <c r="L208">
        <v>6</v>
      </c>
      <c r="M208">
        <v>401</v>
      </c>
    </row>
    <row r="209" spans="1:13">
      <c r="A209">
        <v>208</v>
      </c>
      <c r="B209" s="1">
        <v>45683</v>
      </c>
      <c r="C209" t="s">
        <v>28</v>
      </c>
      <c r="D209">
        <v>26</v>
      </c>
      <c r="E209">
        <v>1</v>
      </c>
      <c r="F209">
        <v>1</v>
      </c>
      <c r="G209">
        <v>2025</v>
      </c>
      <c r="H209" t="s">
        <v>244</v>
      </c>
      <c r="I209" t="s">
        <v>245</v>
      </c>
      <c r="J209" t="s">
        <v>43</v>
      </c>
      <c r="K209">
        <v>23</v>
      </c>
      <c r="L209">
        <v>17</v>
      </c>
      <c r="M209">
        <v>403</v>
      </c>
    </row>
    <row r="210" spans="1:13">
      <c r="A210">
        <v>209</v>
      </c>
      <c r="B210" s="1">
        <v>45629</v>
      </c>
      <c r="C210" t="s">
        <v>48</v>
      </c>
      <c r="D210">
        <v>3</v>
      </c>
      <c r="E210">
        <v>12</v>
      </c>
      <c r="F210">
        <v>4</v>
      </c>
      <c r="G210">
        <v>2024</v>
      </c>
      <c r="H210" t="s">
        <v>136</v>
      </c>
      <c r="I210" t="s">
        <v>26</v>
      </c>
      <c r="J210" t="s">
        <v>27</v>
      </c>
      <c r="K210">
        <v>17</v>
      </c>
      <c r="L210">
        <v>16</v>
      </c>
      <c r="M210">
        <v>282</v>
      </c>
    </row>
    <row r="211" spans="1:13">
      <c r="A211">
        <v>210</v>
      </c>
      <c r="B211" s="1">
        <v>45629</v>
      </c>
      <c r="C211" t="s">
        <v>48</v>
      </c>
      <c r="D211">
        <v>3</v>
      </c>
      <c r="E211">
        <v>12</v>
      </c>
      <c r="F211">
        <v>4</v>
      </c>
      <c r="G211">
        <v>2024</v>
      </c>
      <c r="H211" t="s">
        <v>136</v>
      </c>
      <c r="I211" t="s">
        <v>246</v>
      </c>
      <c r="J211" t="s">
        <v>23</v>
      </c>
      <c r="K211">
        <v>26</v>
      </c>
      <c r="L211">
        <v>11</v>
      </c>
      <c r="M211">
        <v>308</v>
      </c>
    </row>
    <row r="212" spans="1:13">
      <c r="A212">
        <v>211</v>
      </c>
      <c r="B212" s="1">
        <v>45629</v>
      </c>
      <c r="C212" t="s">
        <v>48</v>
      </c>
      <c r="D212">
        <v>3</v>
      </c>
      <c r="E212">
        <v>12</v>
      </c>
      <c r="F212">
        <v>4</v>
      </c>
      <c r="G212">
        <v>2024</v>
      </c>
      <c r="H212" t="s">
        <v>136</v>
      </c>
      <c r="I212" t="s">
        <v>247</v>
      </c>
      <c r="J212" t="s">
        <v>55</v>
      </c>
      <c r="K212">
        <v>53</v>
      </c>
      <c r="L212">
        <v>4</v>
      </c>
      <c r="M212">
        <v>256</v>
      </c>
    </row>
    <row r="213" spans="1:13">
      <c r="A213">
        <v>212</v>
      </c>
      <c r="B213" s="1">
        <v>45629</v>
      </c>
      <c r="C213" t="s">
        <v>48</v>
      </c>
      <c r="D213">
        <v>3</v>
      </c>
      <c r="E213">
        <v>12</v>
      </c>
      <c r="F213">
        <v>4</v>
      </c>
      <c r="G213">
        <v>2024</v>
      </c>
      <c r="H213" t="s">
        <v>136</v>
      </c>
      <c r="I213" t="s">
        <v>248</v>
      </c>
      <c r="J213" t="s">
        <v>100</v>
      </c>
      <c r="K213">
        <v>16</v>
      </c>
      <c r="L213">
        <v>8</v>
      </c>
      <c r="M213">
        <v>137</v>
      </c>
    </row>
    <row r="214" spans="1:13">
      <c r="A214">
        <v>213</v>
      </c>
      <c r="B214" s="1">
        <v>46049</v>
      </c>
      <c r="C214" t="s">
        <v>48</v>
      </c>
      <c r="D214">
        <v>27</v>
      </c>
      <c r="E214">
        <v>1</v>
      </c>
      <c r="F214">
        <v>1</v>
      </c>
      <c r="G214">
        <v>2026</v>
      </c>
      <c r="H214" t="s">
        <v>249</v>
      </c>
      <c r="I214" t="s">
        <v>250</v>
      </c>
      <c r="J214" t="s">
        <v>19</v>
      </c>
      <c r="K214">
        <v>16</v>
      </c>
      <c r="L214">
        <v>12</v>
      </c>
      <c r="M214">
        <v>202</v>
      </c>
    </row>
    <row r="215" spans="1:13">
      <c r="A215">
        <v>214</v>
      </c>
      <c r="B215" s="1">
        <v>46049</v>
      </c>
      <c r="C215" t="s">
        <v>48</v>
      </c>
      <c r="D215">
        <v>27</v>
      </c>
      <c r="E215">
        <v>1</v>
      </c>
      <c r="F215">
        <v>1</v>
      </c>
      <c r="G215">
        <v>2026</v>
      </c>
      <c r="H215" t="s">
        <v>249</v>
      </c>
      <c r="I215" t="s">
        <v>251</v>
      </c>
      <c r="J215" t="s">
        <v>122</v>
      </c>
      <c r="K215">
        <v>37</v>
      </c>
      <c r="L215">
        <v>8</v>
      </c>
      <c r="M215">
        <v>319</v>
      </c>
    </row>
    <row r="216" spans="1:13">
      <c r="A216">
        <v>215</v>
      </c>
      <c r="B216" s="1">
        <v>46049</v>
      </c>
      <c r="C216" t="s">
        <v>48</v>
      </c>
      <c r="D216">
        <v>27</v>
      </c>
      <c r="E216">
        <v>1</v>
      </c>
      <c r="F216">
        <v>1</v>
      </c>
      <c r="G216">
        <v>2026</v>
      </c>
      <c r="H216" t="s">
        <v>249</v>
      </c>
      <c r="I216" t="s">
        <v>143</v>
      </c>
      <c r="J216" t="s">
        <v>69</v>
      </c>
      <c r="K216">
        <v>21</v>
      </c>
      <c r="L216">
        <v>12</v>
      </c>
      <c r="M216">
        <v>257</v>
      </c>
    </row>
    <row r="217" spans="1:13">
      <c r="A217">
        <v>216</v>
      </c>
      <c r="B217" s="1">
        <v>45677</v>
      </c>
      <c r="C217" t="s">
        <v>93</v>
      </c>
      <c r="D217">
        <v>20</v>
      </c>
      <c r="E217">
        <v>1</v>
      </c>
      <c r="F217">
        <v>1</v>
      </c>
      <c r="G217">
        <v>2025</v>
      </c>
      <c r="H217" t="s">
        <v>252</v>
      </c>
      <c r="I217" t="s">
        <v>143</v>
      </c>
      <c r="J217" t="s">
        <v>69</v>
      </c>
      <c r="K217">
        <v>20</v>
      </c>
      <c r="L217">
        <v>12</v>
      </c>
      <c r="M217">
        <v>259</v>
      </c>
    </row>
    <row r="218" spans="1:13">
      <c r="A218">
        <v>217</v>
      </c>
      <c r="B218" s="1">
        <v>45677</v>
      </c>
      <c r="C218" t="s">
        <v>93</v>
      </c>
      <c r="D218">
        <v>20</v>
      </c>
      <c r="E218">
        <v>1</v>
      </c>
      <c r="F218">
        <v>1</v>
      </c>
      <c r="G218">
        <v>2025</v>
      </c>
      <c r="H218" t="s">
        <v>252</v>
      </c>
      <c r="I218" t="s">
        <v>253</v>
      </c>
      <c r="J218" t="s">
        <v>23</v>
      </c>
      <c r="K218">
        <v>24</v>
      </c>
      <c r="L218">
        <v>5</v>
      </c>
      <c r="M218">
        <v>127</v>
      </c>
    </row>
    <row r="219" spans="1:13">
      <c r="A219">
        <v>218</v>
      </c>
      <c r="B219" s="1">
        <v>45677</v>
      </c>
      <c r="C219" t="s">
        <v>93</v>
      </c>
      <c r="D219">
        <v>20</v>
      </c>
      <c r="E219">
        <v>1</v>
      </c>
      <c r="F219">
        <v>1</v>
      </c>
      <c r="G219">
        <v>2025</v>
      </c>
      <c r="H219" t="s">
        <v>252</v>
      </c>
      <c r="I219" t="s">
        <v>254</v>
      </c>
      <c r="J219" t="s">
        <v>51</v>
      </c>
      <c r="K219">
        <v>23</v>
      </c>
      <c r="L219">
        <v>13</v>
      </c>
      <c r="M219">
        <v>319</v>
      </c>
    </row>
    <row r="220" spans="1:13">
      <c r="A220">
        <v>219</v>
      </c>
      <c r="B220" s="1">
        <v>45677</v>
      </c>
      <c r="C220" t="s">
        <v>93</v>
      </c>
      <c r="D220">
        <v>20</v>
      </c>
      <c r="E220">
        <v>1</v>
      </c>
      <c r="F220">
        <v>1</v>
      </c>
      <c r="G220">
        <v>2025</v>
      </c>
      <c r="H220" t="s">
        <v>252</v>
      </c>
      <c r="I220" t="s">
        <v>163</v>
      </c>
      <c r="J220" t="s">
        <v>97</v>
      </c>
      <c r="K220">
        <v>42</v>
      </c>
      <c r="L220">
        <v>6</v>
      </c>
      <c r="M220">
        <v>255</v>
      </c>
    </row>
    <row r="221" spans="1:13">
      <c r="A221">
        <v>220</v>
      </c>
      <c r="B221" s="1">
        <v>45677</v>
      </c>
      <c r="C221" t="s">
        <v>93</v>
      </c>
      <c r="D221">
        <v>20</v>
      </c>
      <c r="E221">
        <v>1</v>
      </c>
      <c r="F221">
        <v>1</v>
      </c>
      <c r="G221">
        <v>2025</v>
      </c>
      <c r="H221" t="s">
        <v>252</v>
      </c>
      <c r="I221" t="s">
        <v>32</v>
      </c>
      <c r="J221" t="s">
        <v>19</v>
      </c>
      <c r="K221">
        <v>26</v>
      </c>
      <c r="L221">
        <v>9</v>
      </c>
      <c r="M221">
        <v>240</v>
      </c>
    </row>
    <row r="222" spans="1:13">
      <c r="A222">
        <v>221</v>
      </c>
      <c r="B222" s="1">
        <v>45677</v>
      </c>
      <c r="C222" t="s">
        <v>93</v>
      </c>
      <c r="D222">
        <v>20</v>
      </c>
      <c r="E222">
        <v>1</v>
      </c>
      <c r="F222">
        <v>1</v>
      </c>
      <c r="G222">
        <v>2025</v>
      </c>
      <c r="H222" t="s">
        <v>252</v>
      </c>
      <c r="I222" t="s">
        <v>255</v>
      </c>
      <c r="J222" t="s">
        <v>39</v>
      </c>
      <c r="K222">
        <v>28</v>
      </c>
      <c r="L222">
        <v>10</v>
      </c>
      <c r="M222">
        <v>286</v>
      </c>
    </row>
    <row r="223" spans="1:13">
      <c r="A223">
        <v>222</v>
      </c>
      <c r="B223" s="1">
        <v>45677</v>
      </c>
      <c r="C223" t="s">
        <v>93</v>
      </c>
      <c r="D223">
        <v>20</v>
      </c>
      <c r="E223">
        <v>1</v>
      </c>
      <c r="F223">
        <v>1</v>
      </c>
      <c r="G223">
        <v>2025</v>
      </c>
      <c r="H223" t="s">
        <v>252</v>
      </c>
      <c r="I223" t="s">
        <v>193</v>
      </c>
      <c r="J223" t="s">
        <v>55</v>
      </c>
      <c r="K223">
        <v>59</v>
      </c>
      <c r="L223">
        <v>3</v>
      </c>
      <c r="M223">
        <v>214</v>
      </c>
    </row>
    <row r="224" spans="1:13">
      <c r="A224">
        <v>223</v>
      </c>
      <c r="B224" s="1">
        <v>45677</v>
      </c>
      <c r="C224" t="s">
        <v>93</v>
      </c>
      <c r="D224">
        <v>20</v>
      </c>
      <c r="E224">
        <v>1</v>
      </c>
      <c r="F224">
        <v>1</v>
      </c>
      <c r="G224">
        <v>2025</v>
      </c>
      <c r="H224" t="s">
        <v>252</v>
      </c>
      <c r="I224" t="s">
        <v>256</v>
      </c>
      <c r="J224" t="s">
        <v>31</v>
      </c>
      <c r="K224">
        <v>10</v>
      </c>
      <c r="L224">
        <v>11</v>
      </c>
      <c r="M224">
        <v>116</v>
      </c>
    </row>
    <row r="225" spans="1:13">
      <c r="A225">
        <v>224</v>
      </c>
      <c r="B225" s="1">
        <v>45677</v>
      </c>
      <c r="C225" t="s">
        <v>93</v>
      </c>
      <c r="D225">
        <v>20</v>
      </c>
      <c r="E225">
        <v>1</v>
      </c>
      <c r="F225">
        <v>1</v>
      </c>
      <c r="G225">
        <v>2025</v>
      </c>
      <c r="H225" t="s">
        <v>252</v>
      </c>
      <c r="I225" t="s">
        <v>42</v>
      </c>
      <c r="J225" t="s">
        <v>43</v>
      </c>
      <c r="K225">
        <v>23</v>
      </c>
      <c r="L225">
        <v>16</v>
      </c>
      <c r="M225">
        <v>375</v>
      </c>
    </row>
    <row r="226" spans="1:13">
      <c r="A226">
        <v>225</v>
      </c>
      <c r="B226" s="1">
        <v>45677</v>
      </c>
      <c r="C226" t="s">
        <v>93</v>
      </c>
      <c r="D226">
        <v>20</v>
      </c>
      <c r="E226">
        <v>1</v>
      </c>
      <c r="F226">
        <v>1</v>
      </c>
      <c r="G226">
        <v>2025</v>
      </c>
      <c r="H226" t="s">
        <v>252</v>
      </c>
      <c r="I226" t="s">
        <v>257</v>
      </c>
      <c r="J226" t="s">
        <v>57</v>
      </c>
      <c r="K226">
        <v>10</v>
      </c>
      <c r="L226">
        <v>23</v>
      </c>
      <c r="M226">
        <v>230</v>
      </c>
    </row>
    <row r="227" spans="1:13">
      <c r="A227">
        <v>226</v>
      </c>
      <c r="B227" s="1">
        <v>45677</v>
      </c>
      <c r="C227" t="s">
        <v>93</v>
      </c>
      <c r="D227">
        <v>20</v>
      </c>
      <c r="E227">
        <v>1</v>
      </c>
      <c r="F227">
        <v>1</v>
      </c>
      <c r="G227">
        <v>2025</v>
      </c>
      <c r="H227" t="s">
        <v>252</v>
      </c>
      <c r="I227" t="s">
        <v>258</v>
      </c>
      <c r="J227" t="s">
        <v>57</v>
      </c>
      <c r="K227">
        <v>33</v>
      </c>
      <c r="L227">
        <v>9</v>
      </c>
      <c r="M227">
        <v>316</v>
      </c>
    </row>
    <row r="228" spans="1:13">
      <c r="A228">
        <v>227</v>
      </c>
      <c r="B228" s="1">
        <v>46251</v>
      </c>
      <c r="C228" t="s">
        <v>93</v>
      </c>
      <c r="D228">
        <v>17</v>
      </c>
      <c r="E228">
        <v>8</v>
      </c>
      <c r="F228">
        <v>3</v>
      </c>
      <c r="G228">
        <v>2026</v>
      </c>
      <c r="H228" t="s">
        <v>259</v>
      </c>
      <c r="I228" t="s">
        <v>260</v>
      </c>
      <c r="J228" t="s">
        <v>46</v>
      </c>
      <c r="K228">
        <v>10</v>
      </c>
      <c r="L228">
        <v>16</v>
      </c>
      <c r="M228">
        <v>160</v>
      </c>
    </row>
    <row r="229" spans="1:13">
      <c r="A229">
        <v>228</v>
      </c>
      <c r="B229" s="1">
        <v>46251</v>
      </c>
      <c r="C229" t="s">
        <v>93</v>
      </c>
      <c r="D229">
        <v>17</v>
      </c>
      <c r="E229">
        <v>8</v>
      </c>
      <c r="F229">
        <v>3</v>
      </c>
      <c r="G229">
        <v>2026</v>
      </c>
      <c r="H229" t="s">
        <v>259</v>
      </c>
      <c r="I229" t="s">
        <v>261</v>
      </c>
      <c r="J229" t="s">
        <v>31</v>
      </c>
      <c r="K229">
        <v>32</v>
      </c>
      <c r="L229">
        <v>9</v>
      </c>
      <c r="M229">
        <v>318</v>
      </c>
    </row>
    <row r="230" spans="1:13">
      <c r="A230">
        <v>229</v>
      </c>
      <c r="B230" s="1">
        <v>46251</v>
      </c>
      <c r="C230" t="s">
        <v>93</v>
      </c>
      <c r="D230">
        <v>17</v>
      </c>
      <c r="E230">
        <v>8</v>
      </c>
      <c r="F230">
        <v>3</v>
      </c>
      <c r="G230">
        <v>2026</v>
      </c>
      <c r="H230" t="s">
        <v>259</v>
      </c>
      <c r="I230" t="s">
        <v>262</v>
      </c>
      <c r="J230" t="s">
        <v>21</v>
      </c>
      <c r="K230">
        <v>53</v>
      </c>
      <c r="L230">
        <v>4</v>
      </c>
      <c r="M230">
        <v>260</v>
      </c>
    </row>
    <row r="231" spans="1:13">
      <c r="A231">
        <v>230</v>
      </c>
      <c r="B231" s="1">
        <v>46251</v>
      </c>
      <c r="C231" t="s">
        <v>93</v>
      </c>
      <c r="D231">
        <v>17</v>
      </c>
      <c r="E231">
        <v>8</v>
      </c>
      <c r="F231">
        <v>3</v>
      </c>
      <c r="G231">
        <v>2026</v>
      </c>
      <c r="H231" t="s">
        <v>259</v>
      </c>
      <c r="I231" t="s">
        <v>263</v>
      </c>
      <c r="J231" t="s">
        <v>60</v>
      </c>
      <c r="K231">
        <v>58</v>
      </c>
      <c r="L231">
        <v>3</v>
      </c>
      <c r="M231">
        <v>224</v>
      </c>
    </row>
    <row r="232" spans="1:13">
      <c r="A232">
        <v>231</v>
      </c>
      <c r="B232" s="1">
        <v>46157</v>
      </c>
      <c r="C232" t="s">
        <v>79</v>
      </c>
      <c r="D232">
        <v>15</v>
      </c>
      <c r="E232">
        <v>5</v>
      </c>
      <c r="F232">
        <v>2</v>
      </c>
      <c r="G232">
        <v>2026</v>
      </c>
      <c r="H232" t="s">
        <v>264</v>
      </c>
      <c r="I232" t="s">
        <v>265</v>
      </c>
      <c r="J232" t="s">
        <v>46</v>
      </c>
      <c r="K232">
        <v>23</v>
      </c>
      <c r="L232">
        <v>15</v>
      </c>
      <c r="M232">
        <v>366</v>
      </c>
    </row>
    <row r="233" spans="1:13">
      <c r="A233">
        <v>232</v>
      </c>
      <c r="B233" s="1">
        <v>46157</v>
      </c>
      <c r="C233" t="s">
        <v>79</v>
      </c>
      <c r="D233">
        <v>15</v>
      </c>
      <c r="E233">
        <v>5</v>
      </c>
      <c r="F233">
        <v>2</v>
      </c>
      <c r="G233">
        <v>2026</v>
      </c>
      <c r="H233" t="s">
        <v>264</v>
      </c>
      <c r="I233" t="s">
        <v>266</v>
      </c>
      <c r="J233" t="s">
        <v>19</v>
      </c>
      <c r="K233">
        <v>43</v>
      </c>
      <c r="L233">
        <v>5</v>
      </c>
      <c r="M233">
        <v>242</v>
      </c>
    </row>
    <row r="234" spans="1:13">
      <c r="A234">
        <v>233</v>
      </c>
      <c r="B234" s="1">
        <v>46157</v>
      </c>
      <c r="C234" t="s">
        <v>79</v>
      </c>
      <c r="D234">
        <v>15</v>
      </c>
      <c r="E234">
        <v>5</v>
      </c>
      <c r="F234">
        <v>2</v>
      </c>
      <c r="G234">
        <v>2026</v>
      </c>
      <c r="H234" t="s">
        <v>264</v>
      </c>
      <c r="I234" t="s">
        <v>267</v>
      </c>
      <c r="J234" t="s">
        <v>25</v>
      </c>
      <c r="K234">
        <v>45</v>
      </c>
      <c r="L234">
        <v>8</v>
      </c>
      <c r="M234">
        <v>366</v>
      </c>
    </row>
    <row r="235" spans="1:13">
      <c r="A235">
        <v>234</v>
      </c>
      <c r="B235" s="1">
        <v>46157</v>
      </c>
      <c r="C235" t="s">
        <v>79</v>
      </c>
      <c r="D235">
        <v>15</v>
      </c>
      <c r="E235">
        <v>5</v>
      </c>
      <c r="F235">
        <v>2</v>
      </c>
      <c r="G235">
        <v>2026</v>
      </c>
      <c r="H235" t="s">
        <v>264</v>
      </c>
      <c r="I235" t="s">
        <v>268</v>
      </c>
      <c r="J235" t="s">
        <v>97</v>
      </c>
      <c r="K235">
        <v>30</v>
      </c>
      <c r="L235">
        <v>8</v>
      </c>
      <c r="M235">
        <v>259</v>
      </c>
    </row>
    <row r="236" spans="1:13">
      <c r="A236">
        <v>235</v>
      </c>
      <c r="B236" s="1">
        <v>46157</v>
      </c>
      <c r="C236" t="s">
        <v>79</v>
      </c>
      <c r="D236">
        <v>15</v>
      </c>
      <c r="E236">
        <v>5</v>
      </c>
      <c r="F236">
        <v>2</v>
      </c>
      <c r="G236">
        <v>2026</v>
      </c>
      <c r="H236" t="s">
        <v>264</v>
      </c>
      <c r="I236" t="s">
        <v>269</v>
      </c>
      <c r="J236" t="s">
        <v>60</v>
      </c>
      <c r="K236">
        <v>35</v>
      </c>
      <c r="L236">
        <v>5</v>
      </c>
      <c r="M236">
        <v>191</v>
      </c>
    </row>
    <row r="237" spans="1:13">
      <c r="A237">
        <v>236</v>
      </c>
      <c r="B237" s="1">
        <v>46157</v>
      </c>
      <c r="C237" t="s">
        <v>79</v>
      </c>
      <c r="D237">
        <v>15</v>
      </c>
      <c r="E237">
        <v>5</v>
      </c>
      <c r="F237">
        <v>2</v>
      </c>
      <c r="G237">
        <v>2026</v>
      </c>
      <c r="H237" t="s">
        <v>264</v>
      </c>
      <c r="I237" t="s">
        <v>270</v>
      </c>
      <c r="J237" t="s">
        <v>55</v>
      </c>
      <c r="K237">
        <v>54</v>
      </c>
      <c r="L237">
        <v>4</v>
      </c>
      <c r="M237">
        <v>219</v>
      </c>
    </row>
    <row r="238" spans="1:13">
      <c r="A238">
        <v>237</v>
      </c>
      <c r="B238" s="1">
        <v>46157</v>
      </c>
      <c r="C238" t="s">
        <v>79</v>
      </c>
      <c r="D238">
        <v>15</v>
      </c>
      <c r="E238">
        <v>5</v>
      </c>
      <c r="F238">
        <v>2</v>
      </c>
      <c r="G238">
        <v>2026</v>
      </c>
      <c r="H238" t="s">
        <v>264</v>
      </c>
      <c r="I238" t="s">
        <v>271</v>
      </c>
      <c r="J238" t="s">
        <v>25</v>
      </c>
      <c r="K238">
        <v>28</v>
      </c>
      <c r="L238">
        <v>10</v>
      </c>
      <c r="M238">
        <v>285</v>
      </c>
    </row>
    <row r="239" spans="1:13">
      <c r="A239">
        <v>238</v>
      </c>
      <c r="B239" s="1">
        <v>46157</v>
      </c>
      <c r="C239" t="s">
        <v>79</v>
      </c>
      <c r="D239">
        <v>15</v>
      </c>
      <c r="E239">
        <v>5</v>
      </c>
      <c r="F239">
        <v>2</v>
      </c>
      <c r="G239">
        <v>2026</v>
      </c>
      <c r="H239" t="s">
        <v>264</v>
      </c>
      <c r="I239" t="s">
        <v>272</v>
      </c>
      <c r="J239" t="s">
        <v>55</v>
      </c>
      <c r="K239">
        <v>34</v>
      </c>
      <c r="L239">
        <v>8</v>
      </c>
      <c r="M239">
        <v>272</v>
      </c>
    </row>
    <row r="240" spans="1:13">
      <c r="A240">
        <v>239</v>
      </c>
      <c r="B240" s="1">
        <v>46240</v>
      </c>
      <c r="C240" t="s">
        <v>105</v>
      </c>
      <c r="D240">
        <v>6</v>
      </c>
      <c r="E240">
        <v>8</v>
      </c>
      <c r="F240">
        <v>3</v>
      </c>
      <c r="G240">
        <v>2026</v>
      </c>
      <c r="H240" t="s">
        <v>196</v>
      </c>
      <c r="I240" t="s">
        <v>273</v>
      </c>
      <c r="J240" t="s">
        <v>100</v>
      </c>
      <c r="K240">
        <v>45</v>
      </c>
      <c r="L240">
        <v>4</v>
      </c>
      <c r="M240">
        <v>210</v>
      </c>
    </row>
    <row r="241" spans="1:13">
      <c r="A241">
        <v>240</v>
      </c>
      <c r="B241" s="1">
        <v>46240</v>
      </c>
      <c r="C241" t="s">
        <v>105</v>
      </c>
      <c r="D241">
        <v>6</v>
      </c>
      <c r="E241">
        <v>8</v>
      </c>
      <c r="F241">
        <v>3</v>
      </c>
      <c r="G241">
        <v>2026</v>
      </c>
      <c r="H241" t="s">
        <v>196</v>
      </c>
      <c r="I241" t="s">
        <v>112</v>
      </c>
      <c r="J241" t="s">
        <v>21</v>
      </c>
      <c r="K241">
        <v>50</v>
      </c>
      <c r="L241">
        <v>6</v>
      </c>
      <c r="M241">
        <v>300</v>
      </c>
    </row>
    <row r="242" spans="1:13">
      <c r="A242">
        <v>241</v>
      </c>
      <c r="B242" s="1">
        <v>46240</v>
      </c>
      <c r="C242" t="s">
        <v>105</v>
      </c>
      <c r="D242">
        <v>6</v>
      </c>
      <c r="E242">
        <v>8</v>
      </c>
      <c r="F242">
        <v>3</v>
      </c>
      <c r="G242">
        <v>2026</v>
      </c>
      <c r="H242" t="s">
        <v>196</v>
      </c>
      <c r="I242" t="s">
        <v>274</v>
      </c>
      <c r="J242" t="s">
        <v>19</v>
      </c>
      <c r="K242">
        <v>57</v>
      </c>
      <c r="L242">
        <v>2</v>
      </c>
      <c r="M242">
        <v>132</v>
      </c>
    </row>
    <row r="243" spans="1:13">
      <c r="A243">
        <v>242</v>
      </c>
      <c r="B243" s="1">
        <v>46240</v>
      </c>
      <c r="C243" t="s">
        <v>105</v>
      </c>
      <c r="D243">
        <v>6</v>
      </c>
      <c r="E243">
        <v>8</v>
      </c>
      <c r="F243">
        <v>3</v>
      </c>
      <c r="G243">
        <v>2026</v>
      </c>
      <c r="H243" t="s">
        <v>196</v>
      </c>
      <c r="I243" t="s">
        <v>270</v>
      </c>
      <c r="J243" t="s">
        <v>55</v>
      </c>
      <c r="K243">
        <v>19</v>
      </c>
      <c r="L243">
        <v>12</v>
      </c>
      <c r="M243">
        <v>241</v>
      </c>
    </row>
    <row r="244" spans="1:13">
      <c r="A244">
        <v>243</v>
      </c>
      <c r="B244" s="1">
        <v>46149</v>
      </c>
      <c r="C244" t="s">
        <v>105</v>
      </c>
      <c r="D244">
        <v>7</v>
      </c>
      <c r="E244">
        <v>5</v>
      </c>
      <c r="F244">
        <v>2</v>
      </c>
      <c r="G244">
        <v>2026</v>
      </c>
      <c r="H244" t="s">
        <v>275</v>
      </c>
      <c r="I244" t="s">
        <v>276</v>
      </c>
      <c r="J244" t="s">
        <v>57</v>
      </c>
      <c r="K244">
        <v>20</v>
      </c>
      <c r="L244">
        <v>10</v>
      </c>
      <c r="M244">
        <v>211</v>
      </c>
    </row>
    <row r="245" spans="1:13">
      <c r="A245">
        <v>244</v>
      </c>
      <c r="B245" s="1">
        <v>46149</v>
      </c>
      <c r="C245" t="s">
        <v>105</v>
      </c>
      <c r="D245">
        <v>7</v>
      </c>
      <c r="E245">
        <v>5</v>
      </c>
      <c r="F245">
        <v>2</v>
      </c>
      <c r="G245">
        <v>2026</v>
      </c>
      <c r="H245" t="s">
        <v>275</v>
      </c>
      <c r="I245" t="s">
        <v>277</v>
      </c>
      <c r="J245" t="s">
        <v>122</v>
      </c>
      <c r="K245">
        <v>17</v>
      </c>
      <c r="L245">
        <v>18</v>
      </c>
      <c r="M245">
        <v>309</v>
      </c>
    </row>
    <row r="246" spans="1:13">
      <c r="A246">
        <v>245</v>
      </c>
      <c r="B246" s="1">
        <v>46149</v>
      </c>
      <c r="C246" t="s">
        <v>105</v>
      </c>
      <c r="D246">
        <v>7</v>
      </c>
      <c r="E246">
        <v>5</v>
      </c>
      <c r="F246">
        <v>2</v>
      </c>
      <c r="G246">
        <v>2026</v>
      </c>
      <c r="H246" t="s">
        <v>275</v>
      </c>
      <c r="I246" t="s">
        <v>278</v>
      </c>
      <c r="J246" t="s">
        <v>39</v>
      </c>
      <c r="K246">
        <v>24</v>
      </c>
      <c r="L246">
        <v>23</v>
      </c>
      <c r="M246">
        <v>575</v>
      </c>
    </row>
    <row r="247" spans="1:13">
      <c r="A247">
        <v>246</v>
      </c>
      <c r="B247" s="1">
        <v>46149</v>
      </c>
      <c r="C247" t="s">
        <v>105</v>
      </c>
      <c r="D247">
        <v>7</v>
      </c>
      <c r="E247">
        <v>5</v>
      </c>
      <c r="F247">
        <v>2</v>
      </c>
      <c r="G247">
        <v>2026</v>
      </c>
      <c r="H247" t="s">
        <v>275</v>
      </c>
      <c r="I247" t="s">
        <v>279</v>
      </c>
      <c r="J247" t="s">
        <v>82</v>
      </c>
      <c r="K247">
        <v>57</v>
      </c>
      <c r="L247">
        <v>5</v>
      </c>
      <c r="M247">
        <v>315</v>
      </c>
    </row>
    <row r="248" spans="1:13">
      <c r="A248">
        <v>247</v>
      </c>
      <c r="B248" s="1">
        <v>46131</v>
      </c>
      <c r="C248" t="s">
        <v>28</v>
      </c>
      <c r="D248">
        <v>19</v>
      </c>
      <c r="E248">
        <v>4</v>
      </c>
      <c r="F248">
        <v>2</v>
      </c>
      <c r="G248">
        <v>2026</v>
      </c>
      <c r="H248" t="s">
        <v>280</v>
      </c>
      <c r="I248" t="s">
        <v>253</v>
      </c>
      <c r="J248" t="s">
        <v>23</v>
      </c>
      <c r="K248">
        <v>46</v>
      </c>
      <c r="L248">
        <v>3</v>
      </c>
      <c r="M248">
        <v>146</v>
      </c>
    </row>
    <row r="249" spans="1:13">
      <c r="A249">
        <v>248</v>
      </c>
      <c r="B249" s="1">
        <v>46131</v>
      </c>
      <c r="C249" t="s">
        <v>28</v>
      </c>
      <c r="D249">
        <v>19</v>
      </c>
      <c r="E249">
        <v>4</v>
      </c>
      <c r="F249">
        <v>2</v>
      </c>
      <c r="G249">
        <v>2026</v>
      </c>
      <c r="H249" t="s">
        <v>280</v>
      </c>
      <c r="I249" t="s">
        <v>281</v>
      </c>
      <c r="J249" t="s">
        <v>51</v>
      </c>
      <c r="K249">
        <v>39</v>
      </c>
      <c r="L249">
        <v>5</v>
      </c>
      <c r="M249">
        <v>219</v>
      </c>
    </row>
    <row r="250" spans="1:13">
      <c r="A250">
        <v>249</v>
      </c>
      <c r="B250" s="1">
        <v>46131</v>
      </c>
      <c r="C250" t="s">
        <v>28</v>
      </c>
      <c r="D250">
        <v>19</v>
      </c>
      <c r="E250">
        <v>4</v>
      </c>
      <c r="F250">
        <v>2</v>
      </c>
      <c r="G250">
        <v>2026</v>
      </c>
      <c r="H250" t="s">
        <v>280</v>
      </c>
      <c r="I250" t="s">
        <v>129</v>
      </c>
      <c r="J250" t="s">
        <v>25</v>
      </c>
      <c r="K250">
        <v>58</v>
      </c>
      <c r="L250">
        <v>2</v>
      </c>
      <c r="M250">
        <v>139</v>
      </c>
    </row>
    <row r="251" spans="1:13">
      <c r="A251">
        <v>250</v>
      </c>
      <c r="B251" s="1">
        <v>46131</v>
      </c>
      <c r="C251" t="s">
        <v>28</v>
      </c>
      <c r="D251">
        <v>19</v>
      </c>
      <c r="E251">
        <v>4</v>
      </c>
      <c r="F251">
        <v>2</v>
      </c>
      <c r="G251">
        <v>2026</v>
      </c>
      <c r="H251" t="s">
        <v>280</v>
      </c>
      <c r="I251" t="s">
        <v>282</v>
      </c>
      <c r="J251" t="s">
        <v>21</v>
      </c>
      <c r="K251">
        <v>42</v>
      </c>
      <c r="L251">
        <v>7</v>
      </c>
      <c r="M251">
        <v>318</v>
      </c>
    </row>
    <row r="252" spans="1:13">
      <c r="A252">
        <v>251</v>
      </c>
      <c r="B252" s="1">
        <v>46131</v>
      </c>
      <c r="C252" t="s">
        <v>28</v>
      </c>
      <c r="D252">
        <v>19</v>
      </c>
      <c r="E252">
        <v>4</v>
      </c>
      <c r="F252">
        <v>2</v>
      </c>
      <c r="G252">
        <v>2026</v>
      </c>
      <c r="H252" t="s">
        <v>280</v>
      </c>
      <c r="I252" t="s">
        <v>283</v>
      </c>
      <c r="J252" t="s">
        <v>100</v>
      </c>
      <c r="K252">
        <v>42</v>
      </c>
      <c r="L252">
        <v>2</v>
      </c>
      <c r="M252">
        <v>87</v>
      </c>
    </row>
    <row r="253" spans="1:13">
      <c r="A253">
        <v>252</v>
      </c>
      <c r="B253" s="1">
        <v>46131</v>
      </c>
      <c r="C253" t="s">
        <v>28</v>
      </c>
      <c r="D253">
        <v>19</v>
      </c>
      <c r="E253">
        <v>4</v>
      </c>
      <c r="F253">
        <v>2</v>
      </c>
      <c r="G253">
        <v>2026</v>
      </c>
      <c r="H253" t="s">
        <v>280</v>
      </c>
      <c r="I253" t="s">
        <v>284</v>
      </c>
      <c r="J253" t="s">
        <v>97</v>
      </c>
      <c r="K253">
        <v>57</v>
      </c>
      <c r="L253">
        <v>4</v>
      </c>
      <c r="M253">
        <v>235</v>
      </c>
    </row>
    <row r="254" spans="1:13">
      <c r="A254">
        <v>253</v>
      </c>
      <c r="B254" s="1">
        <v>46131</v>
      </c>
      <c r="C254" t="s">
        <v>28</v>
      </c>
      <c r="D254">
        <v>19</v>
      </c>
      <c r="E254">
        <v>4</v>
      </c>
      <c r="F254">
        <v>2</v>
      </c>
      <c r="G254">
        <v>2026</v>
      </c>
      <c r="H254" t="s">
        <v>280</v>
      </c>
      <c r="I254" t="s">
        <v>285</v>
      </c>
      <c r="J254" t="s">
        <v>17</v>
      </c>
      <c r="K254">
        <v>51</v>
      </c>
      <c r="L254">
        <v>3</v>
      </c>
      <c r="M254">
        <v>159</v>
      </c>
    </row>
    <row r="255" spans="1:13">
      <c r="A255">
        <v>254</v>
      </c>
      <c r="B255" s="1">
        <v>46131</v>
      </c>
      <c r="C255" t="s">
        <v>28</v>
      </c>
      <c r="D255">
        <v>19</v>
      </c>
      <c r="E255">
        <v>4</v>
      </c>
      <c r="F255">
        <v>2</v>
      </c>
      <c r="G255">
        <v>2026</v>
      </c>
      <c r="H255" t="s">
        <v>280</v>
      </c>
      <c r="I255" t="s">
        <v>158</v>
      </c>
      <c r="J255" t="s">
        <v>60</v>
      </c>
      <c r="K255">
        <v>27</v>
      </c>
      <c r="L255">
        <v>2</v>
      </c>
      <c r="M255">
        <v>74</v>
      </c>
    </row>
    <row r="256" spans="1:13">
      <c r="A256">
        <v>255</v>
      </c>
      <c r="B256" s="1">
        <v>46131</v>
      </c>
      <c r="C256" t="s">
        <v>28</v>
      </c>
      <c r="D256">
        <v>19</v>
      </c>
      <c r="E256">
        <v>4</v>
      </c>
      <c r="F256">
        <v>2</v>
      </c>
      <c r="G256">
        <v>2026</v>
      </c>
      <c r="H256" t="s">
        <v>280</v>
      </c>
      <c r="I256" t="s">
        <v>286</v>
      </c>
      <c r="J256" t="s">
        <v>97</v>
      </c>
      <c r="K256">
        <v>58</v>
      </c>
      <c r="L256">
        <v>5</v>
      </c>
      <c r="M256">
        <v>304</v>
      </c>
    </row>
    <row r="257" spans="1:13">
      <c r="A257">
        <v>256</v>
      </c>
      <c r="B257" s="1">
        <v>46131</v>
      </c>
      <c r="C257" t="s">
        <v>28</v>
      </c>
      <c r="D257">
        <v>19</v>
      </c>
      <c r="E257">
        <v>4</v>
      </c>
      <c r="F257">
        <v>2</v>
      </c>
      <c r="G257">
        <v>2026</v>
      </c>
      <c r="H257" t="s">
        <v>280</v>
      </c>
      <c r="I257" t="s">
        <v>287</v>
      </c>
      <c r="J257" t="s">
        <v>46</v>
      </c>
      <c r="K257">
        <v>37</v>
      </c>
      <c r="L257">
        <v>8</v>
      </c>
      <c r="M257">
        <v>301</v>
      </c>
    </row>
    <row r="258" spans="1:13">
      <c r="A258">
        <v>257</v>
      </c>
      <c r="B258" s="1">
        <v>45575</v>
      </c>
      <c r="C258" t="s">
        <v>105</v>
      </c>
      <c r="D258">
        <v>10</v>
      </c>
      <c r="E258">
        <v>10</v>
      </c>
      <c r="F258">
        <v>4</v>
      </c>
      <c r="G258">
        <v>2024</v>
      </c>
      <c r="H258" t="s">
        <v>288</v>
      </c>
      <c r="I258" t="s">
        <v>289</v>
      </c>
      <c r="J258" t="s">
        <v>60</v>
      </c>
      <c r="K258">
        <v>29</v>
      </c>
      <c r="L258">
        <v>5</v>
      </c>
      <c r="M258">
        <v>152</v>
      </c>
    </row>
    <row r="259" spans="1:13">
      <c r="A259">
        <v>258</v>
      </c>
      <c r="B259" s="1">
        <v>45575</v>
      </c>
      <c r="C259" t="s">
        <v>105</v>
      </c>
      <c r="D259">
        <v>10</v>
      </c>
      <c r="E259">
        <v>10</v>
      </c>
      <c r="F259">
        <v>4</v>
      </c>
      <c r="G259">
        <v>2024</v>
      </c>
      <c r="H259" t="s">
        <v>288</v>
      </c>
      <c r="I259" t="s">
        <v>157</v>
      </c>
      <c r="J259" t="s">
        <v>19</v>
      </c>
      <c r="K259">
        <v>57</v>
      </c>
      <c r="L259">
        <v>7</v>
      </c>
      <c r="M259">
        <v>444</v>
      </c>
    </row>
    <row r="260" spans="1:13">
      <c r="A260">
        <v>259</v>
      </c>
      <c r="B260" s="1">
        <v>45575</v>
      </c>
      <c r="C260" t="s">
        <v>105</v>
      </c>
      <c r="D260">
        <v>10</v>
      </c>
      <c r="E260">
        <v>10</v>
      </c>
      <c r="F260">
        <v>4</v>
      </c>
      <c r="G260">
        <v>2024</v>
      </c>
      <c r="H260" t="s">
        <v>288</v>
      </c>
      <c r="I260" t="s">
        <v>290</v>
      </c>
      <c r="J260" t="s">
        <v>17</v>
      </c>
      <c r="K260">
        <v>10</v>
      </c>
      <c r="L260">
        <v>24</v>
      </c>
      <c r="M260">
        <v>244</v>
      </c>
    </row>
    <row r="261" spans="1:13">
      <c r="A261">
        <v>260</v>
      </c>
      <c r="B261" s="1">
        <v>45575</v>
      </c>
      <c r="C261" t="s">
        <v>105</v>
      </c>
      <c r="D261">
        <v>10</v>
      </c>
      <c r="E261">
        <v>10</v>
      </c>
      <c r="F261">
        <v>4</v>
      </c>
      <c r="G261">
        <v>2024</v>
      </c>
      <c r="H261" t="s">
        <v>288</v>
      </c>
      <c r="I261" t="s">
        <v>291</v>
      </c>
      <c r="J261" t="s">
        <v>51</v>
      </c>
      <c r="K261">
        <v>18</v>
      </c>
      <c r="L261">
        <v>12</v>
      </c>
      <c r="M261">
        <v>230</v>
      </c>
    </row>
    <row r="262" spans="1:13">
      <c r="A262">
        <v>261</v>
      </c>
      <c r="B262" s="1">
        <v>45575</v>
      </c>
      <c r="C262" t="s">
        <v>105</v>
      </c>
      <c r="D262">
        <v>10</v>
      </c>
      <c r="E262">
        <v>10</v>
      </c>
      <c r="F262">
        <v>4</v>
      </c>
      <c r="G262">
        <v>2024</v>
      </c>
      <c r="H262" t="s">
        <v>288</v>
      </c>
      <c r="I262" t="s">
        <v>253</v>
      </c>
      <c r="J262" t="s">
        <v>23</v>
      </c>
      <c r="K262">
        <v>24</v>
      </c>
      <c r="L262">
        <v>6</v>
      </c>
      <c r="M262">
        <v>153</v>
      </c>
    </row>
    <row r="263" spans="1:13">
      <c r="A263">
        <v>262</v>
      </c>
      <c r="B263" s="1">
        <v>45575</v>
      </c>
      <c r="C263" t="s">
        <v>105</v>
      </c>
      <c r="D263">
        <v>10</v>
      </c>
      <c r="E263">
        <v>10</v>
      </c>
      <c r="F263">
        <v>4</v>
      </c>
      <c r="G263">
        <v>2024</v>
      </c>
      <c r="H263" t="s">
        <v>288</v>
      </c>
      <c r="I263" t="s">
        <v>292</v>
      </c>
      <c r="J263" t="s">
        <v>97</v>
      </c>
      <c r="K263">
        <v>12</v>
      </c>
      <c r="L263">
        <v>22</v>
      </c>
      <c r="M263">
        <v>266</v>
      </c>
    </row>
    <row r="264" spans="1:13">
      <c r="A264">
        <v>263</v>
      </c>
      <c r="B264" s="1">
        <v>45575</v>
      </c>
      <c r="C264" t="s">
        <v>105</v>
      </c>
      <c r="D264">
        <v>10</v>
      </c>
      <c r="E264">
        <v>10</v>
      </c>
      <c r="F264">
        <v>4</v>
      </c>
      <c r="G264">
        <v>2024</v>
      </c>
      <c r="H264" t="s">
        <v>288</v>
      </c>
      <c r="I264" t="s">
        <v>293</v>
      </c>
      <c r="J264" t="s">
        <v>100</v>
      </c>
      <c r="K264">
        <v>51</v>
      </c>
      <c r="L264">
        <v>7</v>
      </c>
      <c r="M264">
        <v>404</v>
      </c>
    </row>
    <row r="265" spans="1:13">
      <c r="A265">
        <v>264</v>
      </c>
      <c r="B265" s="1">
        <v>46138</v>
      </c>
      <c r="C265" t="s">
        <v>28</v>
      </c>
      <c r="D265">
        <v>26</v>
      </c>
      <c r="E265">
        <v>4</v>
      </c>
      <c r="F265">
        <v>2</v>
      </c>
      <c r="G265">
        <v>2026</v>
      </c>
      <c r="H265" t="s">
        <v>169</v>
      </c>
      <c r="I265" t="s">
        <v>294</v>
      </c>
      <c r="J265" t="s">
        <v>51</v>
      </c>
      <c r="K265">
        <v>51</v>
      </c>
      <c r="L265">
        <v>5</v>
      </c>
      <c r="M265">
        <v>258</v>
      </c>
    </row>
    <row r="266" spans="1:13">
      <c r="A266">
        <v>265</v>
      </c>
      <c r="B266" s="1">
        <v>45626</v>
      </c>
      <c r="C266" t="s">
        <v>14</v>
      </c>
      <c r="D266">
        <v>30</v>
      </c>
      <c r="E266">
        <v>11</v>
      </c>
      <c r="F266">
        <v>4</v>
      </c>
      <c r="G266">
        <v>2024</v>
      </c>
      <c r="H266" t="s">
        <v>295</v>
      </c>
      <c r="I266" t="s">
        <v>164</v>
      </c>
      <c r="J266" t="s">
        <v>46</v>
      </c>
      <c r="K266">
        <v>34</v>
      </c>
      <c r="L266">
        <v>7</v>
      </c>
      <c r="M266">
        <v>264</v>
      </c>
    </row>
    <row r="267" spans="1:13">
      <c r="A267">
        <v>266</v>
      </c>
      <c r="B267" s="1">
        <v>45626</v>
      </c>
      <c r="C267" t="s">
        <v>14</v>
      </c>
      <c r="D267">
        <v>30</v>
      </c>
      <c r="E267">
        <v>11</v>
      </c>
      <c r="F267">
        <v>4</v>
      </c>
      <c r="G267">
        <v>2024</v>
      </c>
      <c r="H267" t="s">
        <v>295</v>
      </c>
      <c r="I267" t="s">
        <v>296</v>
      </c>
      <c r="J267" t="s">
        <v>122</v>
      </c>
      <c r="K267">
        <v>41</v>
      </c>
      <c r="L267">
        <v>3</v>
      </c>
      <c r="M267">
        <v>146</v>
      </c>
    </row>
    <row r="268" spans="1:13">
      <c r="A268">
        <v>267</v>
      </c>
      <c r="B268" s="1">
        <v>45626</v>
      </c>
      <c r="C268" t="s">
        <v>14</v>
      </c>
      <c r="D268">
        <v>30</v>
      </c>
      <c r="E268">
        <v>11</v>
      </c>
      <c r="F268">
        <v>4</v>
      </c>
      <c r="G268">
        <v>2024</v>
      </c>
      <c r="H268" t="s">
        <v>295</v>
      </c>
      <c r="I268" t="s">
        <v>134</v>
      </c>
      <c r="J268" t="s">
        <v>100</v>
      </c>
      <c r="K268">
        <v>54</v>
      </c>
      <c r="L268">
        <v>2</v>
      </c>
      <c r="M268">
        <v>154</v>
      </c>
    </row>
    <row r="269" spans="1:13">
      <c r="A269">
        <v>268</v>
      </c>
      <c r="B269" s="1">
        <v>45626</v>
      </c>
      <c r="C269" t="s">
        <v>14</v>
      </c>
      <c r="D269">
        <v>30</v>
      </c>
      <c r="E269">
        <v>11</v>
      </c>
      <c r="F269">
        <v>4</v>
      </c>
      <c r="G269">
        <v>2024</v>
      </c>
      <c r="H269" t="s">
        <v>295</v>
      </c>
      <c r="I269" t="s">
        <v>246</v>
      </c>
      <c r="J269" t="s">
        <v>23</v>
      </c>
      <c r="K269">
        <v>26</v>
      </c>
      <c r="L269">
        <v>11</v>
      </c>
      <c r="M269">
        <v>308</v>
      </c>
    </row>
    <row r="270" spans="1:13">
      <c r="A270">
        <v>269</v>
      </c>
      <c r="B270" s="1">
        <v>45626</v>
      </c>
      <c r="C270" t="s">
        <v>14</v>
      </c>
      <c r="D270">
        <v>30</v>
      </c>
      <c r="E270">
        <v>11</v>
      </c>
      <c r="F270">
        <v>4</v>
      </c>
      <c r="G270">
        <v>2024</v>
      </c>
      <c r="H270" t="s">
        <v>295</v>
      </c>
      <c r="I270" t="s">
        <v>85</v>
      </c>
      <c r="J270" t="s">
        <v>37</v>
      </c>
      <c r="K270">
        <v>53</v>
      </c>
      <c r="L270">
        <v>3</v>
      </c>
      <c r="M270">
        <v>201</v>
      </c>
    </row>
    <row r="271" spans="1:13">
      <c r="A271">
        <v>270</v>
      </c>
      <c r="B271" s="1">
        <v>45626</v>
      </c>
      <c r="C271" t="s">
        <v>14</v>
      </c>
      <c r="D271">
        <v>30</v>
      </c>
      <c r="E271">
        <v>11</v>
      </c>
      <c r="F271">
        <v>4</v>
      </c>
      <c r="G271">
        <v>2024</v>
      </c>
      <c r="H271" t="s">
        <v>295</v>
      </c>
      <c r="I271" t="s">
        <v>121</v>
      </c>
      <c r="J271" t="s">
        <v>122</v>
      </c>
      <c r="K271">
        <v>15</v>
      </c>
      <c r="L271">
        <v>6</v>
      </c>
      <c r="M271">
        <v>93</v>
      </c>
    </row>
    <row r="272" spans="1:13">
      <c r="A272">
        <v>271</v>
      </c>
      <c r="B272" s="1">
        <v>46050</v>
      </c>
      <c r="C272" t="s">
        <v>34</v>
      </c>
      <c r="D272">
        <v>28</v>
      </c>
      <c r="E272">
        <v>1</v>
      </c>
      <c r="F272">
        <v>1</v>
      </c>
      <c r="G272">
        <v>2026</v>
      </c>
      <c r="H272" t="s">
        <v>297</v>
      </c>
      <c r="I272" t="s">
        <v>298</v>
      </c>
      <c r="J272" t="s">
        <v>31</v>
      </c>
      <c r="K272">
        <v>54</v>
      </c>
      <c r="L272">
        <v>2</v>
      </c>
      <c r="M272">
        <v>114</v>
      </c>
    </row>
    <row r="273" spans="1:13">
      <c r="A273">
        <v>272</v>
      </c>
      <c r="B273" s="1">
        <v>46050</v>
      </c>
      <c r="C273" t="s">
        <v>34</v>
      </c>
      <c r="D273">
        <v>28</v>
      </c>
      <c r="E273">
        <v>1</v>
      </c>
      <c r="F273">
        <v>1</v>
      </c>
      <c r="G273">
        <v>2026</v>
      </c>
      <c r="H273" t="s">
        <v>297</v>
      </c>
      <c r="I273" t="s">
        <v>299</v>
      </c>
      <c r="J273" t="s">
        <v>57</v>
      </c>
      <c r="K273">
        <v>36</v>
      </c>
      <c r="L273">
        <v>10</v>
      </c>
      <c r="M273">
        <v>389</v>
      </c>
    </row>
    <row r="274" spans="1:13">
      <c r="A274">
        <v>273</v>
      </c>
      <c r="B274" s="1">
        <v>46050</v>
      </c>
      <c r="C274" t="s">
        <v>34</v>
      </c>
      <c r="D274">
        <v>28</v>
      </c>
      <c r="E274">
        <v>1</v>
      </c>
      <c r="F274">
        <v>1</v>
      </c>
      <c r="G274">
        <v>2026</v>
      </c>
      <c r="H274" t="s">
        <v>297</v>
      </c>
      <c r="I274" t="s">
        <v>300</v>
      </c>
      <c r="J274" t="s">
        <v>55</v>
      </c>
      <c r="K274">
        <v>32</v>
      </c>
      <c r="L274">
        <v>11</v>
      </c>
      <c r="M274">
        <v>363</v>
      </c>
    </row>
    <row r="275" spans="1:13">
      <c r="A275">
        <v>274</v>
      </c>
      <c r="B275" s="1">
        <v>46050</v>
      </c>
      <c r="C275" t="s">
        <v>34</v>
      </c>
      <c r="D275">
        <v>28</v>
      </c>
      <c r="E275">
        <v>1</v>
      </c>
      <c r="F275">
        <v>1</v>
      </c>
      <c r="G275">
        <v>2026</v>
      </c>
      <c r="H275" t="s">
        <v>297</v>
      </c>
      <c r="I275" t="s">
        <v>301</v>
      </c>
      <c r="J275" t="s">
        <v>69</v>
      </c>
      <c r="K275">
        <v>21</v>
      </c>
      <c r="L275">
        <v>7</v>
      </c>
      <c r="M275">
        <v>148</v>
      </c>
    </row>
    <row r="276" spans="1:13">
      <c r="A276">
        <v>275</v>
      </c>
      <c r="B276" s="1">
        <v>46050</v>
      </c>
      <c r="C276" t="s">
        <v>34</v>
      </c>
      <c r="D276">
        <v>28</v>
      </c>
      <c r="E276">
        <v>1</v>
      </c>
      <c r="F276">
        <v>1</v>
      </c>
      <c r="G276">
        <v>2026</v>
      </c>
      <c r="H276" t="s">
        <v>297</v>
      </c>
      <c r="I276" t="s">
        <v>185</v>
      </c>
      <c r="J276" t="s">
        <v>57</v>
      </c>
      <c r="K276">
        <v>13</v>
      </c>
      <c r="L276">
        <v>24</v>
      </c>
      <c r="M276">
        <v>317</v>
      </c>
    </row>
    <row r="277" spans="1:13">
      <c r="A277">
        <v>276</v>
      </c>
      <c r="B277" s="1">
        <v>45554</v>
      </c>
      <c r="C277" t="s">
        <v>105</v>
      </c>
      <c r="D277">
        <v>19</v>
      </c>
      <c r="E277">
        <v>9</v>
      </c>
      <c r="F277">
        <v>3</v>
      </c>
      <c r="G277">
        <v>2024</v>
      </c>
      <c r="H277" t="s">
        <v>302</v>
      </c>
      <c r="I277" t="s">
        <v>132</v>
      </c>
      <c r="J277" t="s">
        <v>31</v>
      </c>
      <c r="K277">
        <v>12</v>
      </c>
      <c r="L277">
        <v>17</v>
      </c>
      <c r="M277">
        <v>215</v>
      </c>
    </row>
    <row r="278" spans="1:13">
      <c r="A278">
        <v>277</v>
      </c>
      <c r="B278" s="1">
        <v>45554</v>
      </c>
      <c r="C278" t="s">
        <v>105</v>
      </c>
      <c r="D278">
        <v>19</v>
      </c>
      <c r="E278">
        <v>9</v>
      </c>
      <c r="F278">
        <v>3</v>
      </c>
      <c r="G278">
        <v>2024</v>
      </c>
      <c r="H278" t="s">
        <v>302</v>
      </c>
      <c r="I278" t="s">
        <v>303</v>
      </c>
      <c r="J278" t="s">
        <v>19</v>
      </c>
      <c r="K278">
        <v>13</v>
      </c>
      <c r="L278">
        <v>23</v>
      </c>
      <c r="M278">
        <v>306</v>
      </c>
    </row>
    <row r="279" spans="1:13">
      <c r="A279">
        <v>278</v>
      </c>
      <c r="B279" s="1">
        <v>45554</v>
      </c>
      <c r="C279" t="s">
        <v>105</v>
      </c>
      <c r="D279">
        <v>19</v>
      </c>
      <c r="E279">
        <v>9</v>
      </c>
      <c r="F279">
        <v>3</v>
      </c>
      <c r="G279">
        <v>2024</v>
      </c>
      <c r="H279" t="s">
        <v>302</v>
      </c>
      <c r="I279" t="s">
        <v>304</v>
      </c>
      <c r="J279" t="s">
        <v>100</v>
      </c>
      <c r="K279">
        <v>19</v>
      </c>
      <c r="L279">
        <v>18</v>
      </c>
      <c r="M279">
        <v>348</v>
      </c>
    </row>
    <row r="280" spans="1:13">
      <c r="A280">
        <v>279</v>
      </c>
      <c r="B280" s="1">
        <v>45554</v>
      </c>
      <c r="C280" t="s">
        <v>105</v>
      </c>
      <c r="D280">
        <v>19</v>
      </c>
      <c r="E280">
        <v>9</v>
      </c>
      <c r="F280">
        <v>3</v>
      </c>
      <c r="G280">
        <v>2024</v>
      </c>
      <c r="H280" t="s">
        <v>302</v>
      </c>
      <c r="I280" t="s">
        <v>305</v>
      </c>
      <c r="J280" t="s">
        <v>55</v>
      </c>
      <c r="K280">
        <v>44</v>
      </c>
      <c r="L280">
        <v>8</v>
      </c>
      <c r="M280">
        <v>359</v>
      </c>
    </row>
    <row r="281" spans="1:13">
      <c r="A281">
        <v>280</v>
      </c>
      <c r="B281" s="1">
        <v>45554</v>
      </c>
      <c r="C281" t="s">
        <v>105</v>
      </c>
      <c r="D281">
        <v>19</v>
      </c>
      <c r="E281">
        <v>9</v>
      </c>
      <c r="F281">
        <v>3</v>
      </c>
      <c r="G281">
        <v>2024</v>
      </c>
      <c r="H281" t="s">
        <v>302</v>
      </c>
      <c r="I281" t="s">
        <v>253</v>
      </c>
      <c r="J281" t="s">
        <v>23</v>
      </c>
      <c r="K281">
        <v>55</v>
      </c>
      <c r="L281">
        <v>2</v>
      </c>
      <c r="M281">
        <v>127</v>
      </c>
    </row>
    <row r="282" spans="1:13">
      <c r="A282">
        <v>281</v>
      </c>
      <c r="B282" s="1">
        <v>45554</v>
      </c>
      <c r="C282" t="s">
        <v>105</v>
      </c>
      <c r="D282">
        <v>19</v>
      </c>
      <c r="E282">
        <v>9</v>
      </c>
      <c r="F282">
        <v>3</v>
      </c>
      <c r="G282">
        <v>2024</v>
      </c>
      <c r="H282" t="s">
        <v>302</v>
      </c>
      <c r="I282" t="s">
        <v>180</v>
      </c>
      <c r="J282" t="s">
        <v>55</v>
      </c>
      <c r="K282">
        <v>48</v>
      </c>
      <c r="L282">
        <v>5</v>
      </c>
      <c r="M282">
        <v>283</v>
      </c>
    </row>
    <row r="283" spans="1:13">
      <c r="A283">
        <v>282</v>
      </c>
      <c r="B283" s="1">
        <v>45554</v>
      </c>
      <c r="C283" t="s">
        <v>105</v>
      </c>
      <c r="D283">
        <v>19</v>
      </c>
      <c r="E283">
        <v>9</v>
      </c>
      <c r="F283">
        <v>3</v>
      </c>
      <c r="G283">
        <v>2024</v>
      </c>
      <c r="H283" t="s">
        <v>302</v>
      </c>
      <c r="I283" t="s">
        <v>306</v>
      </c>
      <c r="J283" t="s">
        <v>39</v>
      </c>
      <c r="K283">
        <v>25</v>
      </c>
      <c r="L283">
        <v>12</v>
      </c>
      <c r="M283">
        <v>317</v>
      </c>
    </row>
    <row r="284" spans="1:13">
      <c r="A284">
        <v>283</v>
      </c>
      <c r="B284" s="1">
        <v>46164</v>
      </c>
      <c r="C284" t="s">
        <v>79</v>
      </c>
      <c r="D284">
        <v>22</v>
      </c>
      <c r="E284">
        <v>5</v>
      </c>
      <c r="F284">
        <v>2</v>
      </c>
      <c r="G284">
        <v>2026</v>
      </c>
      <c r="H284" t="s">
        <v>307</v>
      </c>
      <c r="I284" t="s">
        <v>291</v>
      </c>
      <c r="J284" t="s">
        <v>51</v>
      </c>
      <c r="K284">
        <v>35</v>
      </c>
      <c r="L284">
        <v>6</v>
      </c>
      <c r="M284">
        <v>226</v>
      </c>
    </row>
    <row r="285" spans="1:13">
      <c r="A285">
        <v>284</v>
      </c>
      <c r="B285" s="1">
        <v>46164</v>
      </c>
      <c r="C285" t="s">
        <v>79</v>
      </c>
      <c r="D285">
        <v>22</v>
      </c>
      <c r="E285">
        <v>5</v>
      </c>
      <c r="F285">
        <v>2</v>
      </c>
      <c r="G285">
        <v>2026</v>
      </c>
      <c r="H285" t="s">
        <v>307</v>
      </c>
      <c r="I285" t="s">
        <v>203</v>
      </c>
      <c r="J285" t="s">
        <v>100</v>
      </c>
      <c r="K285">
        <v>58</v>
      </c>
      <c r="L285">
        <v>1</v>
      </c>
      <c r="M285">
        <v>61</v>
      </c>
    </row>
    <row r="286" spans="1:13">
      <c r="A286">
        <v>285</v>
      </c>
      <c r="B286" s="1">
        <v>46164</v>
      </c>
      <c r="C286" t="s">
        <v>79</v>
      </c>
      <c r="D286">
        <v>22</v>
      </c>
      <c r="E286">
        <v>5</v>
      </c>
      <c r="F286">
        <v>2</v>
      </c>
      <c r="G286">
        <v>2026</v>
      </c>
      <c r="H286" t="s">
        <v>307</v>
      </c>
      <c r="I286" t="s">
        <v>216</v>
      </c>
      <c r="J286" t="s">
        <v>100</v>
      </c>
      <c r="K286">
        <v>18</v>
      </c>
      <c r="L286">
        <v>14</v>
      </c>
      <c r="M286">
        <v>255</v>
      </c>
    </row>
    <row r="287" spans="1:13">
      <c r="A287">
        <v>286</v>
      </c>
      <c r="B287" s="1">
        <v>46197</v>
      </c>
      <c r="C287" t="s">
        <v>34</v>
      </c>
      <c r="D287">
        <v>24</v>
      </c>
      <c r="E287">
        <v>6</v>
      </c>
      <c r="F287">
        <v>2</v>
      </c>
      <c r="G287">
        <v>2026</v>
      </c>
      <c r="H287" t="s">
        <v>106</v>
      </c>
      <c r="I287" t="s">
        <v>308</v>
      </c>
      <c r="J287" t="s">
        <v>19</v>
      </c>
      <c r="K287">
        <v>44</v>
      </c>
      <c r="L287">
        <v>6</v>
      </c>
      <c r="M287">
        <v>281</v>
      </c>
    </row>
    <row r="288" spans="1:13">
      <c r="A288">
        <v>287</v>
      </c>
      <c r="B288" s="1">
        <v>46197</v>
      </c>
      <c r="C288" t="s">
        <v>34</v>
      </c>
      <c r="D288">
        <v>24</v>
      </c>
      <c r="E288">
        <v>6</v>
      </c>
      <c r="F288">
        <v>2</v>
      </c>
      <c r="G288">
        <v>2026</v>
      </c>
      <c r="H288" t="s">
        <v>106</v>
      </c>
      <c r="I288" t="s">
        <v>123</v>
      </c>
      <c r="J288" t="s">
        <v>43</v>
      </c>
      <c r="K288">
        <v>40</v>
      </c>
      <c r="L288">
        <v>4</v>
      </c>
      <c r="M288">
        <v>164</v>
      </c>
    </row>
    <row r="289" spans="1:13">
      <c r="A289">
        <v>288</v>
      </c>
      <c r="B289" s="1">
        <v>46197</v>
      </c>
      <c r="C289" t="s">
        <v>34</v>
      </c>
      <c r="D289">
        <v>24</v>
      </c>
      <c r="E289">
        <v>6</v>
      </c>
      <c r="F289">
        <v>2</v>
      </c>
      <c r="G289">
        <v>2026</v>
      </c>
      <c r="H289" t="s">
        <v>106</v>
      </c>
      <c r="I289" t="s">
        <v>309</v>
      </c>
      <c r="J289" t="s">
        <v>100</v>
      </c>
      <c r="K289">
        <v>34</v>
      </c>
      <c r="L289">
        <v>4</v>
      </c>
      <c r="M289">
        <v>154</v>
      </c>
    </row>
    <row r="290" spans="1:13">
      <c r="A290">
        <v>289</v>
      </c>
      <c r="B290" s="1">
        <v>46197</v>
      </c>
      <c r="C290" t="s">
        <v>34</v>
      </c>
      <c r="D290">
        <v>24</v>
      </c>
      <c r="E290">
        <v>6</v>
      </c>
      <c r="F290">
        <v>2</v>
      </c>
      <c r="G290">
        <v>2026</v>
      </c>
      <c r="H290" t="s">
        <v>106</v>
      </c>
      <c r="I290" t="s">
        <v>310</v>
      </c>
      <c r="J290" t="s">
        <v>60</v>
      </c>
      <c r="K290">
        <v>11</v>
      </c>
      <c r="L290">
        <v>6</v>
      </c>
      <c r="M290">
        <v>74</v>
      </c>
    </row>
    <row r="291" spans="1:13">
      <c r="A291">
        <v>290</v>
      </c>
      <c r="B291" s="1">
        <v>46197</v>
      </c>
      <c r="C291" t="s">
        <v>34</v>
      </c>
      <c r="D291">
        <v>24</v>
      </c>
      <c r="E291">
        <v>6</v>
      </c>
      <c r="F291">
        <v>2</v>
      </c>
      <c r="G291">
        <v>2026</v>
      </c>
      <c r="H291" t="s">
        <v>106</v>
      </c>
      <c r="I291" t="s">
        <v>85</v>
      </c>
      <c r="J291" t="s">
        <v>37</v>
      </c>
      <c r="K291">
        <v>52</v>
      </c>
      <c r="L291">
        <v>3</v>
      </c>
      <c r="M291">
        <v>186</v>
      </c>
    </row>
    <row r="292" spans="1:13">
      <c r="A292">
        <v>291</v>
      </c>
      <c r="B292" s="1">
        <v>46197</v>
      </c>
      <c r="C292" t="s">
        <v>34</v>
      </c>
      <c r="D292">
        <v>24</v>
      </c>
      <c r="E292">
        <v>6</v>
      </c>
      <c r="F292">
        <v>2</v>
      </c>
      <c r="G292">
        <v>2026</v>
      </c>
      <c r="H292" t="s">
        <v>106</v>
      </c>
      <c r="I292" t="s">
        <v>138</v>
      </c>
      <c r="J292" t="s">
        <v>97</v>
      </c>
      <c r="K292">
        <v>23</v>
      </c>
      <c r="L292">
        <v>11</v>
      </c>
      <c r="M292">
        <v>264</v>
      </c>
    </row>
    <row r="293" spans="1:13">
      <c r="A293">
        <v>292</v>
      </c>
      <c r="B293" s="1">
        <v>46197</v>
      </c>
      <c r="C293" t="s">
        <v>34</v>
      </c>
      <c r="D293">
        <v>24</v>
      </c>
      <c r="E293">
        <v>6</v>
      </c>
      <c r="F293">
        <v>2</v>
      </c>
      <c r="G293">
        <v>2026</v>
      </c>
      <c r="H293" t="s">
        <v>106</v>
      </c>
      <c r="I293" t="s">
        <v>311</v>
      </c>
      <c r="J293" t="s">
        <v>46</v>
      </c>
      <c r="K293">
        <v>30</v>
      </c>
      <c r="L293">
        <v>10</v>
      </c>
      <c r="M293">
        <v>307</v>
      </c>
    </row>
    <row r="294" spans="1:13">
      <c r="A294">
        <v>293</v>
      </c>
      <c r="B294" s="1">
        <v>46197</v>
      </c>
      <c r="C294" t="s">
        <v>34</v>
      </c>
      <c r="D294">
        <v>24</v>
      </c>
      <c r="E294">
        <v>6</v>
      </c>
      <c r="F294">
        <v>2</v>
      </c>
      <c r="G294">
        <v>2026</v>
      </c>
      <c r="H294" t="s">
        <v>106</v>
      </c>
      <c r="I294" t="s">
        <v>121</v>
      </c>
      <c r="J294" t="s">
        <v>122</v>
      </c>
      <c r="K294">
        <v>43</v>
      </c>
      <c r="L294">
        <v>2</v>
      </c>
      <c r="M294">
        <v>97</v>
      </c>
    </row>
    <row r="295" spans="1:13">
      <c r="A295">
        <v>294</v>
      </c>
      <c r="B295" s="1">
        <v>45580</v>
      </c>
      <c r="C295" t="s">
        <v>48</v>
      </c>
      <c r="D295">
        <v>15</v>
      </c>
      <c r="E295">
        <v>10</v>
      </c>
      <c r="F295">
        <v>4</v>
      </c>
      <c r="G295">
        <v>2024</v>
      </c>
      <c r="H295" t="s">
        <v>312</v>
      </c>
      <c r="I295" t="s">
        <v>313</v>
      </c>
      <c r="J295" t="s">
        <v>31</v>
      </c>
      <c r="K295">
        <v>27</v>
      </c>
      <c r="L295">
        <v>3</v>
      </c>
      <c r="M295">
        <v>103</v>
      </c>
    </row>
    <row r="296" spans="1:13">
      <c r="A296">
        <v>295</v>
      </c>
      <c r="B296" s="1">
        <v>45580</v>
      </c>
      <c r="C296" t="s">
        <v>48</v>
      </c>
      <c r="D296">
        <v>15</v>
      </c>
      <c r="E296">
        <v>10</v>
      </c>
      <c r="F296">
        <v>4</v>
      </c>
      <c r="G296">
        <v>2024</v>
      </c>
      <c r="H296" t="s">
        <v>312</v>
      </c>
      <c r="I296" t="s">
        <v>314</v>
      </c>
      <c r="J296" t="s">
        <v>100</v>
      </c>
      <c r="K296">
        <v>47</v>
      </c>
      <c r="L296">
        <v>4</v>
      </c>
      <c r="M296">
        <v>228</v>
      </c>
    </row>
    <row r="297" spans="1:13">
      <c r="A297">
        <v>296</v>
      </c>
      <c r="B297" s="1">
        <v>45580</v>
      </c>
      <c r="C297" t="s">
        <v>48</v>
      </c>
      <c r="D297">
        <v>15</v>
      </c>
      <c r="E297">
        <v>10</v>
      </c>
      <c r="F297">
        <v>4</v>
      </c>
      <c r="G297">
        <v>2024</v>
      </c>
      <c r="H297" t="s">
        <v>312</v>
      </c>
      <c r="I297" t="s">
        <v>315</v>
      </c>
      <c r="J297" t="s">
        <v>27</v>
      </c>
      <c r="K297">
        <v>34</v>
      </c>
      <c r="L297">
        <v>12</v>
      </c>
      <c r="M297">
        <v>427</v>
      </c>
    </row>
    <row r="298" spans="1:13">
      <c r="A298">
        <v>297</v>
      </c>
      <c r="B298" s="1">
        <v>45580</v>
      </c>
      <c r="C298" t="s">
        <v>48</v>
      </c>
      <c r="D298">
        <v>15</v>
      </c>
      <c r="E298">
        <v>10</v>
      </c>
      <c r="F298">
        <v>4</v>
      </c>
      <c r="G298">
        <v>2024</v>
      </c>
      <c r="H298" t="s">
        <v>312</v>
      </c>
      <c r="I298" t="s">
        <v>316</v>
      </c>
      <c r="J298" t="s">
        <v>97</v>
      </c>
      <c r="K298">
        <v>18</v>
      </c>
      <c r="L298">
        <v>4</v>
      </c>
      <c r="M298">
        <v>76</v>
      </c>
    </row>
    <row r="299" spans="1:13">
      <c r="A299">
        <v>298</v>
      </c>
      <c r="B299" s="1">
        <v>45580</v>
      </c>
      <c r="C299" t="s">
        <v>48</v>
      </c>
      <c r="D299">
        <v>15</v>
      </c>
      <c r="E299">
        <v>10</v>
      </c>
      <c r="F299">
        <v>4</v>
      </c>
      <c r="G299">
        <v>2024</v>
      </c>
      <c r="H299" t="s">
        <v>312</v>
      </c>
      <c r="I299" t="s">
        <v>317</v>
      </c>
      <c r="J299" t="s">
        <v>100</v>
      </c>
      <c r="K299">
        <v>18</v>
      </c>
      <c r="L299">
        <v>8</v>
      </c>
      <c r="M299">
        <v>146</v>
      </c>
    </row>
    <row r="300" spans="1:13">
      <c r="A300">
        <v>299</v>
      </c>
      <c r="B300" s="1">
        <v>45580</v>
      </c>
      <c r="C300" t="s">
        <v>48</v>
      </c>
      <c r="D300">
        <v>15</v>
      </c>
      <c r="E300">
        <v>10</v>
      </c>
      <c r="F300">
        <v>4</v>
      </c>
      <c r="G300">
        <v>2024</v>
      </c>
      <c r="H300" t="s">
        <v>312</v>
      </c>
      <c r="I300" t="s">
        <v>318</v>
      </c>
      <c r="J300" t="s">
        <v>39</v>
      </c>
      <c r="K300">
        <v>48</v>
      </c>
      <c r="L300">
        <v>4</v>
      </c>
      <c r="M300">
        <v>198</v>
      </c>
    </row>
    <row r="301" spans="1:13">
      <c r="A301">
        <v>300</v>
      </c>
      <c r="B301" s="1">
        <v>46224</v>
      </c>
      <c r="C301" t="s">
        <v>48</v>
      </c>
      <c r="D301">
        <v>21</v>
      </c>
      <c r="E301">
        <v>7</v>
      </c>
      <c r="F301">
        <v>3</v>
      </c>
      <c r="G301">
        <v>2026</v>
      </c>
      <c r="H301" t="s">
        <v>319</v>
      </c>
      <c r="I301" t="s">
        <v>320</v>
      </c>
      <c r="J301" t="s">
        <v>21</v>
      </c>
      <c r="K301">
        <v>53</v>
      </c>
      <c r="L301">
        <v>10</v>
      </c>
      <c r="M301">
        <v>535</v>
      </c>
    </row>
    <row r="302" spans="1:13">
      <c r="A302">
        <v>301</v>
      </c>
      <c r="B302" s="1">
        <v>46224</v>
      </c>
      <c r="C302" t="s">
        <v>48</v>
      </c>
      <c r="D302">
        <v>21</v>
      </c>
      <c r="E302">
        <v>7</v>
      </c>
      <c r="F302">
        <v>3</v>
      </c>
      <c r="G302">
        <v>2026</v>
      </c>
      <c r="H302" t="s">
        <v>319</v>
      </c>
      <c r="I302" t="s">
        <v>321</v>
      </c>
      <c r="J302" t="s">
        <v>17</v>
      </c>
      <c r="K302">
        <v>47</v>
      </c>
      <c r="L302">
        <v>7</v>
      </c>
      <c r="M302">
        <v>354</v>
      </c>
    </row>
    <row r="303" spans="1:13">
      <c r="A303">
        <v>302</v>
      </c>
      <c r="B303" s="1">
        <v>46219</v>
      </c>
      <c r="C303" t="s">
        <v>105</v>
      </c>
      <c r="D303">
        <v>16</v>
      </c>
      <c r="E303">
        <v>7</v>
      </c>
      <c r="F303">
        <v>3</v>
      </c>
      <c r="G303">
        <v>2026</v>
      </c>
      <c r="H303" t="s">
        <v>322</v>
      </c>
      <c r="I303" t="s">
        <v>323</v>
      </c>
      <c r="J303" t="s">
        <v>100</v>
      </c>
      <c r="K303">
        <v>36</v>
      </c>
      <c r="L303">
        <v>13</v>
      </c>
      <c r="M303">
        <v>475</v>
      </c>
    </row>
    <row r="304" spans="1:13">
      <c r="A304">
        <v>303</v>
      </c>
      <c r="B304" s="1">
        <v>46219</v>
      </c>
      <c r="C304" t="s">
        <v>105</v>
      </c>
      <c r="D304">
        <v>16</v>
      </c>
      <c r="E304">
        <v>7</v>
      </c>
      <c r="F304">
        <v>3</v>
      </c>
      <c r="G304">
        <v>2026</v>
      </c>
      <c r="H304" t="s">
        <v>322</v>
      </c>
      <c r="I304" t="s">
        <v>324</v>
      </c>
      <c r="J304" t="s">
        <v>17</v>
      </c>
      <c r="K304">
        <v>13</v>
      </c>
      <c r="L304">
        <v>24</v>
      </c>
      <c r="M304">
        <v>312</v>
      </c>
    </row>
    <row r="305" spans="1:13">
      <c r="A305">
        <v>304</v>
      </c>
      <c r="B305" s="1">
        <v>46219</v>
      </c>
      <c r="C305" t="s">
        <v>105</v>
      </c>
      <c r="D305">
        <v>16</v>
      </c>
      <c r="E305">
        <v>7</v>
      </c>
      <c r="F305">
        <v>3</v>
      </c>
      <c r="G305">
        <v>2026</v>
      </c>
      <c r="H305" t="s">
        <v>322</v>
      </c>
      <c r="I305" t="s">
        <v>305</v>
      </c>
      <c r="J305" t="s">
        <v>55</v>
      </c>
      <c r="K305">
        <v>26</v>
      </c>
      <c r="L305">
        <v>14</v>
      </c>
      <c r="M305">
        <v>374</v>
      </c>
    </row>
    <row r="306" spans="1:13">
      <c r="A306">
        <v>305</v>
      </c>
      <c r="B306" s="1">
        <v>46219</v>
      </c>
      <c r="C306" t="s">
        <v>105</v>
      </c>
      <c r="D306">
        <v>16</v>
      </c>
      <c r="E306">
        <v>7</v>
      </c>
      <c r="F306">
        <v>3</v>
      </c>
      <c r="G306">
        <v>2026</v>
      </c>
      <c r="H306" t="s">
        <v>322</v>
      </c>
      <c r="I306" t="s">
        <v>258</v>
      </c>
      <c r="J306" t="s">
        <v>57</v>
      </c>
      <c r="K306">
        <v>24</v>
      </c>
      <c r="L306">
        <v>12</v>
      </c>
      <c r="M306">
        <v>307</v>
      </c>
    </row>
    <row r="307" spans="1:13">
      <c r="A307">
        <v>306</v>
      </c>
      <c r="B307" s="1">
        <v>46219</v>
      </c>
      <c r="C307" t="s">
        <v>105</v>
      </c>
      <c r="D307">
        <v>16</v>
      </c>
      <c r="E307">
        <v>7</v>
      </c>
      <c r="F307">
        <v>3</v>
      </c>
      <c r="G307">
        <v>2026</v>
      </c>
      <c r="H307" t="s">
        <v>322</v>
      </c>
      <c r="I307" t="s">
        <v>325</v>
      </c>
      <c r="J307" t="s">
        <v>55</v>
      </c>
      <c r="K307">
        <v>33</v>
      </c>
      <c r="L307">
        <v>9</v>
      </c>
      <c r="M307">
        <v>329</v>
      </c>
    </row>
    <row r="308" spans="1:13">
      <c r="A308">
        <v>307</v>
      </c>
      <c r="B308" s="1">
        <v>46219</v>
      </c>
      <c r="C308" t="s">
        <v>105</v>
      </c>
      <c r="D308">
        <v>16</v>
      </c>
      <c r="E308">
        <v>7</v>
      </c>
      <c r="F308">
        <v>3</v>
      </c>
      <c r="G308">
        <v>2026</v>
      </c>
      <c r="H308" t="s">
        <v>322</v>
      </c>
      <c r="I308" t="s">
        <v>326</v>
      </c>
      <c r="J308" t="s">
        <v>97</v>
      </c>
      <c r="K308">
        <v>24</v>
      </c>
      <c r="L308">
        <v>11</v>
      </c>
      <c r="M308">
        <v>271</v>
      </c>
    </row>
    <row r="309" spans="1:13">
      <c r="A309">
        <v>308</v>
      </c>
      <c r="B309" s="1">
        <v>46219</v>
      </c>
      <c r="C309" t="s">
        <v>105</v>
      </c>
      <c r="D309">
        <v>16</v>
      </c>
      <c r="E309">
        <v>7</v>
      </c>
      <c r="F309">
        <v>3</v>
      </c>
      <c r="G309">
        <v>2026</v>
      </c>
      <c r="H309" t="s">
        <v>322</v>
      </c>
      <c r="I309" t="s">
        <v>327</v>
      </c>
      <c r="J309" t="s">
        <v>51</v>
      </c>
      <c r="K309">
        <v>59</v>
      </c>
      <c r="L309">
        <v>4</v>
      </c>
      <c r="M309">
        <v>288</v>
      </c>
    </row>
    <row r="310" spans="1:13">
      <c r="A310">
        <v>309</v>
      </c>
      <c r="B310" s="1">
        <v>46219</v>
      </c>
      <c r="C310" t="s">
        <v>105</v>
      </c>
      <c r="D310">
        <v>16</v>
      </c>
      <c r="E310">
        <v>7</v>
      </c>
      <c r="F310">
        <v>3</v>
      </c>
      <c r="G310">
        <v>2026</v>
      </c>
      <c r="H310" t="s">
        <v>322</v>
      </c>
      <c r="I310" t="s">
        <v>287</v>
      </c>
      <c r="J310" t="s">
        <v>46</v>
      </c>
      <c r="K310">
        <v>36</v>
      </c>
      <c r="L310">
        <v>7</v>
      </c>
      <c r="M310">
        <v>266</v>
      </c>
    </row>
    <row r="311" spans="1:13">
      <c r="A311">
        <v>310</v>
      </c>
      <c r="B311" s="1">
        <v>45814</v>
      </c>
      <c r="C311" t="s">
        <v>79</v>
      </c>
      <c r="D311">
        <v>6</v>
      </c>
      <c r="E311">
        <v>6</v>
      </c>
      <c r="F311">
        <v>2</v>
      </c>
      <c r="G311">
        <v>2025</v>
      </c>
      <c r="H311" t="s">
        <v>328</v>
      </c>
      <c r="I311" t="s">
        <v>189</v>
      </c>
      <c r="J311" t="s">
        <v>43</v>
      </c>
      <c r="K311">
        <v>31</v>
      </c>
      <c r="L311">
        <v>11</v>
      </c>
      <c r="M311">
        <v>345</v>
      </c>
    </row>
    <row r="312" spans="1:13">
      <c r="A312">
        <v>311</v>
      </c>
      <c r="B312" s="1">
        <v>45814</v>
      </c>
      <c r="C312" t="s">
        <v>79</v>
      </c>
      <c r="D312">
        <v>6</v>
      </c>
      <c r="E312">
        <v>6</v>
      </c>
      <c r="F312">
        <v>2</v>
      </c>
      <c r="G312">
        <v>2025</v>
      </c>
      <c r="H312" t="s">
        <v>328</v>
      </c>
      <c r="I312" t="s">
        <v>262</v>
      </c>
      <c r="J312" t="s">
        <v>21</v>
      </c>
      <c r="K312">
        <v>31</v>
      </c>
      <c r="L312">
        <v>7</v>
      </c>
      <c r="M312">
        <v>225</v>
      </c>
    </row>
    <row r="313" spans="1:13">
      <c r="A313">
        <v>312</v>
      </c>
      <c r="B313" s="1">
        <v>45814</v>
      </c>
      <c r="C313" t="s">
        <v>79</v>
      </c>
      <c r="D313">
        <v>6</v>
      </c>
      <c r="E313">
        <v>6</v>
      </c>
      <c r="F313">
        <v>2</v>
      </c>
      <c r="G313">
        <v>2025</v>
      </c>
      <c r="H313" t="s">
        <v>328</v>
      </c>
      <c r="I313" t="s">
        <v>300</v>
      </c>
      <c r="J313" t="s">
        <v>55</v>
      </c>
      <c r="K313">
        <v>48</v>
      </c>
      <c r="L313">
        <v>6</v>
      </c>
      <c r="M313">
        <v>323</v>
      </c>
    </row>
    <row r="314" spans="1:13">
      <c r="A314">
        <v>313</v>
      </c>
      <c r="B314" s="1">
        <v>45814</v>
      </c>
      <c r="C314" t="s">
        <v>79</v>
      </c>
      <c r="D314">
        <v>6</v>
      </c>
      <c r="E314">
        <v>6</v>
      </c>
      <c r="F314">
        <v>2</v>
      </c>
      <c r="G314">
        <v>2025</v>
      </c>
      <c r="H314" t="s">
        <v>328</v>
      </c>
      <c r="I314" t="s">
        <v>329</v>
      </c>
      <c r="J314" t="s">
        <v>82</v>
      </c>
      <c r="K314">
        <v>37</v>
      </c>
      <c r="L314">
        <v>2</v>
      </c>
      <c r="M314">
        <v>101</v>
      </c>
    </row>
    <row r="315" spans="1:13">
      <c r="A315">
        <v>314</v>
      </c>
      <c r="B315" s="1">
        <v>45814</v>
      </c>
      <c r="C315" t="s">
        <v>79</v>
      </c>
      <c r="D315">
        <v>6</v>
      </c>
      <c r="E315">
        <v>6</v>
      </c>
      <c r="F315">
        <v>2</v>
      </c>
      <c r="G315">
        <v>2025</v>
      </c>
      <c r="H315" t="s">
        <v>328</v>
      </c>
      <c r="I315" t="s">
        <v>330</v>
      </c>
      <c r="J315" t="s">
        <v>60</v>
      </c>
      <c r="K315">
        <v>35</v>
      </c>
      <c r="L315">
        <v>9</v>
      </c>
      <c r="M315">
        <v>315</v>
      </c>
    </row>
    <row r="316" spans="1:13">
      <c r="A316">
        <v>315</v>
      </c>
      <c r="B316" s="1">
        <v>45814</v>
      </c>
      <c r="C316" t="s">
        <v>79</v>
      </c>
      <c r="D316">
        <v>6</v>
      </c>
      <c r="E316">
        <v>6</v>
      </c>
      <c r="F316">
        <v>2</v>
      </c>
      <c r="G316">
        <v>2025</v>
      </c>
      <c r="H316" t="s">
        <v>328</v>
      </c>
      <c r="I316" t="s">
        <v>331</v>
      </c>
      <c r="J316" t="s">
        <v>51</v>
      </c>
      <c r="K316">
        <v>57</v>
      </c>
      <c r="L316">
        <v>2</v>
      </c>
      <c r="M316">
        <v>117</v>
      </c>
    </row>
    <row r="317" spans="1:13">
      <c r="A317">
        <v>316</v>
      </c>
      <c r="B317" s="1">
        <v>45814</v>
      </c>
      <c r="C317" t="s">
        <v>79</v>
      </c>
      <c r="D317">
        <v>6</v>
      </c>
      <c r="E317">
        <v>6</v>
      </c>
      <c r="F317">
        <v>2</v>
      </c>
      <c r="G317">
        <v>2025</v>
      </c>
      <c r="H317" t="s">
        <v>328</v>
      </c>
      <c r="I317" t="s">
        <v>216</v>
      </c>
      <c r="J317" t="s">
        <v>100</v>
      </c>
      <c r="K317">
        <v>15</v>
      </c>
      <c r="L317">
        <v>15</v>
      </c>
      <c r="M317">
        <v>228</v>
      </c>
    </row>
    <row r="318" spans="1:13">
      <c r="A318">
        <v>317</v>
      </c>
      <c r="B318" s="1">
        <v>45814</v>
      </c>
      <c r="C318" t="s">
        <v>79</v>
      </c>
      <c r="D318">
        <v>6</v>
      </c>
      <c r="E318">
        <v>6</v>
      </c>
      <c r="F318">
        <v>2</v>
      </c>
      <c r="G318">
        <v>2025</v>
      </c>
      <c r="H318" t="s">
        <v>328</v>
      </c>
      <c r="I318" t="s">
        <v>86</v>
      </c>
      <c r="J318" t="s">
        <v>46</v>
      </c>
      <c r="K318">
        <v>53</v>
      </c>
      <c r="L318">
        <v>3</v>
      </c>
      <c r="M318">
        <v>211</v>
      </c>
    </row>
    <row r="319" spans="1:13">
      <c r="A319">
        <v>318</v>
      </c>
      <c r="B319" s="1">
        <v>45814</v>
      </c>
      <c r="C319" t="s">
        <v>79</v>
      </c>
      <c r="D319">
        <v>6</v>
      </c>
      <c r="E319">
        <v>6</v>
      </c>
      <c r="F319">
        <v>2</v>
      </c>
      <c r="G319">
        <v>2025</v>
      </c>
      <c r="H319" t="s">
        <v>328</v>
      </c>
      <c r="I319" t="s">
        <v>332</v>
      </c>
      <c r="J319" t="s">
        <v>55</v>
      </c>
      <c r="K319">
        <v>60</v>
      </c>
      <c r="L319">
        <v>5</v>
      </c>
      <c r="M319">
        <v>321</v>
      </c>
    </row>
    <row r="320" spans="1:13">
      <c r="A320">
        <v>319</v>
      </c>
      <c r="B320" s="1">
        <v>45814</v>
      </c>
      <c r="C320" t="s">
        <v>79</v>
      </c>
      <c r="D320">
        <v>6</v>
      </c>
      <c r="E320">
        <v>6</v>
      </c>
      <c r="F320">
        <v>2</v>
      </c>
      <c r="G320">
        <v>2025</v>
      </c>
      <c r="H320" t="s">
        <v>328</v>
      </c>
      <c r="I320" t="s">
        <v>238</v>
      </c>
      <c r="J320" t="s">
        <v>97</v>
      </c>
      <c r="K320">
        <v>56</v>
      </c>
      <c r="L320">
        <v>5</v>
      </c>
      <c r="M320">
        <v>285</v>
      </c>
    </row>
    <row r="321" spans="1:13">
      <c r="A321">
        <v>320</v>
      </c>
      <c r="B321" s="1">
        <v>46154</v>
      </c>
      <c r="C321" t="s">
        <v>48</v>
      </c>
      <c r="D321">
        <v>12</v>
      </c>
      <c r="E321">
        <v>5</v>
      </c>
      <c r="F321">
        <v>2</v>
      </c>
      <c r="G321">
        <v>2026</v>
      </c>
      <c r="H321" t="s">
        <v>145</v>
      </c>
      <c r="I321" t="s">
        <v>140</v>
      </c>
      <c r="J321" t="s">
        <v>17</v>
      </c>
      <c r="K321">
        <v>32</v>
      </c>
      <c r="L321">
        <v>11</v>
      </c>
      <c r="M321">
        <v>362</v>
      </c>
    </row>
    <row r="322" spans="1:13">
      <c r="A322">
        <v>321</v>
      </c>
      <c r="B322" s="1">
        <v>46154</v>
      </c>
      <c r="C322" t="s">
        <v>48</v>
      </c>
      <c r="D322">
        <v>12</v>
      </c>
      <c r="E322">
        <v>5</v>
      </c>
      <c r="F322">
        <v>2</v>
      </c>
      <c r="G322">
        <v>2026</v>
      </c>
      <c r="H322" t="s">
        <v>145</v>
      </c>
      <c r="I322" t="s">
        <v>165</v>
      </c>
      <c r="J322" t="s">
        <v>69</v>
      </c>
      <c r="K322">
        <v>40</v>
      </c>
      <c r="L322">
        <v>5</v>
      </c>
      <c r="M322">
        <v>207</v>
      </c>
    </row>
    <row r="323" spans="1:13">
      <c r="A323">
        <v>322</v>
      </c>
      <c r="B323" s="1">
        <v>46154</v>
      </c>
      <c r="C323" t="s">
        <v>48</v>
      </c>
      <c r="D323">
        <v>12</v>
      </c>
      <c r="E323">
        <v>5</v>
      </c>
      <c r="F323">
        <v>2</v>
      </c>
      <c r="G323">
        <v>2026</v>
      </c>
      <c r="H323" t="s">
        <v>145</v>
      </c>
      <c r="I323" t="s">
        <v>301</v>
      </c>
      <c r="J323" t="s">
        <v>69</v>
      </c>
      <c r="K323">
        <v>40</v>
      </c>
      <c r="L323">
        <v>4</v>
      </c>
      <c r="M323">
        <v>162</v>
      </c>
    </row>
    <row r="324" spans="1:13">
      <c r="A324">
        <v>323</v>
      </c>
      <c r="B324" s="1">
        <v>46154</v>
      </c>
      <c r="C324" t="s">
        <v>48</v>
      </c>
      <c r="D324">
        <v>12</v>
      </c>
      <c r="E324">
        <v>5</v>
      </c>
      <c r="F324">
        <v>2</v>
      </c>
      <c r="G324">
        <v>2026</v>
      </c>
      <c r="H324" t="s">
        <v>145</v>
      </c>
      <c r="I324" t="s">
        <v>333</v>
      </c>
      <c r="J324" t="s">
        <v>37</v>
      </c>
      <c r="K324">
        <v>41</v>
      </c>
      <c r="L324">
        <v>7</v>
      </c>
      <c r="M324">
        <v>296</v>
      </c>
    </row>
    <row r="325" spans="1:13">
      <c r="A325">
        <v>324</v>
      </c>
      <c r="B325" s="1">
        <v>45941</v>
      </c>
      <c r="C325" t="s">
        <v>14</v>
      </c>
      <c r="D325">
        <v>11</v>
      </c>
      <c r="E325">
        <v>10</v>
      </c>
      <c r="F325">
        <v>4</v>
      </c>
      <c r="G325">
        <v>2025</v>
      </c>
      <c r="H325" t="s">
        <v>199</v>
      </c>
      <c r="I325" t="s">
        <v>119</v>
      </c>
      <c r="J325" t="s">
        <v>60</v>
      </c>
      <c r="K325">
        <v>39</v>
      </c>
      <c r="L325">
        <v>11</v>
      </c>
      <c r="M325">
        <v>458</v>
      </c>
    </row>
    <row r="326" spans="1:13">
      <c r="A326">
        <v>325</v>
      </c>
      <c r="B326" s="1">
        <v>45960</v>
      </c>
      <c r="C326" t="s">
        <v>105</v>
      </c>
      <c r="D326">
        <v>30</v>
      </c>
      <c r="E326">
        <v>10</v>
      </c>
      <c r="F326">
        <v>4</v>
      </c>
      <c r="G326">
        <v>2025</v>
      </c>
      <c r="H326" t="s">
        <v>334</v>
      </c>
      <c r="I326" t="s">
        <v>335</v>
      </c>
      <c r="J326" t="s">
        <v>37</v>
      </c>
      <c r="K326">
        <v>16</v>
      </c>
      <c r="L326">
        <v>26</v>
      </c>
      <c r="M326">
        <v>427</v>
      </c>
    </row>
    <row r="327" spans="1:13">
      <c r="A327">
        <v>326</v>
      </c>
      <c r="B327" s="1">
        <v>45960</v>
      </c>
      <c r="C327" t="s">
        <v>105</v>
      </c>
      <c r="D327">
        <v>30</v>
      </c>
      <c r="E327">
        <v>10</v>
      </c>
      <c r="F327">
        <v>4</v>
      </c>
      <c r="G327">
        <v>2025</v>
      </c>
      <c r="H327" t="s">
        <v>334</v>
      </c>
      <c r="I327" t="s">
        <v>324</v>
      </c>
      <c r="J327" t="s">
        <v>17</v>
      </c>
      <c r="K327">
        <v>41</v>
      </c>
      <c r="L327">
        <v>7</v>
      </c>
      <c r="M327">
        <v>295</v>
      </c>
    </row>
    <row r="328" spans="1:13">
      <c r="A328">
        <v>327</v>
      </c>
      <c r="B328" s="1">
        <v>45960</v>
      </c>
      <c r="C328" t="s">
        <v>105</v>
      </c>
      <c r="D328">
        <v>30</v>
      </c>
      <c r="E328">
        <v>10</v>
      </c>
      <c r="F328">
        <v>4</v>
      </c>
      <c r="G328">
        <v>2025</v>
      </c>
      <c r="H328" t="s">
        <v>334</v>
      </c>
      <c r="I328" t="s">
        <v>336</v>
      </c>
      <c r="J328" t="s">
        <v>82</v>
      </c>
      <c r="K328">
        <v>16</v>
      </c>
      <c r="L328">
        <v>17</v>
      </c>
      <c r="M328">
        <v>275</v>
      </c>
    </row>
    <row r="329" spans="1:13">
      <c r="A329">
        <v>328</v>
      </c>
      <c r="B329" s="1">
        <v>45960</v>
      </c>
      <c r="C329" t="s">
        <v>105</v>
      </c>
      <c r="D329">
        <v>30</v>
      </c>
      <c r="E329">
        <v>10</v>
      </c>
      <c r="F329">
        <v>4</v>
      </c>
      <c r="G329">
        <v>2025</v>
      </c>
      <c r="H329" t="s">
        <v>334</v>
      </c>
      <c r="I329" t="s">
        <v>337</v>
      </c>
      <c r="J329" t="s">
        <v>37</v>
      </c>
      <c r="K329">
        <v>56</v>
      </c>
      <c r="L329">
        <v>5</v>
      </c>
      <c r="M329">
        <v>283</v>
      </c>
    </row>
    <row r="330" spans="1:13">
      <c r="A330">
        <v>329</v>
      </c>
      <c r="B330" s="1">
        <v>45960</v>
      </c>
      <c r="C330" t="s">
        <v>105</v>
      </c>
      <c r="D330">
        <v>30</v>
      </c>
      <c r="E330">
        <v>10</v>
      </c>
      <c r="F330">
        <v>4</v>
      </c>
      <c r="G330">
        <v>2025</v>
      </c>
      <c r="H330" t="s">
        <v>334</v>
      </c>
      <c r="I330" t="s">
        <v>338</v>
      </c>
      <c r="J330" t="s">
        <v>82</v>
      </c>
      <c r="K330">
        <v>24</v>
      </c>
      <c r="L330">
        <v>5</v>
      </c>
      <c r="M330">
        <v>122</v>
      </c>
    </row>
    <row r="331" spans="1:13">
      <c r="A331">
        <v>330</v>
      </c>
      <c r="B331" s="1">
        <v>45960</v>
      </c>
      <c r="C331" t="s">
        <v>105</v>
      </c>
      <c r="D331">
        <v>30</v>
      </c>
      <c r="E331">
        <v>10</v>
      </c>
      <c r="F331">
        <v>4</v>
      </c>
      <c r="G331">
        <v>2025</v>
      </c>
      <c r="H331" t="s">
        <v>334</v>
      </c>
      <c r="I331" t="s">
        <v>339</v>
      </c>
      <c r="J331" t="s">
        <v>19</v>
      </c>
      <c r="K331">
        <v>12</v>
      </c>
      <c r="L331">
        <v>17</v>
      </c>
      <c r="M331">
        <v>213</v>
      </c>
    </row>
    <row r="332" spans="1:13">
      <c r="A332">
        <v>331</v>
      </c>
      <c r="B332" s="1">
        <v>45960</v>
      </c>
      <c r="C332" t="s">
        <v>105</v>
      </c>
      <c r="D332">
        <v>30</v>
      </c>
      <c r="E332">
        <v>10</v>
      </c>
      <c r="F332">
        <v>4</v>
      </c>
      <c r="G332">
        <v>2025</v>
      </c>
      <c r="H332" t="s">
        <v>334</v>
      </c>
      <c r="I332" t="s">
        <v>340</v>
      </c>
      <c r="J332" t="s">
        <v>43</v>
      </c>
      <c r="K332">
        <v>39</v>
      </c>
      <c r="L332">
        <v>8</v>
      </c>
      <c r="M332">
        <v>323</v>
      </c>
    </row>
    <row r="333" spans="1:13">
      <c r="A333">
        <v>332</v>
      </c>
      <c r="B333" s="1">
        <v>45960</v>
      </c>
      <c r="C333" t="s">
        <v>105</v>
      </c>
      <c r="D333">
        <v>30</v>
      </c>
      <c r="E333">
        <v>10</v>
      </c>
      <c r="F333">
        <v>4</v>
      </c>
      <c r="G333">
        <v>2025</v>
      </c>
      <c r="H333" t="s">
        <v>334</v>
      </c>
      <c r="I333" t="s">
        <v>341</v>
      </c>
      <c r="J333" t="s">
        <v>21</v>
      </c>
      <c r="K333">
        <v>25</v>
      </c>
      <c r="L333">
        <v>7</v>
      </c>
      <c r="M333">
        <v>191</v>
      </c>
    </row>
    <row r="334" spans="1:13">
      <c r="A334">
        <v>333</v>
      </c>
      <c r="B334" s="1">
        <v>45960</v>
      </c>
      <c r="C334" t="s">
        <v>105</v>
      </c>
      <c r="D334">
        <v>30</v>
      </c>
      <c r="E334">
        <v>10</v>
      </c>
      <c r="F334">
        <v>4</v>
      </c>
      <c r="G334">
        <v>2025</v>
      </c>
      <c r="H334" t="s">
        <v>334</v>
      </c>
      <c r="I334" t="s">
        <v>255</v>
      </c>
      <c r="J334" t="s">
        <v>39</v>
      </c>
      <c r="K334">
        <v>60</v>
      </c>
      <c r="L334">
        <v>5</v>
      </c>
      <c r="M334">
        <v>304</v>
      </c>
    </row>
    <row r="335" spans="1:13">
      <c r="A335">
        <v>334</v>
      </c>
      <c r="B335" s="1">
        <v>45960</v>
      </c>
      <c r="C335" t="s">
        <v>105</v>
      </c>
      <c r="D335">
        <v>30</v>
      </c>
      <c r="E335">
        <v>10</v>
      </c>
      <c r="F335">
        <v>4</v>
      </c>
      <c r="G335">
        <v>2025</v>
      </c>
      <c r="H335" t="s">
        <v>334</v>
      </c>
      <c r="I335" t="s">
        <v>342</v>
      </c>
      <c r="J335" t="s">
        <v>55</v>
      </c>
      <c r="K335">
        <v>50</v>
      </c>
      <c r="L335">
        <v>3</v>
      </c>
      <c r="M335">
        <v>192</v>
      </c>
    </row>
    <row r="336" spans="1:13">
      <c r="A336">
        <v>335</v>
      </c>
      <c r="B336" s="1">
        <v>45960</v>
      </c>
      <c r="C336" t="s">
        <v>105</v>
      </c>
      <c r="D336">
        <v>30</v>
      </c>
      <c r="E336">
        <v>10</v>
      </c>
      <c r="F336">
        <v>4</v>
      </c>
      <c r="G336">
        <v>2025</v>
      </c>
      <c r="H336" t="s">
        <v>334</v>
      </c>
      <c r="I336" t="s">
        <v>343</v>
      </c>
      <c r="J336" t="s">
        <v>46</v>
      </c>
      <c r="K336">
        <v>39</v>
      </c>
      <c r="L336">
        <v>7</v>
      </c>
      <c r="M336">
        <v>298</v>
      </c>
    </row>
    <row r="337" spans="1:13">
      <c r="A337">
        <v>336</v>
      </c>
      <c r="B337" s="1">
        <v>45960</v>
      </c>
      <c r="C337" t="s">
        <v>105</v>
      </c>
      <c r="D337">
        <v>30</v>
      </c>
      <c r="E337">
        <v>10</v>
      </c>
      <c r="F337">
        <v>4</v>
      </c>
      <c r="G337">
        <v>2025</v>
      </c>
      <c r="H337" t="s">
        <v>334</v>
      </c>
      <c r="I337" t="s">
        <v>344</v>
      </c>
      <c r="J337" t="s">
        <v>19</v>
      </c>
      <c r="K337">
        <v>58</v>
      </c>
      <c r="L337">
        <v>2</v>
      </c>
      <c r="M337">
        <v>121</v>
      </c>
    </row>
    <row r="338" spans="1:13">
      <c r="A338">
        <v>337</v>
      </c>
      <c r="B338" s="1">
        <v>45685</v>
      </c>
      <c r="C338" t="s">
        <v>48</v>
      </c>
      <c r="D338">
        <v>28</v>
      </c>
      <c r="E338">
        <v>1</v>
      </c>
      <c r="F338">
        <v>1</v>
      </c>
      <c r="G338">
        <v>2025</v>
      </c>
      <c r="H338" t="s">
        <v>345</v>
      </c>
      <c r="I338" t="s">
        <v>346</v>
      </c>
      <c r="J338" t="s">
        <v>23</v>
      </c>
      <c r="K338">
        <v>39</v>
      </c>
      <c r="L338">
        <v>3</v>
      </c>
      <c r="M338">
        <v>137</v>
      </c>
    </row>
    <row r="339" spans="1:13">
      <c r="A339">
        <v>338</v>
      </c>
      <c r="B339" s="1">
        <v>45685</v>
      </c>
      <c r="C339" t="s">
        <v>48</v>
      </c>
      <c r="D339">
        <v>28</v>
      </c>
      <c r="E339">
        <v>1</v>
      </c>
      <c r="F339">
        <v>1</v>
      </c>
      <c r="G339">
        <v>2025</v>
      </c>
      <c r="H339" t="s">
        <v>345</v>
      </c>
      <c r="I339" t="s">
        <v>143</v>
      </c>
      <c r="J339" t="s">
        <v>69</v>
      </c>
      <c r="K339">
        <v>17</v>
      </c>
      <c r="L339">
        <v>17</v>
      </c>
      <c r="M339">
        <v>291</v>
      </c>
    </row>
    <row r="340" spans="1:13">
      <c r="A340">
        <v>339</v>
      </c>
      <c r="B340" s="1">
        <v>45685</v>
      </c>
      <c r="C340" t="s">
        <v>48</v>
      </c>
      <c r="D340">
        <v>28</v>
      </c>
      <c r="E340">
        <v>1</v>
      </c>
      <c r="F340">
        <v>1</v>
      </c>
      <c r="G340">
        <v>2025</v>
      </c>
      <c r="H340" t="s">
        <v>345</v>
      </c>
      <c r="I340" t="s">
        <v>347</v>
      </c>
      <c r="J340" t="s">
        <v>69</v>
      </c>
      <c r="K340">
        <v>28</v>
      </c>
      <c r="L340">
        <v>3</v>
      </c>
      <c r="M340">
        <v>100</v>
      </c>
    </row>
    <row r="341" spans="1:13">
      <c r="A341">
        <v>340</v>
      </c>
      <c r="B341" s="1">
        <v>45685</v>
      </c>
      <c r="C341" t="s">
        <v>48</v>
      </c>
      <c r="D341">
        <v>28</v>
      </c>
      <c r="E341">
        <v>1</v>
      </c>
      <c r="F341">
        <v>1</v>
      </c>
      <c r="G341">
        <v>2025</v>
      </c>
      <c r="H341" t="s">
        <v>345</v>
      </c>
      <c r="I341" t="s">
        <v>348</v>
      </c>
      <c r="J341" t="s">
        <v>60</v>
      </c>
      <c r="K341">
        <v>53</v>
      </c>
      <c r="L341">
        <v>8</v>
      </c>
      <c r="M341">
        <v>440</v>
      </c>
    </row>
    <row r="342" spans="1:13">
      <c r="A342">
        <v>341</v>
      </c>
      <c r="B342" s="1">
        <v>45685</v>
      </c>
      <c r="C342" t="s">
        <v>48</v>
      </c>
      <c r="D342">
        <v>28</v>
      </c>
      <c r="E342">
        <v>1</v>
      </c>
      <c r="F342">
        <v>1</v>
      </c>
      <c r="G342">
        <v>2025</v>
      </c>
      <c r="H342" t="s">
        <v>345</v>
      </c>
      <c r="I342" t="s">
        <v>349</v>
      </c>
      <c r="J342" t="s">
        <v>51</v>
      </c>
      <c r="K342">
        <v>17</v>
      </c>
      <c r="L342">
        <v>4</v>
      </c>
      <c r="M342">
        <v>81</v>
      </c>
    </row>
    <row r="343" spans="1:13">
      <c r="A343">
        <v>342</v>
      </c>
      <c r="B343" s="1">
        <v>45685</v>
      </c>
      <c r="C343" t="s">
        <v>48</v>
      </c>
      <c r="D343">
        <v>28</v>
      </c>
      <c r="E343">
        <v>1</v>
      </c>
      <c r="F343">
        <v>1</v>
      </c>
      <c r="G343">
        <v>2025</v>
      </c>
      <c r="H343" t="s">
        <v>345</v>
      </c>
      <c r="I343" t="s">
        <v>350</v>
      </c>
      <c r="J343" t="s">
        <v>60</v>
      </c>
      <c r="K343">
        <v>51</v>
      </c>
      <c r="L343">
        <v>6</v>
      </c>
      <c r="M343">
        <v>328</v>
      </c>
    </row>
    <row r="344" spans="1:13">
      <c r="A344">
        <v>343</v>
      </c>
      <c r="B344" s="1">
        <v>45685</v>
      </c>
      <c r="C344" t="s">
        <v>48</v>
      </c>
      <c r="D344">
        <v>28</v>
      </c>
      <c r="E344">
        <v>1</v>
      </c>
      <c r="F344">
        <v>1</v>
      </c>
      <c r="G344">
        <v>2025</v>
      </c>
      <c r="H344" t="s">
        <v>345</v>
      </c>
      <c r="I344" t="s">
        <v>146</v>
      </c>
      <c r="J344" t="s">
        <v>97</v>
      </c>
      <c r="K344">
        <v>49</v>
      </c>
      <c r="L344">
        <v>4</v>
      </c>
      <c r="M344">
        <v>234</v>
      </c>
    </row>
    <row r="345" spans="1:13">
      <c r="A345">
        <v>344</v>
      </c>
      <c r="B345" s="1">
        <v>45685</v>
      </c>
      <c r="C345" t="s">
        <v>48</v>
      </c>
      <c r="D345">
        <v>28</v>
      </c>
      <c r="E345">
        <v>1</v>
      </c>
      <c r="F345">
        <v>1</v>
      </c>
      <c r="G345">
        <v>2025</v>
      </c>
      <c r="H345" t="s">
        <v>345</v>
      </c>
      <c r="I345" t="s">
        <v>284</v>
      </c>
      <c r="J345" t="s">
        <v>97</v>
      </c>
      <c r="K345">
        <v>47</v>
      </c>
      <c r="L345">
        <v>4</v>
      </c>
      <c r="M345">
        <v>233</v>
      </c>
    </row>
    <row r="346" spans="1:13">
      <c r="A346">
        <v>345</v>
      </c>
      <c r="B346" s="1">
        <v>45685</v>
      </c>
      <c r="C346" t="s">
        <v>48</v>
      </c>
      <c r="D346">
        <v>28</v>
      </c>
      <c r="E346">
        <v>1</v>
      </c>
      <c r="F346">
        <v>1</v>
      </c>
      <c r="G346">
        <v>2025</v>
      </c>
      <c r="H346" t="s">
        <v>345</v>
      </c>
      <c r="I346" t="s">
        <v>351</v>
      </c>
      <c r="J346" t="s">
        <v>57</v>
      </c>
      <c r="K346">
        <v>37</v>
      </c>
      <c r="L346">
        <v>2</v>
      </c>
      <c r="M346">
        <v>100</v>
      </c>
    </row>
    <row r="347" spans="1:13">
      <c r="A347">
        <v>346</v>
      </c>
      <c r="B347" s="1">
        <v>45896</v>
      </c>
      <c r="C347" t="s">
        <v>34</v>
      </c>
      <c r="D347">
        <v>27</v>
      </c>
      <c r="E347">
        <v>8</v>
      </c>
      <c r="F347">
        <v>3</v>
      </c>
      <c r="G347">
        <v>2025</v>
      </c>
      <c r="H347" t="s">
        <v>196</v>
      </c>
      <c r="I347" t="s">
        <v>352</v>
      </c>
      <c r="J347" t="s">
        <v>82</v>
      </c>
      <c r="K347">
        <v>26</v>
      </c>
      <c r="L347">
        <v>6</v>
      </c>
      <c r="M347">
        <v>174</v>
      </c>
    </row>
    <row r="348" spans="1:13">
      <c r="A348">
        <v>347</v>
      </c>
      <c r="B348" s="1">
        <v>45896</v>
      </c>
      <c r="C348" t="s">
        <v>34</v>
      </c>
      <c r="D348">
        <v>27</v>
      </c>
      <c r="E348">
        <v>8</v>
      </c>
      <c r="F348">
        <v>3</v>
      </c>
      <c r="G348">
        <v>2025</v>
      </c>
      <c r="H348" t="s">
        <v>196</v>
      </c>
      <c r="I348" t="s">
        <v>167</v>
      </c>
      <c r="J348" t="s">
        <v>23</v>
      </c>
      <c r="K348">
        <v>33</v>
      </c>
      <c r="L348">
        <v>10</v>
      </c>
      <c r="M348">
        <v>351</v>
      </c>
    </row>
    <row r="349" spans="1:13">
      <c r="A349">
        <v>348</v>
      </c>
      <c r="B349" s="1">
        <v>45839</v>
      </c>
      <c r="C349" t="s">
        <v>48</v>
      </c>
      <c r="D349">
        <v>1</v>
      </c>
      <c r="E349">
        <v>7</v>
      </c>
      <c r="F349">
        <v>3</v>
      </c>
      <c r="G349">
        <v>2025</v>
      </c>
      <c r="H349" t="s">
        <v>353</v>
      </c>
      <c r="I349" t="s">
        <v>354</v>
      </c>
      <c r="J349" t="s">
        <v>31</v>
      </c>
      <c r="K349">
        <v>24</v>
      </c>
      <c r="L349">
        <v>10</v>
      </c>
      <c r="M349">
        <v>248</v>
      </c>
    </row>
    <row r="350" spans="1:13">
      <c r="A350">
        <v>349</v>
      </c>
      <c r="B350" s="1">
        <v>45839</v>
      </c>
      <c r="C350" t="s">
        <v>48</v>
      </c>
      <c r="D350">
        <v>1</v>
      </c>
      <c r="E350">
        <v>7</v>
      </c>
      <c r="F350">
        <v>3</v>
      </c>
      <c r="G350">
        <v>2025</v>
      </c>
      <c r="H350" t="s">
        <v>353</v>
      </c>
      <c r="I350" t="s">
        <v>355</v>
      </c>
      <c r="J350" t="s">
        <v>39</v>
      </c>
      <c r="K350">
        <v>24</v>
      </c>
      <c r="L350">
        <v>8</v>
      </c>
      <c r="M350">
        <v>196</v>
      </c>
    </row>
    <row r="351" spans="1:13">
      <c r="A351">
        <v>350</v>
      </c>
      <c r="B351" s="1">
        <v>45839</v>
      </c>
      <c r="C351" t="s">
        <v>48</v>
      </c>
      <c r="D351">
        <v>1</v>
      </c>
      <c r="E351">
        <v>7</v>
      </c>
      <c r="F351">
        <v>3</v>
      </c>
      <c r="G351">
        <v>2025</v>
      </c>
      <c r="H351" t="s">
        <v>353</v>
      </c>
      <c r="I351" t="s">
        <v>109</v>
      </c>
      <c r="J351" t="s">
        <v>46</v>
      </c>
      <c r="K351">
        <v>43</v>
      </c>
      <c r="L351">
        <v>2</v>
      </c>
      <c r="M351">
        <v>100</v>
      </c>
    </row>
    <row r="352" spans="1:13">
      <c r="A352">
        <v>351</v>
      </c>
      <c r="B352" s="1">
        <v>45839</v>
      </c>
      <c r="C352" t="s">
        <v>48</v>
      </c>
      <c r="D352">
        <v>1</v>
      </c>
      <c r="E352">
        <v>7</v>
      </c>
      <c r="F352">
        <v>3</v>
      </c>
      <c r="G352">
        <v>2025</v>
      </c>
      <c r="H352" t="s">
        <v>353</v>
      </c>
      <c r="I352" t="s">
        <v>356</v>
      </c>
      <c r="J352" t="s">
        <v>69</v>
      </c>
      <c r="K352">
        <v>25</v>
      </c>
      <c r="L352">
        <v>8</v>
      </c>
      <c r="M352">
        <v>214</v>
      </c>
    </row>
    <row r="353" spans="1:13">
      <c r="A353">
        <v>352</v>
      </c>
      <c r="B353" s="1">
        <v>45839</v>
      </c>
      <c r="C353" t="s">
        <v>48</v>
      </c>
      <c r="D353">
        <v>1</v>
      </c>
      <c r="E353">
        <v>7</v>
      </c>
      <c r="F353">
        <v>3</v>
      </c>
      <c r="G353">
        <v>2025</v>
      </c>
      <c r="H353" t="s">
        <v>353</v>
      </c>
      <c r="I353" t="s">
        <v>357</v>
      </c>
      <c r="J353" t="s">
        <v>39</v>
      </c>
      <c r="K353">
        <v>54</v>
      </c>
      <c r="L353">
        <v>5</v>
      </c>
      <c r="M353">
        <v>273</v>
      </c>
    </row>
    <row r="354" spans="1:13">
      <c r="A354">
        <v>353</v>
      </c>
      <c r="B354" s="1">
        <v>45839</v>
      </c>
      <c r="C354" t="s">
        <v>48</v>
      </c>
      <c r="D354">
        <v>1</v>
      </c>
      <c r="E354">
        <v>7</v>
      </c>
      <c r="F354">
        <v>3</v>
      </c>
      <c r="G354">
        <v>2025</v>
      </c>
      <c r="H354" t="s">
        <v>353</v>
      </c>
      <c r="I354" t="s">
        <v>358</v>
      </c>
      <c r="J354" t="s">
        <v>37</v>
      </c>
      <c r="K354">
        <v>46</v>
      </c>
      <c r="L354">
        <v>4</v>
      </c>
      <c r="M354">
        <v>204</v>
      </c>
    </row>
    <row r="355" spans="1:13">
      <c r="A355">
        <v>354</v>
      </c>
      <c r="B355" s="1">
        <v>45839</v>
      </c>
      <c r="C355" t="s">
        <v>48</v>
      </c>
      <c r="D355">
        <v>1</v>
      </c>
      <c r="E355">
        <v>7</v>
      </c>
      <c r="F355">
        <v>3</v>
      </c>
      <c r="G355">
        <v>2025</v>
      </c>
      <c r="H355" t="s">
        <v>353</v>
      </c>
      <c r="I355" t="s">
        <v>359</v>
      </c>
      <c r="J355" t="s">
        <v>23</v>
      </c>
      <c r="K355">
        <v>10</v>
      </c>
      <c r="L355">
        <v>40</v>
      </c>
      <c r="M355">
        <v>406</v>
      </c>
    </row>
    <row r="356" spans="1:13">
      <c r="A356">
        <v>355</v>
      </c>
      <c r="B356" s="1">
        <v>45839</v>
      </c>
      <c r="C356" t="s">
        <v>48</v>
      </c>
      <c r="D356">
        <v>1</v>
      </c>
      <c r="E356">
        <v>7</v>
      </c>
      <c r="F356">
        <v>3</v>
      </c>
      <c r="G356">
        <v>2025</v>
      </c>
      <c r="H356" t="s">
        <v>353</v>
      </c>
      <c r="I356" t="s">
        <v>360</v>
      </c>
      <c r="J356" t="s">
        <v>43</v>
      </c>
      <c r="K356">
        <v>34</v>
      </c>
      <c r="L356">
        <v>4</v>
      </c>
      <c r="M356">
        <v>142</v>
      </c>
    </row>
    <row r="357" spans="1:13">
      <c r="A357">
        <v>356</v>
      </c>
      <c r="B357" s="1">
        <v>45839</v>
      </c>
      <c r="C357" t="s">
        <v>48</v>
      </c>
      <c r="D357">
        <v>1</v>
      </c>
      <c r="E357">
        <v>7</v>
      </c>
      <c r="F357">
        <v>3</v>
      </c>
      <c r="G357">
        <v>2025</v>
      </c>
      <c r="H357" t="s">
        <v>353</v>
      </c>
      <c r="I357" t="s">
        <v>361</v>
      </c>
      <c r="J357" t="s">
        <v>37</v>
      </c>
      <c r="K357">
        <v>11</v>
      </c>
      <c r="L357">
        <v>28</v>
      </c>
      <c r="M357">
        <v>314</v>
      </c>
    </row>
    <row r="358" spans="1:13">
      <c r="A358">
        <v>357</v>
      </c>
      <c r="B358" s="1">
        <v>45839</v>
      </c>
      <c r="C358" t="s">
        <v>48</v>
      </c>
      <c r="D358">
        <v>1</v>
      </c>
      <c r="E358">
        <v>7</v>
      </c>
      <c r="F358">
        <v>3</v>
      </c>
      <c r="G358">
        <v>2025</v>
      </c>
      <c r="H358" t="s">
        <v>353</v>
      </c>
      <c r="I358" t="s">
        <v>277</v>
      </c>
      <c r="J358" t="s">
        <v>122</v>
      </c>
      <c r="K358">
        <v>32</v>
      </c>
      <c r="L358">
        <v>10</v>
      </c>
      <c r="M358">
        <v>339</v>
      </c>
    </row>
    <row r="359" spans="1:13">
      <c r="A359">
        <v>358</v>
      </c>
      <c r="B359" s="1">
        <v>45839</v>
      </c>
      <c r="C359" t="s">
        <v>48</v>
      </c>
      <c r="D359">
        <v>1</v>
      </c>
      <c r="E359">
        <v>7</v>
      </c>
      <c r="F359">
        <v>3</v>
      </c>
      <c r="G359">
        <v>2025</v>
      </c>
      <c r="H359" t="s">
        <v>353</v>
      </c>
      <c r="I359" t="s">
        <v>210</v>
      </c>
      <c r="J359" t="s">
        <v>55</v>
      </c>
      <c r="K359">
        <v>27</v>
      </c>
      <c r="L359">
        <v>11</v>
      </c>
      <c r="M359">
        <v>320</v>
      </c>
    </row>
    <row r="360" spans="1:13">
      <c r="A360">
        <v>359</v>
      </c>
      <c r="B360" s="1">
        <v>45839</v>
      </c>
      <c r="C360" t="s">
        <v>48</v>
      </c>
      <c r="D360">
        <v>1</v>
      </c>
      <c r="E360">
        <v>7</v>
      </c>
      <c r="F360">
        <v>3</v>
      </c>
      <c r="G360">
        <v>2025</v>
      </c>
      <c r="H360" t="s">
        <v>353</v>
      </c>
      <c r="I360" t="s">
        <v>78</v>
      </c>
      <c r="J360" t="s">
        <v>51</v>
      </c>
      <c r="K360">
        <v>14</v>
      </c>
      <c r="L360">
        <v>8</v>
      </c>
      <c r="M360">
        <v>113</v>
      </c>
    </row>
    <row r="361" spans="1:13">
      <c r="A361">
        <v>360</v>
      </c>
      <c r="B361" s="1">
        <v>45860</v>
      </c>
      <c r="C361" t="s">
        <v>48</v>
      </c>
      <c r="D361">
        <v>22</v>
      </c>
      <c r="E361">
        <v>7</v>
      </c>
      <c r="F361">
        <v>3</v>
      </c>
      <c r="G361">
        <v>2025</v>
      </c>
      <c r="H361" t="s">
        <v>362</v>
      </c>
      <c r="I361" t="s">
        <v>223</v>
      </c>
      <c r="J361" t="s">
        <v>19</v>
      </c>
      <c r="K361">
        <v>59</v>
      </c>
      <c r="L361">
        <v>3</v>
      </c>
      <c r="M361">
        <v>212</v>
      </c>
    </row>
    <row r="362" spans="1:13">
      <c r="A362">
        <v>361</v>
      </c>
      <c r="B362" s="1">
        <v>45860</v>
      </c>
      <c r="C362" t="s">
        <v>48</v>
      </c>
      <c r="D362">
        <v>22</v>
      </c>
      <c r="E362">
        <v>7</v>
      </c>
      <c r="F362">
        <v>3</v>
      </c>
      <c r="G362">
        <v>2025</v>
      </c>
      <c r="H362" t="s">
        <v>362</v>
      </c>
      <c r="I362" t="s">
        <v>282</v>
      </c>
      <c r="J362" t="s">
        <v>21</v>
      </c>
      <c r="K362">
        <v>44</v>
      </c>
      <c r="L362">
        <v>7</v>
      </c>
      <c r="M362">
        <v>345</v>
      </c>
    </row>
    <row r="363" spans="1:13">
      <c r="A363">
        <v>362</v>
      </c>
      <c r="B363" s="1">
        <v>45860</v>
      </c>
      <c r="C363" t="s">
        <v>48</v>
      </c>
      <c r="D363">
        <v>22</v>
      </c>
      <c r="E363">
        <v>7</v>
      </c>
      <c r="F363">
        <v>3</v>
      </c>
      <c r="G363">
        <v>2025</v>
      </c>
      <c r="H363" t="s">
        <v>362</v>
      </c>
      <c r="I363" t="s">
        <v>363</v>
      </c>
      <c r="J363" t="s">
        <v>100</v>
      </c>
      <c r="K363">
        <v>31</v>
      </c>
      <c r="L363">
        <v>7</v>
      </c>
      <c r="M363">
        <v>228</v>
      </c>
    </row>
    <row r="364" spans="1:13">
      <c r="A364">
        <v>363</v>
      </c>
      <c r="B364" s="1">
        <v>45860</v>
      </c>
      <c r="C364" t="s">
        <v>48</v>
      </c>
      <c r="D364">
        <v>22</v>
      </c>
      <c r="E364">
        <v>7</v>
      </c>
      <c r="F364">
        <v>3</v>
      </c>
      <c r="G364">
        <v>2025</v>
      </c>
      <c r="H364" t="s">
        <v>362</v>
      </c>
      <c r="I364" t="s">
        <v>364</v>
      </c>
      <c r="J364" t="s">
        <v>21</v>
      </c>
      <c r="K364">
        <v>43</v>
      </c>
      <c r="L364">
        <v>5</v>
      </c>
      <c r="M364">
        <v>247</v>
      </c>
    </row>
    <row r="365" spans="1:13">
      <c r="A365">
        <v>364</v>
      </c>
      <c r="B365" s="1">
        <v>45860</v>
      </c>
      <c r="C365" t="s">
        <v>48</v>
      </c>
      <c r="D365">
        <v>22</v>
      </c>
      <c r="E365">
        <v>7</v>
      </c>
      <c r="F365">
        <v>3</v>
      </c>
      <c r="G365">
        <v>2025</v>
      </c>
      <c r="H365" t="s">
        <v>362</v>
      </c>
      <c r="I365" t="s">
        <v>63</v>
      </c>
      <c r="J365" t="s">
        <v>25</v>
      </c>
      <c r="K365">
        <v>13</v>
      </c>
      <c r="L365">
        <v>15</v>
      </c>
      <c r="M365">
        <v>198</v>
      </c>
    </row>
    <row r="366" spans="1:13">
      <c r="A366">
        <v>365</v>
      </c>
      <c r="B366" s="1">
        <v>45860</v>
      </c>
      <c r="C366" t="s">
        <v>48</v>
      </c>
      <c r="D366">
        <v>22</v>
      </c>
      <c r="E366">
        <v>7</v>
      </c>
      <c r="F366">
        <v>3</v>
      </c>
      <c r="G366">
        <v>2025</v>
      </c>
      <c r="H366" t="s">
        <v>362</v>
      </c>
      <c r="I366" t="s">
        <v>365</v>
      </c>
      <c r="J366" t="s">
        <v>51</v>
      </c>
      <c r="K366">
        <v>54</v>
      </c>
      <c r="L366">
        <v>4</v>
      </c>
      <c r="M366">
        <v>249</v>
      </c>
    </row>
    <row r="367" spans="1:13">
      <c r="A367">
        <v>366</v>
      </c>
      <c r="B367" s="1">
        <v>45860</v>
      </c>
      <c r="C367" t="s">
        <v>48</v>
      </c>
      <c r="D367">
        <v>22</v>
      </c>
      <c r="E367">
        <v>7</v>
      </c>
      <c r="F367">
        <v>3</v>
      </c>
      <c r="G367">
        <v>2025</v>
      </c>
      <c r="H367" t="s">
        <v>362</v>
      </c>
      <c r="I367" t="s">
        <v>366</v>
      </c>
      <c r="J367" t="s">
        <v>19</v>
      </c>
      <c r="K367">
        <v>40</v>
      </c>
      <c r="L367">
        <v>3</v>
      </c>
      <c r="M367">
        <v>126</v>
      </c>
    </row>
    <row r="368" spans="1:13">
      <c r="A368">
        <v>367</v>
      </c>
      <c r="B368" s="1">
        <v>46043</v>
      </c>
      <c r="C368" t="s">
        <v>34</v>
      </c>
      <c r="D368">
        <v>21</v>
      </c>
      <c r="E368">
        <v>1</v>
      </c>
      <c r="F368">
        <v>1</v>
      </c>
      <c r="G368">
        <v>2026</v>
      </c>
      <c r="H368" t="s">
        <v>275</v>
      </c>
      <c r="I368" t="s">
        <v>367</v>
      </c>
      <c r="J368" t="s">
        <v>31</v>
      </c>
      <c r="K368">
        <v>29</v>
      </c>
      <c r="L368">
        <v>7</v>
      </c>
      <c r="M368">
        <v>227</v>
      </c>
    </row>
    <row r="369" spans="1:13">
      <c r="A369">
        <v>368</v>
      </c>
      <c r="B369" s="1">
        <v>46043</v>
      </c>
      <c r="C369" t="s">
        <v>34</v>
      </c>
      <c r="D369">
        <v>21</v>
      </c>
      <c r="E369">
        <v>1</v>
      </c>
      <c r="F369">
        <v>1</v>
      </c>
      <c r="G369">
        <v>2026</v>
      </c>
      <c r="H369" t="s">
        <v>275</v>
      </c>
      <c r="I369" t="s">
        <v>274</v>
      </c>
      <c r="J369" t="s">
        <v>19</v>
      </c>
      <c r="K369">
        <v>19</v>
      </c>
      <c r="L369">
        <v>7</v>
      </c>
      <c r="M369">
        <v>144</v>
      </c>
    </row>
    <row r="370" spans="1:13">
      <c r="A370">
        <v>369</v>
      </c>
      <c r="B370" s="1">
        <v>46043</v>
      </c>
      <c r="C370" t="s">
        <v>34</v>
      </c>
      <c r="D370">
        <v>21</v>
      </c>
      <c r="E370">
        <v>1</v>
      </c>
      <c r="F370">
        <v>1</v>
      </c>
      <c r="G370">
        <v>2026</v>
      </c>
      <c r="H370" t="s">
        <v>275</v>
      </c>
      <c r="I370" t="s">
        <v>368</v>
      </c>
      <c r="J370" t="s">
        <v>31</v>
      </c>
      <c r="K370">
        <v>32</v>
      </c>
      <c r="L370">
        <v>10</v>
      </c>
      <c r="M370">
        <v>335</v>
      </c>
    </row>
    <row r="371" spans="1:13">
      <c r="A371">
        <v>370</v>
      </c>
      <c r="B371" s="1">
        <v>46043</v>
      </c>
      <c r="C371" t="s">
        <v>34</v>
      </c>
      <c r="D371">
        <v>21</v>
      </c>
      <c r="E371">
        <v>1</v>
      </c>
      <c r="F371">
        <v>1</v>
      </c>
      <c r="G371">
        <v>2026</v>
      </c>
      <c r="H371" t="s">
        <v>275</v>
      </c>
      <c r="I371" t="s">
        <v>251</v>
      </c>
      <c r="J371" t="s">
        <v>122</v>
      </c>
      <c r="K371">
        <v>28</v>
      </c>
      <c r="L371">
        <v>12</v>
      </c>
      <c r="M371">
        <v>339</v>
      </c>
    </row>
    <row r="372" spans="1:13">
      <c r="A372">
        <v>371</v>
      </c>
      <c r="B372" s="1">
        <v>45673</v>
      </c>
      <c r="C372" t="s">
        <v>105</v>
      </c>
      <c r="D372">
        <v>16</v>
      </c>
      <c r="E372">
        <v>1</v>
      </c>
      <c r="F372">
        <v>1</v>
      </c>
      <c r="G372">
        <v>2025</v>
      </c>
      <c r="H372" t="s">
        <v>280</v>
      </c>
      <c r="I372" t="s">
        <v>369</v>
      </c>
      <c r="J372" t="s">
        <v>43</v>
      </c>
      <c r="K372">
        <v>56</v>
      </c>
      <c r="L372">
        <v>8</v>
      </c>
      <c r="M372">
        <v>456</v>
      </c>
    </row>
    <row r="373" spans="1:13">
      <c r="A373">
        <v>372</v>
      </c>
      <c r="B373" s="1">
        <v>45673</v>
      </c>
      <c r="C373" t="s">
        <v>105</v>
      </c>
      <c r="D373">
        <v>16</v>
      </c>
      <c r="E373">
        <v>1</v>
      </c>
      <c r="F373">
        <v>1</v>
      </c>
      <c r="G373">
        <v>2025</v>
      </c>
      <c r="H373" t="s">
        <v>280</v>
      </c>
      <c r="I373" t="s">
        <v>370</v>
      </c>
      <c r="J373" t="s">
        <v>43</v>
      </c>
      <c r="K373">
        <v>41</v>
      </c>
      <c r="L373">
        <v>7</v>
      </c>
      <c r="M373">
        <v>301</v>
      </c>
    </row>
    <row r="374" spans="1:13">
      <c r="A374">
        <v>373</v>
      </c>
      <c r="B374" s="1">
        <v>45673</v>
      </c>
      <c r="C374" t="s">
        <v>105</v>
      </c>
      <c r="D374">
        <v>16</v>
      </c>
      <c r="E374">
        <v>1</v>
      </c>
      <c r="F374">
        <v>1</v>
      </c>
      <c r="G374">
        <v>2025</v>
      </c>
      <c r="H374" t="s">
        <v>280</v>
      </c>
      <c r="I374" t="s">
        <v>371</v>
      </c>
      <c r="J374" t="s">
        <v>21</v>
      </c>
      <c r="K374">
        <v>33</v>
      </c>
      <c r="L374">
        <v>4</v>
      </c>
      <c r="M374">
        <v>156</v>
      </c>
    </row>
    <row r="375" spans="1:13">
      <c r="A375">
        <v>374</v>
      </c>
      <c r="B375" s="1">
        <v>45673</v>
      </c>
      <c r="C375" t="s">
        <v>105</v>
      </c>
      <c r="D375">
        <v>16</v>
      </c>
      <c r="E375">
        <v>1</v>
      </c>
      <c r="F375">
        <v>1</v>
      </c>
      <c r="G375">
        <v>2025</v>
      </c>
      <c r="H375" t="s">
        <v>280</v>
      </c>
      <c r="I375" t="s">
        <v>372</v>
      </c>
      <c r="J375" t="s">
        <v>23</v>
      </c>
      <c r="K375">
        <v>52</v>
      </c>
      <c r="L375">
        <v>3</v>
      </c>
      <c r="M375">
        <v>176</v>
      </c>
    </row>
    <row r="376" spans="1:13">
      <c r="A376">
        <v>375</v>
      </c>
      <c r="B376" s="1">
        <v>45981</v>
      </c>
      <c r="C376" t="s">
        <v>105</v>
      </c>
      <c r="D376">
        <v>20</v>
      </c>
      <c r="E376">
        <v>11</v>
      </c>
      <c r="F376">
        <v>4</v>
      </c>
      <c r="G376">
        <v>2025</v>
      </c>
      <c r="H376" t="s">
        <v>373</v>
      </c>
      <c r="I376" t="s">
        <v>374</v>
      </c>
      <c r="J376" t="s">
        <v>19</v>
      </c>
      <c r="K376">
        <v>50</v>
      </c>
      <c r="L376">
        <v>7</v>
      </c>
      <c r="M376">
        <v>379</v>
      </c>
    </row>
    <row r="377" spans="1:13">
      <c r="A377">
        <v>376</v>
      </c>
      <c r="B377" s="1">
        <v>45981</v>
      </c>
      <c r="C377" t="s">
        <v>105</v>
      </c>
      <c r="D377">
        <v>20</v>
      </c>
      <c r="E377">
        <v>11</v>
      </c>
      <c r="F377">
        <v>4</v>
      </c>
      <c r="G377">
        <v>2025</v>
      </c>
      <c r="H377" t="s">
        <v>373</v>
      </c>
      <c r="I377" t="s">
        <v>168</v>
      </c>
      <c r="J377" t="s">
        <v>46</v>
      </c>
      <c r="K377">
        <v>46</v>
      </c>
      <c r="L377">
        <v>8</v>
      </c>
      <c r="M377">
        <v>412</v>
      </c>
    </row>
    <row r="378" spans="1:13">
      <c r="A378">
        <v>377</v>
      </c>
      <c r="B378" s="1">
        <v>45981</v>
      </c>
      <c r="C378" t="s">
        <v>105</v>
      </c>
      <c r="D378">
        <v>20</v>
      </c>
      <c r="E378">
        <v>11</v>
      </c>
      <c r="F378">
        <v>4</v>
      </c>
      <c r="G378">
        <v>2025</v>
      </c>
      <c r="H378" t="s">
        <v>373</v>
      </c>
      <c r="I378" t="s">
        <v>178</v>
      </c>
      <c r="J378" t="s">
        <v>122</v>
      </c>
      <c r="K378">
        <v>52</v>
      </c>
      <c r="L378">
        <v>6</v>
      </c>
      <c r="M378">
        <v>336</v>
      </c>
    </row>
    <row r="379" spans="1:13">
      <c r="A379">
        <v>378</v>
      </c>
      <c r="B379" s="1">
        <v>45981</v>
      </c>
      <c r="C379" t="s">
        <v>105</v>
      </c>
      <c r="D379">
        <v>20</v>
      </c>
      <c r="E379">
        <v>11</v>
      </c>
      <c r="F379">
        <v>4</v>
      </c>
      <c r="G379">
        <v>2025</v>
      </c>
      <c r="H379" t="s">
        <v>373</v>
      </c>
      <c r="I379" t="s">
        <v>375</v>
      </c>
      <c r="J379" t="s">
        <v>31</v>
      </c>
      <c r="K379">
        <v>11</v>
      </c>
      <c r="L379">
        <v>4</v>
      </c>
      <c r="M379">
        <v>51</v>
      </c>
    </row>
    <row r="380" spans="1:13">
      <c r="A380">
        <v>379</v>
      </c>
      <c r="B380" s="1">
        <v>45981</v>
      </c>
      <c r="C380" t="s">
        <v>105</v>
      </c>
      <c r="D380">
        <v>20</v>
      </c>
      <c r="E380">
        <v>11</v>
      </c>
      <c r="F380">
        <v>4</v>
      </c>
      <c r="G380">
        <v>2025</v>
      </c>
      <c r="H380" t="s">
        <v>373</v>
      </c>
      <c r="I380" t="s">
        <v>219</v>
      </c>
      <c r="J380" t="s">
        <v>39</v>
      </c>
      <c r="K380">
        <v>20</v>
      </c>
      <c r="L380">
        <v>14</v>
      </c>
      <c r="M380">
        <v>298</v>
      </c>
    </row>
    <row r="381" spans="1:13">
      <c r="A381">
        <v>380</v>
      </c>
      <c r="B381" s="1">
        <v>45981</v>
      </c>
      <c r="C381" t="s">
        <v>105</v>
      </c>
      <c r="D381">
        <v>20</v>
      </c>
      <c r="E381">
        <v>11</v>
      </c>
      <c r="F381">
        <v>4</v>
      </c>
      <c r="G381">
        <v>2025</v>
      </c>
      <c r="H381" t="s">
        <v>373</v>
      </c>
      <c r="I381" t="s">
        <v>313</v>
      </c>
      <c r="J381" t="s">
        <v>31</v>
      </c>
      <c r="K381">
        <v>43</v>
      </c>
      <c r="L381">
        <v>2</v>
      </c>
      <c r="M381">
        <v>98</v>
      </c>
    </row>
    <row r="382" spans="1:13">
      <c r="A382">
        <v>381</v>
      </c>
      <c r="B382" s="1">
        <v>45981</v>
      </c>
      <c r="C382" t="s">
        <v>105</v>
      </c>
      <c r="D382">
        <v>20</v>
      </c>
      <c r="E382">
        <v>11</v>
      </c>
      <c r="F382">
        <v>4</v>
      </c>
      <c r="G382">
        <v>2025</v>
      </c>
      <c r="H382" t="s">
        <v>373</v>
      </c>
      <c r="I382" t="s">
        <v>376</v>
      </c>
      <c r="J382" t="s">
        <v>51</v>
      </c>
      <c r="K382">
        <v>34</v>
      </c>
      <c r="L382">
        <v>6</v>
      </c>
      <c r="M382">
        <v>212</v>
      </c>
    </row>
    <row r="383" spans="1:13">
      <c r="A383">
        <v>382</v>
      </c>
      <c r="B383" s="1">
        <v>45981</v>
      </c>
      <c r="C383" t="s">
        <v>105</v>
      </c>
      <c r="D383">
        <v>20</v>
      </c>
      <c r="E383">
        <v>11</v>
      </c>
      <c r="F383">
        <v>4</v>
      </c>
      <c r="G383">
        <v>2025</v>
      </c>
      <c r="H383" t="s">
        <v>373</v>
      </c>
      <c r="I383" t="s">
        <v>377</v>
      </c>
      <c r="J383" t="s">
        <v>27</v>
      </c>
      <c r="K383">
        <v>39</v>
      </c>
      <c r="L383">
        <v>11</v>
      </c>
      <c r="M383">
        <v>444</v>
      </c>
    </row>
    <row r="384" spans="1:13">
      <c r="A384">
        <v>383</v>
      </c>
      <c r="B384" s="1">
        <v>45981</v>
      </c>
      <c r="C384" t="s">
        <v>105</v>
      </c>
      <c r="D384">
        <v>20</v>
      </c>
      <c r="E384">
        <v>11</v>
      </c>
      <c r="F384">
        <v>4</v>
      </c>
      <c r="G384">
        <v>2025</v>
      </c>
      <c r="H384" t="s">
        <v>373</v>
      </c>
      <c r="I384" t="s">
        <v>378</v>
      </c>
      <c r="J384" t="s">
        <v>57</v>
      </c>
      <c r="K384">
        <v>13</v>
      </c>
      <c r="L384">
        <v>20</v>
      </c>
      <c r="M384">
        <v>264</v>
      </c>
    </row>
    <row r="385" spans="1:13">
      <c r="A385">
        <v>384</v>
      </c>
      <c r="B385" s="1">
        <v>45981</v>
      </c>
      <c r="C385" t="s">
        <v>105</v>
      </c>
      <c r="D385">
        <v>20</v>
      </c>
      <c r="E385">
        <v>11</v>
      </c>
      <c r="F385">
        <v>4</v>
      </c>
      <c r="G385">
        <v>2025</v>
      </c>
      <c r="H385" t="s">
        <v>373</v>
      </c>
      <c r="I385" t="s">
        <v>379</v>
      </c>
      <c r="J385" t="s">
        <v>69</v>
      </c>
      <c r="K385">
        <v>37</v>
      </c>
      <c r="L385">
        <v>7</v>
      </c>
      <c r="M385">
        <v>272</v>
      </c>
    </row>
    <row r="386" spans="1:13">
      <c r="A386">
        <v>385</v>
      </c>
      <c r="B386" s="1">
        <v>45600</v>
      </c>
      <c r="C386" t="s">
        <v>93</v>
      </c>
      <c r="D386">
        <v>4</v>
      </c>
      <c r="E386">
        <v>11</v>
      </c>
      <c r="F386">
        <v>4</v>
      </c>
      <c r="G386">
        <v>2024</v>
      </c>
      <c r="H386" t="s">
        <v>380</v>
      </c>
      <c r="I386" t="s">
        <v>107</v>
      </c>
      <c r="J386" t="s">
        <v>17</v>
      </c>
      <c r="K386">
        <v>14</v>
      </c>
      <c r="L386">
        <v>12</v>
      </c>
      <c r="M386">
        <v>178</v>
      </c>
    </row>
    <row r="387" spans="1:13">
      <c r="A387">
        <v>386</v>
      </c>
      <c r="B387" s="1">
        <v>45600</v>
      </c>
      <c r="C387" t="s">
        <v>93</v>
      </c>
      <c r="D387">
        <v>4</v>
      </c>
      <c r="E387">
        <v>11</v>
      </c>
      <c r="F387">
        <v>4</v>
      </c>
      <c r="G387">
        <v>2024</v>
      </c>
      <c r="H387" t="s">
        <v>380</v>
      </c>
      <c r="I387" t="s">
        <v>75</v>
      </c>
      <c r="J387" t="s">
        <v>27</v>
      </c>
      <c r="K387">
        <v>23</v>
      </c>
      <c r="L387">
        <v>6</v>
      </c>
      <c r="M387">
        <v>140</v>
      </c>
    </row>
    <row r="388" spans="1:13">
      <c r="A388">
        <v>387</v>
      </c>
      <c r="B388" s="1">
        <v>45600</v>
      </c>
      <c r="C388" t="s">
        <v>93</v>
      </c>
      <c r="D388">
        <v>4</v>
      </c>
      <c r="E388">
        <v>11</v>
      </c>
      <c r="F388">
        <v>4</v>
      </c>
      <c r="G388">
        <v>2024</v>
      </c>
      <c r="H388" t="s">
        <v>380</v>
      </c>
      <c r="I388" t="s">
        <v>381</v>
      </c>
      <c r="J388" t="s">
        <v>27</v>
      </c>
      <c r="K388">
        <v>14</v>
      </c>
      <c r="L388">
        <v>15</v>
      </c>
      <c r="M388">
        <v>217</v>
      </c>
    </row>
    <row r="389" spans="1:13">
      <c r="A389">
        <v>388</v>
      </c>
      <c r="B389" s="1">
        <v>45600</v>
      </c>
      <c r="C389" t="s">
        <v>93</v>
      </c>
      <c r="D389">
        <v>4</v>
      </c>
      <c r="E389">
        <v>11</v>
      </c>
      <c r="F389">
        <v>4</v>
      </c>
      <c r="G389">
        <v>2024</v>
      </c>
      <c r="H389" t="s">
        <v>380</v>
      </c>
      <c r="I389" t="s">
        <v>130</v>
      </c>
      <c r="J389" t="s">
        <v>69</v>
      </c>
      <c r="K389">
        <v>16</v>
      </c>
      <c r="L389">
        <v>15</v>
      </c>
      <c r="M389">
        <v>241</v>
      </c>
    </row>
    <row r="390" spans="1:13">
      <c r="A390">
        <v>389</v>
      </c>
      <c r="B390" s="1">
        <v>45600</v>
      </c>
      <c r="C390" t="s">
        <v>93</v>
      </c>
      <c r="D390">
        <v>4</v>
      </c>
      <c r="E390">
        <v>11</v>
      </c>
      <c r="F390">
        <v>4</v>
      </c>
      <c r="G390">
        <v>2024</v>
      </c>
      <c r="H390" t="s">
        <v>380</v>
      </c>
      <c r="I390" t="s">
        <v>340</v>
      </c>
      <c r="J390" t="s">
        <v>43</v>
      </c>
      <c r="K390">
        <v>49</v>
      </c>
      <c r="L390">
        <v>5</v>
      </c>
      <c r="M390">
        <v>288</v>
      </c>
    </row>
    <row r="391" spans="1:13">
      <c r="A391">
        <v>390</v>
      </c>
      <c r="B391" s="1">
        <v>45600</v>
      </c>
      <c r="C391" t="s">
        <v>93</v>
      </c>
      <c r="D391">
        <v>4</v>
      </c>
      <c r="E391">
        <v>11</v>
      </c>
      <c r="F391">
        <v>4</v>
      </c>
      <c r="G391">
        <v>2024</v>
      </c>
      <c r="H391" t="s">
        <v>380</v>
      </c>
      <c r="I391" t="s">
        <v>382</v>
      </c>
      <c r="J391" t="s">
        <v>122</v>
      </c>
      <c r="K391">
        <v>14</v>
      </c>
      <c r="L391">
        <v>14</v>
      </c>
      <c r="M391">
        <v>206</v>
      </c>
    </row>
    <row r="392" spans="1:13">
      <c r="A392">
        <v>391</v>
      </c>
      <c r="B392" s="1">
        <v>45600</v>
      </c>
      <c r="C392" t="s">
        <v>93</v>
      </c>
      <c r="D392">
        <v>4</v>
      </c>
      <c r="E392">
        <v>11</v>
      </c>
      <c r="F392">
        <v>4</v>
      </c>
      <c r="G392">
        <v>2024</v>
      </c>
      <c r="H392" t="s">
        <v>380</v>
      </c>
      <c r="I392" t="s">
        <v>383</v>
      </c>
      <c r="J392" t="s">
        <v>39</v>
      </c>
      <c r="K392">
        <v>22</v>
      </c>
      <c r="L392">
        <v>19</v>
      </c>
      <c r="M392">
        <v>438</v>
      </c>
    </row>
    <row r="393" spans="1:13">
      <c r="A393">
        <v>392</v>
      </c>
      <c r="B393" s="1">
        <v>45600</v>
      </c>
      <c r="C393" t="s">
        <v>93</v>
      </c>
      <c r="D393">
        <v>4</v>
      </c>
      <c r="E393">
        <v>11</v>
      </c>
      <c r="F393">
        <v>4</v>
      </c>
      <c r="G393">
        <v>2024</v>
      </c>
      <c r="H393" t="s">
        <v>380</v>
      </c>
      <c r="I393" t="s">
        <v>217</v>
      </c>
      <c r="J393" t="s">
        <v>60</v>
      </c>
      <c r="K393">
        <v>57</v>
      </c>
      <c r="L393">
        <v>4</v>
      </c>
      <c r="M393">
        <v>264</v>
      </c>
    </row>
    <row r="394" spans="1:13">
      <c r="A394">
        <v>393</v>
      </c>
      <c r="B394" s="1">
        <v>45600</v>
      </c>
      <c r="C394" t="s">
        <v>93</v>
      </c>
      <c r="D394">
        <v>4</v>
      </c>
      <c r="E394">
        <v>11</v>
      </c>
      <c r="F394">
        <v>4</v>
      </c>
      <c r="G394">
        <v>2024</v>
      </c>
      <c r="H394" t="s">
        <v>380</v>
      </c>
      <c r="I394" t="s">
        <v>384</v>
      </c>
      <c r="J394" t="s">
        <v>37</v>
      </c>
      <c r="K394">
        <v>19</v>
      </c>
      <c r="L394">
        <v>18</v>
      </c>
      <c r="M394">
        <v>342</v>
      </c>
    </row>
    <row r="395" spans="1:13">
      <c r="A395">
        <v>394</v>
      </c>
      <c r="B395" s="1">
        <v>45600</v>
      </c>
      <c r="C395" t="s">
        <v>93</v>
      </c>
      <c r="D395">
        <v>4</v>
      </c>
      <c r="E395">
        <v>11</v>
      </c>
      <c r="F395">
        <v>4</v>
      </c>
      <c r="G395">
        <v>2024</v>
      </c>
      <c r="H395" t="s">
        <v>380</v>
      </c>
      <c r="I395" t="s">
        <v>265</v>
      </c>
      <c r="J395" t="s">
        <v>46</v>
      </c>
      <c r="K395">
        <v>49</v>
      </c>
      <c r="L395">
        <v>8</v>
      </c>
      <c r="M395">
        <v>408</v>
      </c>
    </row>
    <row r="396" spans="1:13">
      <c r="A396">
        <v>395</v>
      </c>
      <c r="B396" s="1">
        <v>45600</v>
      </c>
      <c r="C396" t="s">
        <v>93</v>
      </c>
      <c r="D396">
        <v>4</v>
      </c>
      <c r="E396">
        <v>11</v>
      </c>
      <c r="F396">
        <v>4</v>
      </c>
      <c r="G396">
        <v>2024</v>
      </c>
      <c r="H396" t="s">
        <v>380</v>
      </c>
      <c r="I396" t="s">
        <v>385</v>
      </c>
      <c r="J396" t="s">
        <v>39</v>
      </c>
      <c r="K396">
        <v>43</v>
      </c>
      <c r="L396">
        <v>5</v>
      </c>
      <c r="M396">
        <v>241</v>
      </c>
    </row>
    <row r="397" spans="1:13">
      <c r="A397">
        <v>396</v>
      </c>
      <c r="B397" s="1">
        <v>45600</v>
      </c>
      <c r="C397" t="s">
        <v>93</v>
      </c>
      <c r="D397">
        <v>4</v>
      </c>
      <c r="E397">
        <v>11</v>
      </c>
      <c r="F397">
        <v>4</v>
      </c>
      <c r="G397">
        <v>2024</v>
      </c>
      <c r="H397" t="s">
        <v>380</v>
      </c>
      <c r="I397" t="s">
        <v>386</v>
      </c>
      <c r="J397" t="s">
        <v>21</v>
      </c>
      <c r="K397">
        <v>36</v>
      </c>
      <c r="L397">
        <v>3</v>
      </c>
      <c r="M397">
        <v>113</v>
      </c>
    </row>
    <row r="398" spans="1:13">
      <c r="A398">
        <v>397</v>
      </c>
      <c r="B398" s="1">
        <v>45555</v>
      </c>
      <c r="C398" t="s">
        <v>79</v>
      </c>
      <c r="D398">
        <v>20</v>
      </c>
      <c r="E398">
        <v>9</v>
      </c>
      <c r="F398">
        <v>3</v>
      </c>
      <c r="G398">
        <v>2024</v>
      </c>
      <c r="H398" t="s">
        <v>387</v>
      </c>
      <c r="I398" t="s">
        <v>330</v>
      </c>
      <c r="J398" t="s">
        <v>60</v>
      </c>
      <c r="K398">
        <v>38</v>
      </c>
      <c r="L398">
        <v>8</v>
      </c>
      <c r="M398">
        <v>326</v>
      </c>
    </row>
    <row r="399" spans="1:13">
      <c r="A399">
        <v>398</v>
      </c>
      <c r="B399" s="1">
        <v>45555</v>
      </c>
      <c r="C399" t="s">
        <v>79</v>
      </c>
      <c r="D399">
        <v>20</v>
      </c>
      <c r="E399">
        <v>9</v>
      </c>
      <c r="F399">
        <v>3</v>
      </c>
      <c r="G399">
        <v>2024</v>
      </c>
      <c r="H399" t="s">
        <v>387</v>
      </c>
      <c r="I399" t="s">
        <v>185</v>
      </c>
      <c r="J399" t="s">
        <v>57</v>
      </c>
      <c r="K399">
        <v>60</v>
      </c>
      <c r="L399">
        <v>5</v>
      </c>
      <c r="M399">
        <v>304</v>
      </c>
    </row>
    <row r="400" spans="1:13">
      <c r="A400">
        <v>399</v>
      </c>
      <c r="B400" s="1">
        <v>45555</v>
      </c>
      <c r="C400" t="s">
        <v>79</v>
      </c>
      <c r="D400">
        <v>20</v>
      </c>
      <c r="E400">
        <v>9</v>
      </c>
      <c r="F400">
        <v>3</v>
      </c>
      <c r="G400">
        <v>2024</v>
      </c>
      <c r="H400" t="s">
        <v>387</v>
      </c>
      <c r="I400" t="s">
        <v>270</v>
      </c>
      <c r="J400" t="s">
        <v>55</v>
      </c>
      <c r="K400">
        <v>47</v>
      </c>
      <c r="L400">
        <v>5</v>
      </c>
      <c r="M400">
        <v>235</v>
      </c>
    </row>
    <row r="401" spans="1:13">
      <c r="A401">
        <v>400</v>
      </c>
      <c r="B401" s="1">
        <v>45555</v>
      </c>
      <c r="C401" t="s">
        <v>79</v>
      </c>
      <c r="D401">
        <v>20</v>
      </c>
      <c r="E401">
        <v>9</v>
      </c>
      <c r="F401">
        <v>3</v>
      </c>
      <c r="G401">
        <v>2024</v>
      </c>
      <c r="H401" t="s">
        <v>387</v>
      </c>
      <c r="I401" t="s">
        <v>388</v>
      </c>
      <c r="J401" t="s">
        <v>46</v>
      </c>
      <c r="K401">
        <v>56</v>
      </c>
      <c r="L401">
        <v>6</v>
      </c>
      <c r="M401">
        <v>382</v>
      </c>
    </row>
    <row r="402" spans="1:13">
      <c r="A402">
        <v>401</v>
      </c>
      <c r="B402" s="1">
        <v>45555</v>
      </c>
      <c r="C402" t="s">
        <v>79</v>
      </c>
      <c r="D402">
        <v>20</v>
      </c>
      <c r="E402">
        <v>9</v>
      </c>
      <c r="F402">
        <v>3</v>
      </c>
      <c r="G402">
        <v>2024</v>
      </c>
      <c r="H402" t="s">
        <v>387</v>
      </c>
      <c r="I402" t="s">
        <v>389</v>
      </c>
      <c r="J402" t="s">
        <v>82</v>
      </c>
      <c r="K402">
        <v>46</v>
      </c>
      <c r="L402">
        <v>2</v>
      </c>
      <c r="M402">
        <v>132</v>
      </c>
    </row>
    <row r="403" spans="1:13">
      <c r="A403">
        <v>402</v>
      </c>
      <c r="B403" s="1">
        <v>45555</v>
      </c>
      <c r="C403" t="s">
        <v>79</v>
      </c>
      <c r="D403">
        <v>20</v>
      </c>
      <c r="E403">
        <v>9</v>
      </c>
      <c r="F403">
        <v>3</v>
      </c>
      <c r="G403">
        <v>2024</v>
      </c>
      <c r="H403" t="s">
        <v>387</v>
      </c>
      <c r="I403" t="s">
        <v>166</v>
      </c>
      <c r="J403" t="s">
        <v>23</v>
      </c>
      <c r="K403">
        <v>29</v>
      </c>
      <c r="L403">
        <v>7</v>
      </c>
      <c r="M403">
        <v>227</v>
      </c>
    </row>
    <row r="404" spans="1:13">
      <c r="A404">
        <v>403</v>
      </c>
      <c r="B404" s="1">
        <v>45555</v>
      </c>
      <c r="C404" t="s">
        <v>79</v>
      </c>
      <c r="D404">
        <v>20</v>
      </c>
      <c r="E404">
        <v>9</v>
      </c>
      <c r="F404">
        <v>3</v>
      </c>
      <c r="G404">
        <v>2024</v>
      </c>
      <c r="H404" t="s">
        <v>387</v>
      </c>
      <c r="I404" t="s">
        <v>390</v>
      </c>
      <c r="J404" t="s">
        <v>82</v>
      </c>
      <c r="K404">
        <v>23</v>
      </c>
      <c r="L404">
        <v>6</v>
      </c>
      <c r="M404">
        <v>141</v>
      </c>
    </row>
    <row r="405" spans="1:13">
      <c r="A405">
        <v>404</v>
      </c>
      <c r="B405" s="1">
        <v>45555</v>
      </c>
      <c r="C405" t="s">
        <v>79</v>
      </c>
      <c r="D405">
        <v>20</v>
      </c>
      <c r="E405">
        <v>9</v>
      </c>
      <c r="F405">
        <v>3</v>
      </c>
      <c r="G405">
        <v>2024</v>
      </c>
      <c r="H405" t="s">
        <v>387</v>
      </c>
      <c r="I405" t="s">
        <v>391</v>
      </c>
      <c r="J405" t="s">
        <v>60</v>
      </c>
      <c r="K405">
        <v>40</v>
      </c>
      <c r="L405">
        <v>6</v>
      </c>
      <c r="M405">
        <v>274</v>
      </c>
    </row>
    <row r="406" spans="1:13">
      <c r="A406">
        <v>405</v>
      </c>
      <c r="B406" s="1">
        <v>45555</v>
      </c>
      <c r="C406" t="s">
        <v>79</v>
      </c>
      <c r="D406">
        <v>20</v>
      </c>
      <c r="E406">
        <v>9</v>
      </c>
      <c r="F406">
        <v>3</v>
      </c>
      <c r="G406">
        <v>2024</v>
      </c>
      <c r="H406" t="s">
        <v>387</v>
      </c>
      <c r="I406" t="s">
        <v>352</v>
      </c>
      <c r="J406" t="s">
        <v>82</v>
      </c>
      <c r="K406">
        <v>15</v>
      </c>
      <c r="L406">
        <v>10</v>
      </c>
      <c r="M406">
        <v>154</v>
      </c>
    </row>
    <row r="407" spans="1:13">
      <c r="A407">
        <v>406</v>
      </c>
      <c r="B407" s="1">
        <v>45555</v>
      </c>
      <c r="C407" t="s">
        <v>79</v>
      </c>
      <c r="D407">
        <v>20</v>
      </c>
      <c r="E407">
        <v>9</v>
      </c>
      <c r="F407">
        <v>3</v>
      </c>
      <c r="G407">
        <v>2024</v>
      </c>
      <c r="H407" t="s">
        <v>387</v>
      </c>
      <c r="I407" t="s">
        <v>148</v>
      </c>
      <c r="J407" t="s">
        <v>51</v>
      </c>
      <c r="K407">
        <v>35</v>
      </c>
      <c r="L407">
        <v>6</v>
      </c>
      <c r="M407">
        <v>227</v>
      </c>
    </row>
    <row r="408" spans="1:13">
      <c r="A408">
        <v>407</v>
      </c>
      <c r="B408" s="1">
        <v>46273</v>
      </c>
      <c r="C408" t="s">
        <v>48</v>
      </c>
      <c r="D408">
        <v>8</v>
      </c>
      <c r="E408">
        <v>9</v>
      </c>
      <c r="F408">
        <v>3</v>
      </c>
      <c r="G408">
        <v>2026</v>
      </c>
      <c r="H408" t="s">
        <v>392</v>
      </c>
      <c r="I408" t="s">
        <v>393</v>
      </c>
      <c r="J408" t="s">
        <v>23</v>
      </c>
      <c r="K408">
        <v>45</v>
      </c>
      <c r="L408">
        <v>6</v>
      </c>
      <c r="M408">
        <v>293</v>
      </c>
    </row>
    <row r="409" spans="1:13">
      <c r="A409">
        <v>408</v>
      </c>
      <c r="B409" s="1">
        <v>46273</v>
      </c>
      <c r="C409" t="s">
        <v>48</v>
      </c>
      <c r="D409">
        <v>8</v>
      </c>
      <c r="E409">
        <v>9</v>
      </c>
      <c r="F409">
        <v>3</v>
      </c>
      <c r="G409">
        <v>2026</v>
      </c>
      <c r="H409" t="s">
        <v>392</v>
      </c>
      <c r="I409" t="s">
        <v>195</v>
      </c>
      <c r="J409" t="s">
        <v>31</v>
      </c>
      <c r="K409">
        <v>25</v>
      </c>
      <c r="L409">
        <v>12</v>
      </c>
      <c r="M409">
        <v>303</v>
      </c>
    </row>
    <row r="410" spans="1:13">
      <c r="A410">
        <v>409</v>
      </c>
      <c r="B410" s="1">
        <v>46273</v>
      </c>
      <c r="C410" t="s">
        <v>48</v>
      </c>
      <c r="D410">
        <v>8</v>
      </c>
      <c r="E410">
        <v>9</v>
      </c>
      <c r="F410">
        <v>3</v>
      </c>
      <c r="G410">
        <v>2026</v>
      </c>
      <c r="H410" t="s">
        <v>392</v>
      </c>
      <c r="I410" t="s">
        <v>394</v>
      </c>
      <c r="J410" t="s">
        <v>122</v>
      </c>
      <c r="K410">
        <v>44</v>
      </c>
      <c r="L410">
        <v>1</v>
      </c>
      <c r="M410">
        <v>53</v>
      </c>
    </row>
    <row r="411" spans="1:13">
      <c r="A411">
        <v>410</v>
      </c>
      <c r="B411" s="1">
        <v>46081</v>
      </c>
      <c r="C411" t="s">
        <v>14</v>
      </c>
      <c r="D411">
        <v>28</v>
      </c>
      <c r="E411">
        <v>2</v>
      </c>
      <c r="F411">
        <v>1</v>
      </c>
      <c r="G411">
        <v>2026</v>
      </c>
      <c r="H411" t="s">
        <v>49</v>
      </c>
      <c r="I411" t="s">
        <v>395</v>
      </c>
      <c r="J411" t="s">
        <v>19</v>
      </c>
      <c r="K411">
        <v>11</v>
      </c>
      <c r="L411">
        <v>34</v>
      </c>
      <c r="M411">
        <v>379</v>
      </c>
    </row>
    <row r="412" spans="1:13">
      <c r="A412">
        <v>411</v>
      </c>
      <c r="B412" s="1">
        <v>46081</v>
      </c>
      <c r="C412" t="s">
        <v>14</v>
      </c>
      <c r="D412">
        <v>28</v>
      </c>
      <c r="E412">
        <v>2</v>
      </c>
      <c r="F412">
        <v>1</v>
      </c>
      <c r="G412">
        <v>2026</v>
      </c>
      <c r="H412" t="s">
        <v>49</v>
      </c>
      <c r="I412" t="s">
        <v>396</v>
      </c>
      <c r="J412" t="s">
        <v>122</v>
      </c>
      <c r="K412">
        <v>40</v>
      </c>
      <c r="L412">
        <v>7</v>
      </c>
      <c r="M412">
        <v>299</v>
      </c>
    </row>
    <row r="413" spans="1:13">
      <c r="A413">
        <v>412</v>
      </c>
      <c r="B413" s="1">
        <v>46081</v>
      </c>
      <c r="C413" t="s">
        <v>14</v>
      </c>
      <c r="D413">
        <v>28</v>
      </c>
      <c r="E413">
        <v>2</v>
      </c>
      <c r="F413">
        <v>1</v>
      </c>
      <c r="G413">
        <v>2026</v>
      </c>
      <c r="H413" t="s">
        <v>49</v>
      </c>
      <c r="I413" t="s">
        <v>397</v>
      </c>
      <c r="J413" t="s">
        <v>31</v>
      </c>
      <c r="K413">
        <v>60</v>
      </c>
      <c r="L413">
        <v>5</v>
      </c>
      <c r="M413">
        <v>349</v>
      </c>
    </row>
    <row r="414" spans="1:13">
      <c r="A414">
        <v>413</v>
      </c>
      <c r="B414" s="1">
        <v>46081</v>
      </c>
      <c r="C414" t="s">
        <v>14</v>
      </c>
      <c r="D414">
        <v>28</v>
      </c>
      <c r="E414">
        <v>2</v>
      </c>
      <c r="F414">
        <v>1</v>
      </c>
      <c r="G414">
        <v>2026</v>
      </c>
      <c r="H414" t="s">
        <v>49</v>
      </c>
      <c r="I414" t="s">
        <v>388</v>
      </c>
      <c r="J414" t="s">
        <v>46</v>
      </c>
      <c r="K414">
        <v>48</v>
      </c>
      <c r="L414">
        <v>8</v>
      </c>
      <c r="M414">
        <v>390</v>
      </c>
    </row>
    <row r="415" spans="1:13">
      <c r="A415">
        <v>414</v>
      </c>
      <c r="B415" s="1">
        <v>46081</v>
      </c>
      <c r="C415" t="s">
        <v>14</v>
      </c>
      <c r="D415">
        <v>28</v>
      </c>
      <c r="E415">
        <v>2</v>
      </c>
      <c r="F415">
        <v>1</v>
      </c>
      <c r="G415">
        <v>2026</v>
      </c>
      <c r="H415" t="s">
        <v>49</v>
      </c>
      <c r="I415" t="s">
        <v>143</v>
      </c>
      <c r="J415" t="s">
        <v>69</v>
      </c>
      <c r="K415">
        <v>60</v>
      </c>
      <c r="L415">
        <v>4</v>
      </c>
      <c r="M415">
        <v>273</v>
      </c>
    </row>
    <row r="416" spans="1:13">
      <c r="A416">
        <v>415</v>
      </c>
      <c r="B416" s="1">
        <v>46081</v>
      </c>
      <c r="C416" t="s">
        <v>14</v>
      </c>
      <c r="D416">
        <v>28</v>
      </c>
      <c r="E416">
        <v>2</v>
      </c>
      <c r="F416">
        <v>1</v>
      </c>
      <c r="G416">
        <v>2026</v>
      </c>
      <c r="H416" t="s">
        <v>49</v>
      </c>
      <c r="I416" t="s">
        <v>147</v>
      </c>
      <c r="J416" t="s">
        <v>27</v>
      </c>
      <c r="K416">
        <v>44</v>
      </c>
      <c r="L416">
        <v>6</v>
      </c>
      <c r="M416">
        <v>294</v>
      </c>
    </row>
    <row r="417" spans="1:13">
      <c r="A417">
        <v>416</v>
      </c>
      <c r="B417" s="1">
        <v>46081</v>
      </c>
      <c r="C417" t="s">
        <v>14</v>
      </c>
      <c r="D417">
        <v>28</v>
      </c>
      <c r="E417">
        <v>2</v>
      </c>
      <c r="F417">
        <v>1</v>
      </c>
      <c r="G417">
        <v>2026</v>
      </c>
      <c r="H417" t="s">
        <v>49</v>
      </c>
      <c r="I417" t="s">
        <v>333</v>
      </c>
      <c r="J417" t="s">
        <v>37</v>
      </c>
      <c r="K417">
        <v>18</v>
      </c>
      <c r="L417">
        <v>15</v>
      </c>
      <c r="M417">
        <v>286</v>
      </c>
    </row>
    <row r="418" spans="1:13">
      <c r="A418">
        <v>417</v>
      </c>
      <c r="B418" s="1">
        <v>45588</v>
      </c>
      <c r="C418" t="s">
        <v>34</v>
      </c>
      <c r="D418">
        <v>23</v>
      </c>
      <c r="E418">
        <v>10</v>
      </c>
      <c r="F418">
        <v>4</v>
      </c>
      <c r="G418">
        <v>2024</v>
      </c>
      <c r="H418" t="s">
        <v>106</v>
      </c>
      <c r="I418" t="s">
        <v>391</v>
      </c>
      <c r="J418" t="s">
        <v>60</v>
      </c>
      <c r="K418">
        <v>19</v>
      </c>
      <c r="L418">
        <v>15</v>
      </c>
      <c r="M418">
        <v>290</v>
      </c>
    </row>
    <row r="419" spans="1:13">
      <c r="A419">
        <v>418</v>
      </c>
      <c r="B419" s="1">
        <v>45588</v>
      </c>
      <c r="C419" t="s">
        <v>34</v>
      </c>
      <c r="D419">
        <v>23</v>
      </c>
      <c r="E419">
        <v>10</v>
      </c>
      <c r="F419">
        <v>4</v>
      </c>
      <c r="G419">
        <v>2024</v>
      </c>
      <c r="H419" t="s">
        <v>106</v>
      </c>
      <c r="I419" t="s">
        <v>398</v>
      </c>
      <c r="J419" t="s">
        <v>27</v>
      </c>
      <c r="K419">
        <v>22</v>
      </c>
      <c r="L419">
        <v>2</v>
      </c>
      <c r="M419">
        <v>50</v>
      </c>
    </row>
    <row r="420" spans="1:13">
      <c r="A420">
        <v>419</v>
      </c>
      <c r="B420" s="1">
        <v>45588</v>
      </c>
      <c r="C420" t="s">
        <v>34</v>
      </c>
      <c r="D420">
        <v>23</v>
      </c>
      <c r="E420">
        <v>10</v>
      </c>
      <c r="F420">
        <v>4</v>
      </c>
      <c r="G420">
        <v>2024</v>
      </c>
      <c r="H420" t="s">
        <v>106</v>
      </c>
      <c r="I420" t="s">
        <v>399</v>
      </c>
      <c r="J420" t="s">
        <v>55</v>
      </c>
      <c r="K420">
        <v>55</v>
      </c>
      <c r="L420">
        <v>5</v>
      </c>
      <c r="M420">
        <v>298</v>
      </c>
    </row>
    <row r="421" spans="1:13">
      <c r="A421">
        <v>420</v>
      </c>
      <c r="B421" s="1">
        <v>45588</v>
      </c>
      <c r="C421" t="s">
        <v>34</v>
      </c>
      <c r="D421">
        <v>23</v>
      </c>
      <c r="E421">
        <v>10</v>
      </c>
      <c r="F421">
        <v>4</v>
      </c>
      <c r="G421">
        <v>2024</v>
      </c>
      <c r="H421" t="s">
        <v>106</v>
      </c>
      <c r="I421" t="s">
        <v>103</v>
      </c>
      <c r="J421" t="s">
        <v>46</v>
      </c>
      <c r="K421">
        <v>25</v>
      </c>
      <c r="L421">
        <v>15</v>
      </c>
      <c r="M421">
        <v>395</v>
      </c>
    </row>
    <row r="422" spans="1:13">
      <c r="A422">
        <v>421</v>
      </c>
      <c r="B422" s="1">
        <v>45588</v>
      </c>
      <c r="C422" t="s">
        <v>34</v>
      </c>
      <c r="D422">
        <v>23</v>
      </c>
      <c r="E422">
        <v>10</v>
      </c>
      <c r="F422">
        <v>4</v>
      </c>
      <c r="G422">
        <v>2024</v>
      </c>
      <c r="H422" t="s">
        <v>106</v>
      </c>
      <c r="I422" t="s">
        <v>139</v>
      </c>
      <c r="J422" t="s">
        <v>122</v>
      </c>
      <c r="K422">
        <v>13</v>
      </c>
      <c r="L422">
        <v>17</v>
      </c>
      <c r="M422">
        <v>225</v>
      </c>
    </row>
    <row r="423" spans="1:13">
      <c r="A423">
        <v>422</v>
      </c>
      <c r="B423" s="1">
        <v>45588</v>
      </c>
      <c r="C423" t="s">
        <v>34</v>
      </c>
      <c r="D423">
        <v>23</v>
      </c>
      <c r="E423">
        <v>10</v>
      </c>
      <c r="F423">
        <v>4</v>
      </c>
      <c r="G423">
        <v>2024</v>
      </c>
      <c r="H423" t="s">
        <v>106</v>
      </c>
      <c r="I423" t="s">
        <v>400</v>
      </c>
      <c r="J423" t="s">
        <v>57</v>
      </c>
      <c r="K423">
        <v>46</v>
      </c>
      <c r="L423">
        <v>9</v>
      </c>
      <c r="M423">
        <v>430</v>
      </c>
    </row>
    <row r="424" spans="1:13">
      <c r="A424">
        <v>423</v>
      </c>
      <c r="B424" s="1">
        <v>45588</v>
      </c>
      <c r="C424" t="s">
        <v>34</v>
      </c>
      <c r="D424">
        <v>23</v>
      </c>
      <c r="E424">
        <v>10</v>
      </c>
      <c r="F424">
        <v>4</v>
      </c>
      <c r="G424">
        <v>2024</v>
      </c>
      <c r="H424" t="s">
        <v>106</v>
      </c>
      <c r="I424" t="s">
        <v>401</v>
      </c>
      <c r="J424" t="s">
        <v>31</v>
      </c>
      <c r="K424">
        <v>59</v>
      </c>
      <c r="L424">
        <v>6</v>
      </c>
      <c r="M424">
        <v>405</v>
      </c>
    </row>
    <row r="425" spans="1:13">
      <c r="A425">
        <v>424</v>
      </c>
      <c r="B425" s="1">
        <v>45588</v>
      </c>
      <c r="C425" t="s">
        <v>34</v>
      </c>
      <c r="D425">
        <v>23</v>
      </c>
      <c r="E425">
        <v>10</v>
      </c>
      <c r="F425">
        <v>4</v>
      </c>
      <c r="G425">
        <v>2024</v>
      </c>
      <c r="H425" t="s">
        <v>106</v>
      </c>
      <c r="I425" t="s">
        <v>304</v>
      </c>
      <c r="J425" t="s">
        <v>100</v>
      </c>
      <c r="K425">
        <v>33</v>
      </c>
      <c r="L425">
        <v>9</v>
      </c>
      <c r="M425">
        <v>304</v>
      </c>
    </row>
    <row r="426" spans="1:13">
      <c r="A426">
        <v>425</v>
      </c>
      <c r="B426" s="1">
        <v>45588</v>
      </c>
      <c r="C426" t="s">
        <v>34</v>
      </c>
      <c r="D426">
        <v>23</v>
      </c>
      <c r="E426">
        <v>10</v>
      </c>
      <c r="F426">
        <v>4</v>
      </c>
      <c r="G426">
        <v>2024</v>
      </c>
      <c r="H426" t="s">
        <v>106</v>
      </c>
      <c r="I426" t="s">
        <v>402</v>
      </c>
      <c r="J426" t="s">
        <v>19</v>
      </c>
      <c r="K426">
        <v>43</v>
      </c>
      <c r="L426">
        <v>1</v>
      </c>
      <c r="M426">
        <v>64</v>
      </c>
    </row>
    <row r="427" spans="1:13">
      <c r="A427">
        <v>426</v>
      </c>
      <c r="B427" s="1">
        <v>45588</v>
      </c>
      <c r="C427" t="s">
        <v>34</v>
      </c>
      <c r="D427">
        <v>23</v>
      </c>
      <c r="E427">
        <v>10</v>
      </c>
      <c r="F427">
        <v>4</v>
      </c>
      <c r="G427">
        <v>2024</v>
      </c>
      <c r="H427" t="s">
        <v>106</v>
      </c>
      <c r="I427" t="s">
        <v>403</v>
      </c>
      <c r="J427" t="s">
        <v>23</v>
      </c>
      <c r="K427">
        <v>33</v>
      </c>
      <c r="L427">
        <v>5</v>
      </c>
      <c r="M427">
        <v>191</v>
      </c>
    </row>
    <row r="428" spans="1:13">
      <c r="A428">
        <v>427</v>
      </c>
      <c r="B428" s="1">
        <v>45588</v>
      </c>
      <c r="C428" t="s">
        <v>34</v>
      </c>
      <c r="D428">
        <v>23</v>
      </c>
      <c r="E428">
        <v>10</v>
      </c>
      <c r="F428">
        <v>4</v>
      </c>
      <c r="G428">
        <v>2024</v>
      </c>
      <c r="H428" t="s">
        <v>106</v>
      </c>
      <c r="I428" t="s">
        <v>404</v>
      </c>
      <c r="J428" t="s">
        <v>37</v>
      </c>
      <c r="K428">
        <v>11</v>
      </c>
      <c r="L428">
        <v>25</v>
      </c>
      <c r="M428">
        <v>280</v>
      </c>
    </row>
    <row r="429" spans="1:13">
      <c r="A429">
        <v>428</v>
      </c>
      <c r="B429" s="1">
        <v>45588</v>
      </c>
      <c r="C429" t="s">
        <v>34</v>
      </c>
      <c r="D429">
        <v>23</v>
      </c>
      <c r="E429">
        <v>10</v>
      </c>
      <c r="F429">
        <v>4</v>
      </c>
      <c r="G429">
        <v>2024</v>
      </c>
      <c r="H429" t="s">
        <v>106</v>
      </c>
      <c r="I429" t="s">
        <v>166</v>
      </c>
      <c r="J429" t="s">
        <v>23</v>
      </c>
      <c r="K429">
        <v>51</v>
      </c>
      <c r="L429">
        <v>4</v>
      </c>
      <c r="M429">
        <v>211</v>
      </c>
    </row>
    <row r="430" spans="1:13">
      <c r="A430">
        <v>429</v>
      </c>
      <c r="B430" s="1">
        <v>45967</v>
      </c>
      <c r="C430" t="s">
        <v>105</v>
      </c>
      <c r="D430">
        <v>6</v>
      </c>
      <c r="E430">
        <v>11</v>
      </c>
      <c r="F430">
        <v>4</v>
      </c>
      <c r="G430">
        <v>2025</v>
      </c>
      <c r="H430" t="s">
        <v>405</v>
      </c>
      <c r="I430" t="s">
        <v>406</v>
      </c>
      <c r="J430" t="s">
        <v>17</v>
      </c>
      <c r="K430">
        <v>10</v>
      </c>
      <c r="L430">
        <v>40</v>
      </c>
      <c r="M430">
        <v>409</v>
      </c>
    </row>
    <row r="431" spans="1:13">
      <c r="A431">
        <v>430</v>
      </c>
      <c r="B431" s="1">
        <v>45967</v>
      </c>
      <c r="C431" t="s">
        <v>105</v>
      </c>
      <c r="D431">
        <v>6</v>
      </c>
      <c r="E431">
        <v>11</v>
      </c>
      <c r="F431">
        <v>4</v>
      </c>
      <c r="G431">
        <v>2025</v>
      </c>
      <c r="H431" t="s">
        <v>405</v>
      </c>
      <c r="I431" t="s">
        <v>154</v>
      </c>
      <c r="J431" t="s">
        <v>37</v>
      </c>
      <c r="K431">
        <v>24</v>
      </c>
      <c r="L431">
        <v>11</v>
      </c>
      <c r="M431">
        <v>265</v>
      </c>
    </row>
    <row r="432" spans="1:13">
      <c r="A432">
        <v>431</v>
      </c>
      <c r="B432" s="1">
        <v>45967</v>
      </c>
      <c r="C432" t="s">
        <v>105</v>
      </c>
      <c r="D432">
        <v>6</v>
      </c>
      <c r="E432">
        <v>11</v>
      </c>
      <c r="F432">
        <v>4</v>
      </c>
      <c r="G432">
        <v>2025</v>
      </c>
      <c r="H432" t="s">
        <v>405</v>
      </c>
      <c r="I432" t="s">
        <v>256</v>
      </c>
      <c r="J432" t="s">
        <v>31</v>
      </c>
      <c r="K432">
        <v>59</v>
      </c>
      <c r="L432">
        <v>1</v>
      </c>
      <c r="M432">
        <v>116</v>
      </c>
    </row>
    <row r="433" spans="1:13">
      <c r="A433">
        <v>432</v>
      </c>
      <c r="B433" s="1">
        <v>45967</v>
      </c>
      <c r="C433" t="s">
        <v>105</v>
      </c>
      <c r="D433">
        <v>6</v>
      </c>
      <c r="E433">
        <v>11</v>
      </c>
      <c r="F433">
        <v>4</v>
      </c>
      <c r="G433">
        <v>2025</v>
      </c>
      <c r="H433" t="s">
        <v>405</v>
      </c>
      <c r="I433" t="s">
        <v>299</v>
      </c>
      <c r="J433" t="s">
        <v>57</v>
      </c>
      <c r="K433">
        <v>56</v>
      </c>
      <c r="L433">
        <v>6</v>
      </c>
      <c r="M433">
        <v>347</v>
      </c>
    </row>
    <row r="434" spans="1:13">
      <c r="A434">
        <v>433</v>
      </c>
      <c r="B434" s="1">
        <v>45967</v>
      </c>
      <c r="C434" t="s">
        <v>105</v>
      </c>
      <c r="D434">
        <v>6</v>
      </c>
      <c r="E434">
        <v>11</v>
      </c>
      <c r="F434">
        <v>4</v>
      </c>
      <c r="G434">
        <v>2025</v>
      </c>
      <c r="H434" t="s">
        <v>405</v>
      </c>
      <c r="I434" t="s">
        <v>407</v>
      </c>
      <c r="J434" t="s">
        <v>21</v>
      </c>
      <c r="K434">
        <v>24</v>
      </c>
      <c r="L434">
        <v>12</v>
      </c>
      <c r="M434">
        <v>309</v>
      </c>
    </row>
    <row r="435" spans="1:13">
      <c r="A435">
        <v>434</v>
      </c>
      <c r="B435" s="1">
        <v>46070</v>
      </c>
      <c r="C435" t="s">
        <v>48</v>
      </c>
      <c r="D435">
        <v>17</v>
      </c>
      <c r="E435">
        <v>2</v>
      </c>
      <c r="F435">
        <v>1</v>
      </c>
      <c r="G435">
        <v>2026</v>
      </c>
      <c r="H435" t="s">
        <v>88</v>
      </c>
      <c r="I435" t="s">
        <v>272</v>
      </c>
      <c r="J435" t="s">
        <v>55</v>
      </c>
      <c r="K435">
        <v>20</v>
      </c>
      <c r="L435">
        <v>13</v>
      </c>
      <c r="M435">
        <v>268</v>
      </c>
    </row>
    <row r="436" spans="1:13">
      <c r="A436">
        <v>435</v>
      </c>
      <c r="B436" s="1">
        <v>46070</v>
      </c>
      <c r="C436" t="s">
        <v>48</v>
      </c>
      <c r="D436">
        <v>17</v>
      </c>
      <c r="E436">
        <v>2</v>
      </c>
      <c r="F436">
        <v>1</v>
      </c>
      <c r="G436">
        <v>2026</v>
      </c>
      <c r="H436" t="s">
        <v>88</v>
      </c>
      <c r="I436" t="s">
        <v>408</v>
      </c>
      <c r="J436" t="s">
        <v>17</v>
      </c>
      <c r="K436">
        <v>56</v>
      </c>
      <c r="L436">
        <v>5</v>
      </c>
      <c r="M436">
        <v>324</v>
      </c>
    </row>
    <row r="437" spans="1:13">
      <c r="A437">
        <v>436</v>
      </c>
      <c r="B437" s="1">
        <v>46070</v>
      </c>
      <c r="C437" t="s">
        <v>48</v>
      </c>
      <c r="D437">
        <v>17</v>
      </c>
      <c r="E437">
        <v>2</v>
      </c>
      <c r="F437">
        <v>1</v>
      </c>
      <c r="G437">
        <v>2026</v>
      </c>
      <c r="H437" t="s">
        <v>88</v>
      </c>
      <c r="I437" t="s">
        <v>409</v>
      </c>
      <c r="J437" t="s">
        <v>39</v>
      </c>
      <c r="K437">
        <v>22</v>
      </c>
      <c r="L437">
        <v>9</v>
      </c>
      <c r="M437">
        <v>207</v>
      </c>
    </row>
    <row r="438" spans="1:13">
      <c r="A438">
        <v>437</v>
      </c>
      <c r="B438" s="1">
        <v>46070</v>
      </c>
      <c r="C438" t="s">
        <v>48</v>
      </c>
      <c r="D438">
        <v>17</v>
      </c>
      <c r="E438">
        <v>2</v>
      </c>
      <c r="F438">
        <v>1</v>
      </c>
      <c r="G438">
        <v>2026</v>
      </c>
      <c r="H438" t="s">
        <v>88</v>
      </c>
      <c r="I438" t="s">
        <v>229</v>
      </c>
      <c r="J438" t="s">
        <v>97</v>
      </c>
      <c r="K438">
        <v>11</v>
      </c>
      <c r="L438">
        <v>25</v>
      </c>
      <c r="M438">
        <v>284</v>
      </c>
    </row>
    <row r="439" spans="1:13">
      <c r="A439">
        <v>438</v>
      </c>
      <c r="B439" s="1">
        <v>46070</v>
      </c>
      <c r="C439" t="s">
        <v>48</v>
      </c>
      <c r="D439">
        <v>17</v>
      </c>
      <c r="E439">
        <v>2</v>
      </c>
      <c r="F439">
        <v>1</v>
      </c>
      <c r="G439">
        <v>2026</v>
      </c>
      <c r="H439" t="s">
        <v>88</v>
      </c>
      <c r="I439" t="s">
        <v>109</v>
      </c>
      <c r="J439" t="s">
        <v>46</v>
      </c>
      <c r="K439">
        <v>45</v>
      </c>
      <c r="L439">
        <v>2</v>
      </c>
      <c r="M439">
        <v>115</v>
      </c>
    </row>
    <row r="440" spans="1:13">
      <c r="A440">
        <v>439</v>
      </c>
      <c r="B440" s="1">
        <v>46070</v>
      </c>
      <c r="C440" t="s">
        <v>48</v>
      </c>
      <c r="D440">
        <v>17</v>
      </c>
      <c r="E440">
        <v>2</v>
      </c>
      <c r="F440">
        <v>1</v>
      </c>
      <c r="G440">
        <v>2026</v>
      </c>
      <c r="H440" t="s">
        <v>88</v>
      </c>
      <c r="I440" t="s">
        <v>410</v>
      </c>
      <c r="J440" t="s">
        <v>97</v>
      </c>
      <c r="K440">
        <v>43</v>
      </c>
      <c r="L440">
        <v>4</v>
      </c>
      <c r="M440">
        <v>176</v>
      </c>
    </row>
    <row r="441" spans="1:13">
      <c r="A441">
        <v>440</v>
      </c>
      <c r="B441" s="1">
        <v>46070</v>
      </c>
      <c r="C441" t="s">
        <v>48</v>
      </c>
      <c r="D441">
        <v>17</v>
      </c>
      <c r="E441">
        <v>2</v>
      </c>
      <c r="F441">
        <v>1</v>
      </c>
      <c r="G441">
        <v>2026</v>
      </c>
      <c r="H441" t="s">
        <v>88</v>
      </c>
      <c r="I441" t="s">
        <v>150</v>
      </c>
      <c r="J441" t="s">
        <v>60</v>
      </c>
      <c r="K441">
        <v>45</v>
      </c>
      <c r="L441">
        <v>4</v>
      </c>
      <c r="M441">
        <v>220</v>
      </c>
    </row>
    <row r="442" spans="1:13">
      <c r="A442">
        <v>441</v>
      </c>
      <c r="B442" s="1">
        <v>46070</v>
      </c>
      <c r="C442" t="s">
        <v>48</v>
      </c>
      <c r="D442">
        <v>17</v>
      </c>
      <c r="E442">
        <v>2</v>
      </c>
      <c r="F442">
        <v>1</v>
      </c>
      <c r="G442">
        <v>2026</v>
      </c>
      <c r="H442" t="s">
        <v>88</v>
      </c>
      <c r="I442" t="s">
        <v>411</v>
      </c>
      <c r="J442" t="s">
        <v>82</v>
      </c>
      <c r="K442">
        <v>38</v>
      </c>
      <c r="L442">
        <v>1</v>
      </c>
      <c r="M442">
        <v>65</v>
      </c>
    </row>
    <row r="443" spans="1:13">
      <c r="A443">
        <v>442</v>
      </c>
      <c r="B443" s="1">
        <v>46070</v>
      </c>
      <c r="C443" t="s">
        <v>48</v>
      </c>
      <c r="D443">
        <v>17</v>
      </c>
      <c r="E443">
        <v>2</v>
      </c>
      <c r="F443">
        <v>1</v>
      </c>
      <c r="G443">
        <v>2026</v>
      </c>
      <c r="H443" t="s">
        <v>88</v>
      </c>
      <c r="I443" t="s">
        <v>412</v>
      </c>
      <c r="J443" t="s">
        <v>27</v>
      </c>
      <c r="K443">
        <v>16</v>
      </c>
      <c r="L443">
        <v>12</v>
      </c>
      <c r="M443">
        <v>204</v>
      </c>
    </row>
    <row r="444" spans="1:13">
      <c r="A444">
        <v>443</v>
      </c>
      <c r="B444" s="1">
        <v>46070</v>
      </c>
      <c r="C444" t="s">
        <v>48</v>
      </c>
      <c r="D444">
        <v>17</v>
      </c>
      <c r="E444">
        <v>2</v>
      </c>
      <c r="F444">
        <v>1</v>
      </c>
      <c r="G444">
        <v>2026</v>
      </c>
      <c r="H444" t="s">
        <v>88</v>
      </c>
      <c r="I444" t="s">
        <v>110</v>
      </c>
      <c r="J444" t="s">
        <v>51</v>
      </c>
      <c r="K444">
        <v>32</v>
      </c>
      <c r="L444">
        <v>3</v>
      </c>
      <c r="M444">
        <v>118</v>
      </c>
    </row>
    <row r="445" spans="1:13">
      <c r="A445">
        <v>444</v>
      </c>
      <c r="B445" s="1">
        <v>45926</v>
      </c>
      <c r="C445" t="s">
        <v>79</v>
      </c>
      <c r="D445">
        <v>26</v>
      </c>
      <c r="E445">
        <v>9</v>
      </c>
      <c r="F445">
        <v>3</v>
      </c>
      <c r="G445">
        <v>2025</v>
      </c>
      <c r="H445" t="s">
        <v>136</v>
      </c>
      <c r="I445" t="s">
        <v>413</v>
      </c>
      <c r="J445" t="s">
        <v>57</v>
      </c>
      <c r="K445">
        <v>22</v>
      </c>
      <c r="L445">
        <v>11</v>
      </c>
      <c r="M445">
        <v>258</v>
      </c>
    </row>
    <row r="446" spans="1:13">
      <c r="A446">
        <v>445</v>
      </c>
      <c r="B446" s="1">
        <v>45660</v>
      </c>
      <c r="C446" t="s">
        <v>79</v>
      </c>
      <c r="D446">
        <v>3</v>
      </c>
      <c r="E446">
        <v>1</v>
      </c>
      <c r="F446">
        <v>1</v>
      </c>
      <c r="G446">
        <v>2025</v>
      </c>
      <c r="H446" t="s">
        <v>414</v>
      </c>
      <c r="I446" t="s">
        <v>165</v>
      </c>
      <c r="J446" t="s">
        <v>69</v>
      </c>
      <c r="K446">
        <v>25</v>
      </c>
      <c r="L446">
        <v>8</v>
      </c>
      <c r="M446">
        <v>207</v>
      </c>
    </row>
    <row r="447" spans="1:13">
      <c r="A447">
        <v>446</v>
      </c>
      <c r="B447" s="1">
        <v>45660</v>
      </c>
      <c r="C447" t="s">
        <v>79</v>
      </c>
      <c r="D447">
        <v>3</v>
      </c>
      <c r="E447">
        <v>1</v>
      </c>
      <c r="F447">
        <v>1</v>
      </c>
      <c r="G447">
        <v>2025</v>
      </c>
      <c r="H447" t="s">
        <v>414</v>
      </c>
      <c r="I447" t="s">
        <v>286</v>
      </c>
      <c r="J447" t="s">
        <v>97</v>
      </c>
      <c r="K447">
        <v>23</v>
      </c>
      <c r="L447">
        <v>15</v>
      </c>
      <c r="M447">
        <v>351</v>
      </c>
    </row>
    <row r="448" spans="1:13">
      <c r="A448">
        <v>447</v>
      </c>
      <c r="B448" s="1">
        <v>45660</v>
      </c>
      <c r="C448" t="s">
        <v>79</v>
      </c>
      <c r="D448">
        <v>3</v>
      </c>
      <c r="E448">
        <v>1</v>
      </c>
      <c r="F448">
        <v>1</v>
      </c>
      <c r="G448">
        <v>2025</v>
      </c>
      <c r="H448" t="s">
        <v>414</v>
      </c>
      <c r="I448" t="s">
        <v>415</v>
      </c>
      <c r="J448" t="s">
        <v>43</v>
      </c>
      <c r="K448">
        <v>26</v>
      </c>
      <c r="L448">
        <v>5</v>
      </c>
      <c r="M448">
        <v>152</v>
      </c>
    </row>
    <row r="449" spans="1:13">
      <c r="A449">
        <v>448</v>
      </c>
      <c r="B449" s="1">
        <v>45660</v>
      </c>
      <c r="C449" t="s">
        <v>79</v>
      </c>
      <c r="D449">
        <v>3</v>
      </c>
      <c r="E449">
        <v>1</v>
      </c>
      <c r="F449">
        <v>1</v>
      </c>
      <c r="G449">
        <v>2025</v>
      </c>
      <c r="H449" t="s">
        <v>414</v>
      </c>
      <c r="I449" t="s">
        <v>416</v>
      </c>
      <c r="J449" t="s">
        <v>57</v>
      </c>
      <c r="K449">
        <v>35</v>
      </c>
      <c r="L449">
        <v>13</v>
      </c>
      <c r="M449">
        <v>480</v>
      </c>
    </row>
    <row r="450" spans="1:13">
      <c r="A450">
        <v>449</v>
      </c>
      <c r="B450" s="1">
        <v>45660</v>
      </c>
      <c r="C450" t="s">
        <v>79</v>
      </c>
      <c r="D450">
        <v>3</v>
      </c>
      <c r="E450">
        <v>1</v>
      </c>
      <c r="F450">
        <v>1</v>
      </c>
      <c r="G450">
        <v>2025</v>
      </c>
      <c r="H450" t="s">
        <v>414</v>
      </c>
      <c r="I450" t="s">
        <v>42</v>
      </c>
      <c r="J450" t="s">
        <v>43</v>
      </c>
      <c r="K450">
        <v>28</v>
      </c>
      <c r="L450">
        <v>11</v>
      </c>
      <c r="M450">
        <v>327</v>
      </c>
    </row>
    <row r="451" spans="1:13">
      <c r="A451">
        <v>450</v>
      </c>
      <c r="B451" s="1">
        <v>45660</v>
      </c>
      <c r="C451" t="s">
        <v>79</v>
      </c>
      <c r="D451">
        <v>3</v>
      </c>
      <c r="E451">
        <v>1</v>
      </c>
      <c r="F451">
        <v>1</v>
      </c>
      <c r="G451">
        <v>2025</v>
      </c>
      <c r="H451" t="s">
        <v>414</v>
      </c>
      <c r="I451" t="s">
        <v>274</v>
      </c>
      <c r="J451" t="s">
        <v>19</v>
      </c>
      <c r="K451">
        <v>42</v>
      </c>
      <c r="L451">
        <v>3</v>
      </c>
      <c r="M451">
        <v>150</v>
      </c>
    </row>
    <row r="452" spans="1:13">
      <c r="A452">
        <v>451</v>
      </c>
      <c r="B452" s="1">
        <v>45660</v>
      </c>
      <c r="C452" t="s">
        <v>79</v>
      </c>
      <c r="D452">
        <v>3</v>
      </c>
      <c r="E452">
        <v>1</v>
      </c>
      <c r="F452">
        <v>1</v>
      </c>
      <c r="G452">
        <v>2025</v>
      </c>
      <c r="H452" t="s">
        <v>414</v>
      </c>
      <c r="I452" t="s">
        <v>417</v>
      </c>
      <c r="J452" t="s">
        <v>51</v>
      </c>
      <c r="K452">
        <v>34</v>
      </c>
      <c r="L452">
        <v>9</v>
      </c>
      <c r="M452">
        <v>314</v>
      </c>
    </row>
    <row r="453" spans="1:13">
      <c r="A453">
        <v>452</v>
      </c>
      <c r="B453" s="1">
        <v>45660</v>
      </c>
      <c r="C453" t="s">
        <v>79</v>
      </c>
      <c r="D453">
        <v>3</v>
      </c>
      <c r="E453">
        <v>1</v>
      </c>
      <c r="F453">
        <v>1</v>
      </c>
      <c r="G453">
        <v>2025</v>
      </c>
      <c r="H453" t="s">
        <v>414</v>
      </c>
      <c r="I453" t="s">
        <v>418</v>
      </c>
      <c r="J453" t="s">
        <v>43</v>
      </c>
      <c r="K453">
        <v>46</v>
      </c>
      <c r="L453">
        <v>6</v>
      </c>
      <c r="M453">
        <v>321</v>
      </c>
    </row>
    <row r="454" spans="1:13">
      <c r="A454">
        <v>453</v>
      </c>
      <c r="B454" s="1">
        <v>45660</v>
      </c>
      <c r="C454" t="s">
        <v>79</v>
      </c>
      <c r="D454">
        <v>3</v>
      </c>
      <c r="E454">
        <v>1</v>
      </c>
      <c r="F454">
        <v>1</v>
      </c>
      <c r="G454">
        <v>2025</v>
      </c>
      <c r="H454" t="s">
        <v>414</v>
      </c>
      <c r="I454" t="s">
        <v>419</v>
      </c>
      <c r="J454" t="s">
        <v>39</v>
      </c>
      <c r="K454">
        <v>39</v>
      </c>
      <c r="L454">
        <v>6</v>
      </c>
      <c r="M454">
        <v>242</v>
      </c>
    </row>
    <row r="455" spans="1:13">
      <c r="A455">
        <v>454</v>
      </c>
      <c r="B455" s="1">
        <v>45660</v>
      </c>
      <c r="C455" t="s">
        <v>79</v>
      </c>
      <c r="D455">
        <v>3</v>
      </c>
      <c r="E455">
        <v>1</v>
      </c>
      <c r="F455">
        <v>1</v>
      </c>
      <c r="G455">
        <v>2025</v>
      </c>
      <c r="H455" t="s">
        <v>414</v>
      </c>
      <c r="I455" t="s">
        <v>420</v>
      </c>
      <c r="J455" t="s">
        <v>25</v>
      </c>
      <c r="K455">
        <v>21</v>
      </c>
      <c r="L455">
        <v>18</v>
      </c>
      <c r="M455">
        <v>393</v>
      </c>
    </row>
    <row r="456" spans="1:13">
      <c r="A456">
        <v>455</v>
      </c>
      <c r="B456" s="1">
        <v>45705</v>
      </c>
      <c r="C456" t="s">
        <v>93</v>
      </c>
      <c r="D456">
        <v>17</v>
      </c>
      <c r="E456">
        <v>2</v>
      </c>
      <c r="F456">
        <v>1</v>
      </c>
      <c r="G456">
        <v>2025</v>
      </c>
      <c r="H456" t="s">
        <v>421</v>
      </c>
      <c r="I456" t="s">
        <v>283</v>
      </c>
      <c r="J456" t="s">
        <v>100</v>
      </c>
      <c r="K456">
        <v>59</v>
      </c>
      <c r="L456">
        <v>1</v>
      </c>
      <c r="M456">
        <v>85</v>
      </c>
    </row>
    <row r="457" spans="1:13">
      <c r="A457">
        <v>456</v>
      </c>
      <c r="B457" s="1">
        <v>45705</v>
      </c>
      <c r="C457" t="s">
        <v>93</v>
      </c>
      <c r="D457">
        <v>17</v>
      </c>
      <c r="E457">
        <v>2</v>
      </c>
      <c r="F457">
        <v>1</v>
      </c>
      <c r="G457">
        <v>2025</v>
      </c>
      <c r="H457" t="s">
        <v>421</v>
      </c>
      <c r="I457" t="s">
        <v>210</v>
      </c>
      <c r="J457" t="s">
        <v>55</v>
      </c>
      <c r="K457">
        <v>28</v>
      </c>
      <c r="L457">
        <v>10</v>
      </c>
      <c r="M457">
        <v>286</v>
      </c>
    </row>
    <row r="458" spans="1:13">
      <c r="A458">
        <v>457</v>
      </c>
      <c r="B458" s="1">
        <v>45705</v>
      </c>
      <c r="C458" t="s">
        <v>93</v>
      </c>
      <c r="D458">
        <v>17</v>
      </c>
      <c r="E458">
        <v>2</v>
      </c>
      <c r="F458">
        <v>1</v>
      </c>
      <c r="G458">
        <v>2025</v>
      </c>
      <c r="H458" t="s">
        <v>421</v>
      </c>
      <c r="I458" t="s">
        <v>399</v>
      </c>
      <c r="J458" t="s">
        <v>55</v>
      </c>
      <c r="K458">
        <v>10</v>
      </c>
      <c r="L458">
        <v>33</v>
      </c>
      <c r="M458">
        <v>339</v>
      </c>
    </row>
    <row r="459" spans="1:13">
      <c r="A459">
        <v>458</v>
      </c>
      <c r="B459" s="1">
        <v>45705</v>
      </c>
      <c r="C459" t="s">
        <v>93</v>
      </c>
      <c r="D459">
        <v>17</v>
      </c>
      <c r="E459">
        <v>2</v>
      </c>
      <c r="F459">
        <v>1</v>
      </c>
      <c r="G459">
        <v>2025</v>
      </c>
      <c r="H459" t="s">
        <v>421</v>
      </c>
      <c r="I459" t="s">
        <v>418</v>
      </c>
      <c r="J459" t="s">
        <v>43</v>
      </c>
      <c r="K459">
        <v>45</v>
      </c>
      <c r="L459">
        <v>7</v>
      </c>
      <c r="M459">
        <v>342</v>
      </c>
    </row>
    <row r="460" spans="1:13">
      <c r="A460">
        <v>459</v>
      </c>
      <c r="B460" s="1">
        <v>45705</v>
      </c>
      <c r="C460" t="s">
        <v>93</v>
      </c>
      <c r="D460">
        <v>17</v>
      </c>
      <c r="E460">
        <v>2</v>
      </c>
      <c r="F460">
        <v>1</v>
      </c>
      <c r="G460">
        <v>2025</v>
      </c>
      <c r="H460" t="s">
        <v>421</v>
      </c>
      <c r="I460" t="s">
        <v>366</v>
      </c>
      <c r="J460" t="s">
        <v>19</v>
      </c>
      <c r="K460">
        <v>53</v>
      </c>
      <c r="L460">
        <v>2</v>
      </c>
      <c r="M460">
        <v>112</v>
      </c>
    </row>
    <row r="461" spans="1:13">
      <c r="A461">
        <v>460</v>
      </c>
      <c r="B461" s="1">
        <v>45705</v>
      </c>
      <c r="C461" t="s">
        <v>93</v>
      </c>
      <c r="D461">
        <v>17</v>
      </c>
      <c r="E461">
        <v>2</v>
      </c>
      <c r="F461">
        <v>1</v>
      </c>
      <c r="G461">
        <v>2025</v>
      </c>
      <c r="H461" t="s">
        <v>421</v>
      </c>
      <c r="I461" t="s">
        <v>277</v>
      </c>
      <c r="J461" t="s">
        <v>122</v>
      </c>
      <c r="K461">
        <v>51</v>
      </c>
      <c r="L461">
        <v>6</v>
      </c>
      <c r="M461">
        <v>329</v>
      </c>
    </row>
    <row r="462" spans="1:13">
      <c r="A462">
        <v>461</v>
      </c>
      <c r="B462" s="1">
        <v>45705</v>
      </c>
      <c r="C462" t="s">
        <v>93</v>
      </c>
      <c r="D462">
        <v>17</v>
      </c>
      <c r="E462">
        <v>2</v>
      </c>
      <c r="F462">
        <v>1</v>
      </c>
      <c r="G462">
        <v>2025</v>
      </c>
      <c r="H462" t="s">
        <v>421</v>
      </c>
      <c r="I462" t="s">
        <v>422</v>
      </c>
      <c r="J462" t="s">
        <v>122</v>
      </c>
      <c r="K462">
        <v>52</v>
      </c>
      <c r="L462">
        <v>1</v>
      </c>
      <c r="M462">
        <v>53</v>
      </c>
    </row>
    <row r="463" spans="1:13">
      <c r="A463">
        <v>462</v>
      </c>
      <c r="B463" s="1">
        <v>45705</v>
      </c>
      <c r="C463" t="s">
        <v>93</v>
      </c>
      <c r="D463">
        <v>17</v>
      </c>
      <c r="E463">
        <v>2</v>
      </c>
      <c r="F463">
        <v>1</v>
      </c>
      <c r="G463">
        <v>2025</v>
      </c>
      <c r="H463" t="s">
        <v>421</v>
      </c>
      <c r="I463" t="s">
        <v>423</v>
      </c>
      <c r="J463" t="s">
        <v>37</v>
      </c>
      <c r="K463">
        <v>43</v>
      </c>
      <c r="L463">
        <v>9</v>
      </c>
      <c r="M463">
        <v>398</v>
      </c>
    </row>
    <row r="464" spans="1:13">
      <c r="A464">
        <v>463</v>
      </c>
      <c r="B464" s="1">
        <v>45705</v>
      </c>
      <c r="C464" t="s">
        <v>93</v>
      </c>
      <c r="D464">
        <v>17</v>
      </c>
      <c r="E464">
        <v>2</v>
      </c>
      <c r="F464">
        <v>1</v>
      </c>
      <c r="G464">
        <v>2025</v>
      </c>
      <c r="H464" t="s">
        <v>421</v>
      </c>
      <c r="I464" t="s">
        <v>424</v>
      </c>
      <c r="J464" t="s">
        <v>69</v>
      </c>
      <c r="K464">
        <v>34</v>
      </c>
      <c r="L464">
        <v>5</v>
      </c>
      <c r="M464">
        <v>191</v>
      </c>
    </row>
    <row r="465" spans="1:13">
      <c r="A465">
        <v>464</v>
      </c>
      <c r="B465" s="1">
        <v>45839</v>
      </c>
      <c r="C465" t="s">
        <v>48</v>
      </c>
      <c r="D465">
        <v>1</v>
      </c>
      <c r="E465">
        <v>7</v>
      </c>
      <c r="F465">
        <v>3</v>
      </c>
      <c r="G465">
        <v>2025</v>
      </c>
      <c r="H465" t="s">
        <v>211</v>
      </c>
      <c r="I465" t="s">
        <v>386</v>
      </c>
      <c r="J465" t="s">
        <v>21</v>
      </c>
      <c r="K465">
        <v>26</v>
      </c>
      <c r="L465">
        <v>4</v>
      </c>
      <c r="M465">
        <v>106</v>
      </c>
    </row>
    <row r="466" spans="1:13">
      <c r="A466">
        <v>465</v>
      </c>
      <c r="B466" s="1">
        <v>45839</v>
      </c>
      <c r="C466" t="s">
        <v>48</v>
      </c>
      <c r="D466">
        <v>1</v>
      </c>
      <c r="E466">
        <v>7</v>
      </c>
      <c r="F466">
        <v>3</v>
      </c>
      <c r="G466">
        <v>2025</v>
      </c>
      <c r="H466" t="s">
        <v>211</v>
      </c>
      <c r="I466" t="s">
        <v>22</v>
      </c>
      <c r="J466" t="s">
        <v>23</v>
      </c>
      <c r="K466">
        <v>25</v>
      </c>
      <c r="L466">
        <v>5</v>
      </c>
      <c r="M466">
        <v>145</v>
      </c>
    </row>
    <row r="467" spans="1:13">
      <c r="A467">
        <v>466</v>
      </c>
      <c r="B467" s="1">
        <v>45839</v>
      </c>
      <c r="C467" t="s">
        <v>48</v>
      </c>
      <c r="D467">
        <v>1</v>
      </c>
      <c r="E467">
        <v>7</v>
      </c>
      <c r="F467">
        <v>3</v>
      </c>
      <c r="G467">
        <v>2025</v>
      </c>
      <c r="H467" t="s">
        <v>211</v>
      </c>
      <c r="I467" t="s">
        <v>309</v>
      </c>
      <c r="J467" t="s">
        <v>100</v>
      </c>
      <c r="K467">
        <v>38</v>
      </c>
      <c r="L467">
        <v>4</v>
      </c>
      <c r="M467">
        <v>158</v>
      </c>
    </row>
    <row r="468" spans="1:13">
      <c r="A468">
        <v>467</v>
      </c>
      <c r="B468" s="1">
        <v>45839</v>
      </c>
      <c r="C468" t="s">
        <v>48</v>
      </c>
      <c r="D468">
        <v>1</v>
      </c>
      <c r="E468">
        <v>7</v>
      </c>
      <c r="F468">
        <v>3</v>
      </c>
      <c r="G468">
        <v>2025</v>
      </c>
      <c r="H468" t="s">
        <v>211</v>
      </c>
      <c r="I468" t="s">
        <v>299</v>
      </c>
      <c r="J468" t="s">
        <v>57</v>
      </c>
      <c r="K468">
        <v>47</v>
      </c>
      <c r="L468">
        <v>7</v>
      </c>
      <c r="M468">
        <v>346</v>
      </c>
    </row>
    <row r="469" spans="1:13">
      <c r="A469">
        <v>468</v>
      </c>
      <c r="B469" s="1">
        <v>45839</v>
      </c>
      <c r="C469" t="s">
        <v>48</v>
      </c>
      <c r="D469">
        <v>1</v>
      </c>
      <c r="E469">
        <v>7</v>
      </c>
      <c r="F469">
        <v>3</v>
      </c>
      <c r="G469">
        <v>2025</v>
      </c>
      <c r="H469" t="s">
        <v>211</v>
      </c>
      <c r="I469" t="s">
        <v>281</v>
      </c>
      <c r="J469" t="s">
        <v>51</v>
      </c>
      <c r="K469">
        <v>18</v>
      </c>
      <c r="L469">
        <v>12</v>
      </c>
      <c r="M469">
        <v>222</v>
      </c>
    </row>
    <row r="470" spans="1:13">
      <c r="A470">
        <v>469</v>
      </c>
      <c r="B470" s="1">
        <v>45839</v>
      </c>
      <c r="C470" t="s">
        <v>48</v>
      </c>
      <c r="D470">
        <v>1</v>
      </c>
      <c r="E470">
        <v>7</v>
      </c>
      <c r="F470">
        <v>3</v>
      </c>
      <c r="G470">
        <v>2025</v>
      </c>
      <c r="H470" t="s">
        <v>211</v>
      </c>
      <c r="I470" t="s">
        <v>425</v>
      </c>
      <c r="J470" t="s">
        <v>51</v>
      </c>
      <c r="K470">
        <v>32</v>
      </c>
      <c r="L470">
        <v>10</v>
      </c>
      <c r="M470">
        <v>347</v>
      </c>
    </row>
    <row r="471" spans="1:13">
      <c r="A471">
        <v>470</v>
      </c>
      <c r="B471" s="1">
        <v>45839</v>
      </c>
      <c r="C471" t="s">
        <v>48</v>
      </c>
      <c r="D471">
        <v>1</v>
      </c>
      <c r="E471">
        <v>7</v>
      </c>
      <c r="F471">
        <v>3</v>
      </c>
      <c r="G471">
        <v>2025</v>
      </c>
      <c r="H471" t="s">
        <v>211</v>
      </c>
      <c r="I471" t="s">
        <v>212</v>
      </c>
      <c r="J471" t="s">
        <v>57</v>
      </c>
      <c r="K471">
        <v>12</v>
      </c>
      <c r="L471">
        <v>38</v>
      </c>
      <c r="M471">
        <v>462</v>
      </c>
    </row>
    <row r="472" spans="1:13">
      <c r="A472">
        <v>471</v>
      </c>
      <c r="B472" s="1">
        <v>45839</v>
      </c>
      <c r="C472" t="s">
        <v>48</v>
      </c>
      <c r="D472">
        <v>1</v>
      </c>
      <c r="E472">
        <v>7</v>
      </c>
      <c r="F472">
        <v>3</v>
      </c>
      <c r="G472">
        <v>2025</v>
      </c>
      <c r="H472" t="s">
        <v>211</v>
      </c>
      <c r="I472" t="s">
        <v>426</v>
      </c>
      <c r="J472" t="s">
        <v>37</v>
      </c>
      <c r="K472">
        <v>14</v>
      </c>
      <c r="L472">
        <v>32</v>
      </c>
      <c r="M472">
        <v>448</v>
      </c>
    </row>
    <row r="473" spans="1:13">
      <c r="A473">
        <v>472</v>
      </c>
      <c r="B473" s="1">
        <v>45839</v>
      </c>
      <c r="C473" t="s">
        <v>48</v>
      </c>
      <c r="D473">
        <v>1</v>
      </c>
      <c r="E473">
        <v>7</v>
      </c>
      <c r="F473">
        <v>3</v>
      </c>
      <c r="G473">
        <v>2025</v>
      </c>
      <c r="H473" t="s">
        <v>211</v>
      </c>
      <c r="I473" t="s">
        <v>247</v>
      </c>
      <c r="J473" t="s">
        <v>55</v>
      </c>
      <c r="K473">
        <v>27</v>
      </c>
      <c r="L473">
        <v>8</v>
      </c>
      <c r="M473">
        <v>235</v>
      </c>
    </row>
    <row r="474" spans="1:13">
      <c r="A474">
        <v>473</v>
      </c>
      <c r="B474" s="1">
        <v>45839</v>
      </c>
      <c r="C474" t="s">
        <v>48</v>
      </c>
      <c r="D474">
        <v>1</v>
      </c>
      <c r="E474">
        <v>7</v>
      </c>
      <c r="F474">
        <v>3</v>
      </c>
      <c r="G474">
        <v>2025</v>
      </c>
      <c r="H474" t="s">
        <v>211</v>
      </c>
      <c r="I474" t="s">
        <v>427</v>
      </c>
      <c r="J474" t="s">
        <v>21</v>
      </c>
      <c r="K474">
        <v>26</v>
      </c>
      <c r="L474">
        <v>10</v>
      </c>
      <c r="M474">
        <v>261</v>
      </c>
    </row>
    <row r="475" spans="1:13">
      <c r="A475">
        <v>474</v>
      </c>
      <c r="B475" s="1">
        <v>45839</v>
      </c>
      <c r="C475" t="s">
        <v>48</v>
      </c>
      <c r="D475">
        <v>1</v>
      </c>
      <c r="E475">
        <v>7</v>
      </c>
      <c r="F475">
        <v>3</v>
      </c>
      <c r="G475">
        <v>2025</v>
      </c>
      <c r="H475" t="s">
        <v>211</v>
      </c>
      <c r="I475" t="s">
        <v>59</v>
      </c>
      <c r="J475" t="s">
        <v>60</v>
      </c>
      <c r="K475">
        <v>47</v>
      </c>
      <c r="L475">
        <v>3</v>
      </c>
      <c r="M475">
        <v>176</v>
      </c>
    </row>
    <row r="476" spans="1:13">
      <c r="A476">
        <v>475</v>
      </c>
      <c r="B476" s="1">
        <v>45839</v>
      </c>
      <c r="C476" t="s">
        <v>48</v>
      </c>
      <c r="D476">
        <v>1</v>
      </c>
      <c r="E476">
        <v>7</v>
      </c>
      <c r="F476">
        <v>3</v>
      </c>
      <c r="G476">
        <v>2025</v>
      </c>
      <c r="H476" t="s">
        <v>211</v>
      </c>
      <c r="I476" t="s">
        <v>428</v>
      </c>
      <c r="J476" t="s">
        <v>31</v>
      </c>
      <c r="K476">
        <v>50</v>
      </c>
      <c r="L476">
        <v>8</v>
      </c>
      <c r="M476">
        <v>417</v>
      </c>
    </row>
    <row r="477" spans="1:13">
      <c r="A477">
        <v>476</v>
      </c>
      <c r="B477" s="1">
        <v>45941</v>
      </c>
      <c r="C477" t="s">
        <v>14</v>
      </c>
      <c r="D477">
        <v>11</v>
      </c>
      <c r="E477">
        <v>10</v>
      </c>
      <c r="F477">
        <v>4</v>
      </c>
      <c r="G477">
        <v>2025</v>
      </c>
      <c r="H477" t="s">
        <v>15</v>
      </c>
      <c r="I477" t="s">
        <v>266</v>
      </c>
      <c r="J477" t="s">
        <v>19</v>
      </c>
      <c r="K477">
        <v>60</v>
      </c>
      <c r="L477">
        <v>4</v>
      </c>
      <c r="M477">
        <v>248</v>
      </c>
    </row>
    <row r="478" spans="1:13">
      <c r="A478">
        <v>477</v>
      </c>
      <c r="B478" s="1">
        <v>45941</v>
      </c>
      <c r="C478" t="s">
        <v>14</v>
      </c>
      <c r="D478">
        <v>11</v>
      </c>
      <c r="E478">
        <v>10</v>
      </c>
      <c r="F478">
        <v>4</v>
      </c>
      <c r="G478">
        <v>2025</v>
      </c>
      <c r="H478" t="s">
        <v>15</v>
      </c>
      <c r="I478" t="s">
        <v>429</v>
      </c>
      <c r="J478" t="s">
        <v>19</v>
      </c>
      <c r="K478">
        <v>25</v>
      </c>
      <c r="L478">
        <v>8</v>
      </c>
      <c r="M478">
        <v>222</v>
      </c>
    </row>
    <row r="479" spans="1:13">
      <c r="A479">
        <v>478</v>
      </c>
      <c r="B479" s="1">
        <v>45941</v>
      </c>
      <c r="C479" t="s">
        <v>14</v>
      </c>
      <c r="D479">
        <v>11</v>
      </c>
      <c r="E479">
        <v>10</v>
      </c>
      <c r="F479">
        <v>4</v>
      </c>
      <c r="G479">
        <v>2025</v>
      </c>
      <c r="H479" t="s">
        <v>15</v>
      </c>
      <c r="I479" t="s">
        <v>68</v>
      </c>
      <c r="J479" t="s">
        <v>69</v>
      </c>
      <c r="K479">
        <v>53</v>
      </c>
      <c r="L479">
        <v>5</v>
      </c>
      <c r="M479">
        <v>287</v>
      </c>
    </row>
    <row r="480" spans="1:13">
      <c r="A480">
        <v>479</v>
      </c>
      <c r="B480" s="1">
        <v>45941</v>
      </c>
      <c r="C480" t="s">
        <v>14</v>
      </c>
      <c r="D480">
        <v>11</v>
      </c>
      <c r="E480">
        <v>10</v>
      </c>
      <c r="F480">
        <v>4</v>
      </c>
      <c r="G480">
        <v>2025</v>
      </c>
      <c r="H480" t="s">
        <v>15</v>
      </c>
      <c r="I480" t="s">
        <v>430</v>
      </c>
      <c r="J480" t="s">
        <v>27</v>
      </c>
      <c r="K480">
        <v>32</v>
      </c>
      <c r="L480">
        <v>9</v>
      </c>
      <c r="M480">
        <v>292</v>
      </c>
    </row>
    <row r="481" spans="1:13">
      <c r="A481">
        <v>480</v>
      </c>
      <c r="B481" s="1">
        <v>45941</v>
      </c>
      <c r="C481" t="s">
        <v>14</v>
      </c>
      <c r="D481">
        <v>11</v>
      </c>
      <c r="E481">
        <v>10</v>
      </c>
      <c r="F481">
        <v>4</v>
      </c>
      <c r="G481">
        <v>2025</v>
      </c>
      <c r="H481" t="s">
        <v>15</v>
      </c>
      <c r="I481" t="s">
        <v>431</v>
      </c>
      <c r="J481" t="s">
        <v>17</v>
      </c>
      <c r="K481">
        <v>29</v>
      </c>
      <c r="L481">
        <v>12</v>
      </c>
      <c r="M481">
        <v>349</v>
      </c>
    </row>
    <row r="482" spans="1:13">
      <c r="A482">
        <v>481</v>
      </c>
      <c r="B482" s="1">
        <v>45927</v>
      </c>
      <c r="C482" t="s">
        <v>14</v>
      </c>
      <c r="D482">
        <v>27</v>
      </c>
      <c r="E482">
        <v>9</v>
      </c>
      <c r="F482">
        <v>3</v>
      </c>
      <c r="G482">
        <v>2025</v>
      </c>
      <c r="H482" t="s">
        <v>98</v>
      </c>
      <c r="I482" t="s">
        <v>432</v>
      </c>
      <c r="J482" t="s">
        <v>46</v>
      </c>
      <c r="K482">
        <v>21</v>
      </c>
      <c r="L482">
        <v>17</v>
      </c>
      <c r="M482">
        <v>369</v>
      </c>
    </row>
    <row r="483" spans="1:13">
      <c r="A483">
        <v>482</v>
      </c>
      <c r="B483" s="1">
        <v>45927</v>
      </c>
      <c r="C483" t="s">
        <v>14</v>
      </c>
      <c r="D483">
        <v>27</v>
      </c>
      <c r="E483">
        <v>9</v>
      </c>
      <c r="F483">
        <v>3</v>
      </c>
      <c r="G483">
        <v>2025</v>
      </c>
      <c r="H483" t="s">
        <v>98</v>
      </c>
      <c r="I483" t="s">
        <v>433</v>
      </c>
      <c r="J483" t="s">
        <v>100</v>
      </c>
      <c r="K483">
        <v>20</v>
      </c>
      <c r="L483">
        <v>15</v>
      </c>
      <c r="M483">
        <v>316</v>
      </c>
    </row>
    <row r="484" spans="1:13">
      <c r="A484">
        <v>483</v>
      </c>
      <c r="B484" s="1">
        <v>45927</v>
      </c>
      <c r="C484" t="s">
        <v>14</v>
      </c>
      <c r="D484">
        <v>27</v>
      </c>
      <c r="E484">
        <v>9</v>
      </c>
      <c r="F484">
        <v>3</v>
      </c>
      <c r="G484">
        <v>2025</v>
      </c>
      <c r="H484" t="s">
        <v>98</v>
      </c>
      <c r="I484" t="s">
        <v>197</v>
      </c>
      <c r="J484" t="s">
        <v>19</v>
      </c>
      <c r="K484">
        <v>19</v>
      </c>
      <c r="L484">
        <v>12</v>
      </c>
      <c r="M484">
        <v>241</v>
      </c>
    </row>
    <row r="485" spans="1:13">
      <c r="A485">
        <v>484</v>
      </c>
      <c r="B485" s="1">
        <v>45927</v>
      </c>
      <c r="C485" t="s">
        <v>14</v>
      </c>
      <c r="D485">
        <v>27</v>
      </c>
      <c r="E485">
        <v>9</v>
      </c>
      <c r="F485">
        <v>3</v>
      </c>
      <c r="G485">
        <v>2025</v>
      </c>
      <c r="H485" t="s">
        <v>98</v>
      </c>
      <c r="I485" t="s">
        <v>56</v>
      </c>
      <c r="J485" t="s">
        <v>57</v>
      </c>
      <c r="K485">
        <v>48</v>
      </c>
      <c r="L485">
        <v>7</v>
      </c>
      <c r="M485">
        <v>372</v>
      </c>
    </row>
    <row r="486" spans="1:13">
      <c r="A486">
        <v>485</v>
      </c>
      <c r="B486" s="1">
        <v>45927</v>
      </c>
      <c r="C486" t="s">
        <v>14</v>
      </c>
      <c r="D486">
        <v>27</v>
      </c>
      <c r="E486">
        <v>9</v>
      </c>
      <c r="F486">
        <v>3</v>
      </c>
      <c r="G486">
        <v>2025</v>
      </c>
      <c r="H486" t="s">
        <v>98</v>
      </c>
      <c r="I486" t="s">
        <v>163</v>
      </c>
      <c r="J486" t="s">
        <v>97</v>
      </c>
      <c r="K486">
        <v>12</v>
      </c>
      <c r="L486">
        <v>21</v>
      </c>
      <c r="M486">
        <v>259</v>
      </c>
    </row>
    <row r="487" spans="1:13">
      <c r="A487">
        <v>486</v>
      </c>
      <c r="B487" s="1">
        <v>45927</v>
      </c>
      <c r="C487" t="s">
        <v>14</v>
      </c>
      <c r="D487">
        <v>27</v>
      </c>
      <c r="E487">
        <v>9</v>
      </c>
      <c r="F487">
        <v>3</v>
      </c>
      <c r="G487">
        <v>2025</v>
      </c>
      <c r="H487" t="s">
        <v>98</v>
      </c>
      <c r="I487" t="s">
        <v>247</v>
      </c>
      <c r="J487" t="s">
        <v>55</v>
      </c>
      <c r="K487">
        <v>58</v>
      </c>
      <c r="L487">
        <v>4</v>
      </c>
      <c r="M487">
        <v>254</v>
      </c>
    </row>
    <row r="488" spans="1:13">
      <c r="A488">
        <v>487</v>
      </c>
      <c r="B488" s="1">
        <v>45927</v>
      </c>
      <c r="C488" t="s">
        <v>14</v>
      </c>
      <c r="D488">
        <v>27</v>
      </c>
      <c r="E488">
        <v>9</v>
      </c>
      <c r="F488">
        <v>3</v>
      </c>
      <c r="G488">
        <v>2025</v>
      </c>
      <c r="H488" t="s">
        <v>98</v>
      </c>
      <c r="I488" t="s">
        <v>76</v>
      </c>
      <c r="J488" t="s">
        <v>69</v>
      </c>
      <c r="K488">
        <v>22</v>
      </c>
      <c r="L488">
        <v>12</v>
      </c>
      <c r="M488">
        <v>281</v>
      </c>
    </row>
    <row r="489" spans="1:13">
      <c r="A489">
        <v>488</v>
      </c>
      <c r="B489" s="1">
        <v>45927</v>
      </c>
      <c r="C489" t="s">
        <v>14</v>
      </c>
      <c r="D489">
        <v>27</v>
      </c>
      <c r="E489">
        <v>9</v>
      </c>
      <c r="F489">
        <v>3</v>
      </c>
      <c r="G489">
        <v>2025</v>
      </c>
      <c r="H489" t="s">
        <v>98</v>
      </c>
      <c r="I489" t="s">
        <v>434</v>
      </c>
      <c r="J489" t="s">
        <v>57</v>
      </c>
      <c r="K489">
        <v>11</v>
      </c>
      <c r="L489">
        <v>10</v>
      </c>
      <c r="M489">
        <v>115</v>
      </c>
    </row>
    <row r="490" spans="1:13">
      <c r="A490">
        <v>489</v>
      </c>
      <c r="B490" s="1">
        <v>45927</v>
      </c>
      <c r="C490" t="s">
        <v>14</v>
      </c>
      <c r="D490">
        <v>27</v>
      </c>
      <c r="E490">
        <v>9</v>
      </c>
      <c r="F490">
        <v>3</v>
      </c>
      <c r="G490">
        <v>2025</v>
      </c>
      <c r="H490" t="s">
        <v>98</v>
      </c>
      <c r="I490" t="s">
        <v>435</v>
      </c>
      <c r="J490" t="s">
        <v>51</v>
      </c>
      <c r="K490">
        <v>38</v>
      </c>
      <c r="L490">
        <v>7</v>
      </c>
      <c r="M490">
        <v>266</v>
      </c>
    </row>
    <row r="491" spans="1:13">
      <c r="A491">
        <v>490</v>
      </c>
      <c r="B491" s="1">
        <v>45927</v>
      </c>
      <c r="C491" t="s">
        <v>14</v>
      </c>
      <c r="D491">
        <v>27</v>
      </c>
      <c r="E491">
        <v>9</v>
      </c>
      <c r="F491">
        <v>3</v>
      </c>
      <c r="G491">
        <v>2025</v>
      </c>
      <c r="H491" t="s">
        <v>98</v>
      </c>
      <c r="I491" t="s">
        <v>299</v>
      </c>
      <c r="J491" t="s">
        <v>57</v>
      </c>
      <c r="K491">
        <v>12</v>
      </c>
      <c r="L491">
        <v>29</v>
      </c>
      <c r="M491">
        <v>348</v>
      </c>
    </row>
    <row r="492" spans="1:13">
      <c r="A492">
        <v>491</v>
      </c>
      <c r="B492" s="1">
        <v>46026</v>
      </c>
      <c r="C492" t="s">
        <v>28</v>
      </c>
      <c r="D492">
        <v>4</v>
      </c>
      <c r="E492">
        <v>1</v>
      </c>
      <c r="F492">
        <v>1</v>
      </c>
      <c r="G492">
        <v>2026</v>
      </c>
      <c r="H492" t="s">
        <v>436</v>
      </c>
      <c r="I492" t="s">
        <v>115</v>
      </c>
      <c r="J492" t="s">
        <v>55</v>
      </c>
      <c r="K492">
        <v>39</v>
      </c>
      <c r="L492">
        <v>7</v>
      </c>
      <c r="M492">
        <v>310</v>
      </c>
    </row>
    <row r="493" spans="1:13">
      <c r="A493">
        <v>492</v>
      </c>
      <c r="B493" s="1">
        <v>46026</v>
      </c>
      <c r="C493" t="s">
        <v>28</v>
      </c>
      <c r="D493">
        <v>4</v>
      </c>
      <c r="E493">
        <v>1</v>
      </c>
      <c r="F493">
        <v>1</v>
      </c>
      <c r="G493">
        <v>2026</v>
      </c>
      <c r="H493" t="s">
        <v>436</v>
      </c>
      <c r="I493" t="s">
        <v>437</v>
      </c>
      <c r="J493" t="s">
        <v>122</v>
      </c>
      <c r="K493">
        <v>53</v>
      </c>
      <c r="L493">
        <v>2</v>
      </c>
      <c r="M493">
        <v>120</v>
      </c>
    </row>
    <row r="494" spans="1:13">
      <c r="A494">
        <v>493</v>
      </c>
      <c r="B494" s="1">
        <v>46026</v>
      </c>
      <c r="C494" t="s">
        <v>28</v>
      </c>
      <c r="D494">
        <v>4</v>
      </c>
      <c r="E494">
        <v>1</v>
      </c>
      <c r="F494">
        <v>1</v>
      </c>
      <c r="G494">
        <v>2026</v>
      </c>
      <c r="H494" t="s">
        <v>436</v>
      </c>
      <c r="I494" t="s">
        <v>430</v>
      </c>
      <c r="J494" t="s">
        <v>27</v>
      </c>
      <c r="K494">
        <v>30</v>
      </c>
      <c r="L494">
        <v>9</v>
      </c>
      <c r="M494">
        <v>290</v>
      </c>
    </row>
    <row r="495" spans="1:13">
      <c r="A495">
        <v>494</v>
      </c>
      <c r="B495" s="1">
        <v>46009</v>
      </c>
      <c r="C495" t="s">
        <v>105</v>
      </c>
      <c r="D495">
        <v>18</v>
      </c>
      <c r="E495">
        <v>12</v>
      </c>
      <c r="F495">
        <v>4</v>
      </c>
      <c r="G495">
        <v>2025</v>
      </c>
      <c r="H495" t="s">
        <v>136</v>
      </c>
      <c r="I495" t="s">
        <v>208</v>
      </c>
      <c r="J495" t="s">
        <v>43</v>
      </c>
      <c r="K495">
        <v>42</v>
      </c>
      <c r="L495">
        <v>8</v>
      </c>
      <c r="M495">
        <v>359</v>
      </c>
    </row>
    <row r="496" spans="1:13">
      <c r="A496">
        <v>495</v>
      </c>
      <c r="B496" s="1">
        <v>46009</v>
      </c>
      <c r="C496" t="s">
        <v>105</v>
      </c>
      <c r="D496">
        <v>18</v>
      </c>
      <c r="E496">
        <v>12</v>
      </c>
      <c r="F496">
        <v>4</v>
      </c>
      <c r="G496">
        <v>2025</v>
      </c>
      <c r="H496" t="s">
        <v>136</v>
      </c>
      <c r="I496" t="s">
        <v>335</v>
      </c>
      <c r="J496" t="s">
        <v>37</v>
      </c>
      <c r="K496">
        <v>20</v>
      </c>
      <c r="L496">
        <v>21</v>
      </c>
      <c r="M496">
        <v>424</v>
      </c>
    </row>
    <row r="497" spans="1:13">
      <c r="A497">
        <v>496</v>
      </c>
      <c r="B497" s="1">
        <v>46009</v>
      </c>
      <c r="C497" t="s">
        <v>105</v>
      </c>
      <c r="D497">
        <v>18</v>
      </c>
      <c r="E497">
        <v>12</v>
      </c>
      <c r="F497">
        <v>4</v>
      </c>
      <c r="G497">
        <v>2025</v>
      </c>
      <c r="H497" t="s">
        <v>136</v>
      </c>
      <c r="I497" t="s">
        <v>308</v>
      </c>
      <c r="J497" t="s">
        <v>19</v>
      </c>
      <c r="K497">
        <v>59</v>
      </c>
      <c r="L497">
        <v>4</v>
      </c>
      <c r="M497">
        <v>251</v>
      </c>
    </row>
    <row r="498" spans="1:13">
      <c r="A498">
        <v>497</v>
      </c>
      <c r="B498" s="1">
        <v>46009</v>
      </c>
      <c r="C498" t="s">
        <v>105</v>
      </c>
      <c r="D498">
        <v>18</v>
      </c>
      <c r="E498">
        <v>12</v>
      </c>
      <c r="F498">
        <v>4</v>
      </c>
      <c r="G498">
        <v>2025</v>
      </c>
      <c r="H498" t="s">
        <v>136</v>
      </c>
      <c r="I498" t="s">
        <v>438</v>
      </c>
      <c r="J498" t="s">
        <v>51</v>
      </c>
      <c r="K498">
        <v>13</v>
      </c>
      <c r="L498">
        <v>14</v>
      </c>
      <c r="M498">
        <v>193</v>
      </c>
    </row>
    <row r="499" spans="1:13">
      <c r="A499">
        <v>498</v>
      </c>
      <c r="B499" s="1">
        <v>46009</v>
      </c>
      <c r="C499" t="s">
        <v>105</v>
      </c>
      <c r="D499">
        <v>18</v>
      </c>
      <c r="E499">
        <v>12</v>
      </c>
      <c r="F499">
        <v>4</v>
      </c>
      <c r="G499">
        <v>2025</v>
      </c>
      <c r="H499" t="s">
        <v>136</v>
      </c>
      <c r="I499" t="s">
        <v>384</v>
      </c>
      <c r="J499" t="s">
        <v>37</v>
      </c>
      <c r="K499">
        <v>38</v>
      </c>
      <c r="L499">
        <v>9</v>
      </c>
      <c r="M499">
        <v>364</v>
      </c>
    </row>
    <row r="500" spans="1:13">
      <c r="A500">
        <v>499</v>
      </c>
      <c r="B500" s="1">
        <v>46009</v>
      </c>
      <c r="C500" t="s">
        <v>105</v>
      </c>
      <c r="D500">
        <v>18</v>
      </c>
      <c r="E500">
        <v>12</v>
      </c>
      <c r="F500">
        <v>4</v>
      </c>
      <c r="G500">
        <v>2025</v>
      </c>
      <c r="H500" t="s">
        <v>136</v>
      </c>
      <c r="I500" t="s">
        <v>286</v>
      </c>
      <c r="J500" t="s">
        <v>97</v>
      </c>
      <c r="K500">
        <v>50</v>
      </c>
      <c r="L500">
        <v>7</v>
      </c>
      <c r="M500">
        <v>361</v>
      </c>
    </row>
    <row r="501" spans="1:13">
      <c r="A501">
        <v>500</v>
      </c>
      <c r="B501" s="1">
        <v>46009</v>
      </c>
      <c r="C501" t="s">
        <v>105</v>
      </c>
      <c r="D501">
        <v>18</v>
      </c>
      <c r="E501">
        <v>12</v>
      </c>
      <c r="F501">
        <v>4</v>
      </c>
      <c r="G501">
        <v>2025</v>
      </c>
      <c r="H501" t="s">
        <v>136</v>
      </c>
      <c r="I501" t="s">
        <v>439</v>
      </c>
      <c r="J501" t="s">
        <v>21</v>
      </c>
      <c r="K501">
        <v>19</v>
      </c>
      <c r="L501">
        <v>24</v>
      </c>
      <c r="M501">
        <v>461</v>
      </c>
    </row>
    <row r="502" spans="1:13">
      <c r="A502">
        <v>501</v>
      </c>
      <c r="B502" s="1">
        <v>45635</v>
      </c>
      <c r="C502" t="s">
        <v>93</v>
      </c>
      <c r="D502">
        <v>9</v>
      </c>
      <c r="E502">
        <v>12</v>
      </c>
      <c r="F502">
        <v>4</v>
      </c>
      <c r="G502">
        <v>2024</v>
      </c>
      <c r="H502" t="s">
        <v>440</v>
      </c>
      <c r="I502" t="s">
        <v>195</v>
      </c>
      <c r="J502" t="s">
        <v>31</v>
      </c>
      <c r="K502">
        <v>58</v>
      </c>
      <c r="L502">
        <v>4</v>
      </c>
      <c r="M502">
        <v>261</v>
      </c>
    </row>
    <row r="503" spans="1:13">
      <c r="A503">
        <v>502</v>
      </c>
      <c r="B503" s="1">
        <v>45635</v>
      </c>
      <c r="C503" t="s">
        <v>93</v>
      </c>
      <c r="D503">
        <v>9</v>
      </c>
      <c r="E503">
        <v>12</v>
      </c>
      <c r="F503">
        <v>4</v>
      </c>
      <c r="G503">
        <v>2024</v>
      </c>
      <c r="H503" t="s">
        <v>440</v>
      </c>
      <c r="I503" t="s">
        <v>435</v>
      </c>
      <c r="J503" t="s">
        <v>51</v>
      </c>
      <c r="K503">
        <v>57</v>
      </c>
      <c r="L503">
        <v>4</v>
      </c>
      <c r="M503">
        <v>246</v>
      </c>
    </row>
    <row r="504" spans="1:13">
      <c r="A504">
        <v>503</v>
      </c>
      <c r="B504" s="1">
        <v>45635</v>
      </c>
      <c r="C504" t="s">
        <v>93</v>
      </c>
      <c r="D504">
        <v>9</v>
      </c>
      <c r="E504">
        <v>12</v>
      </c>
      <c r="F504">
        <v>4</v>
      </c>
      <c r="G504">
        <v>2024</v>
      </c>
      <c r="H504" t="s">
        <v>440</v>
      </c>
      <c r="I504" t="s">
        <v>137</v>
      </c>
      <c r="J504" t="s">
        <v>82</v>
      </c>
      <c r="K504">
        <v>56</v>
      </c>
      <c r="L504">
        <v>4</v>
      </c>
      <c r="M504">
        <v>275</v>
      </c>
    </row>
    <row r="505" spans="1:13">
      <c r="A505">
        <v>504</v>
      </c>
      <c r="B505" s="1">
        <v>45635</v>
      </c>
      <c r="C505" t="s">
        <v>93</v>
      </c>
      <c r="D505">
        <v>9</v>
      </c>
      <c r="E505">
        <v>12</v>
      </c>
      <c r="F505">
        <v>4</v>
      </c>
      <c r="G505">
        <v>2024</v>
      </c>
      <c r="H505" t="s">
        <v>440</v>
      </c>
      <c r="I505" t="s">
        <v>173</v>
      </c>
      <c r="J505" t="s">
        <v>55</v>
      </c>
      <c r="K505">
        <v>60</v>
      </c>
      <c r="L505">
        <v>6</v>
      </c>
      <c r="M505">
        <v>364</v>
      </c>
    </row>
    <row r="506" spans="1:13">
      <c r="A506">
        <v>505</v>
      </c>
      <c r="B506" s="1">
        <v>45635</v>
      </c>
      <c r="C506" t="s">
        <v>93</v>
      </c>
      <c r="D506">
        <v>9</v>
      </c>
      <c r="E506">
        <v>12</v>
      </c>
      <c r="F506">
        <v>4</v>
      </c>
      <c r="G506">
        <v>2024</v>
      </c>
      <c r="H506" t="s">
        <v>440</v>
      </c>
      <c r="I506" t="s">
        <v>441</v>
      </c>
      <c r="J506" t="s">
        <v>37</v>
      </c>
      <c r="K506">
        <v>19</v>
      </c>
      <c r="L506">
        <v>15</v>
      </c>
      <c r="M506">
        <v>303</v>
      </c>
    </row>
    <row r="507" spans="1:13">
      <c r="A507">
        <v>506</v>
      </c>
      <c r="B507" s="1">
        <v>45635</v>
      </c>
      <c r="C507" t="s">
        <v>93</v>
      </c>
      <c r="D507">
        <v>9</v>
      </c>
      <c r="E507">
        <v>12</v>
      </c>
      <c r="F507">
        <v>4</v>
      </c>
      <c r="G507">
        <v>2024</v>
      </c>
      <c r="H507" t="s">
        <v>440</v>
      </c>
      <c r="I507" t="s">
        <v>298</v>
      </c>
      <c r="J507" t="s">
        <v>31</v>
      </c>
      <c r="K507">
        <v>49</v>
      </c>
      <c r="L507">
        <v>2</v>
      </c>
      <c r="M507">
        <v>111</v>
      </c>
    </row>
    <row r="508" spans="1:13">
      <c r="A508">
        <v>507</v>
      </c>
      <c r="B508" s="1">
        <v>45635</v>
      </c>
      <c r="C508" t="s">
        <v>93</v>
      </c>
      <c r="D508">
        <v>9</v>
      </c>
      <c r="E508">
        <v>12</v>
      </c>
      <c r="F508">
        <v>4</v>
      </c>
      <c r="G508">
        <v>2024</v>
      </c>
      <c r="H508" t="s">
        <v>440</v>
      </c>
      <c r="I508" t="s">
        <v>442</v>
      </c>
      <c r="J508" t="s">
        <v>100</v>
      </c>
      <c r="K508">
        <v>15</v>
      </c>
      <c r="L508">
        <v>7</v>
      </c>
      <c r="M508">
        <v>112</v>
      </c>
    </row>
    <row r="509" spans="1:13">
      <c r="A509">
        <v>508</v>
      </c>
      <c r="B509" s="1">
        <v>45635</v>
      </c>
      <c r="C509" t="s">
        <v>93</v>
      </c>
      <c r="D509">
        <v>9</v>
      </c>
      <c r="E509">
        <v>12</v>
      </c>
      <c r="F509">
        <v>4</v>
      </c>
      <c r="G509">
        <v>2024</v>
      </c>
      <c r="H509" t="s">
        <v>440</v>
      </c>
      <c r="I509" t="s">
        <v>443</v>
      </c>
      <c r="J509" t="s">
        <v>55</v>
      </c>
      <c r="K509">
        <v>59</v>
      </c>
      <c r="L509">
        <v>7</v>
      </c>
      <c r="M509">
        <v>419</v>
      </c>
    </row>
    <row r="510" spans="1:13">
      <c r="A510">
        <v>509</v>
      </c>
      <c r="B510" s="1">
        <v>45635</v>
      </c>
      <c r="C510" t="s">
        <v>93</v>
      </c>
      <c r="D510">
        <v>9</v>
      </c>
      <c r="E510">
        <v>12</v>
      </c>
      <c r="F510">
        <v>4</v>
      </c>
      <c r="G510">
        <v>2024</v>
      </c>
      <c r="H510" t="s">
        <v>440</v>
      </c>
      <c r="I510" t="s">
        <v>444</v>
      </c>
      <c r="J510" t="s">
        <v>37</v>
      </c>
      <c r="K510">
        <v>24</v>
      </c>
      <c r="L510">
        <v>13</v>
      </c>
      <c r="M510">
        <v>331</v>
      </c>
    </row>
    <row r="511" spans="1:13">
      <c r="A511">
        <v>510</v>
      </c>
      <c r="B511" s="1">
        <v>45938</v>
      </c>
      <c r="C511" t="s">
        <v>34</v>
      </c>
      <c r="D511">
        <v>8</v>
      </c>
      <c r="E511">
        <v>10</v>
      </c>
      <c r="F511">
        <v>4</v>
      </c>
      <c r="G511">
        <v>2025</v>
      </c>
      <c r="H511" t="s">
        <v>64</v>
      </c>
      <c r="I511" t="s">
        <v>445</v>
      </c>
      <c r="J511" t="s">
        <v>60</v>
      </c>
      <c r="K511">
        <v>19</v>
      </c>
      <c r="L511">
        <v>10</v>
      </c>
      <c r="M511">
        <v>203</v>
      </c>
    </row>
    <row r="512" spans="1:13">
      <c r="A512">
        <v>511</v>
      </c>
      <c r="B512" s="1">
        <v>45938</v>
      </c>
      <c r="C512" t="s">
        <v>34</v>
      </c>
      <c r="D512">
        <v>8</v>
      </c>
      <c r="E512">
        <v>10</v>
      </c>
      <c r="F512">
        <v>4</v>
      </c>
      <c r="G512">
        <v>2025</v>
      </c>
      <c r="H512" t="s">
        <v>64</v>
      </c>
      <c r="I512" t="s">
        <v>446</v>
      </c>
      <c r="J512" t="s">
        <v>57</v>
      </c>
      <c r="K512">
        <v>52</v>
      </c>
      <c r="L512">
        <v>6</v>
      </c>
      <c r="M512">
        <v>336</v>
      </c>
    </row>
    <row r="513" spans="1:13">
      <c r="A513">
        <v>512</v>
      </c>
      <c r="B513" s="1">
        <v>45938</v>
      </c>
      <c r="C513" t="s">
        <v>34</v>
      </c>
      <c r="D513">
        <v>8</v>
      </c>
      <c r="E513">
        <v>10</v>
      </c>
      <c r="F513">
        <v>4</v>
      </c>
      <c r="G513">
        <v>2025</v>
      </c>
      <c r="H513" t="s">
        <v>64</v>
      </c>
      <c r="I513" t="s">
        <v>447</v>
      </c>
      <c r="J513" t="s">
        <v>21</v>
      </c>
      <c r="K513">
        <v>10</v>
      </c>
      <c r="L513">
        <v>7</v>
      </c>
      <c r="M513">
        <v>77</v>
      </c>
    </row>
    <row r="514" spans="1:13">
      <c r="A514">
        <v>513</v>
      </c>
      <c r="B514" s="1">
        <v>45938</v>
      </c>
      <c r="C514" t="s">
        <v>34</v>
      </c>
      <c r="D514">
        <v>8</v>
      </c>
      <c r="E514">
        <v>10</v>
      </c>
      <c r="F514">
        <v>4</v>
      </c>
      <c r="G514">
        <v>2025</v>
      </c>
      <c r="H514" t="s">
        <v>64</v>
      </c>
      <c r="I514" t="s">
        <v>448</v>
      </c>
      <c r="J514" t="s">
        <v>55</v>
      </c>
      <c r="K514">
        <v>14</v>
      </c>
      <c r="L514">
        <v>25</v>
      </c>
      <c r="M514">
        <v>357</v>
      </c>
    </row>
    <row r="515" spans="1:13">
      <c r="A515">
        <v>514</v>
      </c>
      <c r="B515" s="1">
        <v>45938</v>
      </c>
      <c r="C515" t="s">
        <v>34</v>
      </c>
      <c r="D515">
        <v>8</v>
      </c>
      <c r="E515">
        <v>10</v>
      </c>
      <c r="F515">
        <v>4</v>
      </c>
      <c r="G515">
        <v>2025</v>
      </c>
      <c r="H515" t="s">
        <v>64</v>
      </c>
      <c r="I515" t="s">
        <v>311</v>
      </c>
      <c r="J515" t="s">
        <v>46</v>
      </c>
      <c r="K515">
        <v>53</v>
      </c>
      <c r="L515">
        <v>5</v>
      </c>
      <c r="M515">
        <v>315</v>
      </c>
    </row>
    <row r="516" spans="1:13">
      <c r="A516">
        <v>515</v>
      </c>
      <c r="B516" s="1">
        <v>45938</v>
      </c>
      <c r="C516" t="s">
        <v>34</v>
      </c>
      <c r="D516">
        <v>8</v>
      </c>
      <c r="E516">
        <v>10</v>
      </c>
      <c r="F516">
        <v>4</v>
      </c>
      <c r="G516">
        <v>2025</v>
      </c>
      <c r="H516" t="s">
        <v>64</v>
      </c>
      <c r="I516" t="s">
        <v>118</v>
      </c>
      <c r="J516" t="s">
        <v>31</v>
      </c>
      <c r="K516">
        <v>36</v>
      </c>
      <c r="L516">
        <v>8</v>
      </c>
      <c r="M516">
        <v>319</v>
      </c>
    </row>
    <row r="517" spans="1:13">
      <c r="A517">
        <v>516</v>
      </c>
      <c r="B517" s="1">
        <v>45938</v>
      </c>
      <c r="C517" t="s">
        <v>34</v>
      </c>
      <c r="D517">
        <v>8</v>
      </c>
      <c r="E517">
        <v>10</v>
      </c>
      <c r="F517">
        <v>4</v>
      </c>
      <c r="G517">
        <v>2025</v>
      </c>
      <c r="H517" t="s">
        <v>64</v>
      </c>
      <c r="I517" t="s">
        <v>409</v>
      </c>
      <c r="J517" t="s">
        <v>39</v>
      </c>
      <c r="K517">
        <v>36</v>
      </c>
      <c r="L517">
        <v>5</v>
      </c>
      <c r="M517">
        <v>214</v>
      </c>
    </row>
    <row r="518" spans="1:13">
      <c r="A518">
        <v>517</v>
      </c>
      <c r="B518" s="1">
        <v>45938</v>
      </c>
      <c r="C518" t="s">
        <v>34</v>
      </c>
      <c r="D518">
        <v>8</v>
      </c>
      <c r="E518">
        <v>10</v>
      </c>
      <c r="F518">
        <v>4</v>
      </c>
      <c r="G518">
        <v>2025</v>
      </c>
      <c r="H518" t="s">
        <v>64</v>
      </c>
      <c r="I518" t="s">
        <v>449</v>
      </c>
      <c r="J518" t="s">
        <v>82</v>
      </c>
      <c r="K518">
        <v>10</v>
      </c>
      <c r="L518">
        <v>20</v>
      </c>
      <c r="M518">
        <v>205</v>
      </c>
    </row>
    <row r="519" spans="1:13">
      <c r="A519">
        <v>518</v>
      </c>
      <c r="B519" s="1">
        <v>45929</v>
      </c>
      <c r="C519" t="s">
        <v>93</v>
      </c>
      <c r="D519">
        <v>29</v>
      </c>
      <c r="E519">
        <v>9</v>
      </c>
      <c r="F519">
        <v>3</v>
      </c>
      <c r="G519">
        <v>2025</v>
      </c>
      <c r="H519" t="s">
        <v>450</v>
      </c>
      <c r="I519" t="s">
        <v>349</v>
      </c>
      <c r="J519" t="s">
        <v>51</v>
      </c>
      <c r="K519">
        <v>46</v>
      </c>
      <c r="L519">
        <v>1</v>
      </c>
      <c r="M519">
        <v>70</v>
      </c>
    </row>
    <row r="520" spans="1:13">
      <c r="A520">
        <v>519</v>
      </c>
      <c r="B520" s="1">
        <v>45916</v>
      </c>
      <c r="C520" t="s">
        <v>48</v>
      </c>
      <c r="D520">
        <v>16</v>
      </c>
      <c r="E520">
        <v>9</v>
      </c>
      <c r="F520">
        <v>3</v>
      </c>
      <c r="G520">
        <v>2025</v>
      </c>
      <c r="H520" t="s">
        <v>451</v>
      </c>
      <c r="I520" t="s">
        <v>139</v>
      </c>
      <c r="J520" t="s">
        <v>122</v>
      </c>
      <c r="K520">
        <v>23</v>
      </c>
      <c r="L520">
        <v>9</v>
      </c>
      <c r="M520">
        <v>225</v>
      </c>
    </row>
    <row r="521" spans="1:13">
      <c r="A521">
        <v>520</v>
      </c>
      <c r="B521" s="1">
        <v>45916</v>
      </c>
      <c r="C521" t="s">
        <v>48</v>
      </c>
      <c r="D521">
        <v>16</v>
      </c>
      <c r="E521">
        <v>9</v>
      </c>
      <c r="F521">
        <v>3</v>
      </c>
      <c r="G521">
        <v>2025</v>
      </c>
      <c r="H521" t="s">
        <v>451</v>
      </c>
      <c r="I521" t="s">
        <v>417</v>
      </c>
      <c r="J521" t="s">
        <v>51</v>
      </c>
      <c r="K521">
        <v>57</v>
      </c>
      <c r="L521">
        <v>5</v>
      </c>
      <c r="M521">
        <v>298</v>
      </c>
    </row>
    <row r="522" spans="1:13">
      <c r="A522">
        <v>521</v>
      </c>
      <c r="B522" s="1">
        <v>45916</v>
      </c>
      <c r="C522" t="s">
        <v>48</v>
      </c>
      <c r="D522">
        <v>16</v>
      </c>
      <c r="E522">
        <v>9</v>
      </c>
      <c r="F522">
        <v>3</v>
      </c>
      <c r="G522">
        <v>2025</v>
      </c>
      <c r="H522" t="s">
        <v>451</v>
      </c>
      <c r="I522" t="s">
        <v>452</v>
      </c>
      <c r="J522" t="s">
        <v>69</v>
      </c>
      <c r="K522">
        <v>33</v>
      </c>
      <c r="L522">
        <v>6</v>
      </c>
      <c r="M522">
        <v>200</v>
      </c>
    </row>
    <row r="523" spans="1:13">
      <c r="A523">
        <v>522</v>
      </c>
      <c r="B523" s="1">
        <v>45916</v>
      </c>
      <c r="C523" t="s">
        <v>48</v>
      </c>
      <c r="D523">
        <v>16</v>
      </c>
      <c r="E523">
        <v>9</v>
      </c>
      <c r="F523">
        <v>3</v>
      </c>
      <c r="G523">
        <v>2025</v>
      </c>
      <c r="H523" t="s">
        <v>451</v>
      </c>
      <c r="I523" t="s">
        <v>453</v>
      </c>
      <c r="J523" t="s">
        <v>55</v>
      </c>
      <c r="K523">
        <v>45</v>
      </c>
      <c r="L523">
        <v>4</v>
      </c>
      <c r="M523">
        <v>196</v>
      </c>
    </row>
    <row r="524" spans="1:13">
      <c r="A524">
        <v>523</v>
      </c>
      <c r="B524" s="1">
        <v>45916</v>
      </c>
      <c r="C524" t="s">
        <v>48</v>
      </c>
      <c r="D524">
        <v>16</v>
      </c>
      <c r="E524">
        <v>9</v>
      </c>
      <c r="F524">
        <v>3</v>
      </c>
      <c r="G524">
        <v>2025</v>
      </c>
      <c r="H524" t="s">
        <v>451</v>
      </c>
      <c r="I524" t="s">
        <v>381</v>
      </c>
      <c r="J524" t="s">
        <v>27</v>
      </c>
      <c r="K524">
        <v>37</v>
      </c>
      <c r="L524">
        <v>5</v>
      </c>
      <c r="M524">
        <v>206</v>
      </c>
    </row>
    <row r="525" spans="1:13">
      <c r="A525">
        <v>524</v>
      </c>
      <c r="B525" s="1">
        <v>45916</v>
      </c>
      <c r="C525" t="s">
        <v>48</v>
      </c>
      <c r="D525">
        <v>16</v>
      </c>
      <c r="E525">
        <v>9</v>
      </c>
      <c r="F525">
        <v>3</v>
      </c>
      <c r="G525">
        <v>2025</v>
      </c>
      <c r="H525" t="s">
        <v>451</v>
      </c>
      <c r="I525" t="s">
        <v>454</v>
      </c>
      <c r="J525" t="s">
        <v>23</v>
      </c>
      <c r="K525">
        <v>52</v>
      </c>
      <c r="L525">
        <v>6</v>
      </c>
      <c r="M525">
        <v>341</v>
      </c>
    </row>
    <row r="526" spans="1:13">
      <c r="A526">
        <v>525</v>
      </c>
      <c r="B526" s="1">
        <v>45916</v>
      </c>
      <c r="C526" t="s">
        <v>48</v>
      </c>
      <c r="D526">
        <v>16</v>
      </c>
      <c r="E526">
        <v>9</v>
      </c>
      <c r="F526">
        <v>3</v>
      </c>
      <c r="G526">
        <v>2025</v>
      </c>
      <c r="H526" t="s">
        <v>451</v>
      </c>
      <c r="I526" t="s">
        <v>26</v>
      </c>
      <c r="J526" t="s">
        <v>27</v>
      </c>
      <c r="K526">
        <v>53</v>
      </c>
      <c r="L526">
        <v>5</v>
      </c>
      <c r="M526">
        <v>303</v>
      </c>
    </row>
    <row r="527" spans="1:13">
      <c r="A527">
        <v>526</v>
      </c>
      <c r="B527" s="1">
        <v>45916</v>
      </c>
      <c r="C527" t="s">
        <v>48</v>
      </c>
      <c r="D527">
        <v>16</v>
      </c>
      <c r="E527">
        <v>9</v>
      </c>
      <c r="F527">
        <v>3</v>
      </c>
      <c r="G527">
        <v>2025</v>
      </c>
      <c r="H527" t="s">
        <v>451</v>
      </c>
      <c r="I527" t="s">
        <v>428</v>
      </c>
      <c r="J527" t="s">
        <v>31</v>
      </c>
      <c r="K527">
        <v>19</v>
      </c>
      <c r="L527">
        <v>21</v>
      </c>
      <c r="M527">
        <v>414</v>
      </c>
    </row>
    <row r="528" spans="1:13">
      <c r="A528">
        <v>527</v>
      </c>
      <c r="B528" s="1">
        <v>45916</v>
      </c>
      <c r="C528" t="s">
        <v>48</v>
      </c>
      <c r="D528">
        <v>16</v>
      </c>
      <c r="E528">
        <v>9</v>
      </c>
      <c r="F528">
        <v>3</v>
      </c>
      <c r="G528">
        <v>2025</v>
      </c>
      <c r="H528" t="s">
        <v>451</v>
      </c>
      <c r="I528" t="s">
        <v>36</v>
      </c>
      <c r="J528" t="s">
        <v>37</v>
      </c>
      <c r="K528">
        <v>55</v>
      </c>
      <c r="L528">
        <v>5</v>
      </c>
      <c r="M528">
        <v>282</v>
      </c>
    </row>
    <row r="529" spans="1:13">
      <c r="A529">
        <v>528</v>
      </c>
      <c r="B529" s="1">
        <v>45916</v>
      </c>
      <c r="C529" t="s">
        <v>48</v>
      </c>
      <c r="D529">
        <v>16</v>
      </c>
      <c r="E529">
        <v>9</v>
      </c>
      <c r="F529">
        <v>3</v>
      </c>
      <c r="G529">
        <v>2025</v>
      </c>
      <c r="H529" t="s">
        <v>451</v>
      </c>
      <c r="I529" t="s">
        <v>176</v>
      </c>
      <c r="J529" t="s">
        <v>21</v>
      </c>
      <c r="K529">
        <v>14</v>
      </c>
      <c r="L529">
        <v>21</v>
      </c>
      <c r="M529">
        <v>299</v>
      </c>
    </row>
    <row r="530" spans="1:13">
      <c r="A530">
        <v>529</v>
      </c>
      <c r="B530" s="1">
        <v>45908</v>
      </c>
      <c r="C530" t="s">
        <v>93</v>
      </c>
      <c r="D530">
        <v>8</v>
      </c>
      <c r="E530">
        <v>9</v>
      </c>
      <c r="F530">
        <v>3</v>
      </c>
      <c r="G530">
        <v>2025</v>
      </c>
      <c r="H530" t="s">
        <v>94</v>
      </c>
      <c r="I530" t="s">
        <v>455</v>
      </c>
      <c r="J530" t="s">
        <v>69</v>
      </c>
      <c r="K530">
        <v>46</v>
      </c>
      <c r="L530">
        <v>3</v>
      </c>
      <c r="M530">
        <v>168</v>
      </c>
    </row>
    <row r="531" spans="1:13">
      <c r="A531">
        <v>530</v>
      </c>
      <c r="B531" s="1">
        <v>45908</v>
      </c>
      <c r="C531" t="s">
        <v>93</v>
      </c>
      <c r="D531">
        <v>8</v>
      </c>
      <c r="E531">
        <v>9</v>
      </c>
      <c r="F531">
        <v>3</v>
      </c>
      <c r="G531">
        <v>2025</v>
      </c>
      <c r="H531" t="s">
        <v>94</v>
      </c>
      <c r="I531" t="s">
        <v>456</v>
      </c>
      <c r="J531" t="s">
        <v>19</v>
      </c>
      <c r="K531">
        <v>16</v>
      </c>
      <c r="L531">
        <v>18</v>
      </c>
      <c r="M531">
        <v>299</v>
      </c>
    </row>
    <row r="532" spans="1:13">
      <c r="A532">
        <v>531</v>
      </c>
      <c r="B532" s="1">
        <v>45908</v>
      </c>
      <c r="C532" t="s">
        <v>93</v>
      </c>
      <c r="D532">
        <v>8</v>
      </c>
      <c r="E532">
        <v>9</v>
      </c>
      <c r="F532">
        <v>3</v>
      </c>
      <c r="G532">
        <v>2025</v>
      </c>
      <c r="H532" t="s">
        <v>94</v>
      </c>
      <c r="I532" t="s">
        <v>457</v>
      </c>
      <c r="J532" t="s">
        <v>25</v>
      </c>
      <c r="K532">
        <v>19</v>
      </c>
      <c r="L532">
        <v>9</v>
      </c>
      <c r="M532">
        <v>185</v>
      </c>
    </row>
    <row r="533" spans="1:13">
      <c r="A533">
        <v>532</v>
      </c>
      <c r="B533" s="1">
        <v>45908</v>
      </c>
      <c r="C533" t="s">
        <v>93</v>
      </c>
      <c r="D533">
        <v>8</v>
      </c>
      <c r="E533">
        <v>9</v>
      </c>
      <c r="F533">
        <v>3</v>
      </c>
      <c r="G533">
        <v>2025</v>
      </c>
      <c r="H533" t="s">
        <v>94</v>
      </c>
      <c r="I533" t="s">
        <v>458</v>
      </c>
      <c r="J533" t="s">
        <v>37</v>
      </c>
      <c r="K533">
        <v>52</v>
      </c>
      <c r="L533">
        <v>1</v>
      </c>
      <c r="M533">
        <v>56</v>
      </c>
    </row>
    <row r="534" spans="1:13">
      <c r="A534">
        <v>533</v>
      </c>
      <c r="B534" s="1">
        <v>45908</v>
      </c>
      <c r="C534" t="s">
        <v>93</v>
      </c>
      <c r="D534">
        <v>8</v>
      </c>
      <c r="E534">
        <v>9</v>
      </c>
      <c r="F534">
        <v>3</v>
      </c>
      <c r="G534">
        <v>2025</v>
      </c>
      <c r="H534" t="s">
        <v>94</v>
      </c>
      <c r="I534" t="s">
        <v>86</v>
      </c>
      <c r="J534" t="s">
        <v>46</v>
      </c>
      <c r="K534">
        <v>58</v>
      </c>
      <c r="L534">
        <v>3</v>
      </c>
      <c r="M534">
        <v>194</v>
      </c>
    </row>
    <row r="535" spans="1:13">
      <c r="A535">
        <v>534</v>
      </c>
      <c r="B535" s="1">
        <v>45908</v>
      </c>
      <c r="C535" t="s">
        <v>93</v>
      </c>
      <c r="D535">
        <v>8</v>
      </c>
      <c r="E535">
        <v>9</v>
      </c>
      <c r="F535">
        <v>3</v>
      </c>
      <c r="G535">
        <v>2025</v>
      </c>
      <c r="H535" t="s">
        <v>94</v>
      </c>
      <c r="I535" t="s">
        <v>459</v>
      </c>
      <c r="J535" t="s">
        <v>43</v>
      </c>
      <c r="K535">
        <v>24</v>
      </c>
      <c r="L535">
        <v>12</v>
      </c>
      <c r="M535">
        <v>289</v>
      </c>
    </row>
    <row r="536" spans="1:13">
      <c r="A536">
        <v>535</v>
      </c>
      <c r="B536" s="1">
        <v>45908</v>
      </c>
      <c r="C536" t="s">
        <v>93</v>
      </c>
      <c r="D536">
        <v>8</v>
      </c>
      <c r="E536">
        <v>9</v>
      </c>
      <c r="F536">
        <v>3</v>
      </c>
      <c r="G536">
        <v>2025</v>
      </c>
      <c r="H536" t="s">
        <v>94</v>
      </c>
      <c r="I536" t="s">
        <v>152</v>
      </c>
      <c r="J536" t="s">
        <v>19</v>
      </c>
      <c r="K536">
        <v>60</v>
      </c>
      <c r="L536">
        <v>5</v>
      </c>
      <c r="M536">
        <v>312</v>
      </c>
    </row>
    <row r="537" spans="1:13">
      <c r="A537">
        <v>536</v>
      </c>
      <c r="B537" s="1">
        <v>45908</v>
      </c>
      <c r="C537" t="s">
        <v>93</v>
      </c>
      <c r="D537">
        <v>8</v>
      </c>
      <c r="E537">
        <v>9</v>
      </c>
      <c r="F537">
        <v>3</v>
      </c>
      <c r="G537">
        <v>2025</v>
      </c>
      <c r="H537" t="s">
        <v>94</v>
      </c>
      <c r="I537" t="s">
        <v>89</v>
      </c>
      <c r="J537" t="s">
        <v>69</v>
      </c>
      <c r="K537">
        <v>52</v>
      </c>
      <c r="L537">
        <v>6</v>
      </c>
      <c r="M537">
        <v>335</v>
      </c>
    </row>
    <row r="538" spans="1:13">
      <c r="A538">
        <v>537</v>
      </c>
      <c r="B538" s="1">
        <v>45908</v>
      </c>
      <c r="C538" t="s">
        <v>93</v>
      </c>
      <c r="D538">
        <v>8</v>
      </c>
      <c r="E538">
        <v>9</v>
      </c>
      <c r="F538">
        <v>3</v>
      </c>
      <c r="G538">
        <v>2025</v>
      </c>
      <c r="H538" t="s">
        <v>94</v>
      </c>
      <c r="I538" t="s">
        <v>460</v>
      </c>
      <c r="J538" t="s">
        <v>69</v>
      </c>
      <c r="K538">
        <v>44</v>
      </c>
      <c r="L538">
        <v>3</v>
      </c>
      <c r="M538">
        <v>133</v>
      </c>
    </row>
    <row r="539" spans="1:13">
      <c r="A539">
        <v>538</v>
      </c>
      <c r="B539" s="1">
        <v>45908</v>
      </c>
      <c r="C539" t="s">
        <v>93</v>
      </c>
      <c r="D539">
        <v>8</v>
      </c>
      <c r="E539">
        <v>9</v>
      </c>
      <c r="F539">
        <v>3</v>
      </c>
      <c r="G539">
        <v>2025</v>
      </c>
      <c r="H539" t="s">
        <v>94</v>
      </c>
      <c r="I539" t="s">
        <v>461</v>
      </c>
      <c r="J539" t="s">
        <v>60</v>
      </c>
      <c r="K539">
        <v>54</v>
      </c>
      <c r="L539">
        <v>6</v>
      </c>
      <c r="M539">
        <v>363</v>
      </c>
    </row>
    <row r="540" spans="1:13">
      <c r="A540">
        <v>539</v>
      </c>
      <c r="B540" s="1">
        <v>45908</v>
      </c>
      <c r="C540" t="s">
        <v>93</v>
      </c>
      <c r="D540">
        <v>8</v>
      </c>
      <c r="E540">
        <v>9</v>
      </c>
      <c r="F540">
        <v>3</v>
      </c>
      <c r="G540">
        <v>2025</v>
      </c>
      <c r="H540" t="s">
        <v>94</v>
      </c>
      <c r="I540" t="s">
        <v>462</v>
      </c>
      <c r="J540" t="s">
        <v>100</v>
      </c>
      <c r="K540">
        <v>59</v>
      </c>
      <c r="L540">
        <v>3</v>
      </c>
      <c r="M540">
        <v>204</v>
      </c>
    </row>
    <row r="541" spans="1:13">
      <c r="A541">
        <v>540</v>
      </c>
      <c r="B541" s="1">
        <v>45908</v>
      </c>
      <c r="C541" t="s">
        <v>93</v>
      </c>
      <c r="D541">
        <v>8</v>
      </c>
      <c r="E541">
        <v>9</v>
      </c>
      <c r="F541">
        <v>3</v>
      </c>
      <c r="G541">
        <v>2025</v>
      </c>
      <c r="H541" t="s">
        <v>94</v>
      </c>
      <c r="I541" t="s">
        <v>463</v>
      </c>
      <c r="J541" t="s">
        <v>43</v>
      </c>
      <c r="K541">
        <v>51</v>
      </c>
      <c r="L541">
        <v>6</v>
      </c>
      <c r="M541">
        <v>312</v>
      </c>
    </row>
    <row r="542" spans="1:13">
      <c r="A542">
        <v>541</v>
      </c>
      <c r="B542" s="1">
        <v>45628</v>
      </c>
      <c r="C542" t="s">
        <v>93</v>
      </c>
      <c r="D542">
        <v>2</v>
      </c>
      <c r="E542">
        <v>12</v>
      </c>
      <c r="F542">
        <v>4</v>
      </c>
      <c r="G542">
        <v>2024</v>
      </c>
      <c r="H542" t="s">
        <v>464</v>
      </c>
      <c r="I542" t="s">
        <v>465</v>
      </c>
      <c r="J542" t="s">
        <v>31</v>
      </c>
      <c r="K542">
        <v>52</v>
      </c>
      <c r="L542">
        <v>1</v>
      </c>
      <c r="M542">
        <v>58</v>
      </c>
    </row>
    <row r="543" spans="1:13">
      <c r="A543">
        <v>542</v>
      </c>
      <c r="B543" s="1">
        <v>45628</v>
      </c>
      <c r="C543" t="s">
        <v>93</v>
      </c>
      <c r="D543">
        <v>2</v>
      </c>
      <c r="E543">
        <v>12</v>
      </c>
      <c r="F543">
        <v>4</v>
      </c>
      <c r="G543">
        <v>2024</v>
      </c>
      <c r="H543" t="s">
        <v>464</v>
      </c>
      <c r="I543" t="s">
        <v>363</v>
      </c>
      <c r="J543" t="s">
        <v>100</v>
      </c>
      <c r="K543">
        <v>35</v>
      </c>
      <c r="L543">
        <v>6</v>
      </c>
      <c r="M543">
        <v>236</v>
      </c>
    </row>
    <row r="544" spans="1:13">
      <c r="A544">
        <v>543</v>
      </c>
      <c r="B544" s="1">
        <v>45628</v>
      </c>
      <c r="C544" t="s">
        <v>93</v>
      </c>
      <c r="D544">
        <v>2</v>
      </c>
      <c r="E544">
        <v>12</v>
      </c>
      <c r="F544">
        <v>4</v>
      </c>
      <c r="G544">
        <v>2024</v>
      </c>
      <c r="H544" t="s">
        <v>464</v>
      </c>
      <c r="I544" t="s">
        <v>225</v>
      </c>
      <c r="J544" t="s">
        <v>21</v>
      </c>
      <c r="K544">
        <v>33</v>
      </c>
      <c r="L544">
        <v>9</v>
      </c>
      <c r="M544">
        <v>327</v>
      </c>
    </row>
    <row r="545" spans="1:13">
      <c r="A545">
        <v>544</v>
      </c>
      <c r="B545" s="1">
        <v>45628</v>
      </c>
      <c r="C545" t="s">
        <v>93</v>
      </c>
      <c r="D545">
        <v>2</v>
      </c>
      <c r="E545">
        <v>12</v>
      </c>
      <c r="F545">
        <v>4</v>
      </c>
      <c r="G545">
        <v>2024</v>
      </c>
      <c r="H545" t="s">
        <v>464</v>
      </c>
      <c r="I545" t="s">
        <v>266</v>
      </c>
      <c r="J545" t="s">
        <v>19</v>
      </c>
      <c r="K545">
        <v>58</v>
      </c>
      <c r="L545">
        <v>3</v>
      </c>
      <c r="M545">
        <v>216</v>
      </c>
    </row>
    <row r="546" spans="1:13">
      <c r="A546">
        <v>545</v>
      </c>
      <c r="B546" s="1">
        <v>45628</v>
      </c>
      <c r="C546" t="s">
        <v>93</v>
      </c>
      <c r="D546">
        <v>2</v>
      </c>
      <c r="E546">
        <v>12</v>
      </c>
      <c r="F546">
        <v>4</v>
      </c>
      <c r="G546">
        <v>2024</v>
      </c>
      <c r="H546" t="s">
        <v>464</v>
      </c>
      <c r="I546" t="s">
        <v>456</v>
      </c>
      <c r="J546" t="s">
        <v>19</v>
      </c>
      <c r="K546">
        <v>37</v>
      </c>
      <c r="L546">
        <v>7</v>
      </c>
      <c r="M546">
        <v>259</v>
      </c>
    </row>
    <row r="547" spans="1:13">
      <c r="A547">
        <v>546</v>
      </c>
      <c r="B547" s="1">
        <v>45628</v>
      </c>
      <c r="C547" t="s">
        <v>93</v>
      </c>
      <c r="D547">
        <v>2</v>
      </c>
      <c r="E547">
        <v>12</v>
      </c>
      <c r="F547">
        <v>4</v>
      </c>
      <c r="G547">
        <v>2024</v>
      </c>
      <c r="H547" t="s">
        <v>464</v>
      </c>
      <c r="I547" t="s">
        <v>104</v>
      </c>
      <c r="J547" t="s">
        <v>51</v>
      </c>
      <c r="K547">
        <v>49</v>
      </c>
      <c r="L547">
        <v>10</v>
      </c>
      <c r="M547">
        <v>505</v>
      </c>
    </row>
    <row r="548" spans="1:13">
      <c r="A548">
        <v>547</v>
      </c>
      <c r="B548" s="1">
        <v>45628</v>
      </c>
      <c r="C548" t="s">
        <v>93</v>
      </c>
      <c r="D548">
        <v>2</v>
      </c>
      <c r="E548">
        <v>12</v>
      </c>
      <c r="F548">
        <v>4</v>
      </c>
      <c r="G548">
        <v>2024</v>
      </c>
      <c r="H548" t="s">
        <v>464</v>
      </c>
      <c r="I548" t="s">
        <v>269</v>
      </c>
      <c r="J548" t="s">
        <v>60</v>
      </c>
      <c r="K548">
        <v>16</v>
      </c>
      <c r="L548">
        <v>10</v>
      </c>
      <c r="M548">
        <v>172</v>
      </c>
    </row>
    <row r="549" spans="1:13">
      <c r="A549">
        <v>548</v>
      </c>
      <c r="B549" s="1">
        <v>45628</v>
      </c>
      <c r="C549" t="s">
        <v>93</v>
      </c>
      <c r="D549">
        <v>2</v>
      </c>
      <c r="E549">
        <v>12</v>
      </c>
      <c r="F549">
        <v>4</v>
      </c>
      <c r="G549">
        <v>2024</v>
      </c>
      <c r="H549" t="s">
        <v>464</v>
      </c>
      <c r="I549" t="s">
        <v>336</v>
      </c>
      <c r="J549" t="s">
        <v>82</v>
      </c>
      <c r="K549">
        <v>20</v>
      </c>
      <c r="L549">
        <v>15</v>
      </c>
      <c r="M549">
        <v>308</v>
      </c>
    </row>
    <row r="550" spans="1:13">
      <c r="A550">
        <v>549</v>
      </c>
      <c r="B550" s="1">
        <v>45628</v>
      </c>
      <c r="C550" t="s">
        <v>93</v>
      </c>
      <c r="D550">
        <v>2</v>
      </c>
      <c r="E550">
        <v>12</v>
      </c>
      <c r="F550">
        <v>4</v>
      </c>
      <c r="G550">
        <v>2024</v>
      </c>
      <c r="H550" t="s">
        <v>464</v>
      </c>
      <c r="I550" t="s">
        <v>466</v>
      </c>
      <c r="J550" t="s">
        <v>46</v>
      </c>
      <c r="K550">
        <v>45</v>
      </c>
      <c r="L550">
        <v>8</v>
      </c>
      <c r="M550">
        <v>374</v>
      </c>
    </row>
    <row r="551" spans="1:13">
      <c r="A551">
        <v>550</v>
      </c>
      <c r="B551" s="1">
        <v>45628</v>
      </c>
      <c r="C551" t="s">
        <v>93</v>
      </c>
      <c r="D551">
        <v>2</v>
      </c>
      <c r="E551">
        <v>12</v>
      </c>
      <c r="F551">
        <v>4</v>
      </c>
      <c r="G551">
        <v>2024</v>
      </c>
      <c r="H551" t="s">
        <v>464</v>
      </c>
      <c r="I551" t="s">
        <v>467</v>
      </c>
      <c r="J551" t="s">
        <v>19</v>
      </c>
      <c r="K551">
        <v>55</v>
      </c>
      <c r="L551">
        <v>1</v>
      </c>
      <c r="M551">
        <v>96</v>
      </c>
    </row>
    <row r="552" spans="1:13">
      <c r="A552">
        <v>551</v>
      </c>
      <c r="B552" s="1">
        <v>46223</v>
      </c>
      <c r="C552" t="s">
        <v>93</v>
      </c>
      <c r="D552">
        <v>20</v>
      </c>
      <c r="E552">
        <v>7</v>
      </c>
      <c r="F552">
        <v>3</v>
      </c>
      <c r="G552">
        <v>2026</v>
      </c>
      <c r="H552" t="s">
        <v>136</v>
      </c>
      <c r="I552" t="s">
        <v>198</v>
      </c>
      <c r="J552" t="s">
        <v>43</v>
      </c>
      <c r="K552">
        <v>20</v>
      </c>
      <c r="L552">
        <v>8</v>
      </c>
      <c r="M552">
        <v>168</v>
      </c>
    </row>
    <row r="553" spans="1:13">
      <c r="A553">
        <v>552</v>
      </c>
      <c r="B553" s="1">
        <v>46223</v>
      </c>
      <c r="C553" t="s">
        <v>93</v>
      </c>
      <c r="D553">
        <v>20</v>
      </c>
      <c r="E553">
        <v>7</v>
      </c>
      <c r="F553">
        <v>3</v>
      </c>
      <c r="G553">
        <v>2026</v>
      </c>
      <c r="H553" t="s">
        <v>136</v>
      </c>
      <c r="I553" t="s">
        <v>36</v>
      </c>
      <c r="J553" t="s">
        <v>37</v>
      </c>
      <c r="K553">
        <v>26</v>
      </c>
      <c r="L553">
        <v>10</v>
      </c>
      <c r="M553">
        <v>267</v>
      </c>
    </row>
    <row r="554" spans="1:13">
      <c r="A554">
        <v>553</v>
      </c>
      <c r="B554" s="1">
        <v>46017</v>
      </c>
      <c r="C554" t="s">
        <v>79</v>
      </c>
      <c r="D554">
        <v>26</v>
      </c>
      <c r="E554">
        <v>12</v>
      </c>
      <c r="F554">
        <v>4</v>
      </c>
      <c r="G554">
        <v>2025</v>
      </c>
      <c r="H554" t="s">
        <v>101</v>
      </c>
      <c r="I554" t="s">
        <v>468</v>
      </c>
      <c r="J554" t="s">
        <v>25</v>
      </c>
      <c r="K554">
        <v>11</v>
      </c>
      <c r="L554">
        <v>24</v>
      </c>
      <c r="M554">
        <v>267</v>
      </c>
    </row>
    <row r="555" spans="1:13">
      <c r="A555">
        <v>554</v>
      </c>
      <c r="B555" s="1">
        <v>45769</v>
      </c>
      <c r="C555" t="s">
        <v>48</v>
      </c>
      <c r="D555">
        <v>22</v>
      </c>
      <c r="E555">
        <v>4</v>
      </c>
      <c r="F555">
        <v>2</v>
      </c>
      <c r="G555">
        <v>2025</v>
      </c>
      <c r="H555" t="s">
        <v>111</v>
      </c>
      <c r="I555" t="s">
        <v>469</v>
      </c>
      <c r="J555" t="s">
        <v>46</v>
      </c>
      <c r="K555">
        <v>19</v>
      </c>
      <c r="L555">
        <v>11</v>
      </c>
      <c r="M555">
        <v>214</v>
      </c>
    </row>
    <row r="556" spans="1:13">
      <c r="A556">
        <v>555</v>
      </c>
      <c r="B556" s="1">
        <v>45769</v>
      </c>
      <c r="C556" t="s">
        <v>48</v>
      </c>
      <c r="D556">
        <v>22</v>
      </c>
      <c r="E556">
        <v>4</v>
      </c>
      <c r="F556">
        <v>2</v>
      </c>
      <c r="G556">
        <v>2025</v>
      </c>
      <c r="H556" t="s">
        <v>111</v>
      </c>
      <c r="I556" t="s">
        <v>156</v>
      </c>
      <c r="J556" t="s">
        <v>57</v>
      </c>
      <c r="K556">
        <v>16</v>
      </c>
      <c r="L556">
        <v>12</v>
      </c>
      <c r="M556">
        <v>200</v>
      </c>
    </row>
    <row r="557" spans="1:13">
      <c r="A557">
        <v>556</v>
      </c>
      <c r="B557" s="1">
        <v>45769</v>
      </c>
      <c r="C557" t="s">
        <v>48</v>
      </c>
      <c r="D557">
        <v>22</v>
      </c>
      <c r="E557">
        <v>4</v>
      </c>
      <c r="F557">
        <v>2</v>
      </c>
      <c r="G557">
        <v>2025</v>
      </c>
      <c r="H557" t="s">
        <v>111</v>
      </c>
      <c r="I557" t="s">
        <v>382</v>
      </c>
      <c r="J557" t="s">
        <v>122</v>
      </c>
      <c r="K557">
        <v>49</v>
      </c>
      <c r="L557">
        <v>3</v>
      </c>
      <c r="M557">
        <v>185</v>
      </c>
    </row>
    <row r="558" spans="1:13">
      <c r="A558">
        <v>557</v>
      </c>
      <c r="B558" s="1">
        <v>45769</v>
      </c>
      <c r="C558" t="s">
        <v>48</v>
      </c>
      <c r="D558">
        <v>22</v>
      </c>
      <c r="E558">
        <v>4</v>
      </c>
      <c r="F558">
        <v>2</v>
      </c>
      <c r="G558">
        <v>2025</v>
      </c>
      <c r="H558" t="s">
        <v>111</v>
      </c>
      <c r="I558" t="s">
        <v>300</v>
      </c>
      <c r="J558" t="s">
        <v>55</v>
      </c>
      <c r="K558">
        <v>36</v>
      </c>
      <c r="L558">
        <v>9</v>
      </c>
      <c r="M558">
        <v>349</v>
      </c>
    </row>
    <row r="559" spans="1:13">
      <c r="A559">
        <v>558</v>
      </c>
      <c r="B559" s="1">
        <v>45769</v>
      </c>
      <c r="C559" t="s">
        <v>48</v>
      </c>
      <c r="D559">
        <v>22</v>
      </c>
      <c r="E559">
        <v>4</v>
      </c>
      <c r="F559">
        <v>2</v>
      </c>
      <c r="G559">
        <v>2025</v>
      </c>
      <c r="H559" t="s">
        <v>111</v>
      </c>
      <c r="I559" t="s">
        <v>194</v>
      </c>
      <c r="J559" t="s">
        <v>39</v>
      </c>
      <c r="K559">
        <v>21</v>
      </c>
      <c r="L559">
        <v>13</v>
      </c>
      <c r="M559">
        <v>284</v>
      </c>
    </row>
    <row r="560" spans="1:13">
      <c r="A560">
        <v>559</v>
      </c>
      <c r="B560" s="1">
        <v>45769</v>
      </c>
      <c r="C560" t="s">
        <v>48</v>
      </c>
      <c r="D560">
        <v>22</v>
      </c>
      <c r="E560">
        <v>4</v>
      </c>
      <c r="F560">
        <v>2</v>
      </c>
      <c r="G560">
        <v>2025</v>
      </c>
      <c r="H560" t="s">
        <v>111</v>
      </c>
      <c r="I560" t="s">
        <v>470</v>
      </c>
      <c r="J560" t="s">
        <v>39</v>
      </c>
      <c r="K560">
        <v>14</v>
      </c>
      <c r="L560">
        <v>13</v>
      </c>
      <c r="M560">
        <v>192</v>
      </c>
    </row>
    <row r="561" spans="1:13">
      <c r="A561">
        <v>560</v>
      </c>
      <c r="B561" s="1">
        <v>45769</v>
      </c>
      <c r="C561" t="s">
        <v>48</v>
      </c>
      <c r="D561">
        <v>22</v>
      </c>
      <c r="E561">
        <v>4</v>
      </c>
      <c r="F561">
        <v>2</v>
      </c>
      <c r="G561">
        <v>2025</v>
      </c>
      <c r="H561" t="s">
        <v>111</v>
      </c>
      <c r="I561" t="s">
        <v>446</v>
      </c>
      <c r="J561" t="s">
        <v>57</v>
      </c>
      <c r="K561">
        <v>36</v>
      </c>
      <c r="L561">
        <v>9</v>
      </c>
      <c r="M561">
        <v>326</v>
      </c>
    </row>
    <row r="562" spans="1:13">
      <c r="A562">
        <v>561</v>
      </c>
      <c r="B562" s="1">
        <v>45769</v>
      </c>
      <c r="C562" t="s">
        <v>48</v>
      </c>
      <c r="D562">
        <v>22</v>
      </c>
      <c r="E562">
        <v>4</v>
      </c>
      <c r="F562">
        <v>2</v>
      </c>
      <c r="G562">
        <v>2025</v>
      </c>
      <c r="H562" t="s">
        <v>111</v>
      </c>
      <c r="I562" t="s">
        <v>471</v>
      </c>
      <c r="J562" t="s">
        <v>19</v>
      </c>
      <c r="K562">
        <v>40</v>
      </c>
      <c r="L562">
        <v>9</v>
      </c>
      <c r="M562">
        <v>390</v>
      </c>
    </row>
    <row r="563" spans="1:13">
      <c r="A563">
        <v>562</v>
      </c>
      <c r="B563" s="1">
        <v>45769</v>
      </c>
      <c r="C563" t="s">
        <v>48</v>
      </c>
      <c r="D563">
        <v>22</v>
      </c>
      <c r="E563">
        <v>4</v>
      </c>
      <c r="F563">
        <v>2</v>
      </c>
      <c r="G563">
        <v>2025</v>
      </c>
      <c r="H563" t="s">
        <v>111</v>
      </c>
      <c r="I563" t="s">
        <v>186</v>
      </c>
      <c r="J563" t="s">
        <v>37</v>
      </c>
      <c r="K563">
        <v>31</v>
      </c>
      <c r="L563">
        <v>5</v>
      </c>
      <c r="M563">
        <v>177</v>
      </c>
    </row>
    <row r="564" spans="1:13">
      <c r="A564">
        <v>563</v>
      </c>
      <c r="B564" s="1">
        <v>45769</v>
      </c>
      <c r="C564" t="s">
        <v>48</v>
      </c>
      <c r="D564">
        <v>22</v>
      </c>
      <c r="E564">
        <v>4</v>
      </c>
      <c r="F564">
        <v>2</v>
      </c>
      <c r="G564">
        <v>2025</v>
      </c>
      <c r="H564" t="s">
        <v>111</v>
      </c>
      <c r="I564" t="s">
        <v>472</v>
      </c>
      <c r="J564" t="s">
        <v>122</v>
      </c>
      <c r="K564">
        <v>37</v>
      </c>
      <c r="L564">
        <v>1</v>
      </c>
      <c r="M564">
        <v>65</v>
      </c>
    </row>
    <row r="565" spans="1:13">
      <c r="A565">
        <v>564</v>
      </c>
      <c r="B565" s="1">
        <v>45769</v>
      </c>
      <c r="C565" t="s">
        <v>48</v>
      </c>
      <c r="D565">
        <v>22</v>
      </c>
      <c r="E565">
        <v>4</v>
      </c>
      <c r="F565">
        <v>2</v>
      </c>
      <c r="G565">
        <v>2025</v>
      </c>
      <c r="H565" t="s">
        <v>111</v>
      </c>
      <c r="I565" t="s">
        <v>473</v>
      </c>
      <c r="J565" t="s">
        <v>23</v>
      </c>
      <c r="K565">
        <v>44</v>
      </c>
      <c r="L565">
        <v>7</v>
      </c>
      <c r="M565">
        <v>336</v>
      </c>
    </row>
    <row r="566" spans="1:13">
      <c r="A566">
        <v>565</v>
      </c>
      <c r="B566" s="1">
        <v>46037</v>
      </c>
      <c r="C566" t="s">
        <v>105</v>
      </c>
      <c r="D566">
        <v>15</v>
      </c>
      <c r="E566">
        <v>1</v>
      </c>
      <c r="F566">
        <v>1</v>
      </c>
      <c r="G566">
        <v>2026</v>
      </c>
      <c r="H566" t="s">
        <v>474</v>
      </c>
      <c r="I566" t="s">
        <v>475</v>
      </c>
      <c r="J566" t="s">
        <v>27</v>
      </c>
      <c r="K566">
        <v>39</v>
      </c>
      <c r="L566">
        <v>8</v>
      </c>
      <c r="M566">
        <v>327</v>
      </c>
    </row>
    <row r="567" spans="1:13">
      <c r="A567">
        <v>566</v>
      </c>
      <c r="B567" s="1">
        <v>46037</v>
      </c>
      <c r="C567" t="s">
        <v>105</v>
      </c>
      <c r="D567">
        <v>15</v>
      </c>
      <c r="E567">
        <v>1</v>
      </c>
      <c r="F567">
        <v>1</v>
      </c>
      <c r="G567">
        <v>2026</v>
      </c>
      <c r="H567" t="s">
        <v>474</v>
      </c>
      <c r="I567" t="s">
        <v>476</v>
      </c>
      <c r="J567" t="s">
        <v>31</v>
      </c>
      <c r="K567">
        <v>50</v>
      </c>
      <c r="L567">
        <v>5</v>
      </c>
      <c r="M567">
        <v>284</v>
      </c>
    </row>
    <row r="568" spans="1:13">
      <c r="A568">
        <v>567</v>
      </c>
      <c r="B568" s="1">
        <v>46037</v>
      </c>
      <c r="C568" t="s">
        <v>105</v>
      </c>
      <c r="D568">
        <v>15</v>
      </c>
      <c r="E568">
        <v>1</v>
      </c>
      <c r="F568">
        <v>1</v>
      </c>
      <c r="G568">
        <v>2026</v>
      </c>
      <c r="H568" t="s">
        <v>474</v>
      </c>
      <c r="I568" t="s">
        <v>394</v>
      </c>
      <c r="J568" t="s">
        <v>122</v>
      </c>
      <c r="K568">
        <v>46</v>
      </c>
      <c r="L568">
        <v>1</v>
      </c>
      <c r="M568">
        <v>55</v>
      </c>
    </row>
    <row r="569" spans="1:13">
      <c r="A569">
        <v>568</v>
      </c>
      <c r="B569" s="1">
        <v>46037</v>
      </c>
      <c r="C569" t="s">
        <v>105</v>
      </c>
      <c r="D569">
        <v>15</v>
      </c>
      <c r="E569">
        <v>1</v>
      </c>
      <c r="F569">
        <v>1</v>
      </c>
      <c r="G569">
        <v>2026</v>
      </c>
      <c r="H569" t="s">
        <v>474</v>
      </c>
      <c r="I569" t="s">
        <v>477</v>
      </c>
      <c r="J569" t="s">
        <v>39</v>
      </c>
      <c r="K569">
        <v>16</v>
      </c>
      <c r="L569">
        <v>14</v>
      </c>
      <c r="M569">
        <v>232</v>
      </c>
    </row>
    <row r="570" spans="1:13">
      <c r="A570">
        <v>569</v>
      </c>
      <c r="B570" s="1">
        <v>46037</v>
      </c>
      <c r="C570" t="s">
        <v>105</v>
      </c>
      <c r="D570">
        <v>15</v>
      </c>
      <c r="E570">
        <v>1</v>
      </c>
      <c r="F570">
        <v>1</v>
      </c>
      <c r="G570">
        <v>2026</v>
      </c>
      <c r="H570" t="s">
        <v>474</v>
      </c>
      <c r="I570" t="s">
        <v>473</v>
      </c>
      <c r="J570" t="s">
        <v>23</v>
      </c>
      <c r="K570">
        <v>18</v>
      </c>
      <c r="L570">
        <v>20</v>
      </c>
      <c r="M570">
        <v>360</v>
      </c>
    </row>
    <row r="571" spans="1:13">
      <c r="A571">
        <v>570</v>
      </c>
      <c r="B571" s="1">
        <v>46037</v>
      </c>
      <c r="C571" t="s">
        <v>105</v>
      </c>
      <c r="D571">
        <v>15</v>
      </c>
      <c r="E571">
        <v>1</v>
      </c>
      <c r="F571">
        <v>1</v>
      </c>
      <c r="G571">
        <v>2026</v>
      </c>
      <c r="H571" t="s">
        <v>474</v>
      </c>
      <c r="I571" t="s">
        <v>326</v>
      </c>
      <c r="J571" t="s">
        <v>97</v>
      </c>
      <c r="K571">
        <v>35</v>
      </c>
      <c r="L571">
        <v>7</v>
      </c>
      <c r="M571">
        <v>249</v>
      </c>
    </row>
    <row r="572" spans="1:13">
      <c r="A572">
        <v>571</v>
      </c>
      <c r="B572" s="1">
        <v>45602</v>
      </c>
      <c r="C572" t="s">
        <v>34</v>
      </c>
      <c r="D572">
        <v>6</v>
      </c>
      <c r="E572">
        <v>11</v>
      </c>
      <c r="F572">
        <v>4</v>
      </c>
      <c r="G572">
        <v>2024</v>
      </c>
      <c r="H572" t="s">
        <v>478</v>
      </c>
      <c r="I572" t="s">
        <v>213</v>
      </c>
      <c r="J572" t="s">
        <v>69</v>
      </c>
      <c r="K572">
        <v>55</v>
      </c>
      <c r="L572">
        <v>5</v>
      </c>
      <c r="M572">
        <v>302</v>
      </c>
    </row>
    <row r="573" spans="1:13">
      <c r="A573">
        <v>572</v>
      </c>
      <c r="B573" s="1">
        <v>45602</v>
      </c>
      <c r="C573" t="s">
        <v>34</v>
      </c>
      <c r="D573">
        <v>6</v>
      </c>
      <c r="E573">
        <v>11</v>
      </c>
      <c r="F573">
        <v>4</v>
      </c>
      <c r="G573">
        <v>2024</v>
      </c>
      <c r="H573" t="s">
        <v>478</v>
      </c>
      <c r="I573" t="s">
        <v>149</v>
      </c>
      <c r="J573" t="s">
        <v>100</v>
      </c>
      <c r="K573">
        <v>31</v>
      </c>
      <c r="L573">
        <v>9</v>
      </c>
      <c r="M573">
        <v>279</v>
      </c>
    </row>
    <row r="574" spans="1:13">
      <c r="A574">
        <v>573</v>
      </c>
      <c r="B574" s="1">
        <v>45602</v>
      </c>
      <c r="C574" t="s">
        <v>34</v>
      </c>
      <c r="D574">
        <v>6</v>
      </c>
      <c r="E574">
        <v>11</v>
      </c>
      <c r="F574">
        <v>4</v>
      </c>
      <c r="G574">
        <v>2024</v>
      </c>
      <c r="H574" t="s">
        <v>478</v>
      </c>
      <c r="I574" t="s">
        <v>412</v>
      </c>
      <c r="J574" t="s">
        <v>27</v>
      </c>
      <c r="K574">
        <v>21</v>
      </c>
      <c r="L574">
        <v>8</v>
      </c>
      <c r="M574">
        <v>171</v>
      </c>
    </row>
    <row r="575" spans="1:13">
      <c r="A575">
        <v>574</v>
      </c>
      <c r="B575" s="1">
        <v>45602</v>
      </c>
      <c r="C575" t="s">
        <v>34</v>
      </c>
      <c r="D575">
        <v>6</v>
      </c>
      <c r="E575">
        <v>11</v>
      </c>
      <c r="F575">
        <v>4</v>
      </c>
      <c r="G575">
        <v>2024</v>
      </c>
      <c r="H575" t="s">
        <v>478</v>
      </c>
      <c r="I575" t="s">
        <v>479</v>
      </c>
      <c r="J575" t="s">
        <v>17</v>
      </c>
      <c r="K575">
        <v>12</v>
      </c>
      <c r="L575">
        <v>24</v>
      </c>
      <c r="M575">
        <v>299</v>
      </c>
    </row>
    <row r="576" spans="1:13">
      <c r="A576">
        <v>575</v>
      </c>
      <c r="B576" s="1">
        <v>45602</v>
      </c>
      <c r="C576" t="s">
        <v>34</v>
      </c>
      <c r="D576">
        <v>6</v>
      </c>
      <c r="E576">
        <v>11</v>
      </c>
      <c r="F576">
        <v>4</v>
      </c>
      <c r="G576">
        <v>2024</v>
      </c>
      <c r="H576" t="s">
        <v>478</v>
      </c>
      <c r="I576" t="s">
        <v>446</v>
      </c>
      <c r="J576" t="s">
        <v>57</v>
      </c>
      <c r="K576">
        <v>17</v>
      </c>
      <c r="L576">
        <v>18</v>
      </c>
      <c r="M576">
        <v>309</v>
      </c>
    </row>
    <row r="577" spans="1:13">
      <c r="A577">
        <v>576</v>
      </c>
      <c r="B577" s="1">
        <v>45602</v>
      </c>
      <c r="C577" t="s">
        <v>34</v>
      </c>
      <c r="D577">
        <v>6</v>
      </c>
      <c r="E577">
        <v>11</v>
      </c>
      <c r="F577">
        <v>4</v>
      </c>
      <c r="G577">
        <v>2024</v>
      </c>
      <c r="H577" t="s">
        <v>478</v>
      </c>
      <c r="I577" t="s">
        <v>340</v>
      </c>
      <c r="J577" t="s">
        <v>43</v>
      </c>
      <c r="K577">
        <v>49</v>
      </c>
      <c r="L577">
        <v>5</v>
      </c>
      <c r="M577">
        <v>278</v>
      </c>
    </row>
    <row r="578" spans="1:13">
      <c r="A578">
        <v>577</v>
      </c>
      <c r="B578" s="1">
        <v>45602</v>
      </c>
      <c r="C578" t="s">
        <v>34</v>
      </c>
      <c r="D578">
        <v>6</v>
      </c>
      <c r="E578">
        <v>11</v>
      </c>
      <c r="F578">
        <v>4</v>
      </c>
      <c r="G578">
        <v>2024</v>
      </c>
      <c r="H578" t="s">
        <v>478</v>
      </c>
      <c r="I578" t="s">
        <v>480</v>
      </c>
      <c r="J578" t="s">
        <v>57</v>
      </c>
      <c r="K578">
        <v>19</v>
      </c>
      <c r="L578">
        <v>8</v>
      </c>
      <c r="M578">
        <v>170</v>
      </c>
    </row>
    <row r="579" spans="1:13">
      <c r="A579">
        <v>578</v>
      </c>
      <c r="B579" s="1">
        <v>45602</v>
      </c>
      <c r="C579" t="s">
        <v>34</v>
      </c>
      <c r="D579">
        <v>6</v>
      </c>
      <c r="E579">
        <v>11</v>
      </c>
      <c r="F579">
        <v>4</v>
      </c>
      <c r="G579">
        <v>2024</v>
      </c>
      <c r="H579" t="s">
        <v>478</v>
      </c>
      <c r="I579" t="s">
        <v>481</v>
      </c>
      <c r="J579" t="s">
        <v>69</v>
      </c>
      <c r="K579">
        <v>51</v>
      </c>
      <c r="L579">
        <v>4</v>
      </c>
      <c r="M579">
        <v>206</v>
      </c>
    </row>
    <row r="580" spans="1:13">
      <c r="A580">
        <v>579</v>
      </c>
      <c r="B580" s="1">
        <v>45602</v>
      </c>
      <c r="C580" t="s">
        <v>34</v>
      </c>
      <c r="D580">
        <v>6</v>
      </c>
      <c r="E580">
        <v>11</v>
      </c>
      <c r="F580">
        <v>4</v>
      </c>
      <c r="G580">
        <v>2024</v>
      </c>
      <c r="H580" t="s">
        <v>478</v>
      </c>
      <c r="I580" t="s">
        <v>482</v>
      </c>
      <c r="J580" t="s">
        <v>82</v>
      </c>
      <c r="K580">
        <v>38</v>
      </c>
      <c r="L580">
        <v>8</v>
      </c>
      <c r="M580">
        <v>309</v>
      </c>
    </row>
    <row r="581" spans="1:13">
      <c r="A581">
        <v>580</v>
      </c>
      <c r="B581" s="1">
        <v>45602</v>
      </c>
      <c r="C581" t="s">
        <v>34</v>
      </c>
      <c r="D581">
        <v>6</v>
      </c>
      <c r="E581">
        <v>11</v>
      </c>
      <c r="F581">
        <v>4</v>
      </c>
      <c r="G581">
        <v>2024</v>
      </c>
      <c r="H581" t="s">
        <v>478</v>
      </c>
      <c r="I581" t="s">
        <v>483</v>
      </c>
      <c r="J581" t="s">
        <v>100</v>
      </c>
      <c r="K581">
        <v>40</v>
      </c>
      <c r="L581">
        <v>11</v>
      </c>
      <c r="M581">
        <v>447</v>
      </c>
    </row>
    <row r="582" spans="1:13">
      <c r="A582">
        <v>581</v>
      </c>
      <c r="B582" s="1">
        <v>45602</v>
      </c>
      <c r="C582" t="s">
        <v>34</v>
      </c>
      <c r="D582">
        <v>6</v>
      </c>
      <c r="E582">
        <v>11</v>
      </c>
      <c r="F582">
        <v>4</v>
      </c>
      <c r="G582">
        <v>2024</v>
      </c>
      <c r="H582" t="s">
        <v>478</v>
      </c>
      <c r="I582" t="s">
        <v>484</v>
      </c>
      <c r="J582" t="s">
        <v>25</v>
      </c>
      <c r="K582">
        <v>37</v>
      </c>
      <c r="L582">
        <v>3</v>
      </c>
      <c r="M582">
        <v>116</v>
      </c>
    </row>
    <row r="583" spans="1:13">
      <c r="A583">
        <v>582</v>
      </c>
      <c r="B583" s="1">
        <v>45807</v>
      </c>
      <c r="C583" t="s">
        <v>79</v>
      </c>
      <c r="D583">
        <v>30</v>
      </c>
      <c r="E583">
        <v>5</v>
      </c>
      <c r="F583">
        <v>2</v>
      </c>
      <c r="G583">
        <v>2025</v>
      </c>
      <c r="H583" t="s">
        <v>485</v>
      </c>
      <c r="I583" t="s">
        <v>486</v>
      </c>
      <c r="J583" t="s">
        <v>100</v>
      </c>
      <c r="K583">
        <v>46</v>
      </c>
      <c r="L583">
        <v>6</v>
      </c>
      <c r="M583">
        <v>320</v>
      </c>
    </row>
    <row r="584" spans="1:13">
      <c r="A584">
        <v>583</v>
      </c>
      <c r="B584" s="1">
        <v>46060</v>
      </c>
      <c r="C584" t="s">
        <v>14</v>
      </c>
      <c r="D584">
        <v>7</v>
      </c>
      <c r="E584">
        <v>2</v>
      </c>
      <c r="F584">
        <v>1</v>
      </c>
      <c r="G584">
        <v>2026</v>
      </c>
      <c r="H584" t="s">
        <v>322</v>
      </c>
      <c r="I584" t="s">
        <v>487</v>
      </c>
      <c r="J584" t="s">
        <v>19</v>
      </c>
      <c r="K584">
        <v>58</v>
      </c>
      <c r="L584">
        <v>1</v>
      </c>
      <c r="M584">
        <v>96</v>
      </c>
    </row>
    <row r="585" spans="1:13">
      <c r="A585">
        <v>584</v>
      </c>
      <c r="B585" s="1">
        <v>46060</v>
      </c>
      <c r="C585" t="s">
        <v>14</v>
      </c>
      <c r="D585">
        <v>7</v>
      </c>
      <c r="E585">
        <v>2</v>
      </c>
      <c r="F585">
        <v>1</v>
      </c>
      <c r="G585">
        <v>2026</v>
      </c>
      <c r="H585" t="s">
        <v>322</v>
      </c>
      <c r="I585" t="s">
        <v>129</v>
      </c>
      <c r="J585" t="s">
        <v>25</v>
      </c>
      <c r="K585">
        <v>28</v>
      </c>
      <c r="L585">
        <v>4</v>
      </c>
      <c r="M585">
        <v>137</v>
      </c>
    </row>
    <row r="586" spans="1:13">
      <c r="A586">
        <v>585</v>
      </c>
      <c r="B586" s="1">
        <v>46060</v>
      </c>
      <c r="C586" t="s">
        <v>14</v>
      </c>
      <c r="D586">
        <v>7</v>
      </c>
      <c r="E586">
        <v>2</v>
      </c>
      <c r="F586">
        <v>1</v>
      </c>
      <c r="G586">
        <v>2026</v>
      </c>
      <c r="H586" t="s">
        <v>322</v>
      </c>
      <c r="I586" t="s">
        <v>488</v>
      </c>
      <c r="J586" t="s">
        <v>46</v>
      </c>
      <c r="K586">
        <v>33</v>
      </c>
      <c r="L586">
        <v>6</v>
      </c>
      <c r="M586">
        <v>217</v>
      </c>
    </row>
    <row r="587" spans="1:13">
      <c r="A587">
        <v>586</v>
      </c>
      <c r="B587" s="1">
        <v>46060</v>
      </c>
      <c r="C587" t="s">
        <v>14</v>
      </c>
      <c r="D587">
        <v>7</v>
      </c>
      <c r="E587">
        <v>2</v>
      </c>
      <c r="F587">
        <v>1</v>
      </c>
      <c r="G587">
        <v>2026</v>
      </c>
      <c r="H587" t="s">
        <v>322</v>
      </c>
      <c r="I587" t="s">
        <v>489</v>
      </c>
      <c r="J587" t="s">
        <v>51</v>
      </c>
      <c r="K587">
        <v>47</v>
      </c>
      <c r="L587">
        <v>6</v>
      </c>
      <c r="M587">
        <v>285</v>
      </c>
    </row>
    <row r="588" spans="1:13">
      <c r="A588">
        <v>587</v>
      </c>
      <c r="B588" s="1">
        <v>46060</v>
      </c>
      <c r="C588" t="s">
        <v>14</v>
      </c>
      <c r="D588">
        <v>7</v>
      </c>
      <c r="E588">
        <v>2</v>
      </c>
      <c r="F588">
        <v>1</v>
      </c>
      <c r="G588">
        <v>2026</v>
      </c>
      <c r="H588" t="s">
        <v>322</v>
      </c>
      <c r="I588" t="s">
        <v>472</v>
      </c>
      <c r="J588" t="s">
        <v>122</v>
      </c>
      <c r="K588">
        <v>27</v>
      </c>
      <c r="L588">
        <v>2</v>
      </c>
      <c r="M588">
        <v>64</v>
      </c>
    </row>
    <row r="589" spans="1:13">
      <c r="A589">
        <v>588</v>
      </c>
      <c r="B589" s="1">
        <v>46060</v>
      </c>
      <c r="C589" t="s">
        <v>14</v>
      </c>
      <c r="D589">
        <v>7</v>
      </c>
      <c r="E589">
        <v>2</v>
      </c>
      <c r="F589">
        <v>1</v>
      </c>
      <c r="G589">
        <v>2026</v>
      </c>
      <c r="H589" t="s">
        <v>322</v>
      </c>
      <c r="I589" t="s">
        <v>490</v>
      </c>
      <c r="J589" t="s">
        <v>43</v>
      </c>
      <c r="K589">
        <v>11</v>
      </c>
      <c r="L589">
        <v>16</v>
      </c>
      <c r="M589">
        <v>182</v>
      </c>
    </row>
    <row r="590" spans="1:13">
      <c r="A590">
        <v>589</v>
      </c>
      <c r="B590" s="1">
        <v>46060</v>
      </c>
      <c r="C590" t="s">
        <v>14</v>
      </c>
      <c r="D590">
        <v>7</v>
      </c>
      <c r="E590">
        <v>2</v>
      </c>
      <c r="F590">
        <v>1</v>
      </c>
      <c r="G590">
        <v>2026</v>
      </c>
      <c r="H590" t="s">
        <v>322</v>
      </c>
      <c r="I590" t="s">
        <v>491</v>
      </c>
      <c r="J590" t="s">
        <v>25</v>
      </c>
      <c r="K590">
        <v>49</v>
      </c>
      <c r="L590">
        <v>3</v>
      </c>
      <c r="M590">
        <v>189</v>
      </c>
    </row>
    <row r="591" spans="1:13">
      <c r="A591">
        <v>590</v>
      </c>
      <c r="B591" s="1">
        <v>46060</v>
      </c>
      <c r="C591" t="s">
        <v>14</v>
      </c>
      <c r="D591">
        <v>7</v>
      </c>
      <c r="E591">
        <v>2</v>
      </c>
      <c r="F591">
        <v>1</v>
      </c>
      <c r="G591">
        <v>2026</v>
      </c>
      <c r="H591" t="s">
        <v>322</v>
      </c>
      <c r="I591" t="s">
        <v>460</v>
      </c>
      <c r="J591" t="s">
        <v>69</v>
      </c>
      <c r="K591">
        <v>60</v>
      </c>
      <c r="L591">
        <v>2</v>
      </c>
      <c r="M591">
        <v>138</v>
      </c>
    </row>
    <row r="592" spans="1:13">
      <c r="A592">
        <v>591</v>
      </c>
      <c r="B592" s="1">
        <v>45567</v>
      </c>
      <c r="C592" t="s">
        <v>34</v>
      </c>
      <c r="D592">
        <v>2</v>
      </c>
      <c r="E592">
        <v>10</v>
      </c>
      <c r="F592">
        <v>4</v>
      </c>
      <c r="G592">
        <v>2024</v>
      </c>
      <c r="H592" t="s">
        <v>280</v>
      </c>
      <c r="I592" t="s">
        <v>175</v>
      </c>
      <c r="J592" t="s">
        <v>21</v>
      </c>
      <c r="K592">
        <v>59</v>
      </c>
      <c r="L592">
        <v>5</v>
      </c>
      <c r="M592">
        <v>299</v>
      </c>
    </row>
    <row r="593" spans="1:13">
      <c r="A593">
        <v>592</v>
      </c>
      <c r="B593" s="1">
        <v>45567</v>
      </c>
      <c r="C593" t="s">
        <v>34</v>
      </c>
      <c r="D593">
        <v>2</v>
      </c>
      <c r="E593">
        <v>10</v>
      </c>
      <c r="F593">
        <v>4</v>
      </c>
      <c r="G593">
        <v>2024</v>
      </c>
      <c r="H593" t="s">
        <v>280</v>
      </c>
      <c r="I593" t="s">
        <v>492</v>
      </c>
      <c r="J593" t="s">
        <v>21</v>
      </c>
      <c r="K593">
        <v>20</v>
      </c>
      <c r="L593">
        <v>10</v>
      </c>
      <c r="M593">
        <v>203</v>
      </c>
    </row>
    <row r="594" spans="1:13">
      <c r="A594">
        <v>593</v>
      </c>
      <c r="B594" s="1">
        <v>45567</v>
      </c>
      <c r="C594" t="s">
        <v>34</v>
      </c>
      <c r="D594">
        <v>2</v>
      </c>
      <c r="E594">
        <v>10</v>
      </c>
      <c r="F594">
        <v>4</v>
      </c>
      <c r="G594">
        <v>2024</v>
      </c>
      <c r="H594" t="s">
        <v>280</v>
      </c>
      <c r="I594" t="s">
        <v>444</v>
      </c>
      <c r="J594" t="s">
        <v>37</v>
      </c>
      <c r="K594">
        <v>28</v>
      </c>
      <c r="L594">
        <v>12</v>
      </c>
      <c r="M594">
        <v>356</v>
      </c>
    </row>
    <row r="595" spans="1:13">
      <c r="A595">
        <v>594</v>
      </c>
      <c r="B595" s="1">
        <v>45567</v>
      </c>
      <c r="C595" t="s">
        <v>34</v>
      </c>
      <c r="D595">
        <v>2</v>
      </c>
      <c r="E595">
        <v>10</v>
      </c>
      <c r="F595">
        <v>4</v>
      </c>
      <c r="G595">
        <v>2024</v>
      </c>
      <c r="H595" t="s">
        <v>280</v>
      </c>
      <c r="I595" t="s">
        <v>214</v>
      </c>
      <c r="J595" t="s">
        <v>69</v>
      </c>
      <c r="K595">
        <v>13</v>
      </c>
      <c r="L595">
        <v>19</v>
      </c>
      <c r="M595">
        <v>251</v>
      </c>
    </row>
    <row r="596" spans="1:13">
      <c r="A596">
        <v>595</v>
      </c>
      <c r="B596" s="1">
        <v>45567</v>
      </c>
      <c r="C596" t="s">
        <v>34</v>
      </c>
      <c r="D596">
        <v>2</v>
      </c>
      <c r="E596">
        <v>10</v>
      </c>
      <c r="F596">
        <v>4</v>
      </c>
      <c r="G596">
        <v>2024</v>
      </c>
      <c r="H596" t="s">
        <v>280</v>
      </c>
      <c r="I596" t="s">
        <v>262</v>
      </c>
      <c r="J596" t="s">
        <v>21</v>
      </c>
      <c r="K596">
        <v>18</v>
      </c>
      <c r="L596">
        <v>13</v>
      </c>
      <c r="M596">
        <v>248</v>
      </c>
    </row>
    <row r="597" spans="1:13">
      <c r="A597">
        <v>596</v>
      </c>
      <c r="B597" s="1">
        <v>45567</v>
      </c>
      <c r="C597" t="s">
        <v>34</v>
      </c>
      <c r="D597">
        <v>2</v>
      </c>
      <c r="E597">
        <v>10</v>
      </c>
      <c r="F597">
        <v>4</v>
      </c>
      <c r="G597">
        <v>2024</v>
      </c>
      <c r="H597" t="s">
        <v>280</v>
      </c>
      <c r="I597" t="s">
        <v>116</v>
      </c>
      <c r="J597" t="s">
        <v>57</v>
      </c>
      <c r="K597">
        <v>35</v>
      </c>
      <c r="L597">
        <v>5</v>
      </c>
      <c r="M597">
        <v>204</v>
      </c>
    </row>
    <row r="598" spans="1:13">
      <c r="A598">
        <v>597</v>
      </c>
      <c r="B598" s="1">
        <v>45567</v>
      </c>
      <c r="C598" t="s">
        <v>34</v>
      </c>
      <c r="D598">
        <v>2</v>
      </c>
      <c r="E598">
        <v>10</v>
      </c>
      <c r="F598">
        <v>4</v>
      </c>
      <c r="G598">
        <v>2024</v>
      </c>
      <c r="H598" t="s">
        <v>280</v>
      </c>
      <c r="I598" t="s">
        <v>493</v>
      </c>
      <c r="J598" t="s">
        <v>46</v>
      </c>
      <c r="K598">
        <v>23</v>
      </c>
      <c r="L598">
        <v>7</v>
      </c>
      <c r="M598">
        <v>163</v>
      </c>
    </row>
    <row r="599" spans="1:13">
      <c r="A599">
        <v>598</v>
      </c>
      <c r="B599" s="1">
        <v>45567</v>
      </c>
      <c r="C599" t="s">
        <v>34</v>
      </c>
      <c r="D599">
        <v>2</v>
      </c>
      <c r="E599">
        <v>10</v>
      </c>
      <c r="F599">
        <v>4</v>
      </c>
      <c r="G599">
        <v>2024</v>
      </c>
      <c r="H599" t="s">
        <v>280</v>
      </c>
      <c r="I599" t="s">
        <v>391</v>
      </c>
      <c r="J599" t="s">
        <v>60</v>
      </c>
      <c r="K599">
        <v>29</v>
      </c>
      <c r="L599">
        <v>9</v>
      </c>
      <c r="M599">
        <v>277</v>
      </c>
    </row>
    <row r="600" spans="1:13">
      <c r="A600">
        <v>599</v>
      </c>
      <c r="B600" s="1">
        <v>46210</v>
      </c>
      <c r="C600" t="s">
        <v>48</v>
      </c>
      <c r="D600">
        <v>7</v>
      </c>
      <c r="E600">
        <v>7</v>
      </c>
      <c r="F600">
        <v>3</v>
      </c>
      <c r="G600">
        <v>2026</v>
      </c>
      <c r="H600" t="s">
        <v>494</v>
      </c>
      <c r="I600" t="s">
        <v>495</v>
      </c>
      <c r="J600" t="s">
        <v>39</v>
      </c>
      <c r="K600">
        <v>47</v>
      </c>
      <c r="L600">
        <v>6</v>
      </c>
      <c r="M600">
        <v>305</v>
      </c>
    </row>
    <row r="601" spans="1:13">
      <c r="A601">
        <v>600</v>
      </c>
      <c r="B601" s="1">
        <v>46210</v>
      </c>
      <c r="C601" t="s">
        <v>48</v>
      </c>
      <c r="D601">
        <v>7</v>
      </c>
      <c r="E601">
        <v>7</v>
      </c>
      <c r="F601">
        <v>3</v>
      </c>
      <c r="G601">
        <v>2026</v>
      </c>
      <c r="H601" t="s">
        <v>494</v>
      </c>
      <c r="I601" t="s">
        <v>409</v>
      </c>
      <c r="J601" t="s">
        <v>39</v>
      </c>
      <c r="K601">
        <v>28</v>
      </c>
      <c r="L601">
        <v>8</v>
      </c>
      <c r="M601">
        <v>247</v>
      </c>
    </row>
    <row r="602" spans="1:13">
      <c r="A602">
        <v>601</v>
      </c>
      <c r="B602" s="1">
        <v>46210</v>
      </c>
      <c r="C602" t="s">
        <v>48</v>
      </c>
      <c r="D602">
        <v>7</v>
      </c>
      <c r="E602">
        <v>7</v>
      </c>
      <c r="F602">
        <v>3</v>
      </c>
      <c r="G602">
        <v>2026</v>
      </c>
      <c r="H602" t="s">
        <v>494</v>
      </c>
      <c r="I602" t="s">
        <v>496</v>
      </c>
      <c r="J602" t="s">
        <v>17</v>
      </c>
      <c r="K602">
        <v>33</v>
      </c>
      <c r="L602">
        <v>8</v>
      </c>
      <c r="M602">
        <v>291</v>
      </c>
    </row>
    <row r="603" spans="1:13">
      <c r="A603">
        <v>602</v>
      </c>
      <c r="B603" s="1">
        <v>46210</v>
      </c>
      <c r="C603" t="s">
        <v>48</v>
      </c>
      <c r="D603">
        <v>7</v>
      </c>
      <c r="E603">
        <v>7</v>
      </c>
      <c r="F603">
        <v>3</v>
      </c>
      <c r="G603">
        <v>2026</v>
      </c>
      <c r="H603" t="s">
        <v>494</v>
      </c>
      <c r="I603" t="s">
        <v>256</v>
      </c>
      <c r="J603" t="s">
        <v>31</v>
      </c>
      <c r="K603">
        <v>18</v>
      </c>
      <c r="L603">
        <v>6</v>
      </c>
      <c r="M603">
        <v>123</v>
      </c>
    </row>
    <row r="604" spans="1:13">
      <c r="A604">
        <v>603</v>
      </c>
      <c r="B604" s="1">
        <v>46210</v>
      </c>
      <c r="C604" t="s">
        <v>48</v>
      </c>
      <c r="D604">
        <v>7</v>
      </c>
      <c r="E604">
        <v>7</v>
      </c>
      <c r="F604">
        <v>3</v>
      </c>
      <c r="G604">
        <v>2026</v>
      </c>
      <c r="H604" t="s">
        <v>494</v>
      </c>
      <c r="I604" t="s">
        <v>310</v>
      </c>
      <c r="J604" t="s">
        <v>60</v>
      </c>
      <c r="K604">
        <v>36</v>
      </c>
      <c r="L604">
        <v>2</v>
      </c>
      <c r="M604">
        <v>77</v>
      </c>
    </row>
    <row r="605" spans="1:13">
      <c r="A605">
        <v>604</v>
      </c>
      <c r="B605" s="1">
        <v>46210</v>
      </c>
      <c r="C605" t="s">
        <v>48</v>
      </c>
      <c r="D605">
        <v>7</v>
      </c>
      <c r="E605">
        <v>7</v>
      </c>
      <c r="F605">
        <v>3</v>
      </c>
      <c r="G605">
        <v>2026</v>
      </c>
      <c r="H605" t="s">
        <v>494</v>
      </c>
      <c r="I605" t="s">
        <v>137</v>
      </c>
      <c r="J605" t="s">
        <v>82</v>
      </c>
      <c r="K605">
        <v>59</v>
      </c>
      <c r="L605">
        <v>5</v>
      </c>
      <c r="M605">
        <v>302</v>
      </c>
    </row>
    <row r="606" spans="1:13">
      <c r="A606">
        <v>605</v>
      </c>
      <c r="B606" s="1">
        <v>46210</v>
      </c>
      <c r="C606" t="s">
        <v>48</v>
      </c>
      <c r="D606">
        <v>7</v>
      </c>
      <c r="E606">
        <v>7</v>
      </c>
      <c r="F606">
        <v>3</v>
      </c>
      <c r="G606">
        <v>2026</v>
      </c>
      <c r="H606" t="s">
        <v>494</v>
      </c>
      <c r="I606" t="s">
        <v>225</v>
      </c>
      <c r="J606" t="s">
        <v>21</v>
      </c>
      <c r="K606">
        <v>22</v>
      </c>
      <c r="L606">
        <v>16</v>
      </c>
      <c r="M606">
        <v>354</v>
      </c>
    </row>
    <row r="607" spans="1:13">
      <c r="A607">
        <v>606</v>
      </c>
      <c r="B607" s="1">
        <v>45871</v>
      </c>
      <c r="C607" t="s">
        <v>14</v>
      </c>
      <c r="D607">
        <v>2</v>
      </c>
      <c r="E607">
        <v>8</v>
      </c>
      <c r="F607">
        <v>3</v>
      </c>
      <c r="G607">
        <v>2025</v>
      </c>
      <c r="H607" t="s">
        <v>497</v>
      </c>
      <c r="I607" t="s">
        <v>137</v>
      </c>
      <c r="J607" t="s">
        <v>82</v>
      </c>
      <c r="K607">
        <v>35</v>
      </c>
      <c r="L607">
        <v>9</v>
      </c>
      <c r="M607">
        <v>326</v>
      </c>
    </row>
    <row r="608" spans="1:13">
      <c r="A608">
        <v>607</v>
      </c>
      <c r="B608" s="1">
        <v>45584</v>
      </c>
      <c r="C608" t="s">
        <v>14</v>
      </c>
      <c r="D608">
        <v>19</v>
      </c>
      <c r="E608">
        <v>10</v>
      </c>
      <c r="F608">
        <v>4</v>
      </c>
      <c r="G608">
        <v>2024</v>
      </c>
      <c r="H608" t="s">
        <v>498</v>
      </c>
      <c r="I608" t="s">
        <v>487</v>
      </c>
      <c r="J608" t="s">
        <v>19</v>
      </c>
      <c r="K608">
        <v>36</v>
      </c>
      <c r="L608">
        <v>2</v>
      </c>
      <c r="M608">
        <v>85</v>
      </c>
    </row>
    <row r="609" spans="1:13">
      <c r="A609">
        <v>608</v>
      </c>
      <c r="B609" s="1">
        <v>45584</v>
      </c>
      <c r="C609" t="s">
        <v>14</v>
      </c>
      <c r="D609">
        <v>19</v>
      </c>
      <c r="E609">
        <v>10</v>
      </c>
      <c r="F609">
        <v>4</v>
      </c>
      <c r="G609">
        <v>2024</v>
      </c>
      <c r="H609" t="s">
        <v>498</v>
      </c>
      <c r="I609" t="s">
        <v>372</v>
      </c>
      <c r="J609" t="s">
        <v>23</v>
      </c>
      <c r="K609">
        <v>12</v>
      </c>
      <c r="L609">
        <v>14</v>
      </c>
      <c r="M609">
        <v>178</v>
      </c>
    </row>
    <row r="610" spans="1:13">
      <c r="A610">
        <v>609</v>
      </c>
      <c r="B610" s="1">
        <v>46035</v>
      </c>
      <c r="C610" t="s">
        <v>48</v>
      </c>
      <c r="D610">
        <v>13</v>
      </c>
      <c r="E610">
        <v>1</v>
      </c>
      <c r="F610">
        <v>1</v>
      </c>
      <c r="G610">
        <v>2026</v>
      </c>
      <c r="H610" t="s">
        <v>497</v>
      </c>
      <c r="I610" t="s">
        <v>412</v>
      </c>
      <c r="J610" t="s">
        <v>27</v>
      </c>
      <c r="K610">
        <v>31</v>
      </c>
      <c r="L610">
        <v>6</v>
      </c>
      <c r="M610">
        <v>201</v>
      </c>
    </row>
    <row r="611" spans="1:13">
      <c r="A611">
        <v>610</v>
      </c>
      <c r="B611" s="1">
        <v>46035</v>
      </c>
      <c r="C611" t="s">
        <v>48</v>
      </c>
      <c r="D611">
        <v>13</v>
      </c>
      <c r="E611">
        <v>1</v>
      </c>
      <c r="F611">
        <v>1</v>
      </c>
      <c r="G611">
        <v>2026</v>
      </c>
      <c r="H611" t="s">
        <v>497</v>
      </c>
      <c r="I611" t="s">
        <v>77</v>
      </c>
      <c r="J611" t="s">
        <v>17</v>
      </c>
      <c r="K611">
        <v>26</v>
      </c>
      <c r="L611">
        <v>10</v>
      </c>
      <c r="M611">
        <v>283</v>
      </c>
    </row>
    <row r="612" spans="1:13">
      <c r="A612">
        <v>611</v>
      </c>
      <c r="B612" s="1">
        <v>46183</v>
      </c>
      <c r="C612" t="s">
        <v>34</v>
      </c>
      <c r="D612">
        <v>10</v>
      </c>
      <c r="E612">
        <v>6</v>
      </c>
      <c r="F612">
        <v>2</v>
      </c>
      <c r="G612">
        <v>2026</v>
      </c>
      <c r="H612" t="s">
        <v>499</v>
      </c>
      <c r="I612" t="s">
        <v>305</v>
      </c>
      <c r="J612" t="s">
        <v>55</v>
      </c>
      <c r="K612">
        <v>12</v>
      </c>
      <c r="L612">
        <v>28</v>
      </c>
      <c r="M612">
        <v>344</v>
      </c>
    </row>
    <row r="613" spans="1:13">
      <c r="A613">
        <v>612</v>
      </c>
      <c r="B613" s="1">
        <v>46183</v>
      </c>
      <c r="C613" t="s">
        <v>34</v>
      </c>
      <c r="D613">
        <v>10</v>
      </c>
      <c r="E613">
        <v>6</v>
      </c>
      <c r="F613">
        <v>2</v>
      </c>
      <c r="G613">
        <v>2026</v>
      </c>
      <c r="H613" t="s">
        <v>499</v>
      </c>
      <c r="I613" t="s">
        <v>480</v>
      </c>
      <c r="J613" t="s">
        <v>57</v>
      </c>
      <c r="K613">
        <v>41</v>
      </c>
      <c r="L613">
        <v>4</v>
      </c>
      <c r="M613">
        <v>186</v>
      </c>
    </row>
    <row r="614" spans="1:13">
      <c r="A614">
        <v>613</v>
      </c>
      <c r="B614" s="1">
        <v>46183</v>
      </c>
      <c r="C614" t="s">
        <v>34</v>
      </c>
      <c r="D614">
        <v>10</v>
      </c>
      <c r="E614">
        <v>6</v>
      </c>
      <c r="F614">
        <v>2</v>
      </c>
      <c r="G614">
        <v>2026</v>
      </c>
      <c r="H614" t="s">
        <v>499</v>
      </c>
      <c r="I614" t="s">
        <v>500</v>
      </c>
      <c r="J614" t="s">
        <v>27</v>
      </c>
      <c r="K614">
        <v>51</v>
      </c>
      <c r="L614">
        <v>3</v>
      </c>
      <c r="M614">
        <v>203</v>
      </c>
    </row>
    <row r="615" spans="1:13">
      <c r="A615">
        <v>614</v>
      </c>
      <c r="B615" s="1">
        <v>46183</v>
      </c>
      <c r="C615" t="s">
        <v>34</v>
      </c>
      <c r="D615">
        <v>10</v>
      </c>
      <c r="E615">
        <v>6</v>
      </c>
      <c r="F615">
        <v>2</v>
      </c>
      <c r="G615">
        <v>2026</v>
      </c>
      <c r="H615" t="s">
        <v>499</v>
      </c>
      <c r="I615" t="s">
        <v>343</v>
      </c>
      <c r="J615" t="s">
        <v>46</v>
      </c>
      <c r="K615">
        <v>44</v>
      </c>
      <c r="L615">
        <v>7</v>
      </c>
      <c r="M615">
        <v>343</v>
      </c>
    </row>
    <row r="616" spans="1:13">
      <c r="A616">
        <v>615</v>
      </c>
      <c r="B616" s="1">
        <v>46183</v>
      </c>
      <c r="C616" t="s">
        <v>34</v>
      </c>
      <c r="D616">
        <v>10</v>
      </c>
      <c r="E616">
        <v>6</v>
      </c>
      <c r="F616">
        <v>2</v>
      </c>
      <c r="G616">
        <v>2026</v>
      </c>
      <c r="H616" t="s">
        <v>499</v>
      </c>
      <c r="I616" t="s">
        <v>501</v>
      </c>
      <c r="J616" t="s">
        <v>25</v>
      </c>
      <c r="K616">
        <v>16</v>
      </c>
      <c r="L616">
        <v>18</v>
      </c>
      <c r="M616">
        <v>293</v>
      </c>
    </row>
    <row r="617" spans="1:13">
      <c r="A617">
        <v>616</v>
      </c>
      <c r="B617" s="1">
        <v>46183</v>
      </c>
      <c r="C617" t="s">
        <v>34</v>
      </c>
      <c r="D617">
        <v>10</v>
      </c>
      <c r="E617">
        <v>6</v>
      </c>
      <c r="F617">
        <v>2</v>
      </c>
      <c r="G617">
        <v>2026</v>
      </c>
      <c r="H617" t="s">
        <v>499</v>
      </c>
      <c r="I617" t="s">
        <v>258</v>
      </c>
      <c r="J617" t="s">
        <v>57</v>
      </c>
      <c r="K617">
        <v>39</v>
      </c>
      <c r="L617">
        <v>7</v>
      </c>
      <c r="M617">
        <v>305</v>
      </c>
    </row>
    <row r="618" spans="1:13">
      <c r="A618">
        <v>617</v>
      </c>
      <c r="B618" s="1">
        <v>46183</v>
      </c>
      <c r="C618" t="s">
        <v>34</v>
      </c>
      <c r="D618">
        <v>10</v>
      </c>
      <c r="E618">
        <v>6</v>
      </c>
      <c r="F618">
        <v>2</v>
      </c>
      <c r="G618">
        <v>2026</v>
      </c>
      <c r="H618" t="s">
        <v>499</v>
      </c>
      <c r="I618" t="s">
        <v>398</v>
      </c>
      <c r="J618" t="s">
        <v>27</v>
      </c>
      <c r="K618">
        <v>35</v>
      </c>
      <c r="L618">
        <v>1</v>
      </c>
      <c r="M618">
        <v>50</v>
      </c>
    </row>
    <row r="619" spans="1:13">
      <c r="A619">
        <v>618</v>
      </c>
      <c r="B619" s="1">
        <v>46183</v>
      </c>
      <c r="C619" t="s">
        <v>34</v>
      </c>
      <c r="D619">
        <v>10</v>
      </c>
      <c r="E619">
        <v>6</v>
      </c>
      <c r="F619">
        <v>2</v>
      </c>
      <c r="G619">
        <v>2026</v>
      </c>
      <c r="H619" t="s">
        <v>499</v>
      </c>
      <c r="I619" t="s">
        <v>347</v>
      </c>
      <c r="J619" t="s">
        <v>69</v>
      </c>
      <c r="K619">
        <v>31</v>
      </c>
      <c r="L619">
        <v>3</v>
      </c>
      <c r="M619">
        <v>98</v>
      </c>
    </row>
    <row r="620" spans="1:13">
      <c r="A620">
        <v>619</v>
      </c>
      <c r="B620" s="1">
        <v>46183</v>
      </c>
      <c r="C620" t="s">
        <v>34</v>
      </c>
      <c r="D620">
        <v>10</v>
      </c>
      <c r="E620">
        <v>6</v>
      </c>
      <c r="F620">
        <v>2</v>
      </c>
      <c r="G620">
        <v>2026</v>
      </c>
      <c r="H620" t="s">
        <v>499</v>
      </c>
      <c r="I620" t="s">
        <v>16</v>
      </c>
      <c r="J620" t="s">
        <v>17</v>
      </c>
      <c r="K620">
        <v>39</v>
      </c>
      <c r="L620">
        <v>10</v>
      </c>
      <c r="M620">
        <v>401</v>
      </c>
    </row>
    <row r="621" spans="1:13">
      <c r="A621">
        <v>620</v>
      </c>
      <c r="B621" s="1">
        <v>45921</v>
      </c>
      <c r="C621" t="s">
        <v>28</v>
      </c>
      <c r="D621">
        <v>21</v>
      </c>
      <c r="E621">
        <v>9</v>
      </c>
      <c r="F621">
        <v>3</v>
      </c>
      <c r="G621">
        <v>2025</v>
      </c>
      <c r="H621" t="s">
        <v>502</v>
      </c>
      <c r="I621" t="s">
        <v>376</v>
      </c>
      <c r="J621" t="s">
        <v>51</v>
      </c>
      <c r="K621">
        <v>16</v>
      </c>
      <c r="L621">
        <v>14</v>
      </c>
      <c r="M621">
        <v>234</v>
      </c>
    </row>
    <row r="622" spans="1:13">
      <c r="A622">
        <v>621</v>
      </c>
      <c r="B622" s="1">
        <v>45921</v>
      </c>
      <c r="C622" t="s">
        <v>28</v>
      </c>
      <c r="D622">
        <v>21</v>
      </c>
      <c r="E622">
        <v>9</v>
      </c>
      <c r="F622">
        <v>3</v>
      </c>
      <c r="G622">
        <v>2025</v>
      </c>
      <c r="H622" t="s">
        <v>502</v>
      </c>
      <c r="I622" t="s">
        <v>455</v>
      </c>
      <c r="J622" t="s">
        <v>69</v>
      </c>
      <c r="K622">
        <v>51</v>
      </c>
      <c r="L622">
        <v>3</v>
      </c>
      <c r="M622">
        <v>167</v>
      </c>
    </row>
    <row r="623" spans="1:13">
      <c r="A623">
        <v>622</v>
      </c>
      <c r="B623" s="1">
        <v>45921</v>
      </c>
      <c r="C623" t="s">
        <v>28</v>
      </c>
      <c r="D623">
        <v>21</v>
      </c>
      <c r="E623">
        <v>9</v>
      </c>
      <c r="F623">
        <v>3</v>
      </c>
      <c r="G623">
        <v>2025</v>
      </c>
      <c r="H623" t="s">
        <v>502</v>
      </c>
      <c r="I623" t="s">
        <v>333</v>
      </c>
      <c r="J623" t="s">
        <v>37</v>
      </c>
      <c r="K623">
        <v>29</v>
      </c>
      <c r="L623">
        <v>9</v>
      </c>
      <c r="M623">
        <v>263</v>
      </c>
    </row>
    <row r="624" spans="1:13">
      <c r="A624">
        <v>623</v>
      </c>
      <c r="B624" s="1">
        <v>45798</v>
      </c>
      <c r="C624" t="s">
        <v>34</v>
      </c>
      <c r="D624">
        <v>21</v>
      </c>
      <c r="E624">
        <v>5</v>
      </c>
      <c r="F624">
        <v>2</v>
      </c>
      <c r="G624">
        <v>2025</v>
      </c>
      <c r="H624" t="s">
        <v>485</v>
      </c>
      <c r="I624" t="s">
        <v>254</v>
      </c>
      <c r="J624" t="s">
        <v>51</v>
      </c>
      <c r="K624">
        <v>30</v>
      </c>
      <c r="L624">
        <v>10</v>
      </c>
      <c r="M624">
        <v>328</v>
      </c>
    </row>
    <row r="625" spans="1:13">
      <c r="A625">
        <v>624</v>
      </c>
      <c r="B625" s="1">
        <v>45798</v>
      </c>
      <c r="C625" t="s">
        <v>34</v>
      </c>
      <c r="D625">
        <v>21</v>
      </c>
      <c r="E625">
        <v>5</v>
      </c>
      <c r="F625">
        <v>2</v>
      </c>
      <c r="G625">
        <v>2025</v>
      </c>
      <c r="H625" t="s">
        <v>485</v>
      </c>
      <c r="I625" t="s">
        <v>363</v>
      </c>
      <c r="J625" t="s">
        <v>100</v>
      </c>
      <c r="K625">
        <v>57</v>
      </c>
      <c r="L625">
        <v>4</v>
      </c>
      <c r="M625">
        <v>242</v>
      </c>
    </row>
    <row r="626" spans="1:13">
      <c r="A626">
        <v>625</v>
      </c>
      <c r="B626" s="1">
        <v>45798</v>
      </c>
      <c r="C626" t="s">
        <v>34</v>
      </c>
      <c r="D626">
        <v>21</v>
      </c>
      <c r="E626">
        <v>5</v>
      </c>
      <c r="F626">
        <v>2</v>
      </c>
      <c r="G626">
        <v>2025</v>
      </c>
      <c r="H626" t="s">
        <v>485</v>
      </c>
      <c r="I626" t="s">
        <v>22</v>
      </c>
      <c r="J626" t="s">
        <v>23</v>
      </c>
      <c r="K626">
        <v>59</v>
      </c>
      <c r="L626">
        <v>2</v>
      </c>
      <c r="M626">
        <v>150</v>
      </c>
    </row>
    <row r="627" spans="1:13">
      <c r="A627">
        <v>626</v>
      </c>
      <c r="B627" s="1">
        <v>45798</v>
      </c>
      <c r="C627" t="s">
        <v>34</v>
      </c>
      <c r="D627">
        <v>21</v>
      </c>
      <c r="E627">
        <v>5</v>
      </c>
      <c r="F627">
        <v>2</v>
      </c>
      <c r="G627">
        <v>2025</v>
      </c>
      <c r="H627" t="s">
        <v>485</v>
      </c>
      <c r="I627" t="s">
        <v>503</v>
      </c>
      <c r="J627" t="s">
        <v>43</v>
      </c>
      <c r="K627">
        <v>49</v>
      </c>
      <c r="L627">
        <v>4</v>
      </c>
      <c r="M627">
        <v>232</v>
      </c>
    </row>
    <row r="628" spans="1:13">
      <c r="A628">
        <v>627</v>
      </c>
      <c r="B628" s="1">
        <v>45798</v>
      </c>
      <c r="C628" t="s">
        <v>34</v>
      </c>
      <c r="D628">
        <v>21</v>
      </c>
      <c r="E628">
        <v>5</v>
      </c>
      <c r="F628">
        <v>2</v>
      </c>
      <c r="G628">
        <v>2025</v>
      </c>
      <c r="H628" t="s">
        <v>485</v>
      </c>
      <c r="I628" t="s">
        <v>202</v>
      </c>
      <c r="J628" t="s">
        <v>17</v>
      </c>
      <c r="K628">
        <v>19</v>
      </c>
      <c r="L628">
        <v>14</v>
      </c>
      <c r="M628">
        <v>273</v>
      </c>
    </row>
    <row r="629" spans="1:13">
      <c r="A629">
        <v>628</v>
      </c>
      <c r="B629" s="1">
        <v>45798</v>
      </c>
      <c r="C629" t="s">
        <v>34</v>
      </c>
      <c r="D629">
        <v>21</v>
      </c>
      <c r="E629">
        <v>5</v>
      </c>
      <c r="F629">
        <v>2</v>
      </c>
      <c r="G629">
        <v>2025</v>
      </c>
      <c r="H629" t="s">
        <v>485</v>
      </c>
      <c r="I629" t="s">
        <v>214</v>
      </c>
      <c r="J629" t="s">
        <v>69</v>
      </c>
      <c r="K629">
        <v>51</v>
      </c>
      <c r="L629">
        <v>5</v>
      </c>
      <c r="M629">
        <v>261</v>
      </c>
    </row>
    <row r="630" spans="1:13">
      <c r="A630">
        <v>629</v>
      </c>
      <c r="B630" s="1">
        <v>45812</v>
      </c>
      <c r="C630" t="s">
        <v>34</v>
      </c>
      <c r="D630">
        <v>4</v>
      </c>
      <c r="E630">
        <v>6</v>
      </c>
      <c r="F630">
        <v>2</v>
      </c>
      <c r="G630">
        <v>2025</v>
      </c>
      <c r="H630" t="s">
        <v>504</v>
      </c>
      <c r="I630" t="s">
        <v>283</v>
      </c>
      <c r="J630" t="s">
        <v>100</v>
      </c>
      <c r="K630">
        <v>25</v>
      </c>
      <c r="L630">
        <v>3</v>
      </c>
      <c r="M630">
        <v>82</v>
      </c>
    </row>
    <row r="631" spans="1:13">
      <c r="A631">
        <v>630</v>
      </c>
      <c r="B631" s="1">
        <v>45812</v>
      </c>
      <c r="C631" t="s">
        <v>34</v>
      </c>
      <c r="D631">
        <v>4</v>
      </c>
      <c r="E631">
        <v>6</v>
      </c>
      <c r="F631">
        <v>2</v>
      </c>
      <c r="G631">
        <v>2025</v>
      </c>
      <c r="H631" t="s">
        <v>504</v>
      </c>
      <c r="I631" t="s">
        <v>505</v>
      </c>
      <c r="J631" t="s">
        <v>100</v>
      </c>
      <c r="K631">
        <v>55</v>
      </c>
      <c r="L631">
        <v>5</v>
      </c>
      <c r="M631">
        <v>281</v>
      </c>
    </row>
    <row r="632" spans="1:13">
      <c r="A632">
        <v>631</v>
      </c>
      <c r="B632" s="1">
        <v>45812</v>
      </c>
      <c r="C632" t="s">
        <v>34</v>
      </c>
      <c r="D632">
        <v>4</v>
      </c>
      <c r="E632">
        <v>6</v>
      </c>
      <c r="F632">
        <v>2</v>
      </c>
      <c r="G632">
        <v>2025</v>
      </c>
      <c r="H632" t="s">
        <v>504</v>
      </c>
      <c r="I632" t="s">
        <v>138</v>
      </c>
      <c r="J632" t="s">
        <v>97</v>
      </c>
      <c r="K632">
        <v>15</v>
      </c>
      <c r="L632">
        <v>19</v>
      </c>
      <c r="M632">
        <v>295</v>
      </c>
    </row>
    <row r="633" spans="1:13">
      <c r="A633">
        <v>632</v>
      </c>
      <c r="B633" s="1">
        <v>45812</v>
      </c>
      <c r="C633" t="s">
        <v>34</v>
      </c>
      <c r="D633">
        <v>4</v>
      </c>
      <c r="E633">
        <v>6</v>
      </c>
      <c r="F633">
        <v>2</v>
      </c>
      <c r="G633">
        <v>2025</v>
      </c>
      <c r="H633" t="s">
        <v>504</v>
      </c>
      <c r="I633" t="s">
        <v>396</v>
      </c>
      <c r="J633" t="s">
        <v>122</v>
      </c>
      <c r="K633">
        <v>51</v>
      </c>
      <c r="L633">
        <v>5</v>
      </c>
      <c r="M633">
        <v>303</v>
      </c>
    </row>
    <row r="634" spans="1:13">
      <c r="A634">
        <v>633</v>
      </c>
      <c r="B634" s="1">
        <v>45812</v>
      </c>
      <c r="C634" t="s">
        <v>34</v>
      </c>
      <c r="D634">
        <v>4</v>
      </c>
      <c r="E634">
        <v>6</v>
      </c>
      <c r="F634">
        <v>2</v>
      </c>
      <c r="G634">
        <v>2025</v>
      </c>
      <c r="H634" t="s">
        <v>504</v>
      </c>
      <c r="I634" t="s">
        <v>486</v>
      </c>
      <c r="J634" t="s">
        <v>100</v>
      </c>
      <c r="K634">
        <v>40</v>
      </c>
      <c r="L634">
        <v>8</v>
      </c>
      <c r="M634">
        <v>321</v>
      </c>
    </row>
    <row r="635" spans="1:13">
      <c r="A635">
        <v>634</v>
      </c>
      <c r="B635" s="1">
        <v>45812</v>
      </c>
      <c r="C635" t="s">
        <v>34</v>
      </c>
      <c r="D635">
        <v>4</v>
      </c>
      <c r="E635">
        <v>6</v>
      </c>
      <c r="F635">
        <v>2</v>
      </c>
      <c r="G635">
        <v>2025</v>
      </c>
      <c r="H635" t="s">
        <v>504</v>
      </c>
      <c r="I635" t="s">
        <v>303</v>
      </c>
      <c r="J635" t="s">
        <v>19</v>
      </c>
      <c r="K635">
        <v>26</v>
      </c>
      <c r="L635">
        <v>13</v>
      </c>
      <c r="M635">
        <v>342</v>
      </c>
    </row>
    <row r="636" spans="1:13">
      <c r="A636">
        <v>635</v>
      </c>
      <c r="B636" s="1">
        <v>45812</v>
      </c>
      <c r="C636" t="s">
        <v>34</v>
      </c>
      <c r="D636">
        <v>4</v>
      </c>
      <c r="E636">
        <v>6</v>
      </c>
      <c r="F636">
        <v>2</v>
      </c>
      <c r="G636">
        <v>2025</v>
      </c>
      <c r="H636" t="s">
        <v>504</v>
      </c>
      <c r="I636" t="s">
        <v>123</v>
      </c>
      <c r="J636" t="s">
        <v>43</v>
      </c>
      <c r="K636">
        <v>39</v>
      </c>
      <c r="L636">
        <v>4</v>
      </c>
      <c r="M636">
        <v>178</v>
      </c>
    </row>
    <row r="637" spans="1:13">
      <c r="A637">
        <v>636</v>
      </c>
      <c r="B637" s="1">
        <v>45812</v>
      </c>
      <c r="C637" t="s">
        <v>34</v>
      </c>
      <c r="D637">
        <v>4</v>
      </c>
      <c r="E637">
        <v>6</v>
      </c>
      <c r="F637">
        <v>2</v>
      </c>
      <c r="G637">
        <v>2025</v>
      </c>
      <c r="H637" t="s">
        <v>504</v>
      </c>
      <c r="I637" t="s">
        <v>442</v>
      </c>
      <c r="J637" t="s">
        <v>100</v>
      </c>
      <c r="K637">
        <v>41</v>
      </c>
      <c r="L637">
        <v>3</v>
      </c>
      <c r="M637">
        <v>125</v>
      </c>
    </row>
    <row r="638" spans="1:13">
      <c r="A638">
        <v>637</v>
      </c>
      <c r="B638" s="1">
        <v>45812</v>
      </c>
      <c r="C638" t="s">
        <v>34</v>
      </c>
      <c r="D638">
        <v>4</v>
      </c>
      <c r="E638">
        <v>6</v>
      </c>
      <c r="F638">
        <v>2</v>
      </c>
      <c r="G638">
        <v>2025</v>
      </c>
      <c r="H638" t="s">
        <v>504</v>
      </c>
      <c r="I638" t="s">
        <v>251</v>
      </c>
      <c r="J638" t="s">
        <v>122</v>
      </c>
      <c r="K638">
        <v>26</v>
      </c>
      <c r="L638">
        <v>12</v>
      </c>
      <c r="M638">
        <v>329</v>
      </c>
    </row>
    <row r="639" spans="1:13">
      <c r="A639">
        <v>638</v>
      </c>
      <c r="B639" s="1">
        <v>45812</v>
      </c>
      <c r="C639" t="s">
        <v>34</v>
      </c>
      <c r="D639">
        <v>4</v>
      </c>
      <c r="E639">
        <v>6</v>
      </c>
      <c r="F639">
        <v>2</v>
      </c>
      <c r="G639">
        <v>2025</v>
      </c>
      <c r="H639" t="s">
        <v>504</v>
      </c>
      <c r="I639" t="s">
        <v>430</v>
      </c>
      <c r="J639" t="s">
        <v>27</v>
      </c>
      <c r="K639">
        <v>20</v>
      </c>
      <c r="L639">
        <v>15</v>
      </c>
      <c r="M639">
        <v>310</v>
      </c>
    </row>
    <row r="640" spans="1:13">
      <c r="A640">
        <v>639</v>
      </c>
      <c r="B640" s="1">
        <v>45602</v>
      </c>
      <c r="C640" t="s">
        <v>34</v>
      </c>
      <c r="D640">
        <v>6</v>
      </c>
      <c r="E640">
        <v>11</v>
      </c>
      <c r="F640">
        <v>4</v>
      </c>
      <c r="G640">
        <v>2024</v>
      </c>
      <c r="H640" t="s">
        <v>387</v>
      </c>
      <c r="I640" t="s">
        <v>506</v>
      </c>
      <c r="J640" t="s">
        <v>97</v>
      </c>
      <c r="K640">
        <v>12</v>
      </c>
      <c r="L640">
        <v>28</v>
      </c>
      <c r="M640">
        <v>340</v>
      </c>
    </row>
    <row r="641" spans="1:13">
      <c r="A641">
        <v>640</v>
      </c>
      <c r="B641" s="1">
        <v>45602</v>
      </c>
      <c r="C641" t="s">
        <v>34</v>
      </c>
      <c r="D641">
        <v>6</v>
      </c>
      <c r="E641">
        <v>11</v>
      </c>
      <c r="F641">
        <v>4</v>
      </c>
      <c r="G641">
        <v>2024</v>
      </c>
      <c r="H641" t="s">
        <v>387</v>
      </c>
      <c r="I641" t="s">
        <v>174</v>
      </c>
      <c r="J641" t="s">
        <v>122</v>
      </c>
      <c r="K641">
        <v>15</v>
      </c>
      <c r="L641">
        <v>16</v>
      </c>
      <c r="M641">
        <v>244</v>
      </c>
    </row>
    <row r="642" spans="1:13">
      <c r="A642">
        <v>641</v>
      </c>
      <c r="B642" s="1">
        <v>45602</v>
      </c>
      <c r="C642" t="s">
        <v>34</v>
      </c>
      <c r="D642">
        <v>6</v>
      </c>
      <c r="E642">
        <v>11</v>
      </c>
      <c r="F642">
        <v>4</v>
      </c>
      <c r="G642">
        <v>2024</v>
      </c>
      <c r="H642" t="s">
        <v>387</v>
      </c>
      <c r="I642" t="s">
        <v>52</v>
      </c>
      <c r="J642" t="s">
        <v>21</v>
      </c>
      <c r="K642">
        <v>48</v>
      </c>
      <c r="L642">
        <v>2</v>
      </c>
      <c r="M642">
        <v>105</v>
      </c>
    </row>
    <row r="643" spans="1:13">
      <c r="A643">
        <v>642</v>
      </c>
      <c r="B643" s="1">
        <v>45602</v>
      </c>
      <c r="C643" t="s">
        <v>34</v>
      </c>
      <c r="D643">
        <v>6</v>
      </c>
      <c r="E643">
        <v>11</v>
      </c>
      <c r="F643">
        <v>4</v>
      </c>
      <c r="G643">
        <v>2024</v>
      </c>
      <c r="H643" t="s">
        <v>387</v>
      </c>
      <c r="I643" t="s">
        <v>507</v>
      </c>
      <c r="J643" t="s">
        <v>55</v>
      </c>
      <c r="K643">
        <v>45</v>
      </c>
      <c r="L643">
        <v>4</v>
      </c>
      <c r="M643">
        <v>184</v>
      </c>
    </row>
    <row r="644" spans="1:13">
      <c r="A644">
        <v>643</v>
      </c>
      <c r="B644" s="1">
        <v>45602</v>
      </c>
      <c r="C644" t="s">
        <v>34</v>
      </c>
      <c r="D644">
        <v>6</v>
      </c>
      <c r="E644">
        <v>11</v>
      </c>
      <c r="F644">
        <v>4</v>
      </c>
      <c r="G644">
        <v>2024</v>
      </c>
      <c r="H644" t="s">
        <v>387</v>
      </c>
      <c r="I644" t="s">
        <v>212</v>
      </c>
      <c r="J644" t="s">
        <v>57</v>
      </c>
      <c r="K644">
        <v>37</v>
      </c>
      <c r="L644">
        <v>10</v>
      </c>
      <c r="M644">
        <v>389</v>
      </c>
    </row>
    <row r="645" spans="1:13">
      <c r="A645">
        <v>644</v>
      </c>
      <c r="B645" s="1">
        <v>45602</v>
      </c>
      <c r="C645" t="s">
        <v>34</v>
      </c>
      <c r="D645">
        <v>6</v>
      </c>
      <c r="E645">
        <v>11</v>
      </c>
      <c r="F645">
        <v>4</v>
      </c>
      <c r="G645">
        <v>2024</v>
      </c>
      <c r="H645" t="s">
        <v>387</v>
      </c>
      <c r="I645" t="s">
        <v>240</v>
      </c>
      <c r="J645" t="s">
        <v>23</v>
      </c>
      <c r="K645">
        <v>33</v>
      </c>
      <c r="L645">
        <v>15</v>
      </c>
      <c r="M645">
        <v>516</v>
      </c>
    </row>
    <row r="646" spans="1:13">
      <c r="A646">
        <v>645</v>
      </c>
      <c r="B646" s="1">
        <v>45602</v>
      </c>
      <c r="C646" t="s">
        <v>34</v>
      </c>
      <c r="D646">
        <v>6</v>
      </c>
      <c r="E646">
        <v>11</v>
      </c>
      <c r="F646">
        <v>4</v>
      </c>
      <c r="G646">
        <v>2024</v>
      </c>
      <c r="H646" t="s">
        <v>387</v>
      </c>
      <c r="I646" t="s">
        <v>508</v>
      </c>
      <c r="J646" t="s">
        <v>43</v>
      </c>
      <c r="K646">
        <v>36</v>
      </c>
      <c r="L646">
        <v>3</v>
      </c>
      <c r="M646">
        <v>115</v>
      </c>
    </row>
    <row r="647" spans="1:13">
      <c r="A647">
        <v>646</v>
      </c>
      <c r="B647" s="1">
        <v>45602</v>
      </c>
      <c r="C647" t="s">
        <v>34</v>
      </c>
      <c r="D647">
        <v>6</v>
      </c>
      <c r="E647">
        <v>11</v>
      </c>
      <c r="F647">
        <v>4</v>
      </c>
      <c r="G647">
        <v>2024</v>
      </c>
      <c r="H647" t="s">
        <v>387</v>
      </c>
      <c r="I647" t="s">
        <v>117</v>
      </c>
      <c r="J647" t="s">
        <v>55</v>
      </c>
      <c r="K647">
        <v>31</v>
      </c>
      <c r="L647">
        <v>9</v>
      </c>
      <c r="M647">
        <v>305</v>
      </c>
    </row>
    <row r="648" spans="1:13">
      <c r="A648">
        <v>647</v>
      </c>
      <c r="B648" s="1">
        <v>45602</v>
      </c>
      <c r="C648" t="s">
        <v>34</v>
      </c>
      <c r="D648">
        <v>6</v>
      </c>
      <c r="E648">
        <v>11</v>
      </c>
      <c r="F648">
        <v>4</v>
      </c>
      <c r="G648">
        <v>2024</v>
      </c>
      <c r="H648" t="s">
        <v>387</v>
      </c>
      <c r="I648" t="s">
        <v>248</v>
      </c>
      <c r="J648" t="s">
        <v>100</v>
      </c>
      <c r="K648">
        <v>33</v>
      </c>
      <c r="L648">
        <v>3</v>
      </c>
      <c r="M648">
        <v>128</v>
      </c>
    </row>
    <row r="649" spans="1:13">
      <c r="A649">
        <v>648</v>
      </c>
      <c r="B649" s="1">
        <v>46082</v>
      </c>
      <c r="C649" t="s">
        <v>28</v>
      </c>
      <c r="D649">
        <v>1</v>
      </c>
      <c r="E649">
        <v>3</v>
      </c>
      <c r="F649">
        <v>1</v>
      </c>
      <c r="G649">
        <v>2026</v>
      </c>
      <c r="H649" t="s">
        <v>169</v>
      </c>
      <c r="I649" t="s">
        <v>289</v>
      </c>
      <c r="J649" t="s">
        <v>60</v>
      </c>
      <c r="K649">
        <v>53</v>
      </c>
      <c r="L649">
        <v>2</v>
      </c>
      <c r="M649">
        <v>130</v>
      </c>
    </row>
    <row r="650" spans="1:13">
      <c r="A650">
        <v>649</v>
      </c>
      <c r="B650" s="1">
        <v>46082</v>
      </c>
      <c r="C650" t="s">
        <v>28</v>
      </c>
      <c r="D650">
        <v>1</v>
      </c>
      <c r="E650">
        <v>3</v>
      </c>
      <c r="F650">
        <v>1</v>
      </c>
      <c r="G650">
        <v>2026</v>
      </c>
      <c r="H650" t="s">
        <v>169</v>
      </c>
      <c r="I650" t="s">
        <v>509</v>
      </c>
      <c r="J650" t="s">
        <v>19</v>
      </c>
      <c r="K650">
        <v>19</v>
      </c>
      <c r="L650">
        <v>10</v>
      </c>
      <c r="M650">
        <v>191</v>
      </c>
    </row>
    <row r="651" spans="1:13">
      <c r="A651">
        <v>650</v>
      </c>
      <c r="B651" s="1">
        <v>46082</v>
      </c>
      <c r="C651" t="s">
        <v>28</v>
      </c>
      <c r="D651">
        <v>1</v>
      </c>
      <c r="E651">
        <v>3</v>
      </c>
      <c r="F651">
        <v>1</v>
      </c>
      <c r="G651">
        <v>2026</v>
      </c>
      <c r="H651" t="s">
        <v>169</v>
      </c>
      <c r="I651" t="s">
        <v>510</v>
      </c>
      <c r="J651" t="s">
        <v>43</v>
      </c>
      <c r="K651">
        <v>20</v>
      </c>
      <c r="L651">
        <v>7</v>
      </c>
      <c r="M651">
        <v>158</v>
      </c>
    </row>
    <row r="652" spans="1:13">
      <c r="A652">
        <v>651</v>
      </c>
      <c r="B652" s="1">
        <v>45576</v>
      </c>
      <c r="C652" t="s">
        <v>79</v>
      </c>
      <c r="D652">
        <v>11</v>
      </c>
      <c r="E652">
        <v>10</v>
      </c>
      <c r="F652">
        <v>4</v>
      </c>
      <c r="G652">
        <v>2024</v>
      </c>
      <c r="H652" t="s">
        <v>205</v>
      </c>
      <c r="I652" t="s">
        <v>487</v>
      </c>
      <c r="J652" t="s">
        <v>19</v>
      </c>
      <c r="K652">
        <v>28</v>
      </c>
      <c r="L652">
        <v>3</v>
      </c>
      <c r="M652">
        <v>90</v>
      </c>
    </row>
    <row r="653" spans="1:13">
      <c r="A653">
        <v>652</v>
      </c>
      <c r="B653" s="1">
        <v>45576</v>
      </c>
      <c r="C653" t="s">
        <v>79</v>
      </c>
      <c r="D653">
        <v>11</v>
      </c>
      <c r="E653">
        <v>10</v>
      </c>
      <c r="F653">
        <v>4</v>
      </c>
      <c r="G653">
        <v>2024</v>
      </c>
      <c r="H653" t="s">
        <v>205</v>
      </c>
      <c r="I653" t="s">
        <v>369</v>
      </c>
      <c r="J653" t="s">
        <v>43</v>
      </c>
      <c r="K653">
        <v>51</v>
      </c>
      <c r="L653">
        <v>8</v>
      </c>
      <c r="M653">
        <v>418</v>
      </c>
    </row>
    <row r="654" spans="1:13">
      <c r="A654">
        <v>653</v>
      </c>
      <c r="B654" s="1">
        <v>45576</v>
      </c>
      <c r="C654" t="s">
        <v>79</v>
      </c>
      <c r="D654">
        <v>11</v>
      </c>
      <c r="E654">
        <v>10</v>
      </c>
      <c r="F654">
        <v>4</v>
      </c>
      <c r="G654">
        <v>2024</v>
      </c>
      <c r="H654" t="s">
        <v>205</v>
      </c>
      <c r="I654" t="s">
        <v>511</v>
      </c>
      <c r="J654" t="s">
        <v>27</v>
      </c>
      <c r="K654">
        <v>54</v>
      </c>
      <c r="L654">
        <v>0</v>
      </c>
      <c r="M654">
        <v>53</v>
      </c>
    </row>
    <row r="655" spans="1:13">
      <c r="A655">
        <v>654</v>
      </c>
      <c r="B655" s="1">
        <v>45576</v>
      </c>
      <c r="C655" t="s">
        <v>79</v>
      </c>
      <c r="D655">
        <v>11</v>
      </c>
      <c r="E655">
        <v>10</v>
      </c>
      <c r="F655">
        <v>4</v>
      </c>
      <c r="G655">
        <v>2024</v>
      </c>
      <c r="H655" t="s">
        <v>205</v>
      </c>
      <c r="I655" t="s">
        <v>512</v>
      </c>
      <c r="J655" t="s">
        <v>27</v>
      </c>
      <c r="K655">
        <v>34</v>
      </c>
      <c r="L655">
        <v>9</v>
      </c>
      <c r="M655">
        <v>321</v>
      </c>
    </row>
    <row r="656" spans="1:13">
      <c r="A656">
        <v>655</v>
      </c>
      <c r="B656" s="1">
        <v>45576</v>
      </c>
      <c r="C656" t="s">
        <v>79</v>
      </c>
      <c r="D656">
        <v>11</v>
      </c>
      <c r="E656">
        <v>10</v>
      </c>
      <c r="F656">
        <v>4</v>
      </c>
      <c r="G656">
        <v>2024</v>
      </c>
      <c r="H656" t="s">
        <v>205</v>
      </c>
      <c r="I656" t="s">
        <v>399</v>
      </c>
      <c r="J656" t="s">
        <v>55</v>
      </c>
      <c r="K656">
        <v>58</v>
      </c>
      <c r="L656">
        <v>5</v>
      </c>
      <c r="M656">
        <v>335</v>
      </c>
    </row>
    <row r="657" spans="1:13">
      <c r="A657">
        <v>656</v>
      </c>
      <c r="B657" s="1">
        <v>45576</v>
      </c>
      <c r="C657" t="s">
        <v>79</v>
      </c>
      <c r="D657">
        <v>11</v>
      </c>
      <c r="E657">
        <v>10</v>
      </c>
      <c r="F657">
        <v>4</v>
      </c>
      <c r="G657">
        <v>2024</v>
      </c>
      <c r="H657" t="s">
        <v>205</v>
      </c>
      <c r="I657" t="s">
        <v>299</v>
      </c>
      <c r="J657" t="s">
        <v>57</v>
      </c>
      <c r="K657">
        <v>47</v>
      </c>
      <c r="L657">
        <v>8</v>
      </c>
      <c r="M657">
        <v>377</v>
      </c>
    </row>
    <row r="658" spans="1:13">
      <c r="A658">
        <v>657</v>
      </c>
      <c r="B658" s="1">
        <v>45807</v>
      </c>
      <c r="C658" t="s">
        <v>79</v>
      </c>
      <c r="D658">
        <v>30</v>
      </c>
      <c r="E658">
        <v>5</v>
      </c>
      <c r="F658">
        <v>2</v>
      </c>
      <c r="G658">
        <v>2025</v>
      </c>
      <c r="H658" t="s">
        <v>513</v>
      </c>
      <c r="I658" t="s">
        <v>514</v>
      </c>
      <c r="J658" t="s">
        <v>23</v>
      </c>
      <c r="K658">
        <v>30</v>
      </c>
      <c r="L658">
        <v>7</v>
      </c>
      <c r="M658">
        <v>212</v>
      </c>
    </row>
    <row r="659" spans="1:13">
      <c r="A659">
        <v>658</v>
      </c>
      <c r="B659" s="1">
        <v>45807</v>
      </c>
      <c r="C659" t="s">
        <v>79</v>
      </c>
      <c r="D659">
        <v>30</v>
      </c>
      <c r="E659">
        <v>5</v>
      </c>
      <c r="F659">
        <v>2</v>
      </c>
      <c r="G659">
        <v>2025</v>
      </c>
      <c r="H659" t="s">
        <v>513</v>
      </c>
      <c r="I659" t="s">
        <v>20</v>
      </c>
      <c r="J659" t="s">
        <v>21</v>
      </c>
      <c r="K659">
        <v>40</v>
      </c>
      <c r="L659">
        <v>3</v>
      </c>
      <c r="M659">
        <v>145</v>
      </c>
    </row>
    <row r="660" spans="1:13">
      <c r="A660">
        <v>659</v>
      </c>
      <c r="B660" s="1">
        <v>45807</v>
      </c>
      <c r="C660" t="s">
        <v>79</v>
      </c>
      <c r="D660">
        <v>30</v>
      </c>
      <c r="E660">
        <v>5</v>
      </c>
      <c r="F660">
        <v>2</v>
      </c>
      <c r="G660">
        <v>2025</v>
      </c>
      <c r="H660" t="s">
        <v>513</v>
      </c>
      <c r="I660" t="s">
        <v>52</v>
      </c>
      <c r="J660" t="s">
        <v>21</v>
      </c>
      <c r="K660">
        <v>58</v>
      </c>
      <c r="L660">
        <v>1</v>
      </c>
      <c r="M660">
        <v>103</v>
      </c>
    </row>
    <row r="661" spans="1:13">
      <c r="A661">
        <v>660</v>
      </c>
      <c r="B661" s="1">
        <v>45807</v>
      </c>
      <c r="C661" t="s">
        <v>79</v>
      </c>
      <c r="D661">
        <v>30</v>
      </c>
      <c r="E661">
        <v>5</v>
      </c>
      <c r="F661">
        <v>2</v>
      </c>
      <c r="G661">
        <v>2025</v>
      </c>
      <c r="H661" t="s">
        <v>513</v>
      </c>
      <c r="I661" t="s">
        <v>493</v>
      </c>
      <c r="J661" t="s">
        <v>46</v>
      </c>
      <c r="K661">
        <v>15</v>
      </c>
      <c r="L661">
        <v>9</v>
      </c>
      <c r="M661">
        <v>145</v>
      </c>
    </row>
    <row r="662" spans="1:13">
      <c r="A662">
        <v>661</v>
      </c>
      <c r="B662" s="1">
        <v>45807</v>
      </c>
      <c r="C662" t="s">
        <v>79</v>
      </c>
      <c r="D662">
        <v>30</v>
      </c>
      <c r="E662">
        <v>5</v>
      </c>
      <c r="F662">
        <v>2</v>
      </c>
      <c r="G662">
        <v>2025</v>
      </c>
      <c r="H662" t="s">
        <v>513</v>
      </c>
      <c r="I662" t="s">
        <v>515</v>
      </c>
      <c r="J662" t="s">
        <v>60</v>
      </c>
      <c r="K662">
        <v>44</v>
      </c>
      <c r="L662">
        <v>6</v>
      </c>
      <c r="M662">
        <v>266</v>
      </c>
    </row>
    <row r="663" spans="1:13">
      <c r="A663">
        <v>662</v>
      </c>
      <c r="B663" s="1">
        <v>45807</v>
      </c>
      <c r="C663" t="s">
        <v>79</v>
      </c>
      <c r="D663">
        <v>30</v>
      </c>
      <c r="E663">
        <v>5</v>
      </c>
      <c r="F663">
        <v>2</v>
      </c>
      <c r="G663">
        <v>2025</v>
      </c>
      <c r="H663" t="s">
        <v>513</v>
      </c>
      <c r="I663" t="s">
        <v>516</v>
      </c>
      <c r="J663" t="s">
        <v>31</v>
      </c>
      <c r="K663">
        <v>34</v>
      </c>
      <c r="L663">
        <v>4</v>
      </c>
      <c r="M663">
        <v>159</v>
      </c>
    </row>
    <row r="664" spans="1:13">
      <c r="A664">
        <v>663</v>
      </c>
      <c r="B664" s="1">
        <v>45807</v>
      </c>
      <c r="C664" t="s">
        <v>79</v>
      </c>
      <c r="D664">
        <v>30</v>
      </c>
      <c r="E664">
        <v>5</v>
      </c>
      <c r="F664">
        <v>2</v>
      </c>
      <c r="G664">
        <v>2025</v>
      </c>
      <c r="H664" t="s">
        <v>513</v>
      </c>
      <c r="I664" t="s">
        <v>479</v>
      </c>
      <c r="J664" t="s">
        <v>17</v>
      </c>
      <c r="K664">
        <v>59</v>
      </c>
      <c r="L664">
        <v>5</v>
      </c>
      <c r="M664">
        <v>310</v>
      </c>
    </row>
    <row r="665" spans="1:13">
      <c r="A665">
        <v>664</v>
      </c>
      <c r="B665" s="1">
        <v>45807</v>
      </c>
      <c r="C665" t="s">
        <v>79</v>
      </c>
      <c r="D665">
        <v>30</v>
      </c>
      <c r="E665">
        <v>5</v>
      </c>
      <c r="F665">
        <v>2</v>
      </c>
      <c r="G665">
        <v>2025</v>
      </c>
      <c r="H665" t="s">
        <v>513</v>
      </c>
      <c r="I665" t="s">
        <v>202</v>
      </c>
      <c r="J665" t="s">
        <v>17</v>
      </c>
      <c r="K665">
        <v>30</v>
      </c>
      <c r="L665">
        <v>8</v>
      </c>
      <c r="M665">
        <v>254</v>
      </c>
    </row>
    <row r="666" spans="1:13">
      <c r="A666">
        <v>665</v>
      </c>
      <c r="B666" s="1">
        <v>45807</v>
      </c>
      <c r="C666" t="s">
        <v>79</v>
      </c>
      <c r="D666">
        <v>30</v>
      </c>
      <c r="E666">
        <v>5</v>
      </c>
      <c r="F666">
        <v>2</v>
      </c>
      <c r="G666">
        <v>2025</v>
      </c>
      <c r="H666" t="s">
        <v>513</v>
      </c>
      <c r="I666" t="s">
        <v>506</v>
      </c>
      <c r="J666" t="s">
        <v>97</v>
      </c>
      <c r="K666">
        <v>47</v>
      </c>
      <c r="L666">
        <v>7</v>
      </c>
      <c r="M666">
        <v>334</v>
      </c>
    </row>
    <row r="667" spans="1:13">
      <c r="A667">
        <v>666</v>
      </c>
      <c r="B667" s="1">
        <v>45996</v>
      </c>
      <c r="C667" t="s">
        <v>79</v>
      </c>
      <c r="D667">
        <v>5</v>
      </c>
      <c r="E667">
        <v>12</v>
      </c>
      <c r="F667">
        <v>4</v>
      </c>
      <c r="G667">
        <v>2025</v>
      </c>
      <c r="H667" t="s">
        <v>517</v>
      </c>
      <c r="I667" t="s">
        <v>389</v>
      </c>
      <c r="J667" t="s">
        <v>82</v>
      </c>
      <c r="K667">
        <v>34</v>
      </c>
      <c r="L667">
        <v>4</v>
      </c>
      <c r="M667">
        <v>153</v>
      </c>
    </row>
    <row r="668" spans="1:13">
      <c r="A668">
        <v>667</v>
      </c>
      <c r="B668" s="1">
        <v>45996</v>
      </c>
      <c r="C668" t="s">
        <v>79</v>
      </c>
      <c r="D668">
        <v>5</v>
      </c>
      <c r="E668">
        <v>12</v>
      </c>
      <c r="F668">
        <v>4</v>
      </c>
      <c r="G668">
        <v>2025</v>
      </c>
      <c r="H668" t="s">
        <v>517</v>
      </c>
      <c r="I668" t="s">
        <v>518</v>
      </c>
      <c r="J668" t="s">
        <v>17</v>
      </c>
      <c r="K668">
        <v>52</v>
      </c>
      <c r="L668">
        <v>2</v>
      </c>
      <c r="M668">
        <v>150</v>
      </c>
    </row>
    <row r="669" spans="1:13">
      <c r="A669">
        <v>668</v>
      </c>
      <c r="B669" s="1">
        <v>45996</v>
      </c>
      <c r="C669" t="s">
        <v>79</v>
      </c>
      <c r="D669">
        <v>5</v>
      </c>
      <c r="E669">
        <v>12</v>
      </c>
      <c r="F669">
        <v>4</v>
      </c>
      <c r="G669">
        <v>2025</v>
      </c>
      <c r="H669" t="s">
        <v>517</v>
      </c>
      <c r="I669" t="s">
        <v>141</v>
      </c>
      <c r="J669" t="s">
        <v>46</v>
      </c>
      <c r="K669">
        <v>50</v>
      </c>
      <c r="L669">
        <v>1</v>
      </c>
      <c r="M669">
        <v>86</v>
      </c>
    </row>
    <row r="670" spans="1:13">
      <c r="A670">
        <v>669</v>
      </c>
      <c r="B670" s="1">
        <v>45996</v>
      </c>
      <c r="C670" t="s">
        <v>79</v>
      </c>
      <c r="D670">
        <v>5</v>
      </c>
      <c r="E670">
        <v>12</v>
      </c>
      <c r="F670">
        <v>4</v>
      </c>
      <c r="G670">
        <v>2025</v>
      </c>
      <c r="H670" t="s">
        <v>517</v>
      </c>
      <c r="I670" t="s">
        <v>519</v>
      </c>
      <c r="J670" t="s">
        <v>51</v>
      </c>
      <c r="K670">
        <v>36</v>
      </c>
      <c r="L670">
        <v>7</v>
      </c>
      <c r="M670">
        <v>268</v>
      </c>
    </row>
    <row r="671" spans="1:13">
      <c r="A671">
        <v>670</v>
      </c>
      <c r="B671" s="1">
        <v>45996</v>
      </c>
      <c r="C671" t="s">
        <v>79</v>
      </c>
      <c r="D671">
        <v>5</v>
      </c>
      <c r="E671">
        <v>12</v>
      </c>
      <c r="F671">
        <v>4</v>
      </c>
      <c r="G671">
        <v>2025</v>
      </c>
      <c r="H671" t="s">
        <v>517</v>
      </c>
      <c r="I671" t="s">
        <v>418</v>
      </c>
      <c r="J671" t="s">
        <v>43</v>
      </c>
      <c r="K671">
        <v>46</v>
      </c>
      <c r="L671">
        <v>6</v>
      </c>
      <c r="M671">
        <v>310</v>
      </c>
    </row>
    <row r="672" spans="1:13">
      <c r="A672">
        <v>671</v>
      </c>
      <c r="B672" s="1">
        <v>45996</v>
      </c>
      <c r="C672" t="s">
        <v>79</v>
      </c>
      <c r="D672">
        <v>5</v>
      </c>
      <c r="E672">
        <v>12</v>
      </c>
      <c r="F672">
        <v>4</v>
      </c>
      <c r="G672">
        <v>2025</v>
      </c>
      <c r="H672" t="s">
        <v>517</v>
      </c>
      <c r="I672" t="s">
        <v>520</v>
      </c>
      <c r="J672" t="s">
        <v>122</v>
      </c>
      <c r="K672">
        <v>22</v>
      </c>
      <c r="L672">
        <v>18</v>
      </c>
      <c r="M672">
        <v>413</v>
      </c>
    </row>
    <row r="673" spans="1:13">
      <c r="A673">
        <v>672</v>
      </c>
      <c r="B673" s="1">
        <v>45996</v>
      </c>
      <c r="C673" t="s">
        <v>79</v>
      </c>
      <c r="D673">
        <v>5</v>
      </c>
      <c r="E673">
        <v>12</v>
      </c>
      <c r="F673">
        <v>4</v>
      </c>
      <c r="G673">
        <v>2025</v>
      </c>
      <c r="H673" t="s">
        <v>517</v>
      </c>
      <c r="I673" t="s">
        <v>271</v>
      </c>
      <c r="J673" t="s">
        <v>25</v>
      </c>
      <c r="K673">
        <v>26</v>
      </c>
      <c r="L673">
        <v>9</v>
      </c>
      <c r="M673">
        <v>251</v>
      </c>
    </row>
    <row r="674" spans="1:13">
      <c r="A674">
        <v>673</v>
      </c>
      <c r="B674" s="1">
        <v>45996</v>
      </c>
      <c r="C674" t="s">
        <v>79</v>
      </c>
      <c r="D674">
        <v>5</v>
      </c>
      <c r="E674">
        <v>12</v>
      </c>
      <c r="F674">
        <v>4</v>
      </c>
      <c r="G674">
        <v>2025</v>
      </c>
      <c r="H674" t="s">
        <v>517</v>
      </c>
      <c r="I674" t="s">
        <v>36</v>
      </c>
      <c r="J674" t="s">
        <v>37</v>
      </c>
      <c r="K674">
        <v>56</v>
      </c>
      <c r="L674">
        <v>4</v>
      </c>
      <c r="M674">
        <v>257</v>
      </c>
    </row>
    <row r="675" spans="1:13">
      <c r="A675">
        <v>674</v>
      </c>
      <c r="B675" s="1">
        <v>45996</v>
      </c>
      <c r="C675" t="s">
        <v>79</v>
      </c>
      <c r="D675">
        <v>5</v>
      </c>
      <c r="E675">
        <v>12</v>
      </c>
      <c r="F675">
        <v>4</v>
      </c>
      <c r="G675">
        <v>2025</v>
      </c>
      <c r="H675" t="s">
        <v>517</v>
      </c>
      <c r="I675" t="s">
        <v>443</v>
      </c>
      <c r="J675" t="s">
        <v>55</v>
      </c>
      <c r="K675">
        <v>29</v>
      </c>
      <c r="L675">
        <v>13</v>
      </c>
      <c r="M675">
        <v>391</v>
      </c>
    </row>
    <row r="676" spans="1:13">
      <c r="A676">
        <v>675</v>
      </c>
      <c r="B676" s="1">
        <v>45996</v>
      </c>
      <c r="C676" t="s">
        <v>79</v>
      </c>
      <c r="D676">
        <v>5</v>
      </c>
      <c r="E676">
        <v>12</v>
      </c>
      <c r="F676">
        <v>4</v>
      </c>
      <c r="G676">
        <v>2025</v>
      </c>
      <c r="H676" t="s">
        <v>517</v>
      </c>
      <c r="I676" t="s">
        <v>50</v>
      </c>
      <c r="J676" t="s">
        <v>51</v>
      </c>
      <c r="K676">
        <v>59</v>
      </c>
      <c r="L676">
        <v>2</v>
      </c>
      <c r="M676">
        <v>160</v>
      </c>
    </row>
    <row r="677" spans="1:13">
      <c r="A677">
        <v>676</v>
      </c>
      <c r="B677" s="1">
        <v>45996</v>
      </c>
      <c r="C677" t="s">
        <v>79</v>
      </c>
      <c r="D677">
        <v>5</v>
      </c>
      <c r="E677">
        <v>12</v>
      </c>
      <c r="F677">
        <v>4</v>
      </c>
      <c r="G677">
        <v>2025</v>
      </c>
      <c r="H677" t="s">
        <v>517</v>
      </c>
      <c r="I677" t="s">
        <v>157</v>
      </c>
      <c r="J677" t="s">
        <v>19</v>
      </c>
      <c r="K677">
        <v>50</v>
      </c>
      <c r="L677">
        <v>8</v>
      </c>
      <c r="M677">
        <v>433</v>
      </c>
    </row>
    <row r="678" spans="1:13">
      <c r="A678">
        <v>677</v>
      </c>
      <c r="B678" s="1">
        <v>45996</v>
      </c>
      <c r="C678" t="s">
        <v>79</v>
      </c>
      <c r="D678">
        <v>5</v>
      </c>
      <c r="E678">
        <v>12</v>
      </c>
      <c r="F678">
        <v>4</v>
      </c>
      <c r="G678">
        <v>2025</v>
      </c>
      <c r="H678" t="s">
        <v>517</v>
      </c>
      <c r="I678" t="s">
        <v>278</v>
      </c>
      <c r="J678" t="s">
        <v>39</v>
      </c>
      <c r="K678">
        <v>40</v>
      </c>
      <c r="L678">
        <v>14</v>
      </c>
      <c r="M678">
        <v>572</v>
      </c>
    </row>
    <row r="679" spans="1:13">
      <c r="A679">
        <v>678</v>
      </c>
      <c r="B679" s="1">
        <v>45691</v>
      </c>
      <c r="C679" t="s">
        <v>93</v>
      </c>
      <c r="D679">
        <v>3</v>
      </c>
      <c r="E679">
        <v>2</v>
      </c>
      <c r="F679">
        <v>1</v>
      </c>
      <c r="G679">
        <v>2025</v>
      </c>
      <c r="H679" t="s">
        <v>328</v>
      </c>
      <c r="I679" t="s">
        <v>218</v>
      </c>
      <c r="J679" t="s">
        <v>97</v>
      </c>
      <c r="K679">
        <v>30</v>
      </c>
      <c r="L679">
        <v>7</v>
      </c>
      <c r="M679">
        <v>220</v>
      </c>
    </row>
    <row r="680" spans="1:13">
      <c r="A680">
        <v>679</v>
      </c>
      <c r="B680" s="1">
        <v>45691</v>
      </c>
      <c r="C680" t="s">
        <v>93</v>
      </c>
      <c r="D680">
        <v>3</v>
      </c>
      <c r="E680">
        <v>2</v>
      </c>
      <c r="F680">
        <v>1</v>
      </c>
      <c r="G680">
        <v>2025</v>
      </c>
      <c r="H680" t="s">
        <v>328</v>
      </c>
      <c r="I680" t="s">
        <v>255</v>
      </c>
      <c r="J680" t="s">
        <v>39</v>
      </c>
      <c r="K680">
        <v>26</v>
      </c>
      <c r="L680">
        <v>9</v>
      </c>
      <c r="M680">
        <v>257</v>
      </c>
    </row>
    <row r="681" spans="1:13">
      <c r="A681">
        <v>680</v>
      </c>
      <c r="B681" s="1">
        <v>45691</v>
      </c>
      <c r="C681" t="s">
        <v>93</v>
      </c>
      <c r="D681">
        <v>3</v>
      </c>
      <c r="E681">
        <v>2</v>
      </c>
      <c r="F681">
        <v>1</v>
      </c>
      <c r="G681">
        <v>2025</v>
      </c>
      <c r="H681" t="s">
        <v>328</v>
      </c>
      <c r="I681" t="s">
        <v>521</v>
      </c>
      <c r="J681" t="s">
        <v>17</v>
      </c>
      <c r="K681">
        <v>54</v>
      </c>
      <c r="L681">
        <v>2</v>
      </c>
      <c r="M681">
        <v>121</v>
      </c>
    </row>
    <row r="682" spans="1:13">
      <c r="A682">
        <v>681</v>
      </c>
      <c r="B682" s="1">
        <v>45691</v>
      </c>
      <c r="C682" t="s">
        <v>93</v>
      </c>
      <c r="D682">
        <v>3</v>
      </c>
      <c r="E682">
        <v>2</v>
      </c>
      <c r="F682">
        <v>1</v>
      </c>
      <c r="G682">
        <v>2025</v>
      </c>
      <c r="H682" t="s">
        <v>328</v>
      </c>
      <c r="I682" t="s">
        <v>522</v>
      </c>
      <c r="J682" t="s">
        <v>97</v>
      </c>
      <c r="K682">
        <v>50</v>
      </c>
      <c r="L682">
        <v>8</v>
      </c>
      <c r="M682">
        <v>421</v>
      </c>
    </row>
    <row r="683" spans="1:13">
      <c r="A683">
        <v>682</v>
      </c>
      <c r="B683" s="1">
        <v>45691</v>
      </c>
      <c r="C683" t="s">
        <v>93</v>
      </c>
      <c r="D683">
        <v>3</v>
      </c>
      <c r="E683">
        <v>2</v>
      </c>
      <c r="F683">
        <v>1</v>
      </c>
      <c r="G683">
        <v>2025</v>
      </c>
      <c r="H683" t="s">
        <v>328</v>
      </c>
      <c r="I683" t="s">
        <v>220</v>
      </c>
      <c r="J683" t="s">
        <v>97</v>
      </c>
      <c r="K683">
        <v>12</v>
      </c>
      <c r="L683">
        <v>28</v>
      </c>
      <c r="M683">
        <v>345</v>
      </c>
    </row>
    <row r="684" spans="1:13">
      <c r="A684">
        <v>683</v>
      </c>
      <c r="B684" s="1">
        <v>45691</v>
      </c>
      <c r="C684" t="s">
        <v>93</v>
      </c>
      <c r="D684">
        <v>3</v>
      </c>
      <c r="E684">
        <v>2</v>
      </c>
      <c r="F684">
        <v>1</v>
      </c>
      <c r="G684">
        <v>2025</v>
      </c>
      <c r="H684" t="s">
        <v>328</v>
      </c>
      <c r="I684" t="s">
        <v>315</v>
      </c>
      <c r="J684" t="s">
        <v>27</v>
      </c>
      <c r="K684">
        <v>11</v>
      </c>
      <c r="L684">
        <v>41</v>
      </c>
      <c r="M684">
        <v>455</v>
      </c>
    </row>
    <row r="685" spans="1:13">
      <c r="A685">
        <v>684</v>
      </c>
      <c r="B685" s="1">
        <v>45691</v>
      </c>
      <c r="C685" t="s">
        <v>93</v>
      </c>
      <c r="D685">
        <v>3</v>
      </c>
      <c r="E685">
        <v>2</v>
      </c>
      <c r="F685">
        <v>1</v>
      </c>
      <c r="G685">
        <v>2025</v>
      </c>
      <c r="H685" t="s">
        <v>328</v>
      </c>
      <c r="I685" t="s">
        <v>212</v>
      </c>
      <c r="J685" t="s">
        <v>57</v>
      </c>
      <c r="K685">
        <v>50</v>
      </c>
      <c r="L685">
        <v>8</v>
      </c>
      <c r="M685">
        <v>408</v>
      </c>
    </row>
    <row r="686" spans="1:13">
      <c r="A686">
        <v>685</v>
      </c>
      <c r="B686" s="1">
        <v>45691</v>
      </c>
      <c r="C686" t="s">
        <v>93</v>
      </c>
      <c r="D686">
        <v>3</v>
      </c>
      <c r="E686">
        <v>2</v>
      </c>
      <c r="F686">
        <v>1</v>
      </c>
      <c r="G686">
        <v>2025</v>
      </c>
      <c r="H686" t="s">
        <v>328</v>
      </c>
      <c r="I686" t="s">
        <v>258</v>
      </c>
      <c r="J686" t="s">
        <v>57</v>
      </c>
      <c r="K686">
        <v>20</v>
      </c>
      <c r="L686">
        <v>14</v>
      </c>
      <c r="M686">
        <v>294</v>
      </c>
    </row>
    <row r="687" spans="1:13">
      <c r="A687">
        <v>686</v>
      </c>
      <c r="B687" s="1">
        <v>46257</v>
      </c>
      <c r="C687" t="s">
        <v>28</v>
      </c>
      <c r="D687">
        <v>23</v>
      </c>
      <c r="E687">
        <v>8</v>
      </c>
      <c r="F687">
        <v>3</v>
      </c>
      <c r="G687">
        <v>2026</v>
      </c>
      <c r="H687" t="s">
        <v>494</v>
      </c>
      <c r="I687" t="s">
        <v>263</v>
      </c>
      <c r="J687" t="s">
        <v>60</v>
      </c>
      <c r="K687">
        <v>43</v>
      </c>
      <c r="L687">
        <v>4</v>
      </c>
      <c r="M687">
        <v>199</v>
      </c>
    </row>
    <row r="688" spans="1:13">
      <c r="A688">
        <v>687</v>
      </c>
      <c r="B688" s="1">
        <v>46257</v>
      </c>
      <c r="C688" t="s">
        <v>28</v>
      </c>
      <c r="D688">
        <v>23</v>
      </c>
      <c r="E688">
        <v>8</v>
      </c>
      <c r="F688">
        <v>3</v>
      </c>
      <c r="G688">
        <v>2026</v>
      </c>
      <c r="H688" t="s">
        <v>494</v>
      </c>
      <c r="I688" t="s">
        <v>523</v>
      </c>
      <c r="J688" t="s">
        <v>23</v>
      </c>
      <c r="K688">
        <v>35</v>
      </c>
      <c r="L688">
        <v>9</v>
      </c>
      <c r="M688">
        <v>317</v>
      </c>
    </row>
    <row r="689" spans="1:13">
      <c r="A689">
        <v>688</v>
      </c>
      <c r="B689" s="1">
        <v>46257</v>
      </c>
      <c r="C689" t="s">
        <v>28</v>
      </c>
      <c r="D689">
        <v>23</v>
      </c>
      <c r="E689">
        <v>8</v>
      </c>
      <c r="F689">
        <v>3</v>
      </c>
      <c r="G689">
        <v>2026</v>
      </c>
      <c r="H689" t="s">
        <v>494</v>
      </c>
      <c r="I689" t="s">
        <v>161</v>
      </c>
      <c r="J689" t="s">
        <v>37</v>
      </c>
      <c r="K689">
        <v>26</v>
      </c>
      <c r="L689">
        <v>12</v>
      </c>
      <c r="M689">
        <v>327</v>
      </c>
    </row>
    <row r="690" spans="1:13">
      <c r="A690">
        <v>689</v>
      </c>
      <c r="B690" s="1">
        <v>45762</v>
      </c>
      <c r="C690" t="s">
        <v>48</v>
      </c>
      <c r="D690">
        <v>15</v>
      </c>
      <c r="E690">
        <v>4</v>
      </c>
      <c r="F690">
        <v>2</v>
      </c>
      <c r="G690">
        <v>2025</v>
      </c>
      <c r="H690" t="s">
        <v>524</v>
      </c>
      <c r="I690" t="s">
        <v>428</v>
      </c>
      <c r="J690" t="s">
        <v>31</v>
      </c>
      <c r="K690">
        <v>17</v>
      </c>
      <c r="L690">
        <v>27</v>
      </c>
      <c r="M690">
        <v>467</v>
      </c>
    </row>
    <row r="691" spans="1:13">
      <c r="A691">
        <v>690</v>
      </c>
      <c r="B691" s="1">
        <v>45590</v>
      </c>
      <c r="C691" t="s">
        <v>79</v>
      </c>
      <c r="D691">
        <v>25</v>
      </c>
      <c r="E691">
        <v>10</v>
      </c>
      <c r="F691">
        <v>4</v>
      </c>
      <c r="G691">
        <v>2024</v>
      </c>
      <c r="H691" t="s">
        <v>373</v>
      </c>
      <c r="I691" t="s">
        <v>104</v>
      </c>
      <c r="J691" t="s">
        <v>51</v>
      </c>
      <c r="K691">
        <v>43</v>
      </c>
      <c r="L691">
        <v>11</v>
      </c>
      <c r="M691">
        <v>514</v>
      </c>
    </row>
    <row r="692" spans="1:13">
      <c r="A692">
        <v>691</v>
      </c>
      <c r="B692" s="1">
        <v>45590</v>
      </c>
      <c r="C692" t="s">
        <v>79</v>
      </c>
      <c r="D692">
        <v>25</v>
      </c>
      <c r="E692">
        <v>10</v>
      </c>
      <c r="F692">
        <v>4</v>
      </c>
      <c r="G692">
        <v>2024</v>
      </c>
      <c r="H692" t="s">
        <v>373</v>
      </c>
      <c r="I692" t="s">
        <v>525</v>
      </c>
      <c r="J692" t="s">
        <v>17</v>
      </c>
      <c r="K692">
        <v>46</v>
      </c>
      <c r="L692">
        <v>2</v>
      </c>
      <c r="M692">
        <v>132</v>
      </c>
    </row>
    <row r="693" spans="1:13">
      <c r="A693">
        <v>692</v>
      </c>
      <c r="B693" s="1">
        <v>45590</v>
      </c>
      <c r="C693" t="s">
        <v>79</v>
      </c>
      <c r="D693">
        <v>25</v>
      </c>
      <c r="E693">
        <v>10</v>
      </c>
      <c r="F693">
        <v>4</v>
      </c>
      <c r="G693">
        <v>2024</v>
      </c>
      <c r="H693" t="s">
        <v>373</v>
      </c>
      <c r="I693" t="s">
        <v>488</v>
      </c>
      <c r="J693" t="s">
        <v>46</v>
      </c>
      <c r="K693">
        <v>49</v>
      </c>
      <c r="L693">
        <v>4</v>
      </c>
      <c r="M693">
        <v>204</v>
      </c>
    </row>
    <row r="694" spans="1:13">
      <c r="A694">
        <v>693</v>
      </c>
      <c r="B694" s="1">
        <v>45590</v>
      </c>
      <c r="C694" t="s">
        <v>79</v>
      </c>
      <c r="D694">
        <v>25</v>
      </c>
      <c r="E694">
        <v>10</v>
      </c>
      <c r="F694">
        <v>4</v>
      </c>
      <c r="G694">
        <v>2024</v>
      </c>
      <c r="H694" t="s">
        <v>373</v>
      </c>
      <c r="I694" t="s">
        <v>368</v>
      </c>
      <c r="J694" t="s">
        <v>31</v>
      </c>
      <c r="K694">
        <v>43</v>
      </c>
      <c r="L694">
        <v>7</v>
      </c>
      <c r="M694">
        <v>331</v>
      </c>
    </row>
    <row r="695" spans="1:13">
      <c r="A695">
        <v>694</v>
      </c>
      <c r="B695" s="1">
        <v>45590</v>
      </c>
      <c r="C695" t="s">
        <v>79</v>
      </c>
      <c r="D695">
        <v>25</v>
      </c>
      <c r="E695">
        <v>10</v>
      </c>
      <c r="F695">
        <v>4</v>
      </c>
      <c r="G695">
        <v>2024</v>
      </c>
      <c r="H695" t="s">
        <v>373</v>
      </c>
      <c r="I695" t="s">
        <v>83</v>
      </c>
      <c r="J695" t="s">
        <v>51</v>
      </c>
      <c r="K695">
        <v>30</v>
      </c>
      <c r="L695">
        <v>3</v>
      </c>
      <c r="M695">
        <v>118</v>
      </c>
    </row>
    <row r="696" spans="1:13">
      <c r="A696">
        <v>695</v>
      </c>
      <c r="B696" s="1">
        <v>45580</v>
      </c>
      <c r="C696" t="s">
        <v>48</v>
      </c>
      <c r="D696">
        <v>15</v>
      </c>
      <c r="E696">
        <v>10</v>
      </c>
      <c r="F696">
        <v>4</v>
      </c>
      <c r="G696">
        <v>2024</v>
      </c>
      <c r="H696" t="s">
        <v>526</v>
      </c>
      <c r="I696" t="s">
        <v>449</v>
      </c>
      <c r="J696" t="s">
        <v>82</v>
      </c>
      <c r="K696">
        <v>22</v>
      </c>
      <c r="L696">
        <v>9</v>
      </c>
      <c r="M696">
        <v>209</v>
      </c>
    </row>
    <row r="697" spans="1:13">
      <c r="A697">
        <v>696</v>
      </c>
      <c r="B697" s="1">
        <v>45580</v>
      </c>
      <c r="C697" t="s">
        <v>48</v>
      </c>
      <c r="D697">
        <v>15</v>
      </c>
      <c r="E697">
        <v>10</v>
      </c>
      <c r="F697">
        <v>4</v>
      </c>
      <c r="G697">
        <v>2024</v>
      </c>
      <c r="H697" t="s">
        <v>526</v>
      </c>
      <c r="I697" t="s">
        <v>520</v>
      </c>
      <c r="J697" t="s">
        <v>122</v>
      </c>
      <c r="K697">
        <v>27</v>
      </c>
      <c r="L697">
        <v>14</v>
      </c>
      <c r="M697">
        <v>396</v>
      </c>
    </row>
    <row r="698" spans="1:13">
      <c r="A698">
        <v>697</v>
      </c>
      <c r="B698" s="1">
        <v>45580</v>
      </c>
      <c r="C698" t="s">
        <v>48</v>
      </c>
      <c r="D698">
        <v>15</v>
      </c>
      <c r="E698">
        <v>10</v>
      </c>
      <c r="F698">
        <v>4</v>
      </c>
      <c r="G698">
        <v>2024</v>
      </c>
      <c r="H698" t="s">
        <v>526</v>
      </c>
      <c r="I698" t="s">
        <v>527</v>
      </c>
      <c r="J698" t="s">
        <v>27</v>
      </c>
      <c r="K698">
        <v>32</v>
      </c>
      <c r="L698">
        <v>7</v>
      </c>
      <c r="M698">
        <v>244</v>
      </c>
    </row>
    <row r="699" spans="1:13">
      <c r="A699">
        <v>698</v>
      </c>
      <c r="B699" s="1">
        <v>45580</v>
      </c>
      <c r="C699" t="s">
        <v>48</v>
      </c>
      <c r="D699">
        <v>15</v>
      </c>
      <c r="E699">
        <v>10</v>
      </c>
      <c r="F699">
        <v>4</v>
      </c>
      <c r="G699">
        <v>2024</v>
      </c>
      <c r="H699" t="s">
        <v>526</v>
      </c>
      <c r="I699" t="s">
        <v>528</v>
      </c>
      <c r="J699" t="s">
        <v>69</v>
      </c>
      <c r="K699">
        <v>36</v>
      </c>
      <c r="L699">
        <v>2</v>
      </c>
      <c r="M699">
        <v>103</v>
      </c>
    </row>
    <row r="700" spans="1:13">
      <c r="A700">
        <v>699</v>
      </c>
      <c r="B700" s="1">
        <v>45830</v>
      </c>
      <c r="C700" t="s">
        <v>28</v>
      </c>
      <c r="D700">
        <v>22</v>
      </c>
      <c r="E700">
        <v>6</v>
      </c>
      <c r="F700">
        <v>2</v>
      </c>
      <c r="G700">
        <v>2025</v>
      </c>
      <c r="H700" t="s">
        <v>196</v>
      </c>
      <c r="I700" t="s">
        <v>430</v>
      </c>
      <c r="J700" t="s">
        <v>27</v>
      </c>
      <c r="K700">
        <v>10</v>
      </c>
      <c r="L700">
        <v>29</v>
      </c>
      <c r="M700">
        <v>299</v>
      </c>
    </row>
    <row r="701" spans="1:13">
      <c r="A701">
        <v>700</v>
      </c>
      <c r="B701" s="1">
        <v>45830</v>
      </c>
      <c r="C701" t="s">
        <v>28</v>
      </c>
      <c r="D701">
        <v>22</v>
      </c>
      <c r="E701">
        <v>6</v>
      </c>
      <c r="F701">
        <v>2</v>
      </c>
      <c r="G701">
        <v>2025</v>
      </c>
      <c r="H701" t="s">
        <v>196</v>
      </c>
      <c r="I701" t="s">
        <v>525</v>
      </c>
      <c r="J701" t="s">
        <v>17</v>
      </c>
      <c r="K701">
        <v>43</v>
      </c>
      <c r="L701">
        <v>2</v>
      </c>
      <c r="M701">
        <v>116</v>
      </c>
    </row>
    <row r="702" spans="1:13">
      <c r="A702">
        <v>701</v>
      </c>
      <c r="B702" s="1">
        <v>45830</v>
      </c>
      <c r="C702" t="s">
        <v>28</v>
      </c>
      <c r="D702">
        <v>22</v>
      </c>
      <c r="E702">
        <v>6</v>
      </c>
      <c r="F702">
        <v>2</v>
      </c>
      <c r="G702">
        <v>2025</v>
      </c>
      <c r="H702" t="s">
        <v>196</v>
      </c>
      <c r="I702" t="s">
        <v>343</v>
      </c>
      <c r="J702" t="s">
        <v>46</v>
      </c>
      <c r="K702">
        <v>14</v>
      </c>
      <c r="L702">
        <v>21</v>
      </c>
      <c r="M702">
        <v>306</v>
      </c>
    </row>
    <row r="703" spans="1:13">
      <c r="A703">
        <v>702</v>
      </c>
      <c r="B703" s="1">
        <v>45830</v>
      </c>
      <c r="C703" t="s">
        <v>28</v>
      </c>
      <c r="D703">
        <v>22</v>
      </c>
      <c r="E703">
        <v>6</v>
      </c>
      <c r="F703">
        <v>2</v>
      </c>
      <c r="G703">
        <v>2025</v>
      </c>
      <c r="H703" t="s">
        <v>196</v>
      </c>
      <c r="I703" t="s">
        <v>471</v>
      </c>
      <c r="J703" t="s">
        <v>19</v>
      </c>
      <c r="K703">
        <v>30</v>
      </c>
      <c r="L703">
        <v>11</v>
      </c>
      <c r="M703">
        <v>352</v>
      </c>
    </row>
    <row r="704" spans="1:13">
      <c r="A704">
        <v>703</v>
      </c>
      <c r="B704" s="1">
        <v>45830</v>
      </c>
      <c r="C704" t="s">
        <v>28</v>
      </c>
      <c r="D704">
        <v>22</v>
      </c>
      <c r="E704">
        <v>6</v>
      </c>
      <c r="F704">
        <v>2</v>
      </c>
      <c r="G704">
        <v>2025</v>
      </c>
      <c r="H704" t="s">
        <v>196</v>
      </c>
      <c r="I704" t="s">
        <v>318</v>
      </c>
      <c r="J704" t="s">
        <v>39</v>
      </c>
      <c r="K704">
        <v>18</v>
      </c>
      <c r="L704">
        <v>11</v>
      </c>
      <c r="M704">
        <v>210</v>
      </c>
    </row>
    <row r="705" spans="1:13">
      <c r="A705">
        <v>704</v>
      </c>
      <c r="B705" s="1">
        <v>45830</v>
      </c>
      <c r="C705" t="s">
        <v>28</v>
      </c>
      <c r="D705">
        <v>22</v>
      </c>
      <c r="E705">
        <v>6</v>
      </c>
      <c r="F705">
        <v>2</v>
      </c>
      <c r="G705">
        <v>2025</v>
      </c>
      <c r="H705" t="s">
        <v>196</v>
      </c>
      <c r="I705" t="s">
        <v>386</v>
      </c>
      <c r="J705" t="s">
        <v>21</v>
      </c>
      <c r="K705">
        <v>15</v>
      </c>
      <c r="L705">
        <v>6</v>
      </c>
      <c r="M705">
        <v>94</v>
      </c>
    </row>
    <row r="706" spans="1:13">
      <c r="A706">
        <v>705</v>
      </c>
      <c r="B706" s="1">
        <v>45830</v>
      </c>
      <c r="C706" t="s">
        <v>28</v>
      </c>
      <c r="D706">
        <v>22</v>
      </c>
      <c r="E706">
        <v>6</v>
      </c>
      <c r="F706">
        <v>2</v>
      </c>
      <c r="G706">
        <v>2025</v>
      </c>
      <c r="H706" t="s">
        <v>196</v>
      </c>
      <c r="I706" t="s">
        <v>529</v>
      </c>
      <c r="J706" t="s">
        <v>37</v>
      </c>
      <c r="K706">
        <v>47</v>
      </c>
      <c r="L706">
        <v>8</v>
      </c>
      <c r="M706">
        <v>384</v>
      </c>
    </row>
    <row r="707" spans="1:13">
      <c r="A707">
        <v>706</v>
      </c>
      <c r="B707" s="1">
        <v>45830</v>
      </c>
      <c r="C707" t="s">
        <v>28</v>
      </c>
      <c r="D707">
        <v>22</v>
      </c>
      <c r="E707">
        <v>6</v>
      </c>
      <c r="F707">
        <v>2</v>
      </c>
      <c r="G707">
        <v>2025</v>
      </c>
      <c r="H707" t="s">
        <v>196</v>
      </c>
      <c r="I707" t="s">
        <v>112</v>
      </c>
      <c r="J707" t="s">
        <v>21</v>
      </c>
      <c r="K707">
        <v>18</v>
      </c>
      <c r="L707">
        <v>15</v>
      </c>
      <c r="M707">
        <v>283</v>
      </c>
    </row>
    <row r="708" spans="1:13">
      <c r="A708">
        <v>707</v>
      </c>
      <c r="B708" s="1">
        <v>46270</v>
      </c>
      <c r="C708" t="s">
        <v>14</v>
      </c>
      <c r="D708">
        <v>5</v>
      </c>
      <c r="E708">
        <v>9</v>
      </c>
      <c r="F708">
        <v>3</v>
      </c>
      <c r="G708">
        <v>2026</v>
      </c>
      <c r="H708" t="s">
        <v>49</v>
      </c>
      <c r="I708" t="s">
        <v>530</v>
      </c>
      <c r="J708" t="s">
        <v>37</v>
      </c>
      <c r="K708">
        <v>60</v>
      </c>
      <c r="L708">
        <v>1</v>
      </c>
      <c r="M708">
        <v>97</v>
      </c>
    </row>
    <row r="709" spans="1:13">
      <c r="A709">
        <v>708</v>
      </c>
      <c r="B709" s="1">
        <v>46270</v>
      </c>
      <c r="C709" t="s">
        <v>14</v>
      </c>
      <c r="D709">
        <v>5</v>
      </c>
      <c r="E709">
        <v>9</v>
      </c>
      <c r="F709">
        <v>3</v>
      </c>
      <c r="G709">
        <v>2026</v>
      </c>
      <c r="H709" t="s">
        <v>49</v>
      </c>
      <c r="I709" t="s">
        <v>374</v>
      </c>
      <c r="J709" t="s">
        <v>19</v>
      </c>
      <c r="K709">
        <v>59</v>
      </c>
      <c r="L709">
        <v>5</v>
      </c>
      <c r="M709">
        <v>320</v>
      </c>
    </row>
    <row r="710" spans="1:13">
      <c r="A710">
        <v>709</v>
      </c>
      <c r="B710" s="1">
        <v>46270</v>
      </c>
      <c r="C710" t="s">
        <v>14</v>
      </c>
      <c r="D710">
        <v>5</v>
      </c>
      <c r="E710">
        <v>9</v>
      </c>
      <c r="F710">
        <v>3</v>
      </c>
      <c r="G710">
        <v>2026</v>
      </c>
      <c r="H710" t="s">
        <v>49</v>
      </c>
      <c r="I710" t="s">
        <v>454</v>
      </c>
      <c r="J710" t="s">
        <v>23</v>
      </c>
      <c r="K710">
        <v>39</v>
      </c>
      <c r="L710">
        <v>10</v>
      </c>
      <c r="M710">
        <v>390</v>
      </c>
    </row>
    <row r="711" spans="1:13">
      <c r="A711">
        <v>710</v>
      </c>
      <c r="B711" s="1">
        <v>46270</v>
      </c>
      <c r="C711" t="s">
        <v>14</v>
      </c>
      <c r="D711">
        <v>5</v>
      </c>
      <c r="E711">
        <v>9</v>
      </c>
      <c r="F711">
        <v>3</v>
      </c>
      <c r="G711">
        <v>2026</v>
      </c>
      <c r="H711" t="s">
        <v>49</v>
      </c>
      <c r="I711" t="s">
        <v>336</v>
      </c>
      <c r="J711" t="s">
        <v>82</v>
      </c>
      <c r="K711">
        <v>11</v>
      </c>
      <c r="L711">
        <v>29</v>
      </c>
      <c r="M711">
        <v>324</v>
      </c>
    </row>
    <row r="712" spans="1:13">
      <c r="A712">
        <v>711</v>
      </c>
      <c r="B712" s="1">
        <v>46270</v>
      </c>
      <c r="C712" t="s">
        <v>14</v>
      </c>
      <c r="D712">
        <v>5</v>
      </c>
      <c r="E712">
        <v>9</v>
      </c>
      <c r="F712">
        <v>3</v>
      </c>
      <c r="G712">
        <v>2026</v>
      </c>
      <c r="H712" t="s">
        <v>49</v>
      </c>
      <c r="I712" t="s">
        <v>148</v>
      </c>
      <c r="J712" t="s">
        <v>51</v>
      </c>
      <c r="K712">
        <v>43</v>
      </c>
      <c r="L712">
        <v>5</v>
      </c>
      <c r="M712">
        <v>241</v>
      </c>
    </row>
    <row r="713" spans="1:13">
      <c r="A713">
        <v>712</v>
      </c>
      <c r="B713" s="1">
        <v>45872</v>
      </c>
      <c r="C713" t="s">
        <v>28</v>
      </c>
      <c r="D713">
        <v>3</v>
      </c>
      <c r="E713">
        <v>8</v>
      </c>
      <c r="F713">
        <v>3</v>
      </c>
      <c r="G713">
        <v>2025</v>
      </c>
      <c r="H713" t="s">
        <v>297</v>
      </c>
      <c r="I713" t="s">
        <v>119</v>
      </c>
      <c r="J713" t="s">
        <v>60</v>
      </c>
      <c r="K713">
        <v>40</v>
      </c>
      <c r="L713">
        <v>11</v>
      </c>
      <c r="M713">
        <v>446</v>
      </c>
    </row>
    <row r="714" spans="1:13">
      <c r="A714">
        <v>713</v>
      </c>
      <c r="B714" s="1">
        <v>45872</v>
      </c>
      <c r="C714" t="s">
        <v>28</v>
      </c>
      <c r="D714">
        <v>3</v>
      </c>
      <c r="E714">
        <v>8</v>
      </c>
      <c r="F714">
        <v>3</v>
      </c>
      <c r="G714">
        <v>2025</v>
      </c>
      <c r="H714" t="s">
        <v>297</v>
      </c>
      <c r="I714" t="s">
        <v>154</v>
      </c>
      <c r="J714" t="s">
        <v>37</v>
      </c>
      <c r="K714">
        <v>34</v>
      </c>
      <c r="L714">
        <v>8</v>
      </c>
      <c r="M714">
        <v>297</v>
      </c>
    </row>
    <row r="715" spans="1:13">
      <c r="A715">
        <v>714</v>
      </c>
      <c r="B715" s="1">
        <v>45872</v>
      </c>
      <c r="C715" t="s">
        <v>28</v>
      </c>
      <c r="D715">
        <v>3</v>
      </c>
      <c r="E715">
        <v>8</v>
      </c>
      <c r="F715">
        <v>3</v>
      </c>
      <c r="G715">
        <v>2025</v>
      </c>
      <c r="H715" t="s">
        <v>297</v>
      </c>
      <c r="I715" t="s">
        <v>496</v>
      </c>
      <c r="J715" t="s">
        <v>17</v>
      </c>
      <c r="K715">
        <v>12</v>
      </c>
      <c r="L715">
        <v>20</v>
      </c>
      <c r="M715">
        <v>249</v>
      </c>
    </row>
    <row r="716" spans="1:13">
      <c r="A716">
        <v>715</v>
      </c>
      <c r="B716" s="1">
        <v>45872</v>
      </c>
      <c r="C716" t="s">
        <v>28</v>
      </c>
      <c r="D716">
        <v>3</v>
      </c>
      <c r="E716">
        <v>8</v>
      </c>
      <c r="F716">
        <v>3</v>
      </c>
      <c r="G716">
        <v>2025</v>
      </c>
      <c r="H716" t="s">
        <v>297</v>
      </c>
      <c r="I716" t="s">
        <v>283</v>
      </c>
      <c r="J716" t="s">
        <v>100</v>
      </c>
      <c r="K716">
        <v>20</v>
      </c>
      <c r="L716">
        <v>4</v>
      </c>
      <c r="M716">
        <v>82</v>
      </c>
    </row>
    <row r="717" spans="1:13">
      <c r="A717">
        <v>716</v>
      </c>
      <c r="B717" s="1">
        <v>45872</v>
      </c>
      <c r="C717" t="s">
        <v>28</v>
      </c>
      <c r="D717">
        <v>3</v>
      </c>
      <c r="E717">
        <v>8</v>
      </c>
      <c r="F717">
        <v>3</v>
      </c>
      <c r="G717">
        <v>2025</v>
      </c>
      <c r="H717" t="s">
        <v>297</v>
      </c>
      <c r="I717" t="s">
        <v>531</v>
      </c>
      <c r="J717" t="s">
        <v>69</v>
      </c>
      <c r="K717">
        <v>60</v>
      </c>
      <c r="L717">
        <v>5</v>
      </c>
      <c r="M717">
        <v>301</v>
      </c>
    </row>
    <row r="718" spans="1:13">
      <c r="A718">
        <v>717</v>
      </c>
      <c r="B718" s="1">
        <v>45872</v>
      </c>
      <c r="C718" t="s">
        <v>28</v>
      </c>
      <c r="D718">
        <v>3</v>
      </c>
      <c r="E718">
        <v>8</v>
      </c>
      <c r="F718">
        <v>3</v>
      </c>
      <c r="G718">
        <v>2025</v>
      </c>
      <c r="H718" t="s">
        <v>297</v>
      </c>
      <c r="I718" t="s">
        <v>248</v>
      </c>
      <c r="J718" t="s">
        <v>100</v>
      </c>
      <c r="K718">
        <v>48</v>
      </c>
      <c r="L718">
        <v>2</v>
      </c>
      <c r="M718">
        <v>128</v>
      </c>
    </row>
    <row r="719" spans="1:13">
      <c r="A719">
        <v>718</v>
      </c>
      <c r="B719" s="1">
        <v>45872</v>
      </c>
      <c r="C719" t="s">
        <v>28</v>
      </c>
      <c r="D719">
        <v>3</v>
      </c>
      <c r="E719">
        <v>8</v>
      </c>
      <c r="F719">
        <v>3</v>
      </c>
      <c r="G719">
        <v>2025</v>
      </c>
      <c r="H719" t="s">
        <v>297</v>
      </c>
      <c r="I719" t="s">
        <v>532</v>
      </c>
      <c r="J719" t="s">
        <v>55</v>
      </c>
      <c r="K719">
        <v>59</v>
      </c>
      <c r="L719">
        <v>0</v>
      </c>
      <c r="M719">
        <v>48</v>
      </c>
    </row>
    <row r="720" spans="1:13">
      <c r="A720">
        <v>719</v>
      </c>
      <c r="B720" s="1">
        <v>45872</v>
      </c>
      <c r="C720" t="s">
        <v>28</v>
      </c>
      <c r="D720">
        <v>3</v>
      </c>
      <c r="E720">
        <v>8</v>
      </c>
      <c r="F720">
        <v>3</v>
      </c>
      <c r="G720">
        <v>2025</v>
      </c>
      <c r="H720" t="s">
        <v>297</v>
      </c>
      <c r="I720" t="s">
        <v>533</v>
      </c>
      <c r="J720" t="s">
        <v>122</v>
      </c>
      <c r="K720">
        <v>60</v>
      </c>
      <c r="L720">
        <v>4</v>
      </c>
      <c r="M720">
        <v>259</v>
      </c>
    </row>
    <row r="721" spans="1:13">
      <c r="A721">
        <v>720</v>
      </c>
      <c r="B721" s="1">
        <v>45872</v>
      </c>
      <c r="C721" t="s">
        <v>28</v>
      </c>
      <c r="D721">
        <v>3</v>
      </c>
      <c r="E721">
        <v>8</v>
      </c>
      <c r="F721">
        <v>3</v>
      </c>
      <c r="G721">
        <v>2025</v>
      </c>
      <c r="H721" t="s">
        <v>297</v>
      </c>
      <c r="I721" t="s">
        <v>171</v>
      </c>
      <c r="J721" t="s">
        <v>46</v>
      </c>
      <c r="K721">
        <v>36</v>
      </c>
      <c r="L721">
        <v>5</v>
      </c>
      <c r="M721">
        <v>204</v>
      </c>
    </row>
    <row r="722" spans="1:13">
      <c r="A722">
        <v>721</v>
      </c>
      <c r="B722" s="1">
        <v>46053</v>
      </c>
      <c r="C722" t="s">
        <v>14</v>
      </c>
      <c r="D722">
        <v>31</v>
      </c>
      <c r="E722">
        <v>1</v>
      </c>
      <c r="F722">
        <v>1</v>
      </c>
      <c r="G722">
        <v>2026</v>
      </c>
      <c r="H722" t="s">
        <v>534</v>
      </c>
      <c r="I722" t="s">
        <v>393</v>
      </c>
      <c r="J722" t="s">
        <v>23</v>
      </c>
      <c r="K722">
        <v>57</v>
      </c>
      <c r="L722">
        <v>4</v>
      </c>
      <c r="M722">
        <v>277</v>
      </c>
    </row>
    <row r="723" spans="1:13">
      <c r="A723">
        <v>722</v>
      </c>
      <c r="B723" s="1">
        <v>46053</v>
      </c>
      <c r="C723" t="s">
        <v>14</v>
      </c>
      <c r="D723">
        <v>31</v>
      </c>
      <c r="E723">
        <v>1</v>
      </c>
      <c r="F723">
        <v>1</v>
      </c>
      <c r="G723">
        <v>2026</v>
      </c>
      <c r="H723" t="s">
        <v>534</v>
      </c>
      <c r="I723" t="s">
        <v>144</v>
      </c>
      <c r="J723" t="s">
        <v>97</v>
      </c>
      <c r="K723">
        <v>55</v>
      </c>
      <c r="L723">
        <v>3</v>
      </c>
      <c r="M723">
        <v>171</v>
      </c>
    </row>
    <row r="724" spans="1:13">
      <c r="A724">
        <v>723</v>
      </c>
      <c r="B724" s="1">
        <v>46053</v>
      </c>
      <c r="C724" t="s">
        <v>14</v>
      </c>
      <c r="D724">
        <v>31</v>
      </c>
      <c r="E724">
        <v>1</v>
      </c>
      <c r="F724">
        <v>1</v>
      </c>
      <c r="G724">
        <v>2026</v>
      </c>
      <c r="H724" t="s">
        <v>534</v>
      </c>
      <c r="I724" t="s">
        <v>110</v>
      </c>
      <c r="J724" t="s">
        <v>51</v>
      </c>
      <c r="K724">
        <v>19</v>
      </c>
      <c r="L724">
        <v>6</v>
      </c>
      <c r="M724">
        <v>114</v>
      </c>
    </row>
    <row r="725" spans="1:13">
      <c r="A725">
        <v>724</v>
      </c>
      <c r="B725" s="1">
        <v>46053</v>
      </c>
      <c r="C725" t="s">
        <v>14</v>
      </c>
      <c r="D725">
        <v>31</v>
      </c>
      <c r="E725">
        <v>1</v>
      </c>
      <c r="F725">
        <v>1</v>
      </c>
      <c r="G725">
        <v>2026</v>
      </c>
      <c r="H725" t="s">
        <v>534</v>
      </c>
      <c r="I725" t="s">
        <v>514</v>
      </c>
      <c r="J725" t="s">
        <v>23</v>
      </c>
      <c r="K725">
        <v>25</v>
      </c>
      <c r="L725">
        <v>9</v>
      </c>
      <c r="M725">
        <v>233</v>
      </c>
    </row>
    <row r="726" spans="1:13">
      <c r="A726">
        <v>725</v>
      </c>
      <c r="B726" s="1">
        <v>46053</v>
      </c>
      <c r="C726" t="s">
        <v>14</v>
      </c>
      <c r="D726">
        <v>31</v>
      </c>
      <c r="E726">
        <v>1</v>
      </c>
      <c r="F726">
        <v>1</v>
      </c>
      <c r="G726">
        <v>2026</v>
      </c>
      <c r="H726" t="s">
        <v>534</v>
      </c>
      <c r="I726" t="s">
        <v>492</v>
      </c>
      <c r="J726" t="s">
        <v>21</v>
      </c>
      <c r="K726">
        <v>33</v>
      </c>
      <c r="L726">
        <v>6</v>
      </c>
      <c r="M726">
        <v>207</v>
      </c>
    </row>
    <row r="727" spans="1:13">
      <c r="A727">
        <v>726</v>
      </c>
      <c r="B727" s="1">
        <v>45757</v>
      </c>
      <c r="C727" t="s">
        <v>105</v>
      </c>
      <c r="D727">
        <v>10</v>
      </c>
      <c r="E727">
        <v>4</v>
      </c>
      <c r="F727">
        <v>2</v>
      </c>
      <c r="G727">
        <v>2025</v>
      </c>
      <c r="H727" t="s">
        <v>535</v>
      </c>
      <c r="I727" t="s">
        <v>278</v>
      </c>
      <c r="J727" t="s">
        <v>39</v>
      </c>
      <c r="K727">
        <v>10</v>
      </c>
      <c r="L727">
        <v>61</v>
      </c>
      <c r="M727">
        <v>617</v>
      </c>
    </row>
    <row r="728" spans="1:13">
      <c r="A728">
        <v>727</v>
      </c>
      <c r="B728" s="1">
        <v>45757</v>
      </c>
      <c r="C728" t="s">
        <v>105</v>
      </c>
      <c r="D728">
        <v>10</v>
      </c>
      <c r="E728">
        <v>4</v>
      </c>
      <c r="F728">
        <v>2</v>
      </c>
      <c r="G728">
        <v>2025</v>
      </c>
      <c r="H728" t="s">
        <v>535</v>
      </c>
      <c r="I728" t="s">
        <v>382</v>
      </c>
      <c r="J728" t="s">
        <v>122</v>
      </c>
      <c r="K728">
        <v>56</v>
      </c>
      <c r="L728">
        <v>3</v>
      </c>
      <c r="M728">
        <v>211</v>
      </c>
    </row>
    <row r="729" spans="1:13">
      <c r="A729">
        <v>728</v>
      </c>
      <c r="B729" s="1">
        <v>45757</v>
      </c>
      <c r="C729" t="s">
        <v>105</v>
      </c>
      <c r="D729">
        <v>10</v>
      </c>
      <c r="E729">
        <v>4</v>
      </c>
      <c r="F729">
        <v>2</v>
      </c>
      <c r="G729">
        <v>2025</v>
      </c>
      <c r="H729" t="s">
        <v>535</v>
      </c>
      <c r="I729" t="s">
        <v>63</v>
      </c>
      <c r="J729" t="s">
        <v>25</v>
      </c>
      <c r="K729">
        <v>40</v>
      </c>
      <c r="L729">
        <v>4</v>
      </c>
      <c r="M729">
        <v>182</v>
      </c>
    </row>
    <row r="730" spans="1:13">
      <c r="A730">
        <v>729</v>
      </c>
      <c r="B730" s="1">
        <v>45757</v>
      </c>
      <c r="C730" t="s">
        <v>105</v>
      </c>
      <c r="D730">
        <v>10</v>
      </c>
      <c r="E730">
        <v>4</v>
      </c>
      <c r="F730">
        <v>2</v>
      </c>
      <c r="G730">
        <v>2025</v>
      </c>
      <c r="H730" t="s">
        <v>535</v>
      </c>
      <c r="I730" t="s">
        <v>235</v>
      </c>
      <c r="J730" t="s">
        <v>19</v>
      </c>
      <c r="K730">
        <v>17</v>
      </c>
      <c r="L730">
        <v>17</v>
      </c>
      <c r="M730">
        <v>302</v>
      </c>
    </row>
    <row r="731" spans="1:13">
      <c r="A731">
        <v>730</v>
      </c>
      <c r="B731" s="1">
        <v>46009</v>
      </c>
      <c r="C731" t="s">
        <v>105</v>
      </c>
      <c r="D731">
        <v>18</v>
      </c>
      <c r="E731">
        <v>12</v>
      </c>
      <c r="F731">
        <v>4</v>
      </c>
      <c r="G731">
        <v>2025</v>
      </c>
      <c r="H731" t="s">
        <v>536</v>
      </c>
      <c r="I731" t="s">
        <v>251</v>
      </c>
      <c r="J731" t="s">
        <v>122</v>
      </c>
      <c r="K731">
        <v>47</v>
      </c>
      <c r="L731">
        <v>7</v>
      </c>
      <c r="M731">
        <v>368</v>
      </c>
    </row>
    <row r="732" spans="1:13">
      <c r="A732">
        <v>731</v>
      </c>
      <c r="B732" s="1">
        <v>45641</v>
      </c>
      <c r="C732" t="s">
        <v>28</v>
      </c>
      <c r="D732">
        <v>15</v>
      </c>
      <c r="E732">
        <v>12</v>
      </c>
      <c r="F732">
        <v>4</v>
      </c>
      <c r="G732">
        <v>2024</v>
      </c>
      <c r="H732" t="s">
        <v>113</v>
      </c>
      <c r="I732" t="s">
        <v>476</v>
      </c>
      <c r="J732" t="s">
        <v>31</v>
      </c>
      <c r="K732">
        <v>57</v>
      </c>
      <c r="L732">
        <v>5</v>
      </c>
      <c r="M732">
        <v>336</v>
      </c>
    </row>
    <row r="733" spans="1:13">
      <c r="A733">
        <v>732</v>
      </c>
      <c r="B733" s="1">
        <v>45641</v>
      </c>
      <c r="C733" t="s">
        <v>28</v>
      </c>
      <c r="D733">
        <v>15</v>
      </c>
      <c r="E733">
        <v>12</v>
      </c>
      <c r="F733">
        <v>4</v>
      </c>
      <c r="G733">
        <v>2024</v>
      </c>
      <c r="H733" t="s">
        <v>113</v>
      </c>
      <c r="I733" t="s">
        <v>537</v>
      </c>
      <c r="J733" t="s">
        <v>31</v>
      </c>
      <c r="K733">
        <v>45</v>
      </c>
      <c r="L733">
        <v>5</v>
      </c>
      <c r="M733">
        <v>269</v>
      </c>
    </row>
    <row r="734" spans="1:13">
      <c r="A734">
        <v>733</v>
      </c>
      <c r="B734" s="1">
        <v>45641</v>
      </c>
      <c r="C734" t="s">
        <v>28</v>
      </c>
      <c r="D734">
        <v>15</v>
      </c>
      <c r="E734">
        <v>12</v>
      </c>
      <c r="F734">
        <v>4</v>
      </c>
      <c r="G734">
        <v>2024</v>
      </c>
      <c r="H734" t="s">
        <v>113</v>
      </c>
      <c r="I734" t="s">
        <v>538</v>
      </c>
      <c r="J734" t="s">
        <v>43</v>
      </c>
      <c r="K734">
        <v>19</v>
      </c>
      <c r="L734">
        <v>19</v>
      </c>
      <c r="M734">
        <v>370</v>
      </c>
    </row>
    <row r="735" spans="1:13">
      <c r="A735">
        <v>734</v>
      </c>
      <c r="B735" s="1">
        <v>45641</v>
      </c>
      <c r="C735" t="s">
        <v>28</v>
      </c>
      <c r="D735">
        <v>15</v>
      </c>
      <c r="E735">
        <v>12</v>
      </c>
      <c r="F735">
        <v>4</v>
      </c>
      <c r="G735">
        <v>2024</v>
      </c>
      <c r="H735" t="s">
        <v>113</v>
      </c>
      <c r="I735" t="s">
        <v>539</v>
      </c>
      <c r="J735" t="s">
        <v>69</v>
      </c>
      <c r="K735">
        <v>38</v>
      </c>
      <c r="L735">
        <v>6</v>
      </c>
      <c r="M735">
        <v>244</v>
      </c>
    </row>
    <row r="736" spans="1:13">
      <c r="A736">
        <v>735</v>
      </c>
      <c r="B736" s="1">
        <v>45641</v>
      </c>
      <c r="C736" t="s">
        <v>28</v>
      </c>
      <c r="D736">
        <v>15</v>
      </c>
      <c r="E736">
        <v>12</v>
      </c>
      <c r="F736">
        <v>4</v>
      </c>
      <c r="G736">
        <v>2024</v>
      </c>
      <c r="H736" t="s">
        <v>113</v>
      </c>
      <c r="I736" t="s">
        <v>540</v>
      </c>
      <c r="J736" t="s">
        <v>19</v>
      </c>
      <c r="K736">
        <v>30</v>
      </c>
      <c r="L736">
        <v>7</v>
      </c>
      <c r="M736">
        <v>225</v>
      </c>
    </row>
    <row r="737" spans="1:13">
      <c r="A737">
        <v>736</v>
      </c>
      <c r="B737" s="1">
        <v>45587</v>
      </c>
      <c r="C737" t="s">
        <v>48</v>
      </c>
      <c r="D737">
        <v>22</v>
      </c>
      <c r="E737">
        <v>10</v>
      </c>
      <c r="F737">
        <v>4</v>
      </c>
      <c r="G737">
        <v>2024</v>
      </c>
      <c r="H737" t="s">
        <v>136</v>
      </c>
      <c r="I737" t="s">
        <v>541</v>
      </c>
      <c r="J737" t="s">
        <v>43</v>
      </c>
      <c r="K737">
        <v>52</v>
      </c>
      <c r="L737">
        <v>6</v>
      </c>
      <c r="M737">
        <v>323</v>
      </c>
    </row>
    <row r="738" spans="1:13">
      <c r="A738">
        <v>737</v>
      </c>
      <c r="B738" s="1">
        <v>45587</v>
      </c>
      <c r="C738" t="s">
        <v>48</v>
      </c>
      <c r="D738">
        <v>22</v>
      </c>
      <c r="E738">
        <v>10</v>
      </c>
      <c r="F738">
        <v>4</v>
      </c>
      <c r="G738">
        <v>2024</v>
      </c>
      <c r="H738" t="s">
        <v>136</v>
      </c>
      <c r="I738" t="s">
        <v>156</v>
      </c>
      <c r="J738" t="s">
        <v>57</v>
      </c>
      <c r="K738">
        <v>33</v>
      </c>
      <c r="L738">
        <v>6</v>
      </c>
      <c r="M738">
        <v>213</v>
      </c>
    </row>
    <row r="739" spans="1:13">
      <c r="A739">
        <v>738</v>
      </c>
      <c r="B739" s="1">
        <v>45587</v>
      </c>
      <c r="C739" t="s">
        <v>48</v>
      </c>
      <c r="D739">
        <v>22</v>
      </c>
      <c r="E739">
        <v>10</v>
      </c>
      <c r="F739">
        <v>4</v>
      </c>
      <c r="G739">
        <v>2024</v>
      </c>
      <c r="H739" t="s">
        <v>136</v>
      </c>
      <c r="I739" t="s">
        <v>542</v>
      </c>
      <c r="J739" t="s">
        <v>46</v>
      </c>
      <c r="K739">
        <v>43</v>
      </c>
      <c r="L739">
        <v>10</v>
      </c>
      <c r="M739">
        <v>432</v>
      </c>
    </row>
    <row r="740" spans="1:13">
      <c r="A740">
        <v>739</v>
      </c>
      <c r="B740" s="1">
        <v>45587</v>
      </c>
      <c r="C740" t="s">
        <v>48</v>
      </c>
      <c r="D740">
        <v>22</v>
      </c>
      <c r="E740">
        <v>10</v>
      </c>
      <c r="F740">
        <v>4</v>
      </c>
      <c r="G740">
        <v>2024</v>
      </c>
      <c r="H740" t="s">
        <v>136</v>
      </c>
      <c r="I740" t="s">
        <v>543</v>
      </c>
      <c r="J740" t="s">
        <v>37</v>
      </c>
      <c r="K740">
        <v>48</v>
      </c>
      <c r="L740">
        <v>5</v>
      </c>
      <c r="M740">
        <v>248</v>
      </c>
    </row>
    <row r="741" spans="1:13">
      <c r="A741">
        <v>740</v>
      </c>
      <c r="B741" s="1">
        <v>45587</v>
      </c>
      <c r="C741" t="s">
        <v>48</v>
      </c>
      <c r="D741">
        <v>22</v>
      </c>
      <c r="E741">
        <v>10</v>
      </c>
      <c r="F741">
        <v>4</v>
      </c>
      <c r="G741">
        <v>2024</v>
      </c>
      <c r="H741" t="s">
        <v>136</v>
      </c>
      <c r="I741" t="s">
        <v>324</v>
      </c>
      <c r="J741" t="s">
        <v>17</v>
      </c>
      <c r="K741">
        <v>52</v>
      </c>
      <c r="L741">
        <v>5</v>
      </c>
      <c r="M741">
        <v>277</v>
      </c>
    </row>
    <row r="742" spans="1:13">
      <c r="A742">
        <v>741</v>
      </c>
      <c r="B742" s="1">
        <v>45587</v>
      </c>
      <c r="C742" t="s">
        <v>48</v>
      </c>
      <c r="D742">
        <v>22</v>
      </c>
      <c r="E742">
        <v>10</v>
      </c>
      <c r="F742">
        <v>4</v>
      </c>
      <c r="G742">
        <v>2024</v>
      </c>
      <c r="H742" t="s">
        <v>136</v>
      </c>
      <c r="I742" t="s">
        <v>544</v>
      </c>
      <c r="J742" t="s">
        <v>46</v>
      </c>
      <c r="K742">
        <v>46</v>
      </c>
      <c r="L742">
        <v>6</v>
      </c>
      <c r="M742">
        <v>297</v>
      </c>
    </row>
    <row r="743" spans="1:13">
      <c r="A743">
        <v>742</v>
      </c>
      <c r="B743" s="1">
        <v>45587</v>
      </c>
      <c r="C743" t="s">
        <v>48</v>
      </c>
      <c r="D743">
        <v>22</v>
      </c>
      <c r="E743">
        <v>10</v>
      </c>
      <c r="F743">
        <v>4</v>
      </c>
      <c r="G743">
        <v>2024</v>
      </c>
      <c r="H743" t="s">
        <v>136</v>
      </c>
      <c r="I743" t="s">
        <v>545</v>
      </c>
      <c r="J743" t="s">
        <v>60</v>
      </c>
      <c r="K743">
        <v>40</v>
      </c>
      <c r="L743">
        <v>8</v>
      </c>
      <c r="M743">
        <v>346</v>
      </c>
    </row>
    <row r="744" spans="1:13">
      <c r="A744">
        <v>743</v>
      </c>
      <c r="B744" s="1">
        <v>45587</v>
      </c>
      <c r="C744" t="s">
        <v>48</v>
      </c>
      <c r="D744">
        <v>22</v>
      </c>
      <c r="E744">
        <v>10</v>
      </c>
      <c r="F744">
        <v>4</v>
      </c>
      <c r="G744">
        <v>2024</v>
      </c>
      <c r="H744" t="s">
        <v>136</v>
      </c>
      <c r="I744" t="s">
        <v>453</v>
      </c>
      <c r="J744" t="s">
        <v>55</v>
      </c>
      <c r="K744">
        <v>57</v>
      </c>
      <c r="L744">
        <v>3</v>
      </c>
      <c r="M744">
        <v>185</v>
      </c>
    </row>
    <row r="745" spans="1:13">
      <c r="A745">
        <v>744</v>
      </c>
      <c r="B745" s="1">
        <v>45743</v>
      </c>
      <c r="C745" t="s">
        <v>105</v>
      </c>
      <c r="D745">
        <v>27</v>
      </c>
      <c r="E745">
        <v>3</v>
      </c>
      <c r="F745">
        <v>1</v>
      </c>
      <c r="G745">
        <v>2025</v>
      </c>
      <c r="H745" t="s">
        <v>392</v>
      </c>
      <c r="I745" t="s">
        <v>546</v>
      </c>
      <c r="J745" t="s">
        <v>25</v>
      </c>
      <c r="K745">
        <v>49</v>
      </c>
      <c r="L745">
        <v>9</v>
      </c>
      <c r="M745">
        <v>450</v>
      </c>
    </row>
    <row r="746" spans="1:13">
      <c r="A746">
        <v>745</v>
      </c>
      <c r="B746" s="1">
        <v>45743</v>
      </c>
      <c r="C746" t="s">
        <v>105</v>
      </c>
      <c r="D746">
        <v>27</v>
      </c>
      <c r="E746">
        <v>3</v>
      </c>
      <c r="F746">
        <v>1</v>
      </c>
      <c r="G746">
        <v>2025</v>
      </c>
      <c r="H746" t="s">
        <v>392</v>
      </c>
      <c r="I746" t="s">
        <v>547</v>
      </c>
      <c r="J746" t="s">
        <v>97</v>
      </c>
      <c r="K746">
        <v>34</v>
      </c>
      <c r="L746">
        <v>6</v>
      </c>
      <c r="M746">
        <v>217</v>
      </c>
    </row>
    <row r="747" spans="1:13">
      <c r="A747">
        <v>746</v>
      </c>
      <c r="B747" s="1">
        <v>45743</v>
      </c>
      <c r="C747" t="s">
        <v>105</v>
      </c>
      <c r="D747">
        <v>27</v>
      </c>
      <c r="E747">
        <v>3</v>
      </c>
      <c r="F747">
        <v>1</v>
      </c>
      <c r="G747">
        <v>2025</v>
      </c>
      <c r="H747" t="s">
        <v>392</v>
      </c>
      <c r="I747" t="s">
        <v>86</v>
      </c>
      <c r="J747" t="s">
        <v>46</v>
      </c>
      <c r="K747">
        <v>60</v>
      </c>
      <c r="L747">
        <v>3</v>
      </c>
      <c r="M747">
        <v>193</v>
      </c>
    </row>
    <row r="748" spans="1:13">
      <c r="A748">
        <v>747</v>
      </c>
      <c r="B748" s="1">
        <v>45743</v>
      </c>
      <c r="C748" t="s">
        <v>105</v>
      </c>
      <c r="D748">
        <v>27</v>
      </c>
      <c r="E748">
        <v>3</v>
      </c>
      <c r="F748">
        <v>1</v>
      </c>
      <c r="G748">
        <v>2025</v>
      </c>
      <c r="H748" t="s">
        <v>392</v>
      </c>
      <c r="I748" t="s">
        <v>84</v>
      </c>
      <c r="J748" t="s">
        <v>31</v>
      </c>
      <c r="K748">
        <v>59</v>
      </c>
      <c r="L748">
        <v>4</v>
      </c>
      <c r="M748">
        <v>266</v>
      </c>
    </row>
    <row r="749" spans="1:13">
      <c r="A749">
        <v>748</v>
      </c>
      <c r="B749" s="1">
        <v>46198</v>
      </c>
      <c r="C749" t="s">
        <v>105</v>
      </c>
      <c r="D749">
        <v>25</v>
      </c>
      <c r="E749">
        <v>6</v>
      </c>
      <c r="F749">
        <v>2</v>
      </c>
      <c r="G749">
        <v>2026</v>
      </c>
      <c r="H749" t="s">
        <v>548</v>
      </c>
      <c r="I749" t="s">
        <v>360</v>
      </c>
      <c r="J749" t="s">
        <v>43</v>
      </c>
      <c r="K749">
        <v>45</v>
      </c>
      <c r="L749">
        <v>3</v>
      </c>
      <c r="M749">
        <v>137</v>
      </c>
    </row>
    <row r="750" spans="1:13">
      <c r="A750">
        <v>749</v>
      </c>
      <c r="B750" s="1">
        <v>46198</v>
      </c>
      <c r="C750" t="s">
        <v>105</v>
      </c>
      <c r="D750">
        <v>25</v>
      </c>
      <c r="E750">
        <v>6</v>
      </c>
      <c r="F750">
        <v>2</v>
      </c>
      <c r="G750">
        <v>2026</v>
      </c>
      <c r="H750" t="s">
        <v>548</v>
      </c>
      <c r="I750" t="s">
        <v>124</v>
      </c>
      <c r="J750" t="s">
        <v>82</v>
      </c>
      <c r="K750">
        <v>55</v>
      </c>
      <c r="L750">
        <v>4</v>
      </c>
      <c r="M750">
        <v>247</v>
      </c>
    </row>
    <row r="751" spans="1:13">
      <c r="A751">
        <v>750</v>
      </c>
      <c r="B751" s="1">
        <v>46198</v>
      </c>
      <c r="C751" t="s">
        <v>105</v>
      </c>
      <c r="D751">
        <v>25</v>
      </c>
      <c r="E751">
        <v>6</v>
      </c>
      <c r="F751">
        <v>2</v>
      </c>
      <c r="G751">
        <v>2026</v>
      </c>
      <c r="H751" t="s">
        <v>548</v>
      </c>
      <c r="I751" t="s">
        <v>420</v>
      </c>
      <c r="J751" t="s">
        <v>25</v>
      </c>
      <c r="K751">
        <v>60</v>
      </c>
      <c r="L751">
        <v>6</v>
      </c>
      <c r="M751">
        <v>419</v>
      </c>
    </row>
    <row r="752" spans="1:13">
      <c r="A752">
        <v>751</v>
      </c>
      <c r="B752" s="1">
        <v>46198</v>
      </c>
      <c r="C752" t="s">
        <v>105</v>
      </c>
      <c r="D752">
        <v>25</v>
      </c>
      <c r="E752">
        <v>6</v>
      </c>
      <c r="F752">
        <v>2</v>
      </c>
      <c r="G752">
        <v>2026</v>
      </c>
      <c r="H752" t="s">
        <v>548</v>
      </c>
      <c r="I752" t="s">
        <v>270</v>
      </c>
      <c r="J752" t="s">
        <v>55</v>
      </c>
      <c r="K752">
        <v>41</v>
      </c>
      <c r="L752">
        <v>5</v>
      </c>
      <c r="M752">
        <v>230</v>
      </c>
    </row>
    <row r="753" spans="1:13">
      <c r="A753">
        <v>752</v>
      </c>
      <c r="B753" s="1">
        <v>46198</v>
      </c>
      <c r="C753" t="s">
        <v>105</v>
      </c>
      <c r="D753">
        <v>25</v>
      </c>
      <c r="E753">
        <v>6</v>
      </c>
      <c r="F753">
        <v>2</v>
      </c>
      <c r="G753">
        <v>2026</v>
      </c>
      <c r="H753" t="s">
        <v>548</v>
      </c>
      <c r="I753" t="s">
        <v>128</v>
      </c>
      <c r="J753" t="s">
        <v>55</v>
      </c>
      <c r="K753">
        <v>30</v>
      </c>
      <c r="L753">
        <v>2</v>
      </c>
      <c r="M753">
        <v>72</v>
      </c>
    </row>
    <row r="754" spans="1:13">
      <c r="A754">
        <v>753</v>
      </c>
      <c r="B754" s="1">
        <v>46198</v>
      </c>
      <c r="C754" t="s">
        <v>105</v>
      </c>
      <c r="D754">
        <v>25</v>
      </c>
      <c r="E754">
        <v>6</v>
      </c>
      <c r="F754">
        <v>2</v>
      </c>
      <c r="G754">
        <v>2026</v>
      </c>
      <c r="H754" t="s">
        <v>548</v>
      </c>
      <c r="I754" t="s">
        <v>549</v>
      </c>
      <c r="J754" t="s">
        <v>82</v>
      </c>
      <c r="K754">
        <v>46</v>
      </c>
      <c r="L754">
        <v>5</v>
      </c>
      <c r="M754">
        <v>247</v>
      </c>
    </row>
    <row r="755" spans="1:13">
      <c r="A755">
        <v>754</v>
      </c>
      <c r="B755" s="1">
        <v>46198</v>
      </c>
      <c r="C755" t="s">
        <v>105</v>
      </c>
      <c r="D755">
        <v>25</v>
      </c>
      <c r="E755">
        <v>6</v>
      </c>
      <c r="F755">
        <v>2</v>
      </c>
      <c r="G755">
        <v>2026</v>
      </c>
      <c r="H755" t="s">
        <v>548</v>
      </c>
      <c r="I755" t="s">
        <v>95</v>
      </c>
      <c r="J755" t="s">
        <v>46</v>
      </c>
      <c r="K755">
        <v>19</v>
      </c>
      <c r="L755">
        <v>6</v>
      </c>
      <c r="M755">
        <v>120</v>
      </c>
    </row>
    <row r="756" spans="1:13">
      <c r="A756">
        <v>755</v>
      </c>
      <c r="B756" s="1">
        <v>46198</v>
      </c>
      <c r="C756" t="s">
        <v>105</v>
      </c>
      <c r="D756">
        <v>25</v>
      </c>
      <c r="E756">
        <v>6</v>
      </c>
      <c r="F756">
        <v>2</v>
      </c>
      <c r="G756">
        <v>2026</v>
      </c>
      <c r="H756" t="s">
        <v>548</v>
      </c>
      <c r="I756" t="s">
        <v>550</v>
      </c>
      <c r="J756" t="s">
        <v>55</v>
      </c>
      <c r="K756">
        <v>59</v>
      </c>
      <c r="L756">
        <v>7</v>
      </c>
      <c r="M756">
        <v>453</v>
      </c>
    </row>
    <row r="757" spans="1:13">
      <c r="A757">
        <v>756</v>
      </c>
      <c r="B757" s="1">
        <v>45956</v>
      </c>
      <c r="C757" t="s">
        <v>28</v>
      </c>
      <c r="D757">
        <v>26</v>
      </c>
      <c r="E757">
        <v>10</v>
      </c>
      <c r="F757">
        <v>4</v>
      </c>
      <c r="G757">
        <v>2025</v>
      </c>
      <c r="H757" t="s">
        <v>88</v>
      </c>
      <c r="I757" t="s">
        <v>523</v>
      </c>
      <c r="J757" t="s">
        <v>23</v>
      </c>
      <c r="K757">
        <v>24</v>
      </c>
      <c r="L757">
        <v>13</v>
      </c>
      <c r="M757">
        <v>328</v>
      </c>
    </row>
    <row r="758" spans="1:13">
      <c r="A758">
        <v>757</v>
      </c>
      <c r="B758" s="1">
        <v>45956</v>
      </c>
      <c r="C758" t="s">
        <v>28</v>
      </c>
      <c r="D758">
        <v>26</v>
      </c>
      <c r="E758">
        <v>10</v>
      </c>
      <c r="F758">
        <v>4</v>
      </c>
      <c r="G758">
        <v>2025</v>
      </c>
      <c r="H758" t="s">
        <v>88</v>
      </c>
      <c r="I758" t="s">
        <v>277</v>
      </c>
      <c r="J758" t="s">
        <v>122</v>
      </c>
      <c r="K758">
        <v>53</v>
      </c>
      <c r="L758">
        <v>6</v>
      </c>
      <c r="M758">
        <v>335</v>
      </c>
    </row>
    <row r="759" spans="1:13">
      <c r="A759">
        <v>758</v>
      </c>
      <c r="B759" s="1">
        <v>45956</v>
      </c>
      <c r="C759" t="s">
        <v>28</v>
      </c>
      <c r="D759">
        <v>26</v>
      </c>
      <c r="E759">
        <v>10</v>
      </c>
      <c r="F759">
        <v>4</v>
      </c>
      <c r="G759">
        <v>2025</v>
      </c>
      <c r="H759" t="s">
        <v>88</v>
      </c>
      <c r="I759" t="s">
        <v>22</v>
      </c>
      <c r="J759" t="s">
        <v>23</v>
      </c>
      <c r="K759">
        <v>51</v>
      </c>
      <c r="L759">
        <v>3</v>
      </c>
      <c r="M759">
        <v>171</v>
      </c>
    </row>
    <row r="760" spans="1:13">
      <c r="A760">
        <v>759</v>
      </c>
      <c r="B760" s="1">
        <v>45956</v>
      </c>
      <c r="C760" t="s">
        <v>28</v>
      </c>
      <c r="D760">
        <v>26</v>
      </c>
      <c r="E760">
        <v>10</v>
      </c>
      <c r="F760">
        <v>4</v>
      </c>
      <c r="G760">
        <v>2025</v>
      </c>
      <c r="H760" t="s">
        <v>88</v>
      </c>
      <c r="I760" t="s">
        <v>371</v>
      </c>
      <c r="J760" t="s">
        <v>21</v>
      </c>
      <c r="K760">
        <v>42</v>
      </c>
      <c r="L760">
        <v>4</v>
      </c>
      <c r="M760">
        <v>174</v>
      </c>
    </row>
    <row r="761" spans="1:13">
      <c r="A761">
        <v>760</v>
      </c>
      <c r="B761" s="1">
        <v>45956</v>
      </c>
      <c r="C761" t="s">
        <v>28</v>
      </c>
      <c r="D761">
        <v>26</v>
      </c>
      <c r="E761">
        <v>10</v>
      </c>
      <c r="F761">
        <v>4</v>
      </c>
      <c r="G761">
        <v>2025</v>
      </c>
      <c r="H761" t="s">
        <v>88</v>
      </c>
      <c r="I761" t="s">
        <v>551</v>
      </c>
      <c r="J761" t="s">
        <v>122</v>
      </c>
      <c r="K761">
        <v>19</v>
      </c>
      <c r="L761">
        <v>12</v>
      </c>
      <c r="M761">
        <v>238</v>
      </c>
    </row>
    <row r="762" spans="1:13">
      <c r="A762">
        <v>761</v>
      </c>
      <c r="B762" s="1">
        <v>45956</v>
      </c>
      <c r="C762" t="s">
        <v>28</v>
      </c>
      <c r="D762">
        <v>26</v>
      </c>
      <c r="E762">
        <v>10</v>
      </c>
      <c r="F762">
        <v>4</v>
      </c>
      <c r="G762">
        <v>2025</v>
      </c>
      <c r="H762" t="s">
        <v>88</v>
      </c>
      <c r="I762" t="s">
        <v>360</v>
      </c>
      <c r="J762" t="s">
        <v>43</v>
      </c>
      <c r="K762">
        <v>38</v>
      </c>
      <c r="L762">
        <v>3</v>
      </c>
      <c r="M762">
        <v>146</v>
      </c>
    </row>
    <row r="763" spans="1:13">
      <c r="A763">
        <v>762</v>
      </c>
      <c r="B763" s="1">
        <v>45956</v>
      </c>
      <c r="C763" t="s">
        <v>28</v>
      </c>
      <c r="D763">
        <v>26</v>
      </c>
      <c r="E763">
        <v>10</v>
      </c>
      <c r="F763">
        <v>4</v>
      </c>
      <c r="G763">
        <v>2025</v>
      </c>
      <c r="H763" t="s">
        <v>88</v>
      </c>
      <c r="I763" t="s">
        <v>552</v>
      </c>
      <c r="J763" t="s">
        <v>31</v>
      </c>
      <c r="K763">
        <v>12</v>
      </c>
      <c r="L763">
        <v>20</v>
      </c>
      <c r="M763">
        <v>243</v>
      </c>
    </row>
    <row r="764" spans="1:13">
      <c r="A764">
        <v>763</v>
      </c>
      <c r="B764" s="1">
        <v>45956</v>
      </c>
      <c r="C764" t="s">
        <v>28</v>
      </c>
      <c r="D764">
        <v>26</v>
      </c>
      <c r="E764">
        <v>10</v>
      </c>
      <c r="F764">
        <v>4</v>
      </c>
      <c r="G764">
        <v>2025</v>
      </c>
      <c r="H764" t="s">
        <v>88</v>
      </c>
      <c r="I764" t="s">
        <v>26</v>
      </c>
      <c r="J764" t="s">
        <v>27</v>
      </c>
      <c r="K764">
        <v>30</v>
      </c>
      <c r="L764">
        <v>9</v>
      </c>
      <c r="M764">
        <v>297</v>
      </c>
    </row>
    <row r="765" spans="1:13">
      <c r="A765">
        <v>764</v>
      </c>
      <c r="B765" s="1">
        <v>45956</v>
      </c>
      <c r="C765" t="s">
        <v>28</v>
      </c>
      <c r="D765">
        <v>26</v>
      </c>
      <c r="E765">
        <v>10</v>
      </c>
      <c r="F765">
        <v>4</v>
      </c>
      <c r="G765">
        <v>2025</v>
      </c>
      <c r="H765" t="s">
        <v>88</v>
      </c>
      <c r="I765" t="s">
        <v>553</v>
      </c>
      <c r="J765" t="s">
        <v>100</v>
      </c>
      <c r="K765">
        <v>50</v>
      </c>
      <c r="L765">
        <v>1</v>
      </c>
      <c r="M765">
        <v>76</v>
      </c>
    </row>
    <row r="766" spans="1:13">
      <c r="A766">
        <v>765</v>
      </c>
      <c r="B766" s="1">
        <v>45956</v>
      </c>
      <c r="C766" t="s">
        <v>28</v>
      </c>
      <c r="D766">
        <v>26</v>
      </c>
      <c r="E766">
        <v>10</v>
      </c>
      <c r="F766">
        <v>4</v>
      </c>
      <c r="G766">
        <v>2025</v>
      </c>
      <c r="H766" t="s">
        <v>88</v>
      </c>
      <c r="I766" t="s">
        <v>138</v>
      </c>
      <c r="J766" t="s">
        <v>97</v>
      </c>
      <c r="K766">
        <v>22</v>
      </c>
      <c r="L766">
        <v>11</v>
      </c>
      <c r="M766">
        <v>250</v>
      </c>
    </row>
    <row r="767" spans="1:13">
      <c r="A767">
        <v>766</v>
      </c>
      <c r="B767" s="1">
        <v>45956</v>
      </c>
      <c r="C767" t="s">
        <v>28</v>
      </c>
      <c r="D767">
        <v>26</v>
      </c>
      <c r="E767">
        <v>10</v>
      </c>
      <c r="F767">
        <v>4</v>
      </c>
      <c r="G767">
        <v>2025</v>
      </c>
      <c r="H767" t="s">
        <v>88</v>
      </c>
      <c r="I767" t="s">
        <v>521</v>
      </c>
      <c r="J767" t="s">
        <v>17</v>
      </c>
      <c r="K767">
        <v>23</v>
      </c>
      <c r="L767">
        <v>5</v>
      </c>
      <c r="M767">
        <v>137</v>
      </c>
    </row>
    <row r="768" spans="1:13">
      <c r="A768">
        <v>767</v>
      </c>
      <c r="B768" s="1">
        <v>46250</v>
      </c>
      <c r="C768" t="s">
        <v>28</v>
      </c>
      <c r="D768">
        <v>16</v>
      </c>
      <c r="E768">
        <v>8</v>
      </c>
      <c r="F768">
        <v>3</v>
      </c>
      <c r="G768">
        <v>2026</v>
      </c>
      <c r="H768" t="s">
        <v>502</v>
      </c>
      <c r="I768" t="s">
        <v>554</v>
      </c>
      <c r="J768" t="s">
        <v>17</v>
      </c>
      <c r="K768">
        <v>32</v>
      </c>
      <c r="L768">
        <v>8</v>
      </c>
      <c r="M768">
        <v>280</v>
      </c>
    </row>
    <row r="769" spans="1:13">
      <c r="A769">
        <v>768</v>
      </c>
      <c r="B769" s="1">
        <v>46250</v>
      </c>
      <c r="C769" t="s">
        <v>28</v>
      </c>
      <c r="D769">
        <v>16</v>
      </c>
      <c r="E769">
        <v>8</v>
      </c>
      <c r="F769">
        <v>3</v>
      </c>
      <c r="G769">
        <v>2026</v>
      </c>
      <c r="H769" t="s">
        <v>502</v>
      </c>
      <c r="I769" t="s">
        <v>30</v>
      </c>
      <c r="J769" t="s">
        <v>31</v>
      </c>
      <c r="K769">
        <v>53</v>
      </c>
      <c r="L769">
        <v>4</v>
      </c>
      <c r="M769">
        <v>256</v>
      </c>
    </row>
    <row r="770" spans="1:13">
      <c r="A770">
        <v>769</v>
      </c>
      <c r="B770" s="1">
        <v>46250</v>
      </c>
      <c r="C770" t="s">
        <v>28</v>
      </c>
      <c r="D770">
        <v>16</v>
      </c>
      <c r="E770">
        <v>8</v>
      </c>
      <c r="F770">
        <v>3</v>
      </c>
      <c r="G770">
        <v>2026</v>
      </c>
      <c r="H770" t="s">
        <v>502</v>
      </c>
      <c r="I770" t="s">
        <v>310</v>
      </c>
      <c r="J770" t="s">
        <v>60</v>
      </c>
      <c r="K770">
        <v>53</v>
      </c>
      <c r="L770">
        <v>1</v>
      </c>
      <c r="M770">
        <v>74</v>
      </c>
    </row>
    <row r="771" spans="1:13">
      <c r="A771">
        <v>770</v>
      </c>
      <c r="B771" s="1">
        <v>46250</v>
      </c>
      <c r="C771" t="s">
        <v>28</v>
      </c>
      <c r="D771">
        <v>16</v>
      </c>
      <c r="E771">
        <v>8</v>
      </c>
      <c r="F771">
        <v>3</v>
      </c>
      <c r="G771">
        <v>2026</v>
      </c>
      <c r="H771" t="s">
        <v>502</v>
      </c>
      <c r="I771" t="s">
        <v>555</v>
      </c>
      <c r="J771" t="s">
        <v>37</v>
      </c>
      <c r="K771">
        <v>52</v>
      </c>
      <c r="L771">
        <v>4</v>
      </c>
      <c r="M771">
        <v>229</v>
      </c>
    </row>
    <row r="772" spans="1:13">
      <c r="A772">
        <v>771</v>
      </c>
      <c r="B772" s="1">
        <v>45986</v>
      </c>
      <c r="C772" t="s">
        <v>48</v>
      </c>
      <c r="D772">
        <v>25</v>
      </c>
      <c r="E772">
        <v>11</v>
      </c>
      <c r="F772">
        <v>4</v>
      </c>
      <c r="G772">
        <v>2025</v>
      </c>
      <c r="H772" t="s">
        <v>280</v>
      </c>
      <c r="I772" t="s">
        <v>378</v>
      </c>
      <c r="J772" t="s">
        <v>57</v>
      </c>
      <c r="K772">
        <v>11</v>
      </c>
      <c r="L772">
        <v>23</v>
      </c>
      <c r="M772">
        <v>263</v>
      </c>
    </row>
    <row r="773" spans="1:13">
      <c r="A773">
        <v>772</v>
      </c>
      <c r="B773" s="1">
        <v>45986</v>
      </c>
      <c r="C773" t="s">
        <v>48</v>
      </c>
      <c r="D773">
        <v>25</v>
      </c>
      <c r="E773">
        <v>11</v>
      </c>
      <c r="F773">
        <v>4</v>
      </c>
      <c r="G773">
        <v>2025</v>
      </c>
      <c r="H773" t="s">
        <v>280</v>
      </c>
      <c r="I773" t="s">
        <v>65</v>
      </c>
      <c r="J773" t="s">
        <v>60</v>
      </c>
      <c r="K773">
        <v>10</v>
      </c>
      <c r="L773">
        <v>27</v>
      </c>
      <c r="M773">
        <v>271</v>
      </c>
    </row>
    <row r="774" spans="1:13">
      <c r="A774">
        <v>773</v>
      </c>
      <c r="B774" s="1">
        <v>45986</v>
      </c>
      <c r="C774" t="s">
        <v>48</v>
      </c>
      <c r="D774">
        <v>25</v>
      </c>
      <c r="E774">
        <v>11</v>
      </c>
      <c r="F774">
        <v>4</v>
      </c>
      <c r="G774">
        <v>2025</v>
      </c>
      <c r="H774" t="s">
        <v>280</v>
      </c>
      <c r="I774" t="s">
        <v>341</v>
      </c>
      <c r="J774" t="s">
        <v>21</v>
      </c>
      <c r="K774">
        <v>52</v>
      </c>
      <c r="L774">
        <v>3</v>
      </c>
      <c r="M774">
        <v>188</v>
      </c>
    </row>
    <row r="775" spans="1:13">
      <c r="A775">
        <v>774</v>
      </c>
      <c r="B775" s="1">
        <v>45986</v>
      </c>
      <c r="C775" t="s">
        <v>48</v>
      </c>
      <c r="D775">
        <v>25</v>
      </c>
      <c r="E775">
        <v>11</v>
      </c>
      <c r="F775">
        <v>4</v>
      </c>
      <c r="G775">
        <v>2025</v>
      </c>
      <c r="H775" t="s">
        <v>280</v>
      </c>
      <c r="I775" t="s">
        <v>224</v>
      </c>
      <c r="J775" t="s">
        <v>39</v>
      </c>
      <c r="K775">
        <v>48</v>
      </c>
      <c r="L775">
        <v>2</v>
      </c>
      <c r="M775">
        <v>124</v>
      </c>
    </row>
    <row r="776" spans="1:13">
      <c r="A776">
        <v>775</v>
      </c>
      <c r="B776" s="1">
        <v>45986</v>
      </c>
      <c r="C776" t="s">
        <v>48</v>
      </c>
      <c r="D776">
        <v>25</v>
      </c>
      <c r="E776">
        <v>11</v>
      </c>
      <c r="F776">
        <v>4</v>
      </c>
      <c r="G776">
        <v>2025</v>
      </c>
      <c r="H776" t="s">
        <v>280</v>
      </c>
      <c r="I776" t="s">
        <v>225</v>
      </c>
      <c r="J776" t="s">
        <v>21</v>
      </c>
      <c r="K776">
        <v>33</v>
      </c>
      <c r="L776">
        <v>9</v>
      </c>
      <c r="M776">
        <v>317</v>
      </c>
    </row>
    <row r="777" spans="1:13">
      <c r="A777">
        <v>776</v>
      </c>
      <c r="B777" s="1">
        <v>45986</v>
      </c>
      <c r="C777" t="s">
        <v>48</v>
      </c>
      <c r="D777">
        <v>25</v>
      </c>
      <c r="E777">
        <v>11</v>
      </c>
      <c r="F777">
        <v>4</v>
      </c>
      <c r="G777">
        <v>2025</v>
      </c>
      <c r="H777" t="s">
        <v>280</v>
      </c>
      <c r="I777" t="s">
        <v>556</v>
      </c>
      <c r="J777" t="s">
        <v>55</v>
      </c>
      <c r="K777">
        <v>22</v>
      </c>
      <c r="L777">
        <v>9</v>
      </c>
      <c r="M777">
        <v>210</v>
      </c>
    </row>
    <row r="778" spans="1:13">
      <c r="A778">
        <v>777</v>
      </c>
      <c r="B778" s="1">
        <v>45986</v>
      </c>
      <c r="C778" t="s">
        <v>48</v>
      </c>
      <c r="D778">
        <v>25</v>
      </c>
      <c r="E778">
        <v>11</v>
      </c>
      <c r="F778">
        <v>4</v>
      </c>
      <c r="G778">
        <v>2025</v>
      </c>
      <c r="H778" t="s">
        <v>280</v>
      </c>
      <c r="I778" t="s">
        <v>557</v>
      </c>
      <c r="J778" t="s">
        <v>46</v>
      </c>
      <c r="K778">
        <v>17</v>
      </c>
      <c r="L778">
        <v>23</v>
      </c>
      <c r="M778">
        <v>403</v>
      </c>
    </row>
    <row r="779" spans="1:13">
      <c r="A779">
        <v>778</v>
      </c>
      <c r="B779" s="1">
        <v>45986</v>
      </c>
      <c r="C779" t="s">
        <v>48</v>
      </c>
      <c r="D779">
        <v>25</v>
      </c>
      <c r="E779">
        <v>11</v>
      </c>
      <c r="F779">
        <v>4</v>
      </c>
      <c r="G779">
        <v>2025</v>
      </c>
      <c r="H779" t="s">
        <v>280</v>
      </c>
      <c r="I779" t="s">
        <v>358</v>
      </c>
      <c r="J779" t="s">
        <v>37</v>
      </c>
      <c r="K779">
        <v>50</v>
      </c>
      <c r="L779">
        <v>4</v>
      </c>
      <c r="M779">
        <v>204</v>
      </c>
    </row>
    <row r="780" spans="1:13">
      <c r="A780">
        <v>779</v>
      </c>
      <c r="B780" s="1">
        <v>45591</v>
      </c>
      <c r="C780" t="s">
        <v>14</v>
      </c>
      <c r="D780">
        <v>26</v>
      </c>
      <c r="E780">
        <v>10</v>
      </c>
      <c r="F780">
        <v>4</v>
      </c>
      <c r="G780">
        <v>2024</v>
      </c>
      <c r="H780" t="s">
        <v>380</v>
      </c>
      <c r="I780" t="s">
        <v>296</v>
      </c>
      <c r="J780" t="s">
        <v>122</v>
      </c>
      <c r="K780">
        <v>32</v>
      </c>
      <c r="L780">
        <v>5</v>
      </c>
      <c r="M780">
        <v>160</v>
      </c>
    </row>
    <row r="781" spans="1:13">
      <c r="A781">
        <v>780</v>
      </c>
      <c r="B781" s="1">
        <v>45591</v>
      </c>
      <c r="C781" t="s">
        <v>14</v>
      </c>
      <c r="D781">
        <v>26</v>
      </c>
      <c r="E781">
        <v>10</v>
      </c>
      <c r="F781">
        <v>4</v>
      </c>
      <c r="G781">
        <v>2024</v>
      </c>
      <c r="H781" t="s">
        <v>380</v>
      </c>
      <c r="I781" t="s">
        <v>558</v>
      </c>
      <c r="J781" t="s">
        <v>43</v>
      </c>
      <c r="K781">
        <v>39</v>
      </c>
      <c r="L781">
        <v>4</v>
      </c>
      <c r="M781">
        <v>176</v>
      </c>
    </row>
    <row r="782" spans="1:13">
      <c r="A782">
        <v>781</v>
      </c>
      <c r="B782" s="1">
        <v>45591</v>
      </c>
      <c r="C782" t="s">
        <v>14</v>
      </c>
      <c r="D782">
        <v>26</v>
      </c>
      <c r="E782">
        <v>10</v>
      </c>
      <c r="F782">
        <v>4</v>
      </c>
      <c r="G782">
        <v>2024</v>
      </c>
      <c r="H782" t="s">
        <v>380</v>
      </c>
      <c r="I782" t="s">
        <v>559</v>
      </c>
      <c r="J782" t="s">
        <v>97</v>
      </c>
      <c r="K782">
        <v>38</v>
      </c>
      <c r="L782">
        <v>3</v>
      </c>
      <c r="M782">
        <v>138</v>
      </c>
    </row>
    <row r="783" spans="1:13">
      <c r="A783">
        <v>782</v>
      </c>
      <c r="B783" s="1">
        <v>45591</v>
      </c>
      <c r="C783" t="s">
        <v>14</v>
      </c>
      <c r="D783">
        <v>26</v>
      </c>
      <c r="E783">
        <v>10</v>
      </c>
      <c r="F783">
        <v>4</v>
      </c>
      <c r="G783">
        <v>2024</v>
      </c>
      <c r="H783" t="s">
        <v>380</v>
      </c>
      <c r="I783" t="s">
        <v>390</v>
      </c>
      <c r="J783" t="s">
        <v>82</v>
      </c>
      <c r="K783">
        <v>40</v>
      </c>
      <c r="L783">
        <v>3</v>
      </c>
      <c r="M783">
        <v>121</v>
      </c>
    </row>
    <row r="784" spans="1:13">
      <c r="A784">
        <v>783</v>
      </c>
      <c r="B784" s="1">
        <v>45591</v>
      </c>
      <c r="C784" t="s">
        <v>14</v>
      </c>
      <c r="D784">
        <v>26</v>
      </c>
      <c r="E784">
        <v>10</v>
      </c>
      <c r="F784">
        <v>4</v>
      </c>
      <c r="G784">
        <v>2024</v>
      </c>
      <c r="H784" t="s">
        <v>380</v>
      </c>
      <c r="I784" t="s">
        <v>560</v>
      </c>
      <c r="J784" t="s">
        <v>122</v>
      </c>
      <c r="K784">
        <v>40</v>
      </c>
      <c r="L784">
        <v>3</v>
      </c>
      <c r="M784">
        <v>146</v>
      </c>
    </row>
    <row r="785" spans="1:13">
      <c r="A785">
        <v>784</v>
      </c>
      <c r="B785" s="1">
        <v>45591</v>
      </c>
      <c r="C785" t="s">
        <v>14</v>
      </c>
      <c r="D785">
        <v>26</v>
      </c>
      <c r="E785">
        <v>10</v>
      </c>
      <c r="F785">
        <v>4</v>
      </c>
      <c r="G785">
        <v>2024</v>
      </c>
      <c r="H785" t="s">
        <v>380</v>
      </c>
      <c r="I785" t="s">
        <v>398</v>
      </c>
      <c r="J785" t="s">
        <v>27</v>
      </c>
      <c r="K785">
        <v>19</v>
      </c>
      <c r="L785">
        <v>2</v>
      </c>
      <c r="M785">
        <v>56</v>
      </c>
    </row>
    <row r="786" spans="1:13">
      <c r="A786">
        <v>785</v>
      </c>
      <c r="B786" s="1">
        <v>45591</v>
      </c>
      <c r="C786" t="s">
        <v>14</v>
      </c>
      <c r="D786">
        <v>26</v>
      </c>
      <c r="E786">
        <v>10</v>
      </c>
      <c r="F786">
        <v>4</v>
      </c>
      <c r="G786">
        <v>2024</v>
      </c>
      <c r="H786" t="s">
        <v>380</v>
      </c>
      <c r="I786" t="s">
        <v>187</v>
      </c>
      <c r="J786" t="s">
        <v>60</v>
      </c>
      <c r="K786">
        <v>35</v>
      </c>
      <c r="L786">
        <v>4</v>
      </c>
      <c r="M786">
        <v>144</v>
      </c>
    </row>
    <row r="787" spans="1:13">
      <c r="A787">
        <v>786</v>
      </c>
      <c r="B787" s="1">
        <v>45591</v>
      </c>
      <c r="C787" t="s">
        <v>14</v>
      </c>
      <c r="D787">
        <v>26</v>
      </c>
      <c r="E787">
        <v>10</v>
      </c>
      <c r="F787">
        <v>4</v>
      </c>
      <c r="G787">
        <v>2024</v>
      </c>
      <c r="H787" t="s">
        <v>380</v>
      </c>
      <c r="I787" t="s">
        <v>561</v>
      </c>
      <c r="J787" t="s">
        <v>17</v>
      </c>
      <c r="K787">
        <v>19</v>
      </c>
      <c r="L787">
        <v>23</v>
      </c>
      <c r="M787">
        <v>453</v>
      </c>
    </row>
    <row r="788" spans="1:13">
      <c r="A788">
        <v>787</v>
      </c>
      <c r="B788" s="1">
        <v>45681</v>
      </c>
      <c r="C788" t="s">
        <v>79</v>
      </c>
      <c r="D788">
        <v>24</v>
      </c>
      <c r="E788">
        <v>1</v>
      </c>
      <c r="F788">
        <v>1</v>
      </c>
      <c r="G788">
        <v>2025</v>
      </c>
      <c r="H788" t="s">
        <v>562</v>
      </c>
      <c r="I788" t="s">
        <v>563</v>
      </c>
      <c r="J788" t="s">
        <v>46</v>
      </c>
      <c r="K788">
        <v>34</v>
      </c>
      <c r="L788">
        <v>8</v>
      </c>
      <c r="M788">
        <v>289</v>
      </c>
    </row>
    <row r="789" spans="1:13">
      <c r="A789">
        <v>788</v>
      </c>
      <c r="B789" s="1">
        <v>45681</v>
      </c>
      <c r="C789" t="s">
        <v>79</v>
      </c>
      <c r="D789">
        <v>24</v>
      </c>
      <c r="E789">
        <v>1</v>
      </c>
      <c r="F789">
        <v>1</v>
      </c>
      <c r="G789">
        <v>2025</v>
      </c>
      <c r="H789" t="s">
        <v>562</v>
      </c>
      <c r="I789" t="s">
        <v>550</v>
      </c>
      <c r="J789" t="s">
        <v>55</v>
      </c>
      <c r="K789">
        <v>39</v>
      </c>
      <c r="L789">
        <v>10</v>
      </c>
      <c r="M789">
        <v>412</v>
      </c>
    </row>
    <row r="790" spans="1:13">
      <c r="A790">
        <v>789</v>
      </c>
      <c r="B790" s="1">
        <v>45681</v>
      </c>
      <c r="C790" t="s">
        <v>79</v>
      </c>
      <c r="D790">
        <v>24</v>
      </c>
      <c r="E790">
        <v>1</v>
      </c>
      <c r="F790">
        <v>1</v>
      </c>
      <c r="G790">
        <v>2025</v>
      </c>
      <c r="H790" t="s">
        <v>562</v>
      </c>
      <c r="I790" t="s">
        <v>564</v>
      </c>
      <c r="J790" t="s">
        <v>17</v>
      </c>
      <c r="K790">
        <v>29</v>
      </c>
      <c r="L790">
        <v>11</v>
      </c>
      <c r="M790">
        <v>347</v>
      </c>
    </row>
    <row r="791" spans="1:13">
      <c r="A791">
        <v>790</v>
      </c>
      <c r="B791" s="1">
        <v>46131</v>
      </c>
      <c r="C791" t="s">
        <v>28</v>
      </c>
      <c r="D791">
        <v>19</v>
      </c>
      <c r="E791">
        <v>4</v>
      </c>
      <c r="F791">
        <v>2</v>
      </c>
      <c r="G791">
        <v>2026</v>
      </c>
      <c r="H791" t="s">
        <v>502</v>
      </c>
      <c r="I791" t="s">
        <v>565</v>
      </c>
      <c r="J791" t="s">
        <v>17</v>
      </c>
      <c r="K791">
        <v>14</v>
      </c>
      <c r="L791">
        <v>6</v>
      </c>
      <c r="M791">
        <v>97</v>
      </c>
    </row>
    <row r="792" spans="1:13">
      <c r="A792">
        <v>791</v>
      </c>
      <c r="B792" s="1">
        <v>46131</v>
      </c>
      <c r="C792" t="s">
        <v>28</v>
      </c>
      <c r="D792">
        <v>19</v>
      </c>
      <c r="E792">
        <v>4</v>
      </c>
      <c r="F792">
        <v>2</v>
      </c>
      <c r="G792">
        <v>2026</v>
      </c>
      <c r="H792" t="s">
        <v>502</v>
      </c>
      <c r="I792" t="s">
        <v>313</v>
      </c>
      <c r="J792" t="s">
        <v>31</v>
      </c>
      <c r="K792">
        <v>45</v>
      </c>
      <c r="L792">
        <v>2</v>
      </c>
      <c r="M792">
        <v>108</v>
      </c>
    </row>
    <row r="793" spans="1:13">
      <c r="A793">
        <v>792</v>
      </c>
      <c r="B793" s="1">
        <v>46131</v>
      </c>
      <c r="C793" t="s">
        <v>28</v>
      </c>
      <c r="D793">
        <v>19</v>
      </c>
      <c r="E793">
        <v>4</v>
      </c>
      <c r="F793">
        <v>2</v>
      </c>
      <c r="G793">
        <v>2026</v>
      </c>
      <c r="H793" t="s">
        <v>502</v>
      </c>
      <c r="I793" t="s">
        <v>531</v>
      </c>
      <c r="J793" t="s">
        <v>69</v>
      </c>
      <c r="K793">
        <v>54</v>
      </c>
      <c r="L793">
        <v>5</v>
      </c>
      <c r="M793">
        <v>301</v>
      </c>
    </row>
    <row r="794" spans="1:13">
      <c r="A794">
        <v>793</v>
      </c>
      <c r="B794" s="1">
        <v>45777</v>
      </c>
      <c r="C794" t="s">
        <v>34</v>
      </c>
      <c r="D794">
        <v>30</v>
      </c>
      <c r="E794">
        <v>4</v>
      </c>
      <c r="F794">
        <v>2</v>
      </c>
      <c r="G794">
        <v>2025</v>
      </c>
      <c r="H794" t="s">
        <v>88</v>
      </c>
      <c r="I794" t="s">
        <v>566</v>
      </c>
      <c r="J794" t="s">
        <v>69</v>
      </c>
      <c r="K794">
        <v>47</v>
      </c>
      <c r="L794">
        <v>6</v>
      </c>
      <c r="M794">
        <v>325</v>
      </c>
    </row>
    <row r="795" spans="1:13">
      <c r="A795">
        <v>794</v>
      </c>
      <c r="B795" s="1">
        <v>45777</v>
      </c>
      <c r="C795" t="s">
        <v>34</v>
      </c>
      <c r="D795">
        <v>30</v>
      </c>
      <c r="E795">
        <v>4</v>
      </c>
      <c r="F795">
        <v>2</v>
      </c>
      <c r="G795">
        <v>2025</v>
      </c>
      <c r="H795" t="s">
        <v>88</v>
      </c>
      <c r="I795" t="s">
        <v>215</v>
      </c>
      <c r="J795" t="s">
        <v>51</v>
      </c>
      <c r="K795">
        <v>57</v>
      </c>
      <c r="L795">
        <v>4</v>
      </c>
      <c r="M795">
        <v>273</v>
      </c>
    </row>
    <row r="796" spans="1:13">
      <c r="A796">
        <v>795</v>
      </c>
      <c r="B796" s="1">
        <v>45777</v>
      </c>
      <c r="C796" t="s">
        <v>34</v>
      </c>
      <c r="D796">
        <v>30</v>
      </c>
      <c r="E796">
        <v>4</v>
      </c>
      <c r="F796">
        <v>2</v>
      </c>
      <c r="G796">
        <v>2025</v>
      </c>
      <c r="H796" t="s">
        <v>88</v>
      </c>
      <c r="I796" t="s">
        <v>253</v>
      </c>
      <c r="J796" t="s">
        <v>23</v>
      </c>
      <c r="K796">
        <v>17</v>
      </c>
      <c r="L796">
        <v>8</v>
      </c>
      <c r="M796">
        <v>138</v>
      </c>
    </row>
    <row r="797" spans="1:13">
      <c r="A797">
        <v>796</v>
      </c>
      <c r="B797" s="1">
        <v>45777</v>
      </c>
      <c r="C797" t="s">
        <v>34</v>
      </c>
      <c r="D797">
        <v>30</v>
      </c>
      <c r="E797">
        <v>4</v>
      </c>
      <c r="F797">
        <v>2</v>
      </c>
      <c r="G797">
        <v>2025</v>
      </c>
      <c r="H797" t="s">
        <v>88</v>
      </c>
      <c r="I797" t="s">
        <v>467</v>
      </c>
      <c r="J797" t="s">
        <v>19</v>
      </c>
      <c r="K797">
        <v>60</v>
      </c>
      <c r="L797">
        <v>1</v>
      </c>
      <c r="M797">
        <v>106</v>
      </c>
    </row>
    <row r="798" spans="1:13">
      <c r="A798">
        <v>797</v>
      </c>
      <c r="B798" s="1">
        <v>45777</v>
      </c>
      <c r="C798" t="s">
        <v>34</v>
      </c>
      <c r="D798">
        <v>30</v>
      </c>
      <c r="E798">
        <v>4</v>
      </c>
      <c r="F798">
        <v>2</v>
      </c>
      <c r="G798">
        <v>2025</v>
      </c>
      <c r="H798" t="s">
        <v>88</v>
      </c>
      <c r="I798" t="s">
        <v>567</v>
      </c>
      <c r="J798" t="s">
        <v>100</v>
      </c>
      <c r="K798">
        <v>24</v>
      </c>
      <c r="L798">
        <v>7</v>
      </c>
      <c r="M798">
        <v>191</v>
      </c>
    </row>
    <row r="799" spans="1:13">
      <c r="A799">
        <v>798</v>
      </c>
      <c r="B799" s="1">
        <v>45777</v>
      </c>
      <c r="C799" t="s">
        <v>34</v>
      </c>
      <c r="D799">
        <v>30</v>
      </c>
      <c r="E799">
        <v>4</v>
      </c>
      <c r="F799">
        <v>2</v>
      </c>
      <c r="G799">
        <v>2025</v>
      </c>
      <c r="H799" t="s">
        <v>88</v>
      </c>
      <c r="I799" t="s">
        <v>568</v>
      </c>
      <c r="J799" t="s">
        <v>51</v>
      </c>
      <c r="K799">
        <v>21</v>
      </c>
      <c r="L799">
        <v>13</v>
      </c>
      <c r="M799">
        <v>288</v>
      </c>
    </row>
    <row r="800" spans="1:13">
      <c r="A800">
        <v>799</v>
      </c>
      <c r="B800" s="1">
        <v>45777</v>
      </c>
      <c r="C800" t="s">
        <v>34</v>
      </c>
      <c r="D800">
        <v>30</v>
      </c>
      <c r="E800">
        <v>4</v>
      </c>
      <c r="F800">
        <v>2</v>
      </c>
      <c r="G800">
        <v>2025</v>
      </c>
      <c r="H800" t="s">
        <v>88</v>
      </c>
      <c r="I800" t="s">
        <v>146</v>
      </c>
      <c r="J800" t="s">
        <v>97</v>
      </c>
      <c r="K800">
        <v>60</v>
      </c>
      <c r="L800">
        <v>3</v>
      </c>
      <c r="M800">
        <v>229</v>
      </c>
    </row>
    <row r="801" spans="1:13">
      <c r="A801">
        <v>800</v>
      </c>
      <c r="B801" s="1">
        <v>46226</v>
      </c>
      <c r="C801" t="s">
        <v>105</v>
      </c>
      <c r="D801">
        <v>23</v>
      </c>
      <c r="E801">
        <v>7</v>
      </c>
      <c r="F801">
        <v>3</v>
      </c>
      <c r="G801">
        <v>2026</v>
      </c>
      <c r="H801" t="s">
        <v>199</v>
      </c>
      <c r="I801" t="s">
        <v>36</v>
      </c>
      <c r="J801" t="s">
        <v>37</v>
      </c>
      <c r="K801">
        <v>29</v>
      </c>
      <c r="L801">
        <v>9</v>
      </c>
      <c r="M801">
        <v>267</v>
      </c>
    </row>
    <row r="802" spans="1:13">
      <c r="A802">
        <v>801</v>
      </c>
      <c r="B802" s="1">
        <v>46226</v>
      </c>
      <c r="C802" t="s">
        <v>105</v>
      </c>
      <c r="D802">
        <v>23</v>
      </c>
      <c r="E802">
        <v>7</v>
      </c>
      <c r="F802">
        <v>3</v>
      </c>
      <c r="G802">
        <v>2026</v>
      </c>
      <c r="H802" t="s">
        <v>199</v>
      </c>
      <c r="I802" t="s">
        <v>495</v>
      </c>
      <c r="J802" t="s">
        <v>39</v>
      </c>
      <c r="K802">
        <v>28</v>
      </c>
      <c r="L802">
        <v>11</v>
      </c>
      <c r="M802">
        <v>325</v>
      </c>
    </row>
    <row r="803" spans="1:13">
      <c r="A803">
        <v>802</v>
      </c>
      <c r="B803" s="1">
        <v>46226</v>
      </c>
      <c r="C803" t="s">
        <v>105</v>
      </c>
      <c r="D803">
        <v>23</v>
      </c>
      <c r="E803">
        <v>7</v>
      </c>
      <c r="F803">
        <v>3</v>
      </c>
      <c r="G803">
        <v>2026</v>
      </c>
      <c r="H803" t="s">
        <v>199</v>
      </c>
      <c r="I803" t="s">
        <v>203</v>
      </c>
      <c r="J803" t="s">
        <v>100</v>
      </c>
      <c r="K803">
        <v>17</v>
      </c>
      <c r="L803">
        <v>4</v>
      </c>
      <c r="M803">
        <v>71</v>
      </c>
    </row>
    <row r="804" spans="1:13">
      <c r="A804">
        <v>803</v>
      </c>
      <c r="B804" s="1">
        <v>46226</v>
      </c>
      <c r="C804" t="s">
        <v>105</v>
      </c>
      <c r="D804">
        <v>23</v>
      </c>
      <c r="E804">
        <v>7</v>
      </c>
      <c r="F804">
        <v>3</v>
      </c>
      <c r="G804">
        <v>2026</v>
      </c>
      <c r="H804" t="s">
        <v>199</v>
      </c>
      <c r="I804" t="s">
        <v>519</v>
      </c>
      <c r="J804" t="s">
        <v>51</v>
      </c>
      <c r="K804">
        <v>33</v>
      </c>
      <c r="L804">
        <v>8</v>
      </c>
      <c r="M804">
        <v>278</v>
      </c>
    </row>
    <row r="805" spans="1:13">
      <c r="A805">
        <v>804</v>
      </c>
      <c r="B805" s="1">
        <v>46226</v>
      </c>
      <c r="C805" t="s">
        <v>105</v>
      </c>
      <c r="D805">
        <v>23</v>
      </c>
      <c r="E805">
        <v>7</v>
      </c>
      <c r="F805">
        <v>3</v>
      </c>
      <c r="G805">
        <v>2026</v>
      </c>
      <c r="H805" t="s">
        <v>199</v>
      </c>
      <c r="I805" t="s">
        <v>158</v>
      </c>
      <c r="J805" t="s">
        <v>60</v>
      </c>
      <c r="K805">
        <v>20</v>
      </c>
      <c r="L805">
        <v>4</v>
      </c>
      <c r="M805">
        <v>83</v>
      </c>
    </row>
    <row r="806" spans="1:13">
      <c r="A806">
        <v>805</v>
      </c>
      <c r="B806" s="1">
        <v>46226</v>
      </c>
      <c r="C806" t="s">
        <v>105</v>
      </c>
      <c r="D806">
        <v>23</v>
      </c>
      <c r="E806">
        <v>7</v>
      </c>
      <c r="F806">
        <v>3</v>
      </c>
      <c r="G806">
        <v>2026</v>
      </c>
      <c r="H806" t="s">
        <v>199</v>
      </c>
      <c r="I806" t="s">
        <v>505</v>
      </c>
      <c r="J806" t="s">
        <v>100</v>
      </c>
      <c r="K806">
        <v>53</v>
      </c>
      <c r="L806">
        <v>5</v>
      </c>
      <c r="M806">
        <v>300</v>
      </c>
    </row>
    <row r="807" spans="1:13">
      <c r="A807">
        <v>806</v>
      </c>
      <c r="B807" s="1">
        <v>46226</v>
      </c>
      <c r="C807" t="s">
        <v>105</v>
      </c>
      <c r="D807">
        <v>23</v>
      </c>
      <c r="E807">
        <v>7</v>
      </c>
      <c r="F807">
        <v>3</v>
      </c>
      <c r="G807">
        <v>2026</v>
      </c>
      <c r="H807" t="s">
        <v>199</v>
      </c>
      <c r="I807" t="s">
        <v>569</v>
      </c>
      <c r="J807" t="s">
        <v>43</v>
      </c>
      <c r="K807">
        <v>28</v>
      </c>
      <c r="L807">
        <v>8</v>
      </c>
      <c r="M807">
        <v>230</v>
      </c>
    </row>
    <row r="808" spans="1:13">
      <c r="A808">
        <v>807</v>
      </c>
      <c r="B808" s="1">
        <v>46226</v>
      </c>
      <c r="C808" t="s">
        <v>105</v>
      </c>
      <c r="D808">
        <v>23</v>
      </c>
      <c r="E808">
        <v>7</v>
      </c>
      <c r="F808">
        <v>3</v>
      </c>
      <c r="G808">
        <v>2026</v>
      </c>
      <c r="H808" t="s">
        <v>199</v>
      </c>
      <c r="I808" t="s">
        <v>171</v>
      </c>
      <c r="J808" t="s">
        <v>46</v>
      </c>
      <c r="K808">
        <v>39</v>
      </c>
      <c r="L808">
        <v>5</v>
      </c>
      <c r="M808">
        <v>198</v>
      </c>
    </row>
    <row r="809" spans="1:13">
      <c r="A809">
        <v>808</v>
      </c>
      <c r="B809" s="1">
        <v>46226</v>
      </c>
      <c r="C809" t="s">
        <v>105</v>
      </c>
      <c r="D809">
        <v>23</v>
      </c>
      <c r="E809">
        <v>7</v>
      </c>
      <c r="F809">
        <v>3</v>
      </c>
      <c r="G809">
        <v>2026</v>
      </c>
      <c r="H809" t="s">
        <v>199</v>
      </c>
      <c r="I809" t="s">
        <v>564</v>
      </c>
      <c r="J809" t="s">
        <v>17</v>
      </c>
      <c r="K809">
        <v>25</v>
      </c>
      <c r="L809">
        <v>15</v>
      </c>
      <c r="M809">
        <v>386</v>
      </c>
    </row>
    <row r="810" spans="1:13">
      <c r="A810">
        <v>809</v>
      </c>
      <c r="B810" s="1">
        <v>46133</v>
      </c>
      <c r="C810" t="s">
        <v>48</v>
      </c>
      <c r="D810">
        <v>21</v>
      </c>
      <c r="E810">
        <v>4</v>
      </c>
      <c r="F810">
        <v>2</v>
      </c>
      <c r="G810">
        <v>2026</v>
      </c>
      <c r="H810" t="s">
        <v>570</v>
      </c>
      <c r="I810" t="s">
        <v>123</v>
      </c>
      <c r="J810" t="s">
        <v>43</v>
      </c>
      <c r="K810">
        <v>46</v>
      </c>
      <c r="L810">
        <v>3</v>
      </c>
      <c r="M810">
        <v>154</v>
      </c>
    </row>
    <row r="811" spans="1:13">
      <c r="A811">
        <v>810</v>
      </c>
      <c r="B811" s="1">
        <v>46133</v>
      </c>
      <c r="C811" t="s">
        <v>48</v>
      </c>
      <c r="D811">
        <v>21</v>
      </c>
      <c r="E811">
        <v>4</v>
      </c>
      <c r="F811">
        <v>2</v>
      </c>
      <c r="G811">
        <v>2026</v>
      </c>
      <c r="H811" t="s">
        <v>570</v>
      </c>
      <c r="I811" t="s">
        <v>99</v>
      </c>
      <c r="J811" t="s">
        <v>100</v>
      </c>
      <c r="K811">
        <v>57</v>
      </c>
      <c r="L811">
        <v>4</v>
      </c>
      <c r="M811">
        <v>261</v>
      </c>
    </row>
    <row r="812" spans="1:13">
      <c r="A812">
        <v>811</v>
      </c>
      <c r="B812" s="1">
        <v>46133</v>
      </c>
      <c r="C812" t="s">
        <v>48</v>
      </c>
      <c r="D812">
        <v>21</v>
      </c>
      <c r="E812">
        <v>4</v>
      </c>
      <c r="F812">
        <v>2</v>
      </c>
      <c r="G812">
        <v>2026</v>
      </c>
      <c r="H812" t="s">
        <v>570</v>
      </c>
      <c r="I812" t="s">
        <v>358</v>
      </c>
      <c r="J812" t="s">
        <v>37</v>
      </c>
      <c r="K812">
        <v>42</v>
      </c>
      <c r="L812">
        <v>5</v>
      </c>
      <c r="M812">
        <v>213</v>
      </c>
    </row>
    <row r="813" spans="1:13">
      <c r="A813">
        <v>812</v>
      </c>
      <c r="B813" s="1">
        <v>46133</v>
      </c>
      <c r="C813" t="s">
        <v>48</v>
      </c>
      <c r="D813">
        <v>21</v>
      </c>
      <c r="E813">
        <v>4</v>
      </c>
      <c r="F813">
        <v>2</v>
      </c>
      <c r="G813">
        <v>2026</v>
      </c>
      <c r="H813" t="s">
        <v>570</v>
      </c>
      <c r="I813" t="s">
        <v>42</v>
      </c>
      <c r="J813" t="s">
        <v>43</v>
      </c>
      <c r="K813">
        <v>23</v>
      </c>
      <c r="L813">
        <v>13</v>
      </c>
      <c r="M813">
        <v>317</v>
      </c>
    </row>
    <row r="814" spans="1:13">
      <c r="A814">
        <v>813</v>
      </c>
      <c r="B814" s="1">
        <v>46133</v>
      </c>
      <c r="C814" t="s">
        <v>48</v>
      </c>
      <c r="D814">
        <v>21</v>
      </c>
      <c r="E814">
        <v>4</v>
      </c>
      <c r="F814">
        <v>2</v>
      </c>
      <c r="G814">
        <v>2026</v>
      </c>
      <c r="H814" t="s">
        <v>570</v>
      </c>
      <c r="I814" t="s">
        <v>185</v>
      </c>
      <c r="J814" t="s">
        <v>57</v>
      </c>
      <c r="K814">
        <v>48</v>
      </c>
      <c r="L814">
        <v>6</v>
      </c>
      <c r="M814">
        <v>304</v>
      </c>
    </row>
    <row r="815" spans="1:13">
      <c r="A815">
        <v>814</v>
      </c>
      <c r="B815" s="1">
        <v>46133</v>
      </c>
      <c r="C815" t="s">
        <v>48</v>
      </c>
      <c r="D815">
        <v>21</v>
      </c>
      <c r="E815">
        <v>4</v>
      </c>
      <c r="F815">
        <v>2</v>
      </c>
      <c r="G815">
        <v>2026</v>
      </c>
      <c r="H815" t="s">
        <v>570</v>
      </c>
      <c r="I815" t="s">
        <v>274</v>
      </c>
      <c r="J815" t="s">
        <v>19</v>
      </c>
      <c r="K815">
        <v>32</v>
      </c>
      <c r="L815">
        <v>4</v>
      </c>
      <c r="M815">
        <v>138</v>
      </c>
    </row>
    <row r="816" spans="1:13">
      <c r="A816">
        <v>815</v>
      </c>
      <c r="B816" s="1">
        <v>46133</v>
      </c>
      <c r="C816" t="s">
        <v>48</v>
      </c>
      <c r="D816">
        <v>21</v>
      </c>
      <c r="E816">
        <v>4</v>
      </c>
      <c r="F816">
        <v>2</v>
      </c>
      <c r="G816">
        <v>2026</v>
      </c>
      <c r="H816" t="s">
        <v>570</v>
      </c>
      <c r="I816" t="s">
        <v>520</v>
      </c>
      <c r="J816" t="s">
        <v>122</v>
      </c>
      <c r="K816">
        <v>29</v>
      </c>
      <c r="L816">
        <v>15</v>
      </c>
      <c r="M816">
        <v>447</v>
      </c>
    </row>
    <row r="817" spans="1:13">
      <c r="A817">
        <v>816</v>
      </c>
      <c r="B817" s="1">
        <v>46133</v>
      </c>
      <c r="C817" t="s">
        <v>48</v>
      </c>
      <c r="D817">
        <v>21</v>
      </c>
      <c r="E817">
        <v>4</v>
      </c>
      <c r="F817">
        <v>2</v>
      </c>
      <c r="G817">
        <v>2026</v>
      </c>
      <c r="H817" t="s">
        <v>570</v>
      </c>
      <c r="I817" t="s">
        <v>445</v>
      </c>
      <c r="J817" t="s">
        <v>60</v>
      </c>
      <c r="K817">
        <v>47</v>
      </c>
      <c r="L817">
        <v>4</v>
      </c>
      <c r="M817">
        <v>190</v>
      </c>
    </row>
    <row r="818" spans="1:13">
      <c r="A818">
        <v>817</v>
      </c>
      <c r="B818" s="1">
        <v>46133</v>
      </c>
      <c r="C818" t="s">
        <v>48</v>
      </c>
      <c r="D818">
        <v>21</v>
      </c>
      <c r="E818">
        <v>4</v>
      </c>
      <c r="F818">
        <v>2</v>
      </c>
      <c r="G818">
        <v>2026</v>
      </c>
      <c r="H818" t="s">
        <v>570</v>
      </c>
      <c r="I818" t="s">
        <v>61</v>
      </c>
      <c r="J818" t="s">
        <v>55</v>
      </c>
      <c r="K818">
        <v>15</v>
      </c>
      <c r="L818">
        <v>11</v>
      </c>
      <c r="M818">
        <v>174</v>
      </c>
    </row>
    <row r="819" spans="1:13">
      <c r="A819">
        <v>818</v>
      </c>
      <c r="B819" s="1">
        <v>46133</v>
      </c>
      <c r="C819" t="s">
        <v>48</v>
      </c>
      <c r="D819">
        <v>21</v>
      </c>
      <c r="E819">
        <v>4</v>
      </c>
      <c r="F819">
        <v>2</v>
      </c>
      <c r="G819">
        <v>2026</v>
      </c>
      <c r="H819" t="s">
        <v>570</v>
      </c>
      <c r="I819" t="s">
        <v>360</v>
      </c>
      <c r="J819" t="s">
        <v>43</v>
      </c>
      <c r="K819">
        <v>25</v>
      </c>
      <c r="L819">
        <v>5</v>
      </c>
      <c r="M819">
        <v>134</v>
      </c>
    </row>
    <row r="820" spans="1:13">
      <c r="A820">
        <v>819</v>
      </c>
      <c r="B820" s="1">
        <v>46133</v>
      </c>
      <c r="C820" t="s">
        <v>48</v>
      </c>
      <c r="D820">
        <v>21</v>
      </c>
      <c r="E820">
        <v>4</v>
      </c>
      <c r="F820">
        <v>2</v>
      </c>
      <c r="G820">
        <v>2026</v>
      </c>
      <c r="H820" t="s">
        <v>570</v>
      </c>
      <c r="I820" t="s">
        <v>571</v>
      </c>
      <c r="J820" t="s">
        <v>23</v>
      </c>
      <c r="K820">
        <v>30</v>
      </c>
      <c r="L820">
        <v>13</v>
      </c>
      <c r="M820">
        <v>390</v>
      </c>
    </row>
    <row r="821" spans="1:13">
      <c r="A821">
        <v>820</v>
      </c>
      <c r="B821" s="1">
        <v>46133</v>
      </c>
      <c r="C821" t="s">
        <v>48</v>
      </c>
      <c r="D821">
        <v>21</v>
      </c>
      <c r="E821">
        <v>4</v>
      </c>
      <c r="F821">
        <v>2</v>
      </c>
      <c r="G821">
        <v>2026</v>
      </c>
      <c r="H821" t="s">
        <v>570</v>
      </c>
      <c r="I821" t="s">
        <v>95</v>
      </c>
      <c r="J821" t="s">
        <v>46</v>
      </c>
      <c r="K821">
        <v>51</v>
      </c>
      <c r="L821">
        <v>2</v>
      </c>
      <c r="M821">
        <v>116</v>
      </c>
    </row>
    <row r="822" spans="1:13">
      <c r="A822">
        <v>821</v>
      </c>
      <c r="B822" s="1">
        <v>45676</v>
      </c>
      <c r="C822" t="s">
        <v>28</v>
      </c>
      <c r="D822">
        <v>19</v>
      </c>
      <c r="E822">
        <v>1</v>
      </c>
      <c r="F822">
        <v>1</v>
      </c>
      <c r="G822">
        <v>2025</v>
      </c>
      <c r="H822" t="s">
        <v>572</v>
      </c>
      <c r="I822" t="s">
        <v>204</v>
      </c>
      <c r="J822" t="s">
        <v>97</v>
      </c>
      <c r="K822">
        <v>10</v>
      </c>
      <c r="L822">
        <v>28</v>
      </c>
      <c r="M822">
        <v>285</v>
      </c>
    </row>
    <row r="823" spans="1:13">
      <c r="A823">
        <v>822</v>
      </c>
      <c r="B823" s="1">
        <v>45676</v>
      </c>
      <c r="C823" t="s">
        <v>28</v>
      </c>
      <c r="D823">
        <v>19</v>
      </c>
      <c r="E823">
        <v>1</v>
      </c>
      <c r="F823">
        <v>1</v>
      </c>
      <c r="G823">
        <v>2025</v>
      </c>
      <c r="H823" t="s">
        <v>572</v>
      </c>
      <c r="I823" t="s">
        <v>527</v>
      </c>
      <c r="J823" t="s">
        <v>27</v>
      </c>
      <c r="K823">
        <v>18</v>
      </c>
      <c r="L823">
        <v>15</v>
      </c>
      <c r="M823">
        <v>277</v>
      </c>
    </row>
    <row r="824" spans="1:13">
      <c r="A824">
        <v>823</v>
      </c>
      <c r="B824" s="1">
        <v>45700</v>
      </c>
      <c r="C824" t="s">
        <v>34</v>
      </c>
      <c r="D824">
        <v>12</v>
      </c>
      <c r="E824">
        <v>2</v>
      </c>
      <c r="F824">
        <v>1</v>
      </c>
      <c r="G824">
        <v>2025</v>
      </c>
      <c r="H824" t="s">
        <v>534</v>
      </c>
      <c r="I824" t="s">
        <v>573</v>
      </c>
      <c r="J824" t="s">
        <v>55</v>
      </c>
      <c r="K824">
        <v>49</v>
      </c>
      <c r="L824">
        <v>6</v>
      </c>
      <c r="M824">
        <v>295</v>
      </c>
    </row>
    <row r="825" spans="1:13">
      <c r="A825">
        <v>824</v>
      </c>
      <c r="B825" s="1">
        <v>45700</v>
      </c>
      <c r="C825" t="s">
        <v>34</v>
      </c>
      <c r="D825">
        <v>12</v>
      </c>
      <c r="E825">
        <v>2</v>
      </c>
      <c r="F825">
        <v>1</v>
      </c>
      <c r="G825">
        <v>2025</v>
      </c>
      <c r="H825" t="s">
        <v>534</v>
      </c>
      <c r="I825" t="s">
        <v>197</v>
      </c>
      <c r="J825" t="s">
        <v>19</v>
      </c>
      <c r="K825">
        <v>12</v>
      </c>
      <c r="L825">
        <v>19</v>
      </c>
      <c r="M825">
        <v>236</v>
      </c>
    </row>
    <row r="826" spans="1:13">
      <c r="A826">
        <v>825</v>
      </c>
      <c r="B826" s="1">
        <v>45700</v>
      </c>
      <c r="C826" t="s">
        <v>34</v>
      </c>
      <c r="D826">
        <v>12</v>
      </c>
      <c r="E826">
        <v>2</v>
      </c>
      <c r="F826">
        <v>1</v>
      </c>
      <c r="G826">
        <v>2025</v>
      </c>
      <c r="H826" t="s">
        <v>534</v>
      </c>
      <c r="I826" t="s">
        <v>574</v>
      </c>
      <c r="J826" t="s">
        <v>19</v>
      </c>
      <c r="K826">
        <v>38</v>
      </c>
      <c r="L826">
        <v>10</v>
      </c>
      <c r="M826">
        <v>390</v>
      </c>
    </row>
    <row r="827" spans="1:13">
      <c r="A827">
        <v>826</v>
      </c>
      <c r="B827" s="1">
        <v>45760</v>
      </c>
      <c r="C827" t="s">
        <v>28</v>
      </c>
      <c r="D827">
        <v>13</v>
      </c>
      <c r="E827">
        <v>4</v>
      </c>
      <c r="F827">
        <v>2</v>
      </c>
      <c r="G827">
        <v>2025</v>
      </c>
      <c r="H827" t="s">
        <v>572</v>
      </c>
      <c r="I827" t="s">
        <v>261</v>
      </c>
      <c r="J827" t="s">
        <v>31</v>
      </c>
      <c r="K827">
        <v>15</v>
      </c>
      <c r="L827">
        <v>20</v>
      </c>
      <c r="M827">
        <v>307</v>
      </c>
    </row>
    <row r="828" spans="1:13">
      <c r="A828">
        <v>827</v>
      </c>
      <c r="B828" s="1">
        <v>45760</v>
      </c>
      <c r="C828" t="s">
        <v>28</v>
      </c>
      <c r="D828">
        <v>13</v>
      </c>
      <c r="E828">
        <v>4</v>
      </c>
      <c r="F828">
        <v>2</v>
      </c>
      <c r="G828">
        <v>2025</v>
      </c>
      <c r="H828" t="s">
        <v>572</v>
      </c>
      <c r="I828" t="s">
        <v>507</v>
      </c>
      <c r="J828" t="s">
        <v>55</v>
      </c>
      <c r="K828">
        <v>30</v>
      </c>
      <c r="L828">
        <v>7</v>
      </c>
      <c r="M828">
        <v>213</v>
      </c>
    </row>
    <row r="829" spans="1:13">
      <c r="A829">
        <v>828</v>
      </c>
      <c r="B829" s="1">
        <v>45760</v>
      </c>
      <c r="C829" t="s">
        <v>28</v>
      </c>
      <c r="D829">
        <v>13</v>
      </c>
      <c r="E829">
        <v>4</v>
      </c>
      <c r="F829">
        <v>2</v>
      </c>
      <c r="G829">
        <v>2025</v>
      </c>
      <c r="H829" t="s">
        <v>572</v>
      </c>
      <c r="I829" t="s">
        <v>279</v>
      </c>
      <c r="J829" t="s">
        <v>82</v>
      </c>
      <c r="K829">
        <v>43</v>
      </c>
      <c r="L829">
        <v>7</v>
      </c>
      <c r="M829">
        <v>313</v>
      </c>
    </row>
    <row r="830" spans="1:13">
      <c r="A830">
        <v>829</v>
      </c>
      <c r="B830" s="1">
        <v>45760</v>
      </c>
      <c r="C830" t="s">
        <v>28</v>
      </c>
      <c r="D830">
        <v>13</v>
      </c>
      <c r="E830">
        <v>4</v>
      </c>
      <c r="F830">
        <v>2</v>
      </c>
      <c r="G830">
        <v>2025</v>
      </c>
      <c r="H830" t="s">
        <v>572</v>
      </c>
      <c r="I830" t="s">
        <v>166</v>
      </c>
      <c r="J830" t="s">
        <v>23</v>
      </c>
      <c r="K830">
        <v>17</v>
      </c>
      <c r="L830">
        <v>12</v>
      </c>
      <c r="M830">
        <v>205</v>
      </c>
    </row>
    <row r="831" spans="1:13">
      <c r="A831">
        <v>830</v>
      </c>
      <c r="B831" s="1">
        <v>45760</v>
      </c>
      <c r="C831" t="s">
        <v>28</v>
      </c>
      <c r="D831">
        <v>13</v>
      </c>
      <c r="E831">
        <v>4</v>
      </c>
      <c r="F831">
        <v>2</v>
      </c>
      <c r="G831">
        <v>2025</v>
      </c>
      <c r="H831" t="s">
        <v>572</v>
      </c>
      <c r="I831" t="s">
        <v>363</v>
      </c>
      <c r="J831" t="s">
        <v>100</v>
      </c>
      <c r="K831">
        <v>49</v>
      </c>
      <c r="L831">
        <v>4</v>
      </c>
      <c r="M831">
        <v>230</v>
      </c>
    </row>
    <row r="832" spans="1:13">
      <c r="A832">
        <v>831</v>
      </c>
      <c r="B832" s="1">
        <v>45760</v>
      </c>
      <c r="C832" t="s">
        <v>28</v>
      </c>
      <c r="D832">
        <v>13</v>
      </c>
      <c r="E832">
        <v>4</v>
      </c>
      <c r="F832">
        <v>2</v>
      </c>
      <c r="G832">
        <v>2025</v>
      </c>
      <c r="H832" t="s">
        <v>572</v>
      </c>
      <c r="I832" t="s">
        <v>237</v>
      </c>
      <c r="J832" t="s">
        <v>27</v>
      </c>
      <c r="K832">
        <v>10</v>
      </c>
      <c r="L832">
        <v>16</v>
      </c>
      <c r="M832">
        <v>166</v>
      </c>
    </row>
    <row r="833" spans="1:13">
      <c r="A833">
        <v>832</v>
      </c>
      <c r="B833" s="1">
        <v>45760</v>
      </c>
      <c r="C833" t="s">
        <v>28</v>
      </c>
      <c r="D833">
        <v>13</v>
      </c>
      <c r="E833">
        <v>4</v>
      </c>
      <c r="F833">
        <v>2</v>
      </c>
      <c r="G833">
        <v>2025</v>
      </c>
      <c r="H833" t="s">
        <v>572</v>
      </c>
      <c r="I833" t="s">
        <v>449</v>
      </c>
      <c r="J833" t="s">
        <v>82</v>
      </c>
      <c r="K833">
        <v>49</v>
      </c>
      <c r="L833">
        <v>4</v>
      </c>
      <c r="M833">
        <v>200</v>
      </c>
    </row>
    <row r="834" spans="1:13">
      <c r="A834">
        <v>833</v>
      </c>
      <c r="B834" s="1">
        <v>45760</v>
      </c>
      <c r="C834" t="s">
        <v>28</v>
      </c>
      <c r="D834">
        <v>13</v>
      </c>
      <c r="E834">
        <v>4</v>
      </c>
      <c r="F834">
        <v>2</v>
      </c>
      <c r="G834">
        <v>2025</v>
      </c>
      <c r="H834" t="s">
        <v>572</v>
      </c>
      <c r="I834" t="s">
        <v>155</v>
      </c>
      <c r="J834" t="s">
        <v>19</v>
      </c>
      <c r="K834">
        <v>39</v>
      </c>
      <c r="L834">
        <v>7</v>
      </c>
      <c r="M834">
        <v>294</v>
      </c>
    </row>
    <row r="835" spans="1:13">
      <c r="A835">
        <v>834</v>
      </c>
      <c r="B835" s="1">
        <v>46056</v>
      </c>
      <c r="C835" t="s">
        <v>48</v>
      </c>
      <c r="D835">
        <v>3</v>
      </c>
      <c r="E835">
        <v>2</v>
      </c>
      <c r="F835">
        <v>1</v>
      </c>
      <c r="G835">
        <v>2026</v>
      </c>
      <c r="H835" t="s">
        <v>498</v>
      </c>
      <c r="I835" t="s">
        <v>316</v>
      </c>
      <c r="J835" t="s">
        <v>97</v>
      </c>
      <c r="K835">
        <v>24</v>
      </c>
      <c r="L835">
        <v>3</v>
      </c>
      <c r="M835">
        <v>78</v>
      </c>
    </row>
    <row r="836" spans="1:13">
      <c r="A836">
        <v>835</v>
      </c>
      <c r="B836" s="1">
        <v>46056</v>
      </c>
      <c r="C836" t="s">
        <v>48</v>
      </c>
      <c r="D836">
        <v>3</v>
      </c>
      <c r="E836">
        <v>2</v>
      </c>
      <c r="F836">
        <v>1</v>
      </c>
      <c r="G836">
        <v>2026</v>
      </c>
      <c r="H836" t="s">
        <v>498</v>
      </c>
      <c r="I836" t="s">
        <v>404</v>
      </c>
      <c r="J836" t="s">
        <v>37</v>
      </c>
      <c r="K836">
        <v>29</v>
      </c>
      <c r="L836">
        <v>8</v>
      </c>
      <c r="M836">
        <v>259</v>
      </c>
    </row>
    <row r="837" spans="1:13">
      <c r="A837">
        <v>836</v>
      </c>
      <c r="B837" s="1">
        <v>46056</v>
      </c>
      <c r="C837" t="s">
        <v>48</v>
      </c>
      <c r="D837">
        <v>3</v>
      </c>
      <c r="E837">
        <v>2</v>
      </c>
      <c r="F837">
        <v>1</v>
      </c>
      <c r="G837">
        <v>2026</v>
      </c>
      <c r="H837" t="s">
        <v>498</v>
      </c>
      <c r="I837" t="s">
        <v>575</v>
      </c>
      <c r="J837" t="s">
        <v>37</v>
      </c>
      <c r="K837">
        <v>42</v>
      </c>
      <c r="L837">
        <v>2</v>
      </c>
      <c r="M837">
        <v>91</v>
      </c>
    </row>
    <row r="838" spans="1:13">
      <c r="A838">
        <v>837</v>
      </c>
      <c r="B838" s="1">
        <v>46056</v>
      </c>
      <c r="C838" t="s">
        <v>48</v>
      </c>
      <c r="D838">
        <v>3</v>
      </c>
      <c r="E838">
        <v>2</v>
      </c>
      <c r="F838">
        <v>1</v>
      </c>
      <c r="G838">
        <v>2026</v>
      </c>
      <c r="H838" t="s">
        <v>498</v>
      </c>
      <c r="I838" t="s">
        <v>183</v>
      </c>
      <c r="J838" t="s">
        <v>19</v>
      </c>
      <c r="K838">
        <v>47</v>
      </c>
      <c r="L838">
        <v>5</v>
      </c>
      <c r="M838">
        <v>265</v>
      </c>
    </row>
    <row r="839" spans="1:13">
      <c r="A839">
        <v>838</v>
      </c>
      <c r="B839" s="1">
        <v>46056</v>
      </c>
      <c r="C839" t="s">
        <v>48</v>
      </c>
      <c r="D839">
        <v>3</v>
      </c>
      <c r="E839">
        <v>2</v>
      </c>
      <c r="F839">
        <v>1</v>
      </c>
      <c r="G839">
        <v>2026</v>
      </c>
      <c r="H839" t="s">
        <v>498</v>
      </c>
      <c r="I839" t="s">
        <v>107</v>
      </c>
      <c r="J839" t="s">
        <v>17</v>
      </c>
      <c r="K839">
        <v>12</v>
      </c>
      <c r="L839">
        <v>13</v>
      </c>
      <c r="M839">
        <v>167</v>
      </c>
    </row>
    <row r="840" spans="1:13">
      <c r="A840">
        <v>839</v>
      </c>
      <c r="B840" s="1">
        <v>46056</v>
      </c>
      <c r="C840" t="s">
        <v>48</v>
      </c>
      <c r="D840">
        <v>3</v>
      </c>
      <c r="E840">
        <v>2</v>
      </c>
      <c r="F840">
        <v>1</v>
      </c>
      <c r="G840">
        <v>2026</v>
      </c>
      <c r="H840" t="s">
        <v>498</v>
      </c>
      <c r="I840" t="s">
        <v>576</v>
      </c>
      <c r="J840" t="s">
        <v>27</v>
      </c>
      <c r="K840">
        <v>48</v>
      </c>
      <c r="L840">
        <v>4</v>
      </c>
      <c r="M840">
        <v>210</v>
      </c>
    </row>
    <row r="841" spans="1:13">
      <c r="A841">
        <v>840</v>
      </c>
      <c r="B841" s="1">
        <v>45911</v>
      </c>
      <c r="C841" t="s">
        <v>105</v>
      </c>
      <c r="D841">
        <v>11</v>
      </c>
      <c r="E841">
        <v>9</v>
      </c>
      <c r="F841">
        <v>3</v>
      </c>
      <c r="G841">
        <v>2025</v>
      </c>
      <c r="H841" t="s">
        <v>577</v>
      </c>
      <c r="I841" t="s">
        <v>457</v>
      </c>
      <c r="J841" t="s">
        <v>25</v>
      </c>
      <c r="K841">
        <v>49</v>
      </c>
      <c r="L841">
        <v>4</v>
      </c>
      <c r="M841">
        <v>197</v>
      </c>
    </row>
    <row r="842" spans="1:13">
      <c r="A842">
        <v>841</v>
      </c>
      <c r="B842" s="1">
        <v>45911</v>
      </c>
      <c r="C842" t="s">
        <v>105</v>
      </c>
      <c r="D842">
        <v>11</v>
      </c>
      <c r="E842">
        <v>9</v>
      </c>
      <c r="F842">
        <v>3</v>
      </c>
      <c r="G842">
        <v>2025</v>
      </c>
      <c r="H842" t="s">
        <v>577</v>
      </c>
      <c r="I842" t="s">
        <v>578</v>
      </c>
      <c r="J842" t="s">
        <v>82</v>
      </c>
      <c r="K842">
        <v>29</v>
      </c>
      <c r="L842">
        <v>4</v>
      </c>
      <c r="M842">
        <v>138</v>
      </c>
    </row>
    <row r="843" spans="1:13">
      <c r="A843">
        <v>842</v>
      </c>
      <c r="B843" s="1">
        <v>45911</v>
      </c>
      <c r="C843" t="s">
        <v>105</v>
      </c>
      <c r="D843">
        <v>11</v>
      </c>
      <c r="E843">
        <v>9</v>
      </c>
      <c r="F843">
        <v>3</v>
      </c>
      <c r="G843">
        <v>2025</v>
      </c>
      <c r="H843" t="s">
        <v>577</v>
      </c>
      <c r="I843" t="s">
        <v>360</v>
      </c>
      <c r="J843" t="s">
        <v>43</v>
      </c>
      <c r="K843">
        <v>34</v>
      </c>
      <c r="L843">
        <v>4</v>
      </c>
      <c r="M843">
        <v>158</v>
      </c>
    </row>
    <row r="844" spans="1:13">
      <c r="A844">
        <v>843</v>
      </c>
      <c r="B844" s="1">
        <v>45911</v>
      </c>
      <c r="C844" t="s">
        <v>105</v>
      </c>
      <c r="D844">
        <v>11</v>
      </c>
      <c r="E844">
        <v>9</v>
      </c>
      <c r="F844">
        <v>3</v>
      </c>
      <c r="G844">
        <v>2025</v>
      </c>
      <c r="H844" t="s">
        <v>577</v>
      </c>
      <c r="I844" t="s">
        <v>579</v>
      </c>
      <c r="J844" t="s">
        <v>31</v>
      </c>
      <c r="K844">
        <v>24</v>
      </c>
      <c r="L844">
        <v>14</v>
      </c>
      <c r="M844">
        <v>339</v>
      </c>
    </row>
    <row r="845" spans="1:13">
      <c r="A845">
        <v>844</v>
      </c>
      <c r="B845" s="1">
        <v>45911</v>
      </c>
      <c r="C845" t="s">
        <v>105</v>
      </c>
      <c r="D845">
        <v>11</v>
      </c>
      <c r="E845">
        <v>9</v>
      </c>
      <c r="F845">
        <v>3</v>
      </c>
      <c r="G845">
        <v>2025</v>
      </c>
      <c r="H845" t="s">
        <v>577</v>
      </c>
      <c r="I845" t="s">
        <v>180</v>
      </c>
      <c r="J845" t="s">
        <v>55</v>
      </c>
      <c r="K845">
        <v>25</v>
      </c>
      <c r="L845">
        <v>10</v>
      </c>
      <c r="M845">
        <v>264</v>
      </c>
    </row>
    <row r="846" spans="1:13">
      <c r="A846">
        <v>845</v>
      </c>
      <c r="B846" s="1">
        <v>45911</v>
      </c>
      <c r="C846" t="s">
        <v>105</v>
      </c>
      <c r="D846">
        <v>11</v>
      </c>
      <c r="E846">
        <v>9</v>
      </c>
      <c r="F846">
        <v>3</v>
      </c>
      <c r="G846">
        <v>2025</v>
      </c>
      <c r="H846" t="s">
        <v>577</v>
      </c>
      <c r="I846" t="s">
        <v>364</v>
      </c>
      <c r="J846" t="s">
        <v>21</v>
      </c>
      <c r="K846">
        <v>22</v>
      </c>
      <c r="L846">
        <v>11</v>
      </c>
      <c r="M846">
        <v>245</v>
      </c>
    </row>
    <row r="847" spans="1:13">
      <c r="A847">
        <v>846</v>
      </c>
      <c r="B847" s="1">
        <v>45911</v>
      </c>
      <c r="C847" t="s">
        <v>105</v>
      </c>
      <c r="D847">
        <v>11</v>
      </c>
      <c r="E847">
        <v>9</v>
      </c>
      <c r="F847">
        <v>3</v>
      </c>
      <c r="G847">
        <v>2025</v>
      </c>
      <c r="H847" t="s">
        <v>577</v>
      </c>
      <c r="I847" t="s">
        <v>200</v>
      </c>
      <c r="J847" t="s">
        <v>17</v>
      </c>
      <c r="K847">
        <v>39</v>
      </c>
      <c r="L847">
        <v>4</v>
      </c>
      <c r="M847">
        <v>175</v>
      </c>
    </row>
    <row r="848" spans="1:13">
      <c r="A848">
        <v>847</v>
      </c>
      <c r="B848" s="1">
        <v>45911</v>
      </c>
      <c r="C848" t="s">
        <v>105</v>
      </c>
      <c r="D848">
        <v>11</v>
      </c>
      <c r="E848">
        <v>9</v>
      </c>
      <c r="F848">
        <v>3</v>
      </c>
      <c r="G848">
        <v>2025</v>
      </c>
      <c r="H848" t="s">
        <v>577</v>
      </c>
      <c r="I848" t="s">
        <v>284</v>
      </c>
      <c r="J848" t="s">
        <v>97</v>
      </c>
      <c r="K848">
        <v>19</v>
      </c>
      <c r="L848">
        <v>11</v>
      </c>
      <c r="M848">
        <v>214</v>
      </c>
    </row>
    <row r="849" spans="1:13">
      <c r="A849">
        <v>848</v>
      </c>
      <c r="B849" s="1">
        <v>45911</v>
      </c>
      <c r="C849" t="s">
        <v>105</v>
      </c>
      <c r="D849">
        <v>11</v>
      </c>
      <c r="E849">
        <v>9</v>
      </c>
      <c r="F849">
        <v>3</v>
      </c>
      <c r="G849">
        <v>2025</v>
      </c>
      <c r="H849" t="s">
        <v>577</v>
      </c>
      <c r="I849" t="s">
        <v>528</v>
      </c>
      <c r="J849" t="s">
        <v>69</v>
      </c>
      <c r="K849">
        <v>49</v>
      </c>
      <c r="L849">
        <v>1</v>
      </c>
      <c r="M849">
        <v>88</v>
      </c>
    </row>
    <row r="850" spans="1:13">
      <c r="A850">
        <v>849</v>
      </c>
      <c r="B850" s="1">
        <v>45911</v>
      </c>
      <c r="C850" t="s">
        <v>105</v>
      </c>
      <c r="D850">
        <v>11</v>
      </c>
      <c r="E850">
        <v>9</v>
      </c>
      <c r="F850">
        <v>3</v>
      </c>
      <c r="G850">
        <v>2025</v>
      </c>
      <c r="H850" t="s">
        <v>577</v>
      </c>
      <c r="I850" t="s">
        <v>223</v>
      </c>
      <c r="J850" t="s">
        <v>19</v>
      </c>
      <c r="K850">
        <v>10</v>
      </c>
      <c r="L850">
        <v>20</v>
      </c>
      <c r="M850">
        <v>205</v>
      </c>
    </row>
    <row r="851" spans="1:13">
      <c r="A851">
        <v>850</v>
      </c>
      <c r="B851" s="1">
        <v>45884</v>
      </c>
      <c r="C851" t="s">
        <v>79</v>
      </c>
      <c r="D851">
        <v>15</v>
      </c>
      <c r="E851">
        <v>8</v>
      </c>
      <c r="F851">
        <v>3</v>
      </c>
      <c r="G851">
        <v>2025</v>
      </c>
      <c r="H851" t="s">
        <v>580</v>
      </c>
      <c r="I851" t="s">
        <v>511</v>
      </c>
      <c r="J851" t="s">
        <v>27</v>
      </c>
      <c r="K851">
        <v>25</v>
      </c>
      <c r="L851">
        <v>2</v>
      </c>
      <c r="M851">
        <v>52</v>
      </c>
    </row>
    <row r="852" spans="1:13">
      <c r="A852">
        <v>851</v>
      </c>
      <c r="B852" s="1">
        <v>45954</v>
      </c>
      <c r="C852" t="s">
        <v>79</v>
      </c>
      <c r="D852">
        <v>24</v>
      </c>
      <c r="E852">
        <v>10</v>
      </c>
      <c r="F852">
        <v>4</v>
      </c>
      <c r="G852">
        <v>2025</v>
      </c>
      <c r="H852" t="s">
        <v>581</v>
      </c>
      <c r="I852" t="s">
        <v>574</v>
      </c>
      <c r="J852" t="s">
        <v>19</v>
      </c>
      <c r="K852">
        <v>32</v>
      </c>
      <c r="L852">
        <v>13</v>
      </c>
      <c r="M852">
        <v>419</v>
      </c>
    </row>
    <row r="853" spans="1:13">
      <c r="A853">
        <v>852</v>
      </c>
      <c r="B853" s="1">
        <v>45954</v>
      </c>
      <c r="C853" t="s">
        <v>79</v>
      </c>
      <c r="D853">
        <v>24</v>
      </c>
      <c r="E853">
        <v>10</v>
      </c>
      <c r="F853">
        <v>4</v>
      </c>
      <c r="G853">
        <v>2025</v>
      </c>
      <c r="H853" t="s">
        <v>581</v>
      </c>
      <c r="I853" t="s">
        <v>565</v>
      </c>
      <c r="J853" t="s">
        <v>17</v>
      </c>
      <c r="K853">
        <v>29</v>
      </c>
      <c r="L853">
        <v>3</v>
      </c>
      <c r="M853">
        <v>100</v>
      </c>
    </row>
    <row r="854" spans="1:13">
      <c r="A854">
        <v>853</v>
      </c>
      <c r="B854" s="1">
        <v>45954</v>
      </c>
      <c r="C854" t="s">
        <v>79</v>
      </c>
      <c r="D854">
        <v>24</v>
      </c>
      <c r="E854">
        <v>10</v>
      </c>
      <c r="F854">
        <v>4</v>
      </c>
      <c r="G854">
        <v>2025</v>
      </c>
      <c r="H854" t="s">
        <v>581</v>
      </c>
      <c r="I854" t="s">
        <v>314</v>
      </c>
      <c r="J854" t="s">
        <v>100</v>
      </c>
      <c r="K854">
        <v>14</v>
      </c>
      <c r="L854">
        <v>16</v>
      </c>
      <c r="M854">
        <v>237</v>
      </c>
    </row>
    <row r="855" spans="1:13">
      <c r="A855">
        <v>854</v>
      </c>
      <c r="B855" s="1">
        <v>45954</v>
      </c>
      <c r="C855" t="s">
        <v>79</v>
      </c>
      <c r="D855">
        <v>24</v>
      </c>
      <c r="E855">
        <v>10</v>
      </c>
      <c r="F855">
        <v>4</v>
      </c>
      <c r="G855">
        <v>2025</v>
      </c>
      <c r="H855" t="s">
        <v>581</v>
      </c>
      <c r="I855" t="s">
        <v>475</v>
      </c>
      <c r="J855" t="s">
        <v>27</v>
      </c>
      <c r="K855">
        <v>54</v>
      </c>
      <c r="L855">
        <v>5</v>
      </c>
      <c r="M855">
        <v>311</v>
      </c>
    </row>
    <row r="856" spans="1:13">
      <c r="A856">
        <v>855</v>
      </c>
      <c r="B856" s="1">
        <v>45954</v>
      </c>
      <c r="C856" t="s">
        <v>79</v>
      </c>
      <c r="D856">
        <v>24</v>
      </c>
      <c r="E856">
        <v>10</v>
      </c>
      <c r="F856">
        <v>4</v>
      </c>
      <c r="G856">
        <v>2025</v>
      </c>
      <c r="H856" t="s">
        <v>581</v>
      </c>
      <c r="I856" t="s">
        <v>519</v>
      </c>
      <c r="J856" t="s">
        <v>51</v>
      </c>
      <c r="K856">
        <v>32</v>
      </c>
      <c r="L856">
        <v>9</v>
      </c>
      <c r="M856">
        <v>316</v>
      </c>
    </row>
    <row r="857" spans="1:13">
      <c r="A857">
        <v>856</v>
      </c>
      <c r="B857" s="1">
        <v>45954</v>
      </c>
      <c r="C857" t="s">
        <v>79</v>
      </c>
      <c r="D857">
        <v>24</v>
      </c>
      <c r="E857">
        <v>10</v>
      </c>
      <c r="F857">
        <v>4</v>
      </c>
      <c r="G857">
        <v>2025</v>
      </c>
      <c r="H857" t="s">
        <v>581</v>
      </c>
      <c r="I857" t="s">
        <v>582</v>
      </c>
      <c r="J857" t="s">
        <v>97</v>
      </c>
      <c r="K857">
        <v>32</v>
      </c>
      <c r="L857">
        <v>8</v>
      </c>
      <c r="M857">
        <v>278</v>
      </c>
    </row>
    <row r="858" spans="1:13">
      <c r="A858">
        <v>857</v>
      </c>
      <c r="B858" s="1">
        <v>45954</v>
      </c>
      <c r="C858" t="s">
        <v>79</v>
      </c>
      <c r="D858">
        <v>24</v>
      </c>
      <c r="E858">
        <v>10</v>
      </c>
      <c r="F858">
        <v>4</v>
      </c>
      <c r="G858">
        <v>2025</v>
      </c>
      <c r="H858" t="s">
        <v>581</v>
      </c>
      <c r="I858" t="s">
        <v>583</v>
      </c>
      <c r="J858" t="s">
        <v>19</v>
      </c>
      <c r="K858">
        <v>32</v>
      </c>
      <c r="L858">
        <v>4</v>
      </c>
      <c r="M858">
        <v>153</v>
      </c>
    </row>
    <row r="859" spans="1:13">
      <c r="A859">
        <v>858</v>
      </c>
      <c r="B859" s="1">
        <v>45954</v>
      </c>
      <c r="C859" t="s">
        <v>79</v>
      </c>
      <c r="D859">
        <v>24</v>
      </c>
      <c r="E859">
        <v>10</v>
      </c>
      <c r="F859">
        <v>4</v>
      </c>
      <c r="G859">
        <v>2025</v>
      </c>
      <c r="H859" t="s">
        <v>581</v>
      </c>
      <c r="I859" t="s">
        <v>369</v>
      </c>
      <c r="J859" t="s">
        <v>43</v>
      </c>
      <c r="K859">
        <v>22</v>
      </c>
      <c r="L859">
        <v>19</v>
      </c>
      <c r="M859">
        <v>432</v>
      </c>
    </row>
    <row r="860" spans="1:13">
      <c r="A860">
        <v>859</v>
      </c>
      <c r="B860" s="1">
        <v>45954</v>
      </c>
      <c r="C860" t="s">
        <v>79</v>
      </c>
      <c r="D860">
        <v>24</v>
      </c>
      <c r="E860">
        <v>10</v>
      </c>
      <c r="F860">
        <v>4</v>
      </c>
      <c r="G860">
        <v>2025</v>
      </c>
      <c r="H860" t="s">
        <v>581</v>
      </c>
      <c r="I860" t="s">
        <v>200</v>
      </c>
      <c r="J860" t="s">
        <v>17</v>
      </c>
      <c r="K860">
        <v>25</v>
      </c>
      <c r="L860">
        <v>7</v>
      </c>
      <c r="M860">
        <v>190</v>
      </c>
    </row>
    <row r="861" spans="1:13">
      <c r="A861">
        <v>860</v>
      </c>
      <c r="B861" s="1">
        <v>45954</v>
      </c>
      <c r="C861" t="s">
        <v>79</v>
      </c>
      <c r="D861">
        <v>24</v>
      </c>
      <c r="E861">
        <v>10</v>
      </c>
      <c r="F861">
        <v>4</v>
      </c>
      <c r="G861">
        <v>2025</v>
      </c>
      <c r="H861" t="s">
        <v>581</v>
      </c>
      <c r="I861" t="s">
        <v>124</v>
      </c>
      <c r="J861" t="s">
        <v>82</v>
      </c>
      <c r="K861">
        <v>21</v>
      </c>
      <c r="L861">
        <v>13</v>
      </c>
      <c r="M861">
        <v>287</v>
      </c>
    </row>
    <row r="862" spans="1:13">
      <c r="A862">
        <v>861</v>
      </c>
      <c r="B862" s="1">
        <v>46227</v>
      </c>
      <c r="C862" t="s">
        <v>79</v>
      </c>
      <c r="D862">
        <v>24</v>
      </c>
      <c r="E862">
        <v>7</v>
      </c>
      <c r="F862">
        <v>3</v>
      </c>
      <c r="G862">
        <v>2026</v>
      </c>
      <c r="H862" t="s">
        <v>280</v>
      </c>
      <c r="I862" t="s">
        <v>584</v>
      </c>
      <c r="J862" t="s">
        <v>19</v>
      </c>
      <c r="K862">
        <v>39</v>
      </c>
      <c r="L862">
        <v>7</v>
      </c>
      <c r="M862">
        <v>296</v>
      </c>
    </row>
    <row r="863" spans="1:13">
      <c r="A863">
        <v>862</v>
      </c>
      <c r="B863" s="1">
        <v>45823</v>
      </c>
      <c r="C863" t="s">
        <v>28</v>
      </c>
      <c r="D863">
        <v>15</v>
      </c>
      <c r="E863">
        <v>6</v>
      </c>
      <c r="F863">
        <v>2</v>
      </c>
      <c r="G863">
        <v>2025</v>
      </c>
      <c r="H863" t="s">
        <v>585</v>
      </c>
      <c r="I863" t="s">
        <v>586</v>
      </c>
      <c r="J863" t="s">
        <v>43</v>
      </c>
      <c r="K863">
        <v>24</v>
      </c>
      <c r="L863">
        <v>11</v>
      </c>
      <c r="M863">
        <v>283</v>
      </c>
    </row>
    <row r="864" spans="1:13">
      <c r="A864">
        <v>863</v>
      </c>
      <c r="B864" s="1">
        <v>45823</v>
      </c>
      <c r="C864" t="s">
        <v>28</v>
      </c>
      <c r="D864">
        <v>15</v>
      </c>
      <c r="E864">
        <v>6</v>
      </c>
      <c r="F864">
        <v>2</v>
      </c>
      <c r="G864">
        <v>2025</v>
      </c>
      <c r="H864" t="s">
        <v>585</v>
      </c>
      <c r="I864" t="s">
        <v>587</v>
      </c>
      <c r="J864" t="s">
        <v>27</v>
      </c>
      <c r="K864">
        <v>15</v>
      </c>
      <c r="L864">
        <v>27</v>
      </c>
      <c r="M864">
        <v>410</v>
      </c>
    </row>
    <row r="865" spans="1:13">
      <c r="A865">
        <v>864</v>
      </c>
      <c r="B865" s="1">
        <v>45823</v>
      </c>
      <c r="C865" t="s">
        <v>28</v>
      </c>
      <c r="D865">
        <v>15</v>
      </c>
      <c r="E865">
        <v>6</v>
      </c>
      <c r="F865">
        <v>2</v>
      </c>
      <c r="G865">
        <v>2025</v>
      </c>
      <c r="H865" t="s">
        <v>585</v>
      </c>
      <c r="I865" t="s">
        <v>576</v>
      </c>
      <c r="J865" t="s">
        <v>27</v>
      </c>
      <c r="K865">
        <v>25</v>
      </c>
      <c r="L865">
        <v>8</v>
      </c>
      <c r="M865">
        <v>217</v>
      </c>
    </row>
    <row r="866" spans="1:13">
      <c r="A866">
        <v>865</v>
      </c>
      <c r="B866" s="1">
        <v>45823</v>
      </c>
      <c r="C866" t="s">
        <v>28</v>
      </c>
      <c r="D866">
        <v>15</v>
      </c>
      <c r="E866">
        <v>6</v>
      </c>
      <c r="F866">
        <v>2</v>
      </c>
      <c r="G866">
        <v>2025</v>
      </c>
      <c r="H866" t="s">
        <v>585</v>
      </c>
      <c r="I866" t="s">
        <v>320</v>
      </c>
      <c r="J866" t="s">
        <v>21</v>
      </c>
      <c r="K866">
        <v>20</v>
      </c>
      <c r="L866">
        <v>27</v>
      </c>
      <c r="M866">
        <v>545</v>
      </c>
    </row>
    <row r="867" spans="1:13">
      <c r="A867">
        <v>866</v>
      </c>
      <c r="B867" s="1">
        <v>45823</v>
      </c>
      <c r="C867" t="s">
        <v>28</v>
      </c>
      <c r="D867">
        <v>15</v>
      </c>
      <c r="E867">
        <v>6</v>
      </c>
      <c r="F867">
        <v>2</v>
      </c>
      <c r="G867">
        <v>2025</v>
      </c>
      <c r="H867" t="s">
        <v>585</v>
      </c>
      <c r="I867" t="s">
        <v>588</v>
      </c>
      <c r="J867" t="s">
        <v>82</v>
      </c>
      <c r="K867">
        <v>29</v>
      </c>
      <c r="L867">
        <v>9</v>
      </c>
      <c r="M867">
        <v>282</v>
      </c>
    </row>
    <row r="868" spans="1:13">
      <c r="A868">
        <v>867</v>
      </c>
      <c r="B868" s="1">
        <v>45823</v>
      </c>
      <c r="C868" t="s">
        <v>28</v>
      </c>
      <c r="D868">
        <v>15</v>
      </c>
      <c r="E868">
        <v>6</v>
      </c>
      <c r="F868">
        <v>2</v>
      </c>
      <c r="G868">
        <v>2025</v>
      </c>
      <c r="H868" t="s">
        <v>585</v>
      </c>
      <c r="I868" t="s">
        <v>68</v>
      </c>
      <c r="J868" t="s">
        <v>69</v>
      </c>
      <c r="K868">
        <v>18</v>
      </c>
      <c r="L868">
        <v>15</v>
      </c>
      <c r="M868">
        <v>281</v>
      </c>
    </row>
    <row r="869" spans="1:13">
      <c r="A869">
        <v>868</v>
      </c>
      <c r="B869" s="1">
        <v>45823</v>
      </c>
      <c r="C869" t="s">
        <v>28</v>
      </c>
      <c r="D869">
        <v>15</v>
      </c>
      <c r="E869">
        <v>6</v>
      </c>
      <c r="F869">
        <v>2</v>
      </c>
      <c r="G869">
        <v>2025</v>
      </c>
      <c r="H869" t="s">
        <v>585</v>
      </c>
      <c r="I869" t="s">
        <v>589</v>
      </c>
      <c r="J869" t="s">
        <v>46</v>
      </c>
      <c r="K869">
        <v>41</v>
      </c>
      <c r="L869">
        <v>6</v>
      </c>
      <c r="M869">
        <v>262</v>
      </c>
    </row>
    <row r="870" spans="1:13">
      <c r="A870">
        <v>869</v>
      </c>
      <c r="B870" s="1">
        <v>45823</v>
      </c>
      <c r="C870" t="s">
        <v>28</v>
      </c>
      <c r="D870">
        <v>15</v>
      </c>
      <c r="E870">
        <v>6</v>
      </c>
      <c r="F870">
        <v>2</v>
      </c>
      <c r="G870">
        <v>2025</v>
      </c>
      <c r="H870" t="s">
        <v>585</v>
      </c>
      <c r="I870" t="s">
        <v>269</v>
      </c>
      <c r="J870" t="s">
        <v>60</v>
      </c>
      <c r="K870">
        <v>49</v>
      </c>
      <c r="L870">
        <v>3</v>
      </c>
      <c r="M870">
        <v>185</v>
      </c>
    </row>
    <row r="871" spans="1:13">
      <c r="A871">
        <v>870</v>
      </c>
      <c r="B871" s="1">
        <v>45823</v>
      </c>
      <c r="C871" t="s">
        <v>28</v>
      </c>
      <c r="D871">
        <v>15</v>
      </c>
      <c r="E871">
        <v>6</v>
      </c>
      <c r="F871">
        <v>2</v>
      </c>
      <c r="G871">
        <v>2025</v>
      </c>
      <c r="H871" t="s">
        <v>585</v>
      </c>
      <c r="I871" t="s">
        <v>40</v>
      </c>
      <c r="J871" t="s">
        <v>37</v>
      </c>
      <c r="K871">
        <v>36</v>
      </c>
      <c r="L871">
        <v>5</v>
      </c>
      <c r="M871">
        <v>201</v>
      </c>
    </row>
    <row r="872" spans="1:13">
      <c r="A872">
        <v>871</v>
      </c>
      <c r="B872" s="1">
        <v>45739</v>
      </c>
      <c r="C872" t="s">
        <v>28</v>
      </c>
      <c r="D872">
        <v>23</v>
      </c>
      <c r="E872">
        <v>3</v>
      </c>
      <c r="F872">
        <v>1</v>
      </c>
      <c r="G872">
        <v>2025</v>
      </c>
      <c r="H872" t="s">
        <v>49</v>
      </c>
      <c r="I872" t="s">
        <v>216</v>
      </c>
      <c r="J872" t="s">
        <v>100</v>
      </c>
      <c r="K872">
        <v>50</v>
      </c>
      <c r="L872">
        <v>4</v>
      </c>
      <c r="M872">
        <v>224</v>
      </c>
    </row>
    <row r="873" spans="1:13">
      <c r="A873">
        <v>872</v>
      </c>
      <c r="B873" s="1">
        <v>45739</v>
      </c>
      <c r="C873" t="s">
        <v>28</v>
      </c>
      <c r="D873">
        <v>23</v>
      </c>
      <c r="E873">
        <v>3</v>
      </c>
      <c r="F873">
        <v>1</v>
      </c>
      <c r="G873">
        <v>2025</v>
      </c>
      <c r="H873" t="s">
        <v>49</v>
      </c>
      <c r="I873" t="s">
        <v>472</v>
      </c>
      <c r="J873" t="s">
        <v>122</v>
      </c>
      <c r="K873">
        <v>49</v>
      </c>
      <c r="L873">
        <v>1</v>
      </c>
      <c r="M873">
        <v>68</v>
      </c>
    </row>
    <row r="874" spans="1:13">
      <c r="A874">
        <v>873</v>
      </c>
      <c r="B874" s="1">
        <v>45739</v>
      </c>
      <c r="C874" t="s">
        <v>28</v>
      </c>
      <c r="D874">
        <v>23</v>
      </c>
      <c r="E874">
        <v>3</v>
      </c>
      <c r="F874">
        <v>1</v>
      </c>
      <c r="G874">
        <v>2025</v>
      </c>
      <c r="H874" t="s">
        <v>49</v>
      </c>
      <c r="I874" t="s">
        <v>500</v>
      </c>
      <c r="J874" t="s">
        <v>27</v>
      </c>
      <c r="K874">
        <v>22</v>
      </c>
      <c r="L874">
        <v>8</v>
      </c>
      <c r="M874">
        <v>197</v>
      </c>
    </row>
    <row r="875" spans="1:13">
      <c r="A875">
        <v>874</v>
      </c>
      <c r="B875" s="1">
        <v>45950</v>
      </c>
      <c r="C875" t="s">
        <v>93</v>
      </c>
      <c r="D875">
        <v>20</v>
      </c>
      <c r="E875">
        <v>10</v>
      </c>
      <c r="F875">
        <v>4</v>
      </c>
      <c r="G875">
        <v>2025</v>
      </c>
      <c r="H875" t="s">
        <v>160</v>
      </c>
      <c r="I875" t="s">
        <v>333</v>
      </c>
      <c r="J875" t="s">
        <v>37</v>
      </c>
      <c r="K875">
        <v>24</v>
      </c>
      <c r="L875">
        <v>12</v>
      </c>
      <c r="M875">
        <v>289</v>
      </c>
    </row>
    <row r="876" spans="1:13">
      <c r="A876">
        <v>875</v>
      </c>
      <c r="B876" s="1">
        <v>45950</v>
      </c>
      <c r="C876" t="s">
        <v>93</v>
      </c>
      <c r="D876">
        <v>20</v>
      </c>
      <c r="E876">
        <v>10</v>
      </c>
      <c r="F876">
        <v>4</v>
      </c>
      <c r="G876">
        <v>2025</v>
      </c>
      <c r="H876" t="s">
        <v>160</v>
      </c>
      <c r="I876" t="s">
        <v>424</v>
      </c>
      <c r="J876" t="s">
        <v>69</v>
      </c>
      <c r="K876">
        <v>35</v>
      </c>
      <c r="L876">
        <v>5</v>
      </c>
      <c r="M876">
        <v>195</v>
      </c>
    </row>
    <row r="877" spans="1:13">
      <c r="A877">
        <v>876</v>
      </c>
      <c r="B877" s="1">
        <v>45950</v>
      </c>
      <c r="C877" t="s">
        <v>93</v>
      </c>
      <c r="D877">
        <v>20</v>
      </c>
      <c r="E877">
        <v>10</v>
      </c>
      <c r="F877">
        <v>4</v>
      </c>
      <c r="G877">
        <v>2025</v>
      </c>
      <c r="H877" t="s">
        <v>160</v>
      </c>
      <c r="I877" t="s">
        <v>68</v>
      </c>
      <c r="J877" t="s">
        <v>69</v>
      </c>
      <c r="K877">
        <v>18</v>
      </c>
      <c r="L877">
        <v>17</v>
      </c>
      <c r="M877">
        <v>310</v>
      </c>
    </row>
    <row r="878" spans="1:13">
      <c r="A878">
        <v>877</v>
      </c>
      <c r="B878" s="1">
        <v>45950</v>
      </c>
      <c r="C878" t="s">
        <v>93</v>
      </c>
      <c r="D878">
        <v>20</v>
      </c>
      <c r="E878">
        <v>10</v>
      </c>
      <c r="F878">
        <v>4</v>
      </c>
      <c r="G878">
        <v>2025</v>
      </c>
      <c r="H878" t="s">
        <v>160</v>
      </c>
      <c r="I878" t="s">
        <v>163</v>
      </c>
      <c r="J878" t="s">
        <v>97</v>
      </c>
      <c r="K878">
        <v>41</v>
      </c>
      <c r="L878">
        <v>7</v>
      </c>
      <c r="M878">
        <v>290</v>
      </c>
    </row>
    <row r="879" spans="1:13">
      <c r="A879">
        <v>878</v>
      </c>
      <c r="B879" s="1">
        <v>45950</v>
      </c>
      <c r="C879" t="s">
        <v>93</v>
      </c>
      <c r="D879">
        <v>20</v>
      </c>
      <c r="E879">
        <v>10</v>
      </c>
      <c r="F879">
        <v>4</v>
      </c>
      <c r="G879">
        <v>2025</v>
      </c>
      <c r="H879" t="s">
        <v>160</v>
      </c>
      <c r="I879" t="s">
        <v>590</v>
      </c>
      <c r="J879" t="s">
        <v>51</v>
      </c>
      <c r="K879">
        <v>60</v>
      </c>
      <c r="L879">
        <v>2</v>
      </c>
      <c r="M879">
        <v>151</v>
      </c>
    </row>
    <row r="880" spans="1:13">
      <c r="A880">
        <v>879</v>
      </c>
      <c r="B880" s="1">
        <v>45950</v>
      </c>
      <c r="C880" t="s">
        <v>93</v>
      </c>
      <c r="D880">
        <v>20</v>
      </c>
      <c r="E880">
        <v>10</v>
      </c>
      <c r="F880">
        <v>4</v>
      </c>
      <c r="G880">
        <v>2025</v>
      </c>
      <c r="H880" t="s">
        <v>160</v>
      </c>
      <c r="I880" t="s">
        <v>471</v>
      </c>
      <c r="J880" t="s">
        <v>19</v>
      </c>
      <c r="K880">
        <v>13</v>
      </c>
      <c r="L880">
        <v>30</v>
      </c>
      <c r="M880">
        <v>399</v>
      </c>
    </row>
    <row r="881" spans="1:13">
      <c r="A881">
        <v>880</v>
      </c>
      <c r="B881" s="1">
        <v>45950</v>
      </c>
      <c r="C881" t="s">
        <v>93</v>
      </c>
      <c r="D881">
        <v>20</v>
      </c>
      <c r="E881">
        <v>10</v>
      </c>
      <c r="F881">
        <v>4</v>
      </c>
      <c r="G881">
        <v>2025</v>
      </c>
      <c r="H881" t="s">
        <v>160</v>
      </c>
      <c r="I881" t="s">
        <v>591</v>
      </c>
      <c r="J881" t="s">
        <v>82</v>
      </c>
      <c r="K881">
        <v>23</v>
      </c>
      <c r="L881">
        <v>12</v>
      </c>
      <c r="M881">
        <v>278</v>
      </c>
    </row>
    <row r="882" spans="1:13">
      <c r="A882">
        <v>881</v>
      </c>
      <c r="B882" s="1">
        <v>45950</v>
      </c>
      <c r="C882" t="s">
        <v>93</v>
      </c>
      <c r="D882">
        <v>20</v>
      </c>
      <c r="E882">
        <v>10</v>
      </c>
      <c r="F882">
        <v>4</v>
      </c>
      <c r="G882">
        <v>2025</v>
      </c>
      <c r="H882" t="s">
        <v>160</v>
      </c>
      <c r="I882" t="s">
        <v>521</v>
      </c>
      <c r="J882" t="s">
        <v>17</v>
      </c>
      <c r="K882">
        <v>46</v>
      </c>
      <c r="L882">
        <v>2</v>
      </c>
      <c r="M882">
        <v>127</v>
      </c>
    </row>
    <row r="883" spans="1:13">
      <c r="A883">
        <v>882</v>
      </c>
      <c r="B883" s="1">
        <v>45950</v>
      </c>
      <c r="C883" t="s">
        <v>93</v>
      </c>
      <c r="D883">
        <v>20</v>
      </c>
      <c r="E883">
        <v>10</v>
      </c>
      <c r="F883">
        <v>4</v>
      </c>
      <c r="G883">
        <v>2025</v>
      </c>
      <c r="H883" t="s">
        <v>160</v>
      </c>
      <c r="I883" t="s">
        <v>253</v>
      </c>
      <c r="J883" t="s">
        <v>23</v>
      </c>
      <c r="K883">
        <v>27</v>
      </c>
      <c r="L883">
        <v>4</v>
      </c>
      <c r="M883">
        <v>130</v>
      </c>
    </row>
    <row r="884" spans="1:13">
      <c r="A884">
        <v>883</v>
      </c>
      <c r="B884" s="1">
        <v>45950</v>
      </c>
      <c r="C884" t="s">
        <v>93</v>
      </c>
      <c r="D884">
        <v>20</v>
      </c>
      <c r="E884">
        <v>10</v>
      </c>
      <c r="F884">
        <v>4</v>
      </c>
      <c r="G884">
        <v>2025</v>
      </c>
      <c r="H884" t="s">
        <v>160</v>
      </c>
      <c r="I884" t="s">
        <v>463</v>
      </c>
      <c r="J884" t="s">
        <v>43</v>
      </c>
      <c r="K884">
        <v>44</v>
      </c>
      <c r="L884">
        <v>7</v>
      </c>
      <c r="M884">
        <v>335</v>
      </c>
    </row>
    <row r="885" spans="1:13">
      <c r="A885">
        <v>884</v>
      </c>
      <c r="B885" s="1">
        <v>45950</v>
      </c>
      <c r="C885" t="s">
        <v>93</v>
      </c>
      <c r="D885">
        <v>20</v>
      </c>
      <c r="E885">
        <v>10</v>
      </c>
      <c r="F885">
        <v>4</v>
      </c>
      <c r="G885">
        <v>2025</v>
      </c>
      <c r="H885" t="s">
        <v>160</v>
      </c>
      <c r="I885" t="s">
        <v>386</v>
      </c>
      <c r="J885" t="s">
        <v>21</v>
      </c>
      <c r="K885">
        <v>13</v>
      </c>
      <c r="L885">
        <v>7</v>
      </c>
      <c r="M885">
        <v>97</v>
      </c>
    </row>
    <row r="886" spans="1:13">
      <c r="A886">
        <v>885</v>
      </c>
      <c r="B886" s="1">
        <v>45950</v>
      </c>
      <c r="C886" t="s">
        <v>93</v>
      </c>
      <c r="D886">
        <v>20</v>
      </c>
      <c r="E886">
        <v>10</v>
      </c>
      <c r="F886">
        <v>4</v>
      </c>
      <c r="G886">
        <v>2025</v>
      </c>
      <c r="H886" t="s">
        <v>160</v>
      </c>
      <c r="I886" t="s">
        <v>371</v>
      </c>
      <c r="J886" t="s">
        <v>21</v>
      </c>
      <c r="K886">
        <v>14</v>
      </c>
      <c r="L886">
        <v>12</v>
      </c>
      <c r="M886">
        <v>171</v>
      </c>
    </row>
    <row r="887" spans="1:13">
      <c r="A887">
        <v>886</v>
      </c>
      <c r="B887" s="1">
        <v>45819</v>
      </c>
      <c r="C887" t="s">
        <v>34</v>
      </c>
      <c r="D887">
        <v>11</v>
      </c>
      <c r="E887">
        <v>6</v>
      </c>
      <c r="F887">
        <v>2</v>
      </c>
      <c r="G887">
        <v>2025</v>
      </c>
      <c r="H887" t="s">
        <v>592</v>
      </c>
      <c r="I887" t="s">
        <v>593</v>
      </c>
      <c r="J887" t="s">
        <v>97</v>
      </c>
      <c r="K887">
        <v>52</v>
      </c>
      <c r="L887">
        <v>4</v>
      </c>
      <c r="M887">
        <v>247</v>
      </c>
    </row>
    <row r="888" spans="1:13">
      <c r="A888">
        <v>887</v>
      </c>
      <c r="B888" s="1">
        <v>45819</v>
      </c>
      <c r="C888" t="s">
        <v>34</v>
      </c>
      <c r="D888">
        <v>11</v>
      </c>
      <c r="E888">
        <v>6</v>
      </c>
      <c r="F888">
        <v>2</v>
      </c>
      <c r="G888">
        <v>2025</v>
      </c>
      <c r="H888" t="s">
        <v>592</v>
      </c>
      <c r="I888" t="s">
        <v>171</v>
      </c>
      <c r="J888" t="s">
        <v>46</v>
      </c>
      <c r="K888">
        <v>11</v>
      </c>
      <c r="L888">
        <v>19</v>
      </c>
      <c r="M888">
        <v>213</v>
      </c>
    </row>
    <row r="889" spans="1:13">
      <c r="A889">
        <v>888</v>
      </c>
      <c r="B889" s="1">
        <v>45819</v>
      </c>
      <c r="C889" t="s">
        <v>34</v>
      </c>
      <c r="D889">
        <v>11</v>
      </c>
      <c r="E889">
        <v>6</v>
      </c>
      <c r="F889">
        <v>2</v>
      </c>
      <c r="G889">
        <v>2025</v>
      </c>
      <c r="H889" t="s">
        <v>592</v>
      </c>
      <c r="I889" t="s">
        <v>594</v>
      </c>
      <c r="J889" t="s">
        <v>43</v>
      </c>
      <c r="K889">
        <v>12</v>
      </c>
      <c r="L889">
        <v>16</v>
      </c>
      <c r="M889">
        <v>203</v>
      </c>
    </row>
    <row r="890" spans="1:13">
      <c r="A890">
        <v>889</v>
      </c>
      <c r="B890" s="1">
        <v>45819</v>
      </c>
      <c r="C890" t="s">
        <v>34</v>
      </c>
      <c r="D890">
        <v>11</v>
      </c>
      <c r="E890">
        <v>6</v>
      </c>
      <c r="F890">
        <v>2</v>
      </c>
      <c r="G890">
        <v>2025</v>
      </c>
      <c r="H890" t="s">
        <v>592</v>
      </c>
      <c r="I890" t="s">
        <v>540</v>
      </c>
      <c r="J890" t="s">
        <v>19</v>
      </c>
      <c r="K890">
        <v>47</v>
      </c>
      <c r="L890">
        <v>5</v>
      </c>
      <c r="M890">
        <v>255</v>
      </c>
    </row>
    <row r="891" spans="1:13">
      <c r="A891">
        <v>890</v>
      </c>
      <c r="B891" s="1">
        <v>45819</v>
      </c>
      <c r="C891" t="s">
        <v>34</v>
      </c>
      <c r="D891">
        <v>11</v>
      </c>
      <c r="E891">
        <v>6</v>
      </c>
      <c r="F891">
        <v>2</v>
      </c>
      <c r="G891">
        <v>2025</v>
      </c>
      <c r="H891" t="s">
        <v>592</v>
      </c>
      <c r="I891" t="s">
        <v>109</v>
      </c>
      <c r="J891" t="s">
        <v>46</v>
      </c>
      <c r="K891">
        <v>29</v>
      </c>
      <c r="L891">
        <v>3</v>
      </c>
      <c r="M891">
        <v>96</v>
      </c>
    </row>
    <row r="892" spans="1:13">
      <c r="A892">
        <v>891</v>
      </c>
      <c r="B892" s="1">
        <v>45819</v>
      </c>
      <c r="C892" t="s">
        <v>34</v>
      </c>
      <c r="D892">
        <v>11</v>
      </c>
      <c r="E892">
        <v>6</v>
      </c>
      <c r="F892">
        <v>2</v>
      </c>
      <c r="G892">
        <v>2025</v>
      </c>
      <c r="H892" t="s">
        <v>592</v>
      </c>
      <c r="I892" t="s">
        <v>595</v>
      </c>
      <c r="J892" t="s">
        <v>27</v>
      </c>
      <c r="K892">
        <v>38</v>
      </c>
      <c r="L892">
        <v>6</v>
      </c>
      <c r="M892">
        <v>264</v>
      </c>
    </row>
    <row r="893" spans="1:13">
      <c r="A893">
        <v>892</v>
      </c>
      <c r="B893" s="1">
        <v>45819</v>
      </c>
      <c r="C893" t="s">
        <v>34</v>
      </c>
      <c r="D893">
        <v>11</v>
      </c>
      <c r="E893">
        <v>6</v>
      </c>
      <c r="F893">
        <v>2</v>
      </c>
      <c r="G893">
        <v>2025</v>
      </c>
      <c r="H893" t="s">
        <v>592</v>
      </c>
      <c r="I893" t="s">
        <v>340</v>
      </c>
      <c r="J893" t="s">
        <v>43</v>
      </c>
      <c r="K893">
        <v>40</v>
      </c>
      <c r="L893">
        <v>7</v>
      </c>
      <c r="M893">
        <v>309</v>
      </c>
    </row>
    <row r="894" spans="1:13">
      <c r="A894">
        <v>893</v>
      </c>
      <c r="B894" s="1">
        <v>45819</v>
      </c>
      <c r="C894" t="s">
        <v>34</v>
      </c>
      <c r="D894">
        <v>11</v>
      </c>
      <c r="E894">
        <v>6</v>
      </c>
      <c r="F894">
        <v>2</v>
      </c>
      <c r="G894">
        <v>2025</v>
      </c>
      <c r="H894" t="s">
        <v>592</v>
      </c>
      <c r="I894" t="s">
        <v>398</v>
      </c>
      <c r="J894" t="s">
        <v>27</v>
      </c>
      <c r="K894">
        <v>14</v>
      </c>
      <c r="L894">
        <v>3</v>
      </c>
      <c r="M894">
        <v>55</v>
      </c>
    </row>
    <row r="895" spans="1:13">
      <c r="A895">
        <v>894</v>
      </c>
      <c r="B895" s="1">
        <v>45819</v>
      </c>
      <c r="C895" t="s">
        <v>34</v>
      </c>
      <c r="D895">
        <v>11</v>
      </c>
      <c r="E895">
        <v>6</v>
      </c>
      <c r="F895">
        <v>2</v>
      </c>
      <c r="G895">
        <v>2025</v>
      </c>
      <c r="H895" t="s">
        <v>592</v>
      </c>
      <c r="I895" t="s">
        <v>52</v>
      </c>
      <c r="J895" t="s">
        <v>21</v>
      </c>
      <c r="K895">
        <v>40</v>
      </c>
      <c r="L895">
        <v>2</v>
      </c>
      <c r="M895">
        <v>108</v>
      </c>
    </row>
    <row r="896" spans="1:13">
      <c r="A896">
        <v>895</v>
      </c>
      <c r="B896" s="1">
        <v>45943</v>
      </c>
      <c r="C896" t="s">
        <v>93</v>
      </c>
      <c r="D896">
        <v>13</v>
      </c>
      <c r="E896">
        <v>10</v>
      </c>
      <c r="F896">
        <v>4</v>
      </c>
      <c r="G896">
        <v>2025</v>
      </c>
      <c r="H896" t="s">
        <v>222</v>
      </c>
      <c r="I896" t="s">
        <v>523</v>
      </c>
      <c r="J896" t="s">
        <v>23</v>
      </c>
      <c r="K896">
        <v>55</v>
      </c>
      <c r="L896">
        <v>6</v>
      </c>
      <c r="M896">
        <v>348</v>
      </c>
    </row>
    <row r="897" spans="1:13">
      <c r="A897">
        <v>896</v>
      </c>
      <c r="B897" s="1">
        <v>45943</v>
      </c>
      <c r="C897" t="s">
        <v>93</v>
      </c>
      <c r="D897">
        <v>13</v>
      </c>
      <c r="E897">
        <v>10</v>
      </c>
      <c r="F897">
        <v>4</v>
      </c>
      <c r="G897">
        <v>2025</v>
      </c>
      <c r="H897" t="s">
        <v>222</v>
      </c>
      <c r="I897" t="s">
        <v>595</v>
      </c>
      <c r="J897" t="s">
        <v>27</v>
      </c>
      <c r="K897">
        <v>34</v>
      </c>
      <c r="L897">
        <v>7</v>
      </c>
      <c r="M897">
        <v>257</v>
      </c>
    </row>
    <row r="898" spans="1:13">
      <c r="A898">
        <v>897</v>
      </c>
      <c r="B898" s="1">
        <v>45943</v>
      </c>
      <c r="C898" t="s">
        <v>93</v>
      </c>
      <c r="D898">
        <v>13</v>
      </c>
      <c r="E898">
        <v>10</v>
      </c>
      <c r="F898">
        <v>4</v>
      </c>
      <c r="G898">
        <v>2025</v>
      </c>
      <c r="H898" t="s">
        <v>222</v>
      </c>
      <c r="I898" t="s">
        <v>596</v>
      </c>
      <c r="J898" t="s">
        <v>39</v>
      </c>
      <c r="K898">
        <v>29</v>
      </c>
      <c r="L898">
        <v>9</v>
      </c>
      <c r="M898">
        <v>274</v>
      </c>
    </row>
    <row r="899" spans="1:13">
      <c r="A899">
        <v>898</v>
      </c>
      <c r="B899" s="1">
        <v>45943</v>
      </c>
      <c r="C899" t="s">
        <v>93</v>
      </c>
      <c r="D899">
        <v>13</v>
      </c>
      <c r="E899">
        <v>10</v>
      </c>
      <c r="F899">
        <v>4</v>
      </c>
      <c r="G899">
        <v>2025</v>
      </c>
      <c r="H899" t="s">
        <v>222</v>
      </c>
      <c r="I899" t="s">
        <v>310</v>
      </c>
      <c r="J899" t="s">
        <v>60</v>
      </c>
      <c r="K899">
        <v>35</v>
      </c>
      <c r="L899">
        <v>2</v>
      </c>
      <c r="M899">
        <v>81</v>
      </c>
    </row>
    <row r="900" spans="1:13">
      <c r="A900">
        <v>899</v>
      </c>
      <c r="B900" s="1">
        <v>45943</v>
      </c>
      <c r="C900" t="s">
        <v>93</v>
      </c>
      <c r="D900">
        <v>13</v>
      </c>
      <c r="E900">
        <v>10</v>
      </c>
      <c r="F900">
        <v>4</v>
      </c>
      <c r="G900">
        <v>2025</v>
      </c>
      <c r="H900" t="s">
        <v>222</v>
      </c>
      <c r="I900" t="s">
        <v>103</v>
      </c>
      <c r="J900" t="s">
        <v>46</v>
      </c>
      <c r="K900">
        <v>40</v>
      </c>
      <c r="L900">
        <v>10</v>
      </c>
      <c r="M900">
        <v>410</v>
      </c>
    </row>
    <row r="901" spans="1:13">
      <c r="A901">
        <v>900</v>
      </c>
      <c r="B901" s="1">
        <v>45726</v>
      </c>
      <c r="C901" t="s">
        <v>93</v>
      </c>
      <c r="D901">
        <v>10</v>
      </c>
      <c r="E901">
        <v>3</v>
      </c>
      <c r="F901">
        <v>1</v>
      </c>
      <c r="G901">
        <v>2025</v>
      </c>
      <c r="H901" t="s">
        <v>597</v>
      </c>
      <c r="I901" t="s">
        <v>598</v>
      </c>
      <c r="J901" t="s">
        <v>31</v>
      </c>
      <c r="K901">
        <v>59</v>
      </c>
      <c r="L901">
        <v>2</v>
      </c>
      <c r="M901">
        <v>145</v>
      </c>
    </row>
    <row r="902" spans="1:13">
      <c r="A902">
        <v>901</v>
      </c>
      <c r="B902" s="1">
        <v>45726</v>
      </c>
      <c r="C902" t="s">
        <v>93</v>
      </c>
      <c r="D902">
        <v>10</v>
      </c>
      <c r="E902">
        <v>3</v>
      </c>
      <c r="F902">
        <v>1</v>
      </c>
      <c r="G902">
        <v>2025</v>
      </c>
      <c r="H902" t="s">
        <v>597</v>
      </c>
      <c r="I902" t="s">
        <v>469</v>
      </c>
      <c r="J902" t="s">
        <v>46</v>
      </c>
      <c r="K902">
        <v>39</v>
      </c>
      <c r="L902">
        <v>5</v>
      </c>
      <c r="M902">
        <v>216</v>
      </c>
    </row>
    <row r="903" spans="1:13">
      <c r="A903">
        <v>902</v>
      </c>
      <c r="B903" s="1">
        <v>45726</v>
      </c>
      <c r="C903" t="s">
        <v>93</v>
      </c>
      <c r="D903">
        <v>10</v>
      </c>
      <c r="E903">
        <v>3</v>
      </c>
      <c r="F903">
        <v>1</v>
      </c>
      <c r="G903">
        <v>2025</v>
      </c>
      <c r="H903" t="s">
        <v>597</v>
      </c>
      <c r="I903" t="s">
        <v>63</v>
      </c>
      <c r="J903" t="s">
        <v>25</v>
      </c>
      <c r="K903">
        <v>28</v>
      </c>
      <c r="L903">
        <v>6</v>
      </c>
      <c r="M903">
        <v>183</v>
      </c>
    </row>
    <row r="904" spans="1:13">
      <c r="A904">
        <v>903</v>
      </c>
      <c r="B904" s="1">
        <v>45726</v>
      </c>
      <c r="C904" t="s">
        <v>93</v>
      </c>
      <c r="D904">
        <v>10</v>
      </c>
      <c r="E904">
        <v>3</v>
      </c>
      <c r="F904">
        <v>1</v>
      </c>
      <c r="G904">
        <v>2025</v>
      </c>
      <c r="H904" t="s">
        <v>597</v>
      </c>
      <c r="I904" t="s">
        <v>189</v>
      </c>
      <c r="J904" t="s">
        <v>43</v>
      </c>
      <c r="K904">
        <v>39</v>
      </c>
      <c r="L904">
        <v>9</v>
      </c>
      <c r="M904">
        <v>353</v>
      </c>
    </row>
    <row r="905" spans="1:13">
      <c r="A905">
        <v>904</v>
      </c>
      <c r="B905" s="1">
        <v>45726</v>
      </c>
      <c r="C905" t="s">
        <v>93</v>
      </c>
      <c r="D905">
        <v>10</v>
      </c>
      <c r="E905">
        <v>3</v>
      </c>
      <c r="F905">
        <v>1</v>
      </c>
      <c r="G905">
        <v>2025</v>
      </c>
      <c r="H905" t="s">
        <v>597</v>
      </c>
      <c r="I905" t="s">
        <v>599</v>
      </c>
      <c r="J905" t="s">
        <v>27</v>
      </c>
      <c r="K905">
        <v>40</v>
      </c>
      <c r="L905">
        <v>5</v>
      </c>
      <c r="M905">
        <v>203</v>
      </c>
    </row>
    <row r="906" spans="1:13">
      <c r="A906">
        <v>905</v>
      </c>
      <c r="B906" s="1">
        <v>45726</v>
      </c>
      <c r="C906" t="s">
        <v>93</v>
      </c>
      <c r="D906">
        <v>10</v>
      </c>
      <c r="E906">
        <v>3</v>
      </c>
      <c r="F906">
        <v>1</v>
      </c>
      <c r="G906">
        <v>2025</v>
      </c>
      <c r="H906" t="s">
        <v>597</v>
      </c>
      <c r="I906" t="s">
        <v>600</v>
      </c>
      <c r="J906" t="s">
        <v>69</v>
      </c>
      <c r="K906">
        <v>30</v>
      </c>
      <c r="L906">
        <v>9</v>
      </c>
      <c r="M906">
        <v>275</v>
      </c>
    </row>
    <row r="907" spans="1:13">
      <c r="A907">
        <v>906</v>
      </c>
      <c r="B907" s="1">
        <v>45726</v>
      </c>
      <c r="C907" t="s">
        <v>93</v>
      </c>
      <c r="D907">
        <v>10</v>
      </c>
      <c r="E907">
        <v>3</v>
      </c>
      <c r="F907">
        <v>1</v>
      </c>
      <c r="G907">
        <v>2025</v>
      </c>
      <c r="H907" t="s">
        <v>597</v>
      </c>
      <c r="I907" t="s">
        <v>601</v>
      </c>
      <c r="J907" t="s">
        <v>19</v>
      </c>
      <c r="K907">
        <v>19</v>
      </c>
      <c r="L907">
        <v>4</v>
      </c>
      <c r="M907">
        <v>90</v>
      </c>
    </row>
    <row r="908" spans="1:13">
      <c r="A908">
        <v>907</v>
      </c>
      <c r="B908" s="1">
        <v>45726</v>
      </c>
      <c r="C908" t="s">
        <v>93</v>
      </c>
      <c r="D908">
        <v>10</v>
      </c>
      <c r="E908">
        <v>3</v>
      </c>
      <c r="F908">
        <v>1</v>
      </c>
      <c r="G908">
        <v>2025</v>
      </c>
      <c r="H908" t="s">
        <v>597</v>
      </c>
      <c r="I908" t="s">
        <v>225</v>
      </c>
      <c r="J908" t="s">
        <v>21</v>
      </c>
      <c r="K908">
        <v>27</v>
      </c>
      <c r="L908">
        <v>11</v>
      </c>
      <c r="M908">
        <v>319</v>
      </c>
    </row>
    <row r="909" spans="1:13">
      <c r="A909">
        <v>908</v>
      </c>
      <c r="B909" s="1">
        <v>45726</v>
      </c>
      <c r="C909" t="s">
        <v>93</v>
      </c>
      <c r="D909">
        <v>10</v>
      </c>
      <c r="E909">
        <v>3</v>
      </c>
      <c r="F909">
        <v>1</v>
      </c>
      <c r="G909">
        <v>2025</v>
      </c>
      <c r="H909" t="s">
        <v>597</v>
      </c>
      <c r="I909" t="s">
        <v>332</v>
      </c>
      <c r="J909" t="s">
        <v>55</v>
      </c>
      <c r="K909">
        <v>14</v>
      </c>
      <c r="L909">
        <v>22</v>
      </c>
      <c r="M909">
        <v>317</v>
      </c>
    </row>
    <row r="910" spans="1:13">
      <c r="A910">
        <v>909</v>
      </c>
      <c r="B910" s="1">
        <v>46181</v>
      </c>
      <c r="C910" t="s">
        <v>93</v>
      </c>
      <c r="D910">
        <v>8</v>
      </c>
      <c r="E910">
        <v>6</v>
      </c>
      <c r="F910">
        <v>2</v>
      </c>
      <c r="G910">
        <v>2026</v>
      </c>
      <c r="H910" t="s">
        <v>440</v>
      </c>
      <c r="I910" t="s">
        <v>369</v>
      </c>
      <c r="J910" t="s">
        <v>43</v>
      </c>
      <c r="K910">
        <v>53</v>
      </c>
      <c r="L910">
        <v>8</v>
      </c>
      <c r="M910">
        <v>450</v>
      </c>
    </row>
    <row r="911" spans="1:13">
      <c r="A911">
        <v>910</v>
      </c>
      <c r="B911" s="1">
        <v>46181</v>
      </c>
      <c r="C911" t="s">
        <v>93</v>
      </c>
      <c r="D911">
        <v>8</v>
      </c>
      <c r="E911">
        <v>6</v>
      </c>
      <c r="F911">
        <v>2</v>
      </c>
      <c r="G911">
        <v>2026</v>
      </c>
      <c r="H911" t="s">
        <v>440</v>
      </c>
      <c r="I911" t="s">
        <v>602</v>
      </c>
      <c r="J911" t="s">
        <v>17</v>
      </c>
      <c r="K911">
        <v>10</v>
      </c>
      <c r="L911">
        <v>17</v>
      </c>
      <c r="M911">
        <v>174</v>
      </c>
    </row>
    <row r="912" spans="1:13">
      <c r="A912">
        <v>911</v>
      </c>
      <c r="B912" s="1">
        <v>46181</v>
      </c>
      <c r="C912" t="s">
        <v>93</v>
      </c>
      <c r="D912">
        <v>8</v>
      </c>
      <c r="E912">
        <v>6</v>
      </c>
      <c r="F912">
        <v>2</v>
      </c>
      <c r="G912">
        <v>2026</v>
      </c>
      <c r="H912" t="s">
        <v>440</v>
      </c>
      <c r="I912" t="s">
        <v>521</v>
      </c>
      <c r="J912" t="s">
        <v>17</v>
      </c>
      <c r="K912">
        <v>53</v>
      </c>
      <c r="L912">
        <v>2</v>
      </c>
      <c r="M912">
        <v>133</v>
      </c>
    </row>
    <row r="913" spans="1:13">
      <c r="A913">
        <v>912</v>
      </c>
      <c r="B913" s="1">
        <v>46181</v>
      </c>
      <c r="C913" t="s">
        <v>93</v>
      </c>
      <c r="D913">
        <v>8</v>
      </c>
      <c r="E913">
        <v>6</v>
      </c>
      <c r="F913">
        <v>2</v>
      </c>
      <c r="G913">
        <v>2026</v>
      </c>
      <c r="H913" t="s">
        <v>440</v>
      </c>
      <c r="I913" t="s">
        <v>84</v>
      </c>
      <c r="J913" t="s">
        <v>31</v>
      </c>
      <c r="K913">
        <v>49</v>
      </c>
      <c r="L913">
        <v>5</v>
      </c>
      <c r="M913">
        <v>252</v>
      </c>
    </row>
    <row r="914" spans="1:13">
      <c r="A914">
        <v>913</v>
      </c>
      <c r="B914" s="1">
        <v>46181</v>
      </c>
      <c r="C914" t="s">
        <v>93</v>
      </c>
      <c r="D914">
        <v>8</v>
      </c>
      <c r="E914">
        <v>6</v>
      </c>
      <c r="F914">
        <v>2</v>
      </c>
      <c r="G914">
        <v>2026</v>
      </c>
      <c r="H914" t="s">
        <v>440</v>
      </c>
      <c r="I914" t="s">
        <v>83</v>
      </c>
      <c r="J914" t="s">
        <v>51</v>
      </c>
      <c r="K914">
        <v>58</v>
      </c>
      <c r="L914">
        <v>2</v>
      </c>
      <c r="M914">
        <v>125</v>
      </c>
    </row>
    <row r="915" spans="1:13">
      <c r="A915">
        <v>914</v>
      </c>
      <c r="B915" s="1">
        <v>45585</v>
      </c>
      <c r="C915" t="s">
        <v>28</v>
      </c>
      <c r="D915">
        <v>20</v>
      </c>
      <c r="E915">
        <v>10</v>
      </c>
      <c r="F915">
        <v>4</v>
      </c>
      <c r="G915">
        <v>2024</v>
      </c>
      <c r="H915" t="s">
        <v>536</v>
      </c>
      <c r="I915" t="s">
        <v>272</v>
      </c>
      <c r="J915" t="s">
        <v>55</v>
      </c>
      <c r="K915">
        <v>41</v>
      </c>
      <c r="L915">
        <v>6</v>
      </c>
      <c r="M915">
        <v>257</v>
      </c>
    </row>
    <row r="916" spans="1:13">
      <c r="A916">
        <v>915</v>
      </c>
      <c r="B916" s="1">
        <v>45585</v>
      </c>
      <c r="C916" t="s">
        <v>28</v>
      </c>
      <c r="D916">
        <v>20</v>
      </c>
      <c r="E916">
        <v>10</v>
      </c>
      <c r="F916">
        <v>4</v>
      </c>
      <c r="G916">
        <v>2024</v>
      </c>
      <c r="H916" t="s">
        <v>536</v>
      </c>
      <c r="I916" t="s">
        <v>375</v>
      </c>
      <c r="J916" t="s">
        <v>31</v>
      </c>
      <c r="K916">
        <v>53</v>
      </c>
      <c r="L916">
        <v>1</v>
      </c>
      <c r="M916">
        <v>56</v>
      </c>
    </row>
    <row r="917" spans="1:13">
      <c r="A917">
        <v>916</v>
      </c>
      <c r="B917" s="1">
        <v>45585</v>
      </c>
      <c r="C917" t="s">
        <v>28</v>
      </c>
      <c r="D917">
        <v>20</v>
      </c>
      <c r="E917">
        <v>10</v>
      </c>
      <c r="F917">
        <v>4</v>
      </c>
      <c r="G917">
        <v>2024</v>
      </c>
      <c r="H917" t="s">
        <v>536</v>
      </c>
      <c r="I917" t="s">
        <v>361</v>
      </c>
      <c r="J917" t="s">
        <v>37</v>
      </c>
      <c r="K917">
        <v>47</v>
      </c>
      <c r="L917">
        <v>6</v>
      </c>
      <c r="M917">
        <v>319</v>
      </c>
    </row>
    <row r="918" spans="1:13">
      <c r="A918">
        <v>917</v>
      </c>
      <c r="B918" s="1">
        <v>45585</v>
      </c>
      <c r="C918" t="s">
        <v>28</v>
      </c>
      <c r="D918">
        <v>20</v>
      </c>
      <c r="E918">
        <v>10</v>
      </c>
      <c r="F918">
        <v>4</v>
      </c>
      <c r="G918">
        <v>2024</v>
      </c>
      <c r="H918" t="s">
        <v>536</v>
      </c>
      <c r="I918" t="s">
        <v>408</v>
      </c>
      <c r="J918" t="s">
        <v>17</v>
      </c>
      <c r="K918">
        <v>59</v>
      </c>
      <c r="L918">
        <v>5</v>
      </c>
      <c r="M918">
        <v>322</v>
      </c>
    </row>
    <row r="919" spans="1:13">
      <c r="A919">
        <v>918</v>
      </c>
      <c r="B919" s="1">
        <v>45585</v>
      </c>
      <c r="C919" t="s">
        <v>28</v>
      </c>
      <c r="D919">
        <v>20</v>
      </c>
      <c r="E919">
        <v>10</v>
      </c>
      <c r="F919">
        <v>4</v>
      </c>
      <c r="G919">
        <v>2024</v>
      </c>
      <c r="H919" t="s">
        <v>536</v>
      </c>
      <c r="I919" t="s">
        <v>571</v>
      </c>
      <c r="J919" t="s">
        <v>23</v>
      </c>
      <c r="K919">
        <v>60</v>
      </c>
      <c r="L919">
        <v>5</v>
      </c>
      <c r="M919">
        <v>354</v>
      </c>
    </row>
    <row r="920" spans="1:13">
      <c r="A920">
        <v>919</v>
      </c>
      <c r="B920" s="1">
        <v>45585</v>
      </c>
      <c r="C920" t="s">
        <v>28</v>
      </c>
      <c r="D920">
        <v>20</v>
      </c>
      <c r="E920">
        <v>10</v>
      </c>
      <c r="F920">
        <v>4</v>
      </c>
      <c r="G920">
        <v>2024</v>
      </c>
      <c r="H920" t="s">
        <v>536</v>
      </c>
      <c r="I920" t="s">
        <v>326</v>
      </c>
      <c r="J920" t="s">
        <v>97</v>
      </c>
      <c r="K920">
        <v>57</v>
      </c>
      <c r="L920">
        <v>4</v>
      </c>
      <c r="M920">
        <v>232</v>
      </c>
    </row>
    <row r="921" spans="1:13">
      <c r="A921">
        <v>920</v>
      </c>
      <c r="B921" s="1">
        <v>45585</v>
      </c>
      <c r="C921" t="s">
        <v>28</v>
      </c>
      <c r="D921">
        <v>20</v>
      </c>
      <c r="E921">
        <v>10</v>
      </c>
      <c r="F921">
        <v>4</v>
      </c>
      <c r="G921">
        <v>2024</v>
      </c>
      <c r="H921" t="s">
        <v>536</v>
      </c>
      <c r="I921" t="s">
        <v>156</v>
      </c>
      <c r="J921" t="s">
        <v>57</v>
      </c>
      <c r="K921">
        <v>27</v>
      </c>
      <c r="L921">
        <v>7</v>
      </c>
      <c r="M921">
        <v>199</v>
      </c>
    </row>
    <row r="922" spans="1:13">
      <c r="A922">
        <v>921</v>
      </c>
      <c r="B922" s="1">
        <v>45585</v>
      </c>
      <c r="C922" t="s">
        <v>28</v>
      </c>
      <c r="D922">
        <v>20</v>
      </c>
      <c r="E922">
        <v>10</v>
      </c>
      <c r="F922">
        <v>4</v>
      </c>
      <c r="G922">
        <v>2024</v>
      </c>
      <c r="H922" t="s">
        <v>536</v>
      </c>
      <c r="I922" t="s">
        <v>24</v>
      </c>
      <c r="J922" t="s">
        <v>25</v>
      </c>
      <c r="K922">
        <v>50</v>
      </c>
      <c r="L922">
        <v>8</v>
      </c>
      <c r="M922">
        <v>442</v>
      </c>
    </row>
    <row r="923" spans="1:13">
      <c r="A923">
        <v>922</v>
      </c>
      <c r="B923" s="1">
        <v>45585</v>
      </c>
      <c r="C923" t="s">
        <v>28</v>
      </c>
      <c r="D923">
        <v>20</v>
      </c>
      <c r="E923">
        <v>10</v>
      </c>
      <c r="F923">
        <v>4</v>
      </c>
      <c r="G923">
        <v>2024</v>
      </c>
      <c r="H923" t="s">
        <v>536</v>
      </c>
      <c r="I923" t="s">
        <v>186</v>
      </c>
      <c r="J923" t="s">
        <v>37</v>
      </c>
      <c r="K923">
        <v>56</v>
      </c>
      <c r="L923">
        <v>3</v>
      </c>
      <c r="M923">
        <v>205</v>
      </c>
    </row>
    <row r="924" spans="1:13">
      <c r="A924">
        <v>923</v>
      </c>
      <c r="B924" s="1">
        <v>45585</v>
      </c>
      <c r="C924" t="s">
        <v>28</v>
      </c>
      <c r="D924">
        <v>20</v>
      </c>
      <c r="E924">
        <v>10</v>
      </c>
      <c r="F924">
        <v>4</v>
      </c>
      <c r="G924">
        <v>2024</v>
      </c>
      <c r="H924" t="s">
        <v>536</v>
      </c>
      <c r="I924" t="s">
        <v>139</v>
      </c>
      <c r="J924" t="s">
        <v>122</v>
      </c>
      <c r="K924">
        <v>18</v>
      </c>
      <c r="L924">
        <v>14</v>
      </c>
      <c r="M924">
        <v>262</v>
      </c>
    </row>
    <row r="925" spans="1:13">
      <c r="A925">
        <v>924</v>
      </c>
      <c r="B925" s="1">
        <v>45828</v>
      </c>
      <c r="C925" t="s">
        <v>79</v>
      </c>
      <c r="D925">
        <v>20</v>
      </c>
      <c r="E925">
        <v>6</v>
      </c>
      <c r="F925">
        <v>2</v>
      </c>
      <c r="G925">
        <v>2025</v>
      </c>
      <c r="H925" t="s">
        <v>603</v>
      </c>
      <c r="I925" t="s">
        <v>166</v>
      </c>
      <c r="J925" t="s">
        <v>23</v>
      </c>
      <c r="K925">
        <v>24</v>
      </c>
      <c r="L925">
        <v>9</v>
      </c>
      <c r="M925">
        <v>231</v>
      </c>
    </row>
    <row r="926" spans="1:13">
      <c r="A926">
        <v>925</v>
      </c>
      <c r="B926" s="1">
        <v>45828</v>
      </c>
      <c r="C926" t="s">
        <v>79</v>
      </c>
      <c r="D926">
        <v>20</v>
      </c>
      <c r="E926">
        <v>6</v>
      </c>
      <c r="F926">
        <v>2</v>
      </c>
      <c r="G926">
        <v>2025</v>
      </c>
      <c r="H926" t="s">
        <v>603</v>
      </c>
      <c r="I926" t="s">
        <v>235</v>
      </c>
      <c r="J926" t="s">
        <v>19</v>
      </c>
      <c r="K926">
        <v>48</v>
      </c>
      <c r="L926">
        <v>5</v>
      </c>
      <c r="M926">
        <v>278</v>
      </c>
    </row>
    <row r="927" spans="1:13">
      <c r="A927">
        <v>926</v>
      </c>
      <c r="B927" s="1">
        <v>45828</v>
      </c>
      <c r="C927" t="s">
        <v>79</v>
      </c>
      <c r="D927">
        <v>20</v>
      </c>
      <c r="E927">
        <v>6</v>
      </c>
      <c r="F927">
        <v>2</v>
      </c>
      <c r="G927">
        <v>2025</v>
      </c>
      <c r="H927" t="s">
        <v>603</v>
      </c>
      <c r="I927" t="s">
        <v>519</v>
      </c>
      <c r="J927" t="s">
        <v>51</v>
      </c>
      <c r="K927">
        <v>34</v>
      </c>
      <c r="L927">
        <v>8</v>
      </c>
      <c r="M927">
        <v>286</v>
      </c>
    </row>
    <row r="928" spans="1:13">
      <c r="A928">
        <v>927</v>
      </c>
      <c r="B928" s="1">
        <v>45949</v>
      </c>
      <c r="C928" t="s">
        <v>28</v>
      </c>
      <c r="D928">
        <v>19</v>
      </c>
      <c r="E928">
        <v>10</v>
      </c>
      <c r="F928">
        <v>4</v>
      </c>
      <c r="G928">
        <v>2025</v>
      </c>
      <c r="H928" t="s">
        <v>436</v>
      </c>
      <c r="I928" t="s">
        <v>371</v>
      </c>
      <c r="J928" t="s">
        <v>21</v>
      </c>
      <c r="K928">
        <v>57</v>
      </c>
      <c r="L928">
        <v>2</v>
      </c>
      <c r="M928">
        <v>170</v>
      </c>
    </row>
    <row r="929" spans="1:13">
      <c r="A929">
        <v>928</v>
      </c>
      <c r="B929" s="1">
        <v>45949</v>
      </c>
      <c r="C929" t="s">
        <v>28</v>
      </c>
      <c r="D929">
        <v>19</v>
      </c>
      <c r="E929">
        <v>10</v>
      </c>
      <c r="F929">
        <v>4</v>
      </c>
      <c r="G929">
        <v>2025</v>
      </c>
      <c r="H929" t="s">
        <v>436</v>
      </c>
      <c r="I929" t="s">
        <v>604</v>
      </c>
      <c r="J929" t="s">
        <v>69</v>
      </c>
      <c r="K929">
        <v>26</v>
      </c>
      <c r="L929">
        <v>6</v>
      </c>
      <c r="M929">
        <v>180</v>
      </c>
    </row>
    <row r="930" spans="1:13">
      <c r="A930">
        <v>929</v>
      </c>
      <c r="B930" s="1">
        <v>45949</v>
      </c>
      <c r="C930" t="s">
        <v>28</v>
      </c>
      <c r="D930">
        <v>19</v>
      </c>
      <c r="E930">
        <v>10</v>
      </c>
      <c r="F930">
        <v>4</v>
      </c>
      <c r="G930">
        <v>2025</v>
      </c>
      <c r="H930" t="s">
        <v>436</v>
      </c>
      <c r="I930" t="s">
        <v>327</v>
      </c>
      <c r="J930" t="s">
        <v>51</v>
      </c>
      <c r="K930">
        <v>50</v>
      </c>
      <c r="L930">
        <v>5</v>
      </c>
      <c r="M930">
        <v>289</v>
      </c>
    </row>
    <row r="931" spans="1:13">
      <c r="A931">
        <v>930</v>
      </c>
      <c r="B931" s="1">
        <v>45949</v>
      </c>
      <c r="C931" t="s">
        <v>28</v>
      </c>
      <c r="D931">
        <v>19</v>
      </c>
      <c r="E931">
        <v>10</v>
      </c>
      <c r="F931">
        <v>4</v>
      </c>
      <c r="G931">
        <v>2025</v>
      </c>
      <c r="H931" t="s">
        <v>436</v>
      </c>
      <c r="I931" t="s">
        <v>605</v>
      </c>
      <c r="J931" t="s">
        <v>39</v>
      </c>
      <c r="K931">
        <v>58</v>
      </c>
      <c r="L931">
        <v>1</v>
      </c>
      <c r="M931">
        <v>99</v>
      </c>
    </row>
    <row r="932" spans="1:13">
      <c r="A932">
        <v>931</v>
      </c>
      <c r="B932" s="1">
        <v>45949</v>
      </c>
      <c r="C932" t="s">
        <v>28</v>
      </c>
      <c r="D932">
        <v>19</v>
      </c>
      <c r="E932">
        <v>10</v>
      </c>
      <c r="F932">
        <v>4</v>
      </c>
      <c r="G932">
        <v>2025</v>
      </c>
      <c r="H932" t="s">
        <v>436</v>
      </c>
      <c r="I932" t="s">
        <v>606</v>
      </c>
      <c r="J932" t="s">
        <v>82</v>
      </c>
      <c r="K932">
        <v>53</v>
      </c>
      <c r="L932">
        <v>5</v>
      </c>
      <c r="M932">
        <v>305</v>
      </c>
    </row>
    <row r="933" spans="1:13">
      <c r="A933">
        <v>932</v>
      </c>
      <c r="B933" s="1">
        <v>45949</v>
      </c>
      <c r="C933" t="s">
        <v>28</v>
      </c>
      <c r="D933">
        <v>19</v>
      </c>
      <c r="E933">
        <v>10</v>
      </c>
      <c r="F933">
        <v>4</v>
      </c>
      <c r="G933">
        <v>2025</v>
      </c>
      <c r="H933" t="s">
        <v>436</v>
      </c>
      <c r="I933" t="s">
        <v>390</v>
      </c>
      <c r="J933" t="s">
        <v>82</v>
      </c>
      <c r="K933">
        <v>14</v>
      </c>
      <c r="L933">
        <v>8</v>
      </c>
      <c r="M933">
        <v>117</v>
      </c>
    </row>
    <row r="934" spans="1:13">
      <c r="A934">
        <v>933</v>
      </c>
      <c r="B934" s="1">
        <v>45949</v>
      </c>
      <c r="C934" t="s">
        <v>28</v>
      </c>
      <c r="D934">
        <v>19</v>
      </c>
      <c r="E934">
        <v>10</v>
      </c>
      <c r="F934">
        <v>4</v>
      </c>
      <c r="G934">
        <v>2025</v>
      </c>
      <c r="H934" t="s">
        <v>436</v>
      </c>
      <c r="I934" t="s">
        <v>552</v>
      </c>
      <c r="J934" t="s">
        <v>31</v>
      </c>
      <c r="K934">
        <v>20</v>
      </c>
      <c r="L934">
        <v>11</v>
      </c>
      <c r="M934">
        <v>239</v>
      </c>
    </row>
    <row r="935" spans="1:13">
      <c r="A935">
        <v>934</v>
      </c>
      <c r="B935" s="1">
        <v>45949</v>
      </c>
      <c r="C935" t="s">
        <v>28</v>
      </c>
      <c r="D935">
        <v>19</v>
      </c>
      <c r="E935">
        <v>10</v>
      </c>
      <c r="F935">
        <v>4</v>
      </c>
      <c r="G935">
        <v>2025</v>
      </c>
      <c r="H935" t="s">
        <v>436</v>
      </c>
      <c r="I935" t="s">
        <v>438</v>
      </c>
      <c r="J935" t="s">
        <v>51</v>
      </c>
      <c r="K935">
        <v>58</v>
      </c>
      <c r="L935">
        <v>3</v>
      </c>
      <c r="M935">
        <v>201</v>
      </c>
    </row>
    <row r="936" spans="1:13">
      <c r="A936">
        <v>935</v>
      </c>
      <c r="B936" s="1">
        <v>45949</v>
      </c>
      <c r="C936" t="s">
        <v>28</v>
      </c>
      <c r="D936">
        <v>19</v>
      </c>
      <c r="E936">
        <v>10</v>
      </c>
      <c r="F936">
        <v>4</v>
      </c>
      <c r="G936">
        <v>2025</v>
      </c>
      <c r="H936" t="s">
        <v>436</v>
      </c>
      <c r="I936" t="s">
        <v>89</v>
      </c>
      <c r="J936" t="s">
        <v>69</v>
      </c>
      <c r="K936">
        <v>33</v>
      </c>
      <c r="L936">
        <v>11</v>
      </c>
      <c r="M936">
        <v>383</v>
      </c>
    </row>
    <row r="937" spans="1:13">
      <c r="A937">
        <v>936</v>
      </c>
      <c r="B937" s="1">
        <v>45949</v>
      </c>
      <c r="C937" t="s">
        <v>28</v>
      </c>
      <c r="D937">
        <v>19</v>
      </c>
      <c r="E937">
        <v>10</v>
      </c>
      <c r="F937">
        <v>4</v>
      </c>
      <c r="G937">
        <v>2025</v>
      </c>
      <c r="H937" t="s">
        <v>436</v>
      </c>
      <c r="I937" t="s">
        <v>298</v>
      </c>
      <c r="J937" t="s">
        <v>31</v>
      </c>
      <c r="K937">
        <v>12</v>
      </c>
      <c r="L937">
        <v>9</v>
      </c>
      <c r="M937">
        <v>115</v>
      </c>
    </row>
    <row r="938" spans="1:13">
      <c r="A938">
        <v>937</v>
      </c>
      <c r="B938" s="1">
        <v>45949</v>
      </c>
      <c r="C938" t="s">
        <v>28</v>
      </c>
      <c r="D938">
        <v>19</v>
      </c>
      <c r="E938">
        <v>10</v>
      </c>
      <c r="F938">
        <v>4</v>
      </c>
      <c r="G938">
        <v>2025</v>
      </c>
      <c r="H938" t="s">
        <v>436</v>
      </c>
      <c r="I938" t="s">
        <v>607</v>
      </c>
      <c r="J938" t="s">
        <v>43</v>
      </c>
      <c r="K938">
        <v>38</v>
      </c>
      <c r="L938">
        <v>2</v>
      </c>
      <c r="M938">
        <v>100</v>
      </c>
    </row>
    <row r="939" spans="1:13">
      <c r="A939">
        <v>938</v>
      </c>
      <c r="B939" s="1">
        <v>45698</v>
      </c>
      <c r="C939" t="s">
        <v>93</v>
      </c>
      <c r="D939">
        <v>10</v>
      </c>
      <c r="E939">
        <v>2</v>
      </c>
      <c r="F939">
        <v>1</v>
      </c>
      <c r="G939">
        <v>2025</v>
      </c>
      <c r="H939" t="s">
        <v>608</v>
      </c>
      <c r="I939" t="s">
        <v>609</v>
      </c>
      <c r="J939" t="s">
        <v>27</v>
      </c>
      <c r="K939">
        <v>27</v>
      </c>
      <c r="L939">
        <v>7</v>
      </c>
      <c r="M939">
        <v>190</v>
      </c>
    </row>
    <row r="940" spans="1:13">
      <c r="A940">
        <v>939</v>
      </c>
      <c r="B940" s="1">
        <v>45698</v>
      </c>
      <c r="C940" t="s">
        <v>93</v>
      </c>
      <c r="D940">
        <v>10</v>
      </c>
      <c r="E940">
        <v>2</v>
      </c>
      <c r="F940">
        <v>1</v>
      </c>
      <c r="G940">
        <v>2025</v>
      </c>
      <c r="H940" t="s">
        <v>608</v>
      </c>
      <c r="I940" t="s">
        <v>610</v>
      </c>
      <c r="J940" t="s">
        <v>69</v>
      </c>
      <c r="K940">
        <v>15</v>
      </c>
      <c r="L940">
        <v>9</v>
      </c>
      <c r="M940">
        <v>142</v>
      </c>
    </row>
    <row r="941" spans="1:13">
      <c r="A941">
        <v>940</v>
      </c>
      <c r="B941" s="1">
        <v>46269</v>
      </c>
      <c r="C941" t="s">
        <v>79</v>
      </c>
      <c r="D941">
        <v>4</v>
      </c>
      <c r="E941">
        <v>9</v>
      </c>
      <c r="F941">
        <v>3</v>
      </c>
      <c r="G941">
        <v>2026</v>
      </c>
      <c r="H941" t="s">
        <v>611</v>
      </c>
      <c r="I941" t="s">
        <v>612</v>
      </c>
      <c r="J941" t="s">
        <v>97</v>
      </c>
      <c r="K941">
        <v>45</v>
      </c>
      <c r="L941">
        <v>5</v>
      </c>
      <c r="M941">
        <v>260</v>
      </c>
    </row>
    <row r="942" spans="1:13">
      <c r="A942">
        <v>941</v>
      </c>
      <c r="B942" s="1">
        <v>46269</v>
      </c>
      <c r="C942" t="s">
        <v>79</v>
      </c>
      <c r="D942">
        <v>4</v>
      </c>
      <c r="E942">
        <v>9</v>
      </c>
      <c r="F942">
        <v>3</v>
      </c>
      <c r="G942">
        <v>2026</v>
      </c>
      <c r="H942" t="s">
        <v>611</v>
      </c>
      <c r="I942" t="s">
        <v>423</v>
      </c>
      <c r="J942" t="s">
        <v>37</v>
      </c>
      <c r="K942">
        <v>29</v>
      </c>
      <c r="L942">
        <v>13</v>
      </c>
      <c r="M942">
        <v>402</v>
      </c>
    </row>
    <row r="943" spans="1:13">
      <c r="A943">
        <v>942</v>
      </c>
      <c r="B943" s="1">
        <v>45878</v>
      </c>
      <c r="C943" t="s">
        <v>14</v>
      </c>
      <c r="D943">
        <v>9</v>
      </c>
      <c r="E943">
        <v>8</v>
      </c>
      <c r="F943">
        <v>3</v>
      </c>
      <c r="G943">
        <v>2025</v>
      </c>
      <c r="H943" t="s">
        <v>106</v>
      </c>
      <c r="I943" t="s">
        <v>257</v>
      </c>
      <c r="J943" t="s">
        <v>57</v>
      </c>
      <c r="K943">
        <v>59</v>
      </c>
      <c r="L943">
        <v>4</v>
      </c>
      <c r="M943">
        <v>260</v>
      </c>
    </row>
    <row r="944" spans="1:13">
      <c r="A944">
        <v>943</v>
      </c>
      <c r="B944" s="1">
        <v>45878</v>
      </c>
      <c r="C944" t="s">
        <v>14</v>
      </c>
      <c r="D944">
        <v>9</v>
      </c>
      <c r="E944">
        <v>8</v>
      </c>
      <c r="F944">
        <v>3</v>
      </c>
      <c r="G944">
        <v>2025</v>
      </c>
      <c r="H944" t="s">
        <v>106</v>
      </c>
      <c r="I944" t="s">
        <v>356</v>
      </c>
      <c r="J944" t="s">
        <v>69</v>
      </c>
      <c r="K944">
        <v>37</v>
      </c>
      <c r="L944">
        <v>5</v>
      </c>
      <c r="M944">
        <v>202</v>
      </c>
    </row>
    <row r="945" spans="1:13">
      <c r="A945">
        <v>944</v>
      </c>
      <c r="B945" s="1">
        <v>45878</v>
      </c>
      <c r="C945" t="s">
        <v>14</v>
      </c>
      <c r="D945">
        <v>9</v>
      </c>
      <c r="E945">
        <v>8</v>
      </c>
      <c r="F945">
        <v>3</v>
      </c>
      <c r="G945">
        <v>2025</v>
      </c>
      <c r="H945" t="s">
        <v>106</v>
      </c>
      <c r="I945" t="s">
        <v>569</v>
      </c>
      <c r="J945" t="s">
        <v>43</v>
      </c>
      <c r="K945">
        <v>11</v>
      </c>
      <c r="L945">
        <v>22</v>
      </c>
      <c r="M945">
        <v>247</v>
      </c>
    </row>
    <row r="946" spans="1:13">
      <c r="A946">
        <v>945</v>
      </c>
      <c r="B946" s="1">
        <v>45878</v>
      </c>
      <c r="C946" t="s">
        <v>14</v>
      </c>
      <c r="D946">
        <v>9</v>
      </c>
      <c r="E946">
        <v>8</v>
      </c>
      <c r="F946">
        <v>3</v>
      </c>
      <c r="G946">
        <v>2025</v>
      </c>
      <c r="H946" t="s">
        <v>106</v>
      </c>
      <c r="I946" t="s">
        <v>554</v>
      </c>
      <c r="J946" t="s">
        <v>17</v>
      </c>
      <c r="K946">
        <v>56</v>
      </c>
      <c r="L946">
        <v>4</v>
      </c>
      <c r="M946">
        <v>243</v>
      </c>
    </row>
    <row r="947" spans="1:13">
      <c r="A947">
        <v>946</v>
      </c>
      <c r="B947" s="1">
        <v>45878</v>
      </c>
      <c r="C947" t="s">
        <v>14</v>
      </c>
      <c r="D947">
        <v>9</v>
      </c>
      <c r="E947">
        <v>8</v>
      </c>
      <c r="F947">
        <v>3</v>
      </c>
      <c r="G947">
        <v>2025</v>
      </c>
      <c r="H947" t="s">
        <v>106</v>
      </c>
      <c r="I947" t="s">
        <v>410</v>
      </c>
      <c r="J947" t="s">
        <v>97</v>
      </c>
      <c r="K947">
        <v>40</v>
      </c>
      <c r="L947">
        <v>4</v>
      </c>
      <c r="M947">
        <v>183</v>
      </c>
    </row>
    <row r="948" spans="1:13">
      <c r="A948">
        <v>947</v>
      </c>
      <c r="B948" s="1">
        <v>45878</v>
      </c>
      <c r="C948" t="s">
        <v>14</v>
      </c>
      <c r="D948">
        <v>9</v>
      </c>
      <c r="E948">
        <v>8</v>
      </c>
      <c r="F948">
        <v>3</v>
      </c>
      <c r="G948">
        <v>2025</v>
      </c>
      <c r="H948" t="s">
        <v>106</v>
      </c>
      <c r="I948" t="s">
        <v>342</v>
      </c>
      <c r="J948" t="s">
        <v>55</v>
      </c>
      <c r="K948">
        <v>10</v>
      </c>
      <c r="L948">
        <v>18</v>
      </c>
      <c r="M948">
        <v>180</v>
      </c>
    </row>
    <row r="949" spans="1:13">
      <c r="A949">
        <v>948</v>
      </c>
      <c r="B949" s="1">
        <v>45878</v>
      </c>
      <c r="C949" t="s">
        <v>14</v>
      </c>
      <c r="D949">
        <v>9</v>
      </c>
      <c r="E949">
        <v>8</v>
      </c>
      <c r="F949">
        <v>3</v>
      </c>
      <c r="G949">
        <v>2025</v>
      </c>
      <c r="H949" t="s">
        <v>106</v>
      </c>
      <c r="I949" t="s">
        <v>613</v>
      </c>
      <c r="J949" t="s">
        <v>21</v>
      </c>
      <c r="K949">
        <v>19</v>
      </c>
      <c r="L949">
        <v>13</v>
      </c>
      <c r="M949">
        <v>259</v>
      </c>
    </row>
    <row r="950" spans="1:13">
      <c r="A950">
        <v>949</v>
      </c>
      <c r="B950" s="1">
        <v>45878</v>
      </c>
      <c r="C950" t="s">
        <v>14</v>
      </c>
      <c r="D950">
        <v>9</v>
      </c>
      <c r="E950">
        <v>8</v>
      </c>
      <c r="F950">
        <v>3</v>
      </c>
      <c r="G950">
        <v>2025</v>
      </c>
      <c r="H950" t="s">
        <v>106</v>
      </c>
      <c r="I950" t="s">
        <v>324</v>
      </c>
      <c r="J950" t="s">
        <v>17</v>
      </c>
      <c r="K950">
        <v>41</v>
      </c>
      <c r="L950">
        <v>7</v>
      </c>
      <c r="M950">
        <v>309</v>
      </c>
    </row>
    <row r="951" spans="1:13">
      <c r="A951">
        <v>950</v>
      </c>
      <c r="B951" s="1">
        <v>45878</v>
      </c>
      <c r="C951" t="s">
        <v>14</v>
      </c>
      <c r="D951">
        <v>9</v>
      </c>
      <c r="E951">
        <v>8</v>
      </c>
      <c r="F951">
        <v>3</v>
      </c>
      <c r="G951">
        <v>2025</v>
      </c>
      <c r="H951" t="s">
        <v>106</v>
      </c>
      <c r="I951" t="s">
        <v>267</v>
      </c>
      <c r="J951" t="s">
        <v>25</v>
      </c>
      <c r="K951">
        <v>55</v>
      </c>
      <c r="L951">
        <v>6</v>
      </c>
      <c r="M951">
        <v>357</v>
      </c>
    </row>
    <row r="952" spans="1:13">
      <c r="A952">
        <v>951</v>
      </c>
      <c r="B952" s="1">
        <v>45878</v>
      </c>
      <c r="C952" t="s">
        <v>14</v>
      </c>
      <c r="D952">
        <v>9</v>
      </c>
      <c r="E952">
        <v>8</v>
      </c>
      <c r="F952">
        <v>3</v>
      </c>
      <c r="G952">
        <v>2025</v>
      </c>
      <c r="H952" t="s">
        <v>106</v>
      </c>
      <c r="I952" t="s">
        <v>614</v>
      </c>
      <c r="J952" t="s">
        <v>21</v>
      </c>
      <c r="K952">
        <v>13</v>
      </c>
      <c r="L952">
        <v>19</v>
      </c>
      <c r="M952">
        <v>255</v>
      </c>
    </row>
    <row r="953" spans="1:13">
      <c r="A953">
        <v>952</v>
      </c>
      <c r="B953" s="1">
        <v>45878</v>
      </c>
      <c r="C953" t="s">
        <v>14</v>
      </c>
      <c r="D953">
        <v>9</v>
      </c>
      <c r="E953">
        <v>8</v>
      </c>
      <c r="F953">
        <v>3</v>
      </c>
      <c r="G953">
        <v>2025</v>
      </c>
      <c r="H953" t="s">
        <v>106</v>
      </c>
      <c r="I953" t="s">
        <v>606</v>
      </c>
      <c r="J953" t="s">
        <v>82</v>
      </c>
      <c r="K953">
        <v>32</v>
      </c>
      <c r="L953">
        <v>9</v>
      </c>
      <c r="M953">
        <v>294</v>
      </c>
    </row>
    <row r="954" spans="1:13">
      <c r="A954">
        <v>953</v>
      </c>
      <c r="B954" s="1">
        <v>46131</v>
      </c>
      <c r="C954" t="s">
        <v>28</v>
      </c>
      <c r="D954">
        <v>19</v>
      </c>
      <c r="E954">
        <v>4</v>
      </c>
      <c r="F954">
        <v>2</v>
      </c>
      <c r="G954">
        <v>2026</v>
      </c>
      <c r="H954" t="s">
        <v>145</v>
      </c>
      <c r="I954" t="s">
        <v>488</v>
      </c>
      <c r="J954" t="s">
        <v>46</v>
      </c>
      <c r="K954">
        <v>45</v>
      </c>
      <c r="L954">
        <v>4</v>
      </c>
      <c r="M954">
        <v>213</v>
      </c>
    </row>
    <row r="955" spans="1:13">
      <c r="A955">
        <v>954</v>
      </c>
      <c r="B955" s="1">
        <v>46131</v>
      </c>
      <c r="C955" t="s">
        <v>28</v>
      </c>
      <c r="D955">
        <v>19</v>
      </c>
      <c r="E955">
        <v>4</v>
      </c>
      <c r="F955">
        <v>2</v>
      </c>
      <c r="G955">
        <v>2026</v>
      </c>
      <c r="H955" t="s">
        <v>145</v>
      </c>
      <c r="I955" t="s">
        <v>615</v>
      </c>
      <c r="J955" t="s">
        <v>100</v>
      </c>
      <c r="K955">
        <v>50</v>
      </c>
      <c r="L955">
        <v>3</v>
      </c>
      <c r="M955">
        <v>150</v>
      </c>
    </row>
    <row r="956" spans="1:13">
      <c r="A956">
        <v>955</v>
      </c>
      <c r="B956" s="1">
        <v>46131</v>
      </c>
      <c r="C956" t="s">
        <v>28</v>
      </c>
      <c r="D956">
        <v>19</v>
      </c>
      <c r="E956">
        <v>4</v>
      </c>
      <c r="F956">
        <v>2</v>
      </c>
      <c r="G956">
        <v>2026</v>
      </c>
      <c r="H956" t="s">
        <v>145</v>
      </c>
      <c r="I956" t="s">
        <v>128</v>
      </c>
      <c r="J956" t="s">
        <v>55</v>
      </c>
      <c r="K956">
        <v>40</v>
      </c>
      <c r="L956">
        <v>1</v>
      </c>
      <c r="M956">
        <v>76</v>
      </c>
    </row>
    <row r="957" spans="1:13">
      <c r="A957">
        <v>956</v>
      </c>
      <c r="B957" s="1">
        <v>46131</v>
      </c>
      <c r="C957" t="s">
        <v>28</v>
      </c>
      <c r="D957">
        <v>19</v>
      </c>
      <c r="E957">
        <v>4</v>
      </c>
      <c r="F957">
        <v>2</v>
      </c>
      <c r="G957">
        <v>2026</v>
      </c>
      <c r="H957" t="s">
        <v>145</v>
      </c>
      <c r="I957" t="s">
        <v>148</v>
      </c>
      <c r="J957" t="s">
        <v>51</v>
      </c>
      <c r="K957">
        <v>47</v>
      </c>
      <c r="L957">
        <v>5</v>
      </c>
      <c r="M957">
        <v>262</v>
      </c>
    </row>
    <row r="958" spans="1:13">
      <c r="A958">
        <v>957</v>
      </c>
      <c r="B958" s="1">
        <v>46131</v>
      </c>
      <c r="C958" t="s">
        <v>28</v>
      </c>
      <c r="D958">
        <v>19</v>
      </c>
      <c r="E958">
        <v>4</v>
      </c>
      <c r="F958">
        <v>2</v>
      </c>
      <c r="G958">
        <v>2026</v>
      </c>
      <c r="H958" t="s">
        <v>145</v>
      </c>
      <c r="I958" t="s">
        <v>183</v>
      </c>
      <c r="J958" t="s">
        <v>19</v>
      </c>
      <c r="K958">
        <v>22</v>
      </c>
      <c r="L958">
        <v>12</v>
      </c>
      <c r="M958">
        <v>285</v>
      </c>
    </row>
    <row r="959" spans="1:13">
      <c r="A959">
        <v>958</v>
      </c>
      <c r="B959" s="1">
        <v>45600</v>
      </c>
      <c r="C959" t="s">
        <v>93</v>
      </c>
      <c r="D959">
        <v>4</v>
      </c>
      <c r="E959">
        <v>11</v>
      </c>
      <c r="F959">
        <v>4</v>
      </c>
      <c r="G959">
        <v>2024</v>
      </c>
      <c r="H959" t="s">
        <v>392</v>
      </c>
      <c r="I959" t="s">
        <v>298</v>
      </c>
      <c r="J959" t="s">
        <v>31</v>
      </c>
      <c r="K959">
        <v>50</v>
      </c>
      <c r="L959">
        <v>2</v>
      </c>
      <c r="M959">
        <v>121</v>
      </c>
    </row>
    <row r="960" spans="1:13">
      <c r="A960">
        <v>959</v>
      </c>
      <c r="B960" s="1">
        <v>45600</v>
      </c>
      <c r="C960" t="s">
        <v>93</v>
      </c>
      <c r="D960">
        <v>4</v>
      </c>
      <c r="E960">
        <v>11</v>
      </c>
      <c r="F960">
        <v>4</v>
      </c>
      <c r="G960">
        <v>2024</v>
      </c>
      <c r="H960" t="s">
        <v>392</v>
      </c>
      <c r="I960" t="s">
        <v>419</v>
      </c>
      <c r="J960" t="s">
        <v>39</v>
      </c>
      <c r="K960">
        <v>46</v>
      </c>
      <c r="L960">
        <v>4</v>
      </c>
      <c r="M960">
        <v>212</v>
      </c>
    </row>
    <row r="961" spans="1:13">
      <c r="A961">
        <v>960</v>
      </c>
      <c r="B961" s="1">
        <v>45600</v>
      </c>
      <c r="C961" t="s">
        <v>93</v>
      </c>
      <c r="D961">
        <v>4</v>
      </c>
      <c r="E961">
        <v>11</v>
      </c>
      <c r="F961">
        <v>4</v>
      </c>
      <c r="G961">
        <v>2024</v>
      </c>
      <c r="H961" t="s">
        <v>392</v>
      </c>
      <c r="I961" t="s">
        <v>38</v>
      </c>
      <c r="J961" t="s">
        <v>39</v>
      </c>
      <c r="K961">
        <v>45</v>
      </c>
      <c r="L961">
        <v>10</v>
      </c>
      <c r="M961">
        <v>466</v>
      </c>
    </row>
    <row r="962" spans="1:13">
      <c r="A962">
        <v>961</v>
      </c>
      <c r="B962" s="1">
        <v>45600</v>
      </c>
      <c r="C962" t="s">
        <v>93</v>
      </c>
      <c r="D962">
        <v>4</v>
      </c>
      <c r="E962">
        <v>11</v>
      </c>
      <c r="F962">
        <v>4</v>
      </c>
      <c r="G962">
        <v>2024</v>
      </c>
      <c r="H962" t="s">
        <v>392</v>
      </c>
      <c r="I962" t="s">
        <v>272</v>
      </c>
      <c r="J962" t="s">
        <v>55</v>
      </c>
      <c r="K962">
        <v>41</v>
      </c>
      <c r="L962">
        <v>6</v>
      </c>
      <c r="M962">
        <v>258</v>
      </c>
    </row>
    <row r="963" spans="1:13">
      <c r="A963">
        <v>962</v>
      </c>
      <c r="B963" s="1">
        <v>45600</v>
      </c>
      <c r="C963" t="s">
        <v>93</v>
      </c>
      <c r="D963">
        <v>4</v>
      </c>
      <c r="E963">
        <v>11</v>
      </c>
      <c r="F963">
        <v>4</v>
      </c>
      <c r="G963">
        <v>2024</v>
      </c>
      <c r="H963" t="s">
        <v>392</v>
      </c>
      <c r="I963" t="s">
        <v>182</v>
      </c>
      <c r="J963" t="s">
        <v>39</v>
      </c>
      <c r="K963">
        <v>33</v>
      </c>
      <c r="L963">
        <v>5</v>
      </c>
      <c r="M963">
        <v>183</v>
      </c>
    </row>
    <row r="964" spans="1:13">
      <c r="A964">
        <v>963</v>
      </c>
      <c r="B964" s="1">
        <v>45600</v>
      </c>
      <c r="C964" t="s">
        <v>93</v>
      </c>
      <c r="D964">
        <v>4</v>
      </c>
      <c r="E964">
        <v>11</v>
      </c>
      <c r="F964">
        <v>4</v>
      </c>
      <c r="G964">
        <v>2024</v>
      </c>
      <c r="H964" t="s">
        <v>392</v>
      </c>
      <c r="I964" t="s">
        <v>73</v>
      </c>
      <c r="J964" t="s">
        <v>39</v>
      </c>
      <c r="K964">
        <v>13</v>
      </c>
      <c r="L964">
        <v>17</v>
      </c>
      <c r="M964">
        <v>226</v>
      </c>
    </row>
    <row r="965" spans="1:13">
      <c r="A965">
        <v>964</v>
      </c>
      <c r="B965" s="1">
        <v>45600</v>
      </c>
      <c r="C965" t="s">
        <v>93</v>
      </c>
      <c r="D965">
        <v>4</v>
      </c>
      <c r="E965">
        <v>11</v>
      </c>
      <c r="F965">
        <v>4</v>
      </c>
      <c r="G965">
        <v>2024</v>
      </c>
      <c r="H965" t="s">
        <v>392</v>
      </c>
      <c r="I965" t="s">
        <v>153</v>
      </c>
      <c r="J965" t="s">
        <v>37</v>
      </c>
      <c r="K965">
        <v>23</v>
      </c>
      <c r="L965">
        <v>13</v>
      </c>
      <c r="M965">
        <v>313</v>
      </c>
    </row>
    <row r="966" spans="1:13">
      <c r="A966">
        <v>965</v>
      </c>
      <c r="B966" s="1">
        <v>45600</v>
      </c>
      <c r="C966" t="s">
        <v>93</v>
      </c>
      <c r="D966">
        <v>4</v>
      </c>
      <c r="E966">
        <v>11</v>
      </c>
      <c r="F966">
        <v>4</v>
      </c>
      <c r="G966">
        <v>2024</v>
      </c>
      <c r="H966" t="s">
        <v>392</v>
      </c>
      <c r="I966" t="s">
        <v>541</v>
      </c>
      <c r="J966" t="s">
        <v>43</v>
      </c>
      <c r="K966">
        <v>37</v>
      </c>
      <c r="L966">
        <v>9</v>
      </c>
      <c r="M966">
        <v>336</v>
      </c>
    </row>
    <row r="967" spans="1:13">
      <c r="A967">
        <v>966</v>
      </c>
      <c r="B967" s="1">
        <v>45600</v>
      </c>
      <c r="C967" t="s">
        <v>93</v>
      </c>
      <c r="D967">
        <v>4</v>
      </c>
      <c r="E967">
        <v>11</v>
      </c>
      <c r="F967">
        <v>4</v>
      </c>
      <c r="G967">
        <v>2024</v>
      </c>
      <c r="H967" t="s">
        <v>392</v>
      </c>
      <c r="I967" t="s">
        <v>224</v>
      </c>
      <c r="J967" t="s">
        <v>39</v>
      </c>
      <c r="K967">
        <v>56</v>
      </c>
      <c r="L967">
        <v>2</v>
      </c>
      <c r="M967">
        <v>133</v>
      </c>
    </row>
    <row r="968" spans="1:13">
      <c r="A968">
        <v>967</v>
      </c>
      <c r="B968" s="1">
        <v>45600</v>
      </c>
      <c r="C968" t="s">
        <v>93</v>
      </c>
      <c r="D968">
        <v>4</v>
      </c>
      <c r="E968">
        <v>11</v>
      </c>
      <c r="F968">
        <v>4</v>
      </c>
      <c r="G968">
        <v>2024</v>
      </c>
      <c r="H968" t="s">
        <v>392</v>
      </c>
      <c r="I968" t="s">
        <v>354</v>
      </c>
      <c r="J968" t="s">
        <v>31</v>
      </c>
      <c r="K968">
        <v>52</v>
      </c>
      <c r="L968">
        <v>5</v>
      </c>
      <c r="M968">
        <v>264</v>
      </c>
    </row>
    <row r="969" spans="1:13">
      <c r="A969">
        <v>968</v>
      </c>
      <c r="B969" s="1">
        <v>45600</v>
      </c>
      <c r="C969" t="s">
        <v>93</v>
      </c>
      <c r="D969">
        <v>4</v>
      </c>
      <c r="E969">
        <v>11</v>
      </c>
      <c r="F969">
        <v>4</v>
      </c>
      <c r="G969">
        <v>2024</v>
      </c>
      <c r="H969" t="s">
        <v>392</v>
      </c>
      <c r="I969" t="s">
        <v>40</v>
      </c>
      <c r="J969" t="s">
        <v>37</v>
      </c>
      <c r="K969">
        <v>30</v>
      </c>
      <c r="L969">
        <v>7</v>
      </c>
      <c r="M969">
        <v>226</v>
      </c>
    </row>
    <row r="970" spans="1:13">
      <c r="A970">
        <v>969</v>
      </c>
      <c r="B970" s="1">
        <v>45600</v>
      </c>
      <c r="C970" t="s">
        <v>93</v>
      </c>
      <c r="D970">
        <v>4</v>
      </c>
      <c r="E970">
        <v>11</v>
      </c>
      <c r="F970">
        <v>4</v>
      </c>
      <c r="G970">
        <v>2024</v>
      </c>
      <c r="H970" t="s">
        <v>392</v>
      </c>
      <c r="I970" t="s">
        <v>616</v>
      </c>
      <c r="J970" t="s">
        <v>37</v>
      </c>
      <c r="K970">
        <v>13</v>
      </c>
      <c r="L970">
        <v>9</v>
      </c>
      <c r="M970">
        <v>117</v>
      </c>
    </row>
    <row r="971" spans="1:13">
      <c r="A971">
        <v>970</v>
      </c>
      <c r="B971" s="1">
        <v>45722</v>
      </c>
      <c r="C971" t="s">
        <v>105</v>
      </c>
      <c r="D971">
        <v>6</v>
      </c>
      <c r="E971">
        <v>3</v>
      </c>
      <c r="F971">
        <v>1</v>
      </c>
      <c r="G971">
        <v>2025</v>
      </c>
      <c r="H971" t="s">
        <v>617</v>
      </c>
      <c r="I971" t="s">
        <v>578</v>
      </c>
      <c r="J971" t="s">
        <v>82</v>
      </c>
      <c r="K971">
        <v>48</v>
      </c>
      <c r="L971">
        <v>3</v>
      </c>
      <c r="M971">
        <v>152</v>
      </c>
    </row>
    <row r="972" spans="1:13">
      <c r="A972">
        <v>971</v>
      </c>
      <c r="B972" s="1">
        <v>45722</v>
      </c>
      <c r="C972" t="s">
        <v>105</v>
      </c>
      <c r="D972">
        <v>6</v>
      </c>
      <c r="E972">
        <v>3</v>
      </c>
      <c r="F972">
        <v>1</v>
      </c>
      <c r="G972">
        <v>2025</v>
      </c>
      <c r="H972" t="s">
        <v>617</v>
      </c>
      <c r="I972" t="s">
        <v>91</v>
      </c>
      <c r="J972" t="s">
        <v>55</v>
      </c>
      <c r="K972">
        <v>37</v>
      </c>
      <c r="L972">
        <v>9</v>
      </c>
      <c r="M972">
        <v>348</v>
      </c>
    </row>
    <row r="973" spans="1:13">
      <c r="A973">
        <v>972</v>
      </c>
      <c r="B973" s="1">
        <v>45722</v>
      </c>
      <c r="C973" t="s">
        <v>105</v>
      </c>
      <c r="D973">
        <v>6</v>
      </c>
      <c r="E973">
        <v>3</v>
      </c>
      <c r="F973">
        <v>1</v>
      </c>
      <c r="G973">
        <v>2025</v>
      </c>
      <c r="H973" t="s">
        <v>617</v>
      </c>
      <c r="I973" t="s">
        <v>108</v>
      </c>
      <c r="J973" t="s">
        <v>51</v>
      </c>
      <c r="K973">
        <v>35</v>
      </c>
      <c r="L973">
        <v>7</v>
      </c>
      <c r="M973">
        <v>261</v>
      </c>
    </row>
    <row r="974" spans="1:13">
      <c r="A974">
        <v>973</v>
      </c>
      <c r="B974" s="1">
        <v>45722</v>
      </c>
      <c r="C974" t="s">
        <v>105</v>
      </c>
      <c r="D974">
        <v>6</v>
      </c>
      <c r="E974">
        <v>3</v>
      </c>
      <c r="F974">
        <v>1</v>
      </c>
      <c r="G974">
        <v>2025</v>
      </c>
      <c r="H974" t="s">
        <v>617</v>
      </c>
      <c r="I974" t="s">
        <v>107</v>
      </c>
      <c r="J974" t="s">
        <v>17</v>
      </c>
      <c r="K974">
        <v>30</v>
      </c>
      <c r="L974">
        <v>5</v>
      </c>
      <c r="M974">
        <v>153</v>
      </c>
    </row>
    <row r="975" spans="1:13">
      <c r="A975">
        <v>974</v>
      </c>
      <c r="B975" s="1">
        <v>45722</v>
      </c>
      <c r="C975" t="s">
        <v>105</v>
      </c>
      <c r="D975">
        <v>6</v>
      </c>
      <c r="E975">
        <v>3</v>
      </c>
      <c r="F975">
        <v>1</v>
      </c>
      <c r="G975">
        <v>2025</v>
      </c>
      <c r="H975" t="s">
        <v>617</v>
      </c>
      <c r="I975" t="s">
        <v>402</v>
      </c>
      <c r="J975" t="s">
        <v>19</v>
      </c>
      <c r="K975">
        <v>35</v>
      </c>
      <c r="L975">
        <v>1</v>
      </c>
      <c r="M975">
        <v>64</v>
      </c>
    </row>
    <row r="976" spans="1:13">
      <c r="A976">
        <v>975</v>
      </c>
      <c r="B976" s="1">
        <v>45722</v>
      </c>
      <c r="C976" t="s">
        <v>105</v>
      </c>
      <c r="D976">
        <v>6</v>
      </c>
      <c r="E976">
        <v>3</v>
      </c>
      <c r="F976">
        <v>1</v>
      </c>
      <c r="G976">
        <v>2025</v>
      </c>
      <c r="H976" t="s">
        <v>617</v>
      </c>
      <c r="I976" t="s">
        <v>404</v>
      </c>
      <c r="J976" t="s">
        <v>37</v>
      </c>
      <c r="K976">
        <v>24</v>
      </c>
      <c r="L976">
        <v>10</v>
      </c>
      <c r="M976">
        <v>257</v>
      </c>
    </row>
    <row r="977" spans="1:13">
      <c r="A977">
        <v>976</v>
      </c>
      <c r="B977" s="1">
        <v>45722</v>
      </c>
      <c r="C977" t="s">
        <v>105</v>
      </c>
      <c r="D977">
        <v>6</v>
      </c>
      <c r="E977">
        <v>3</v>
      </c>
      <c r="F977">
        <v>1</v>
      </c>
      <c r="G977">
        <v>2025</v>
      </c>
      <c r="H977" t="s">
        <v>617</v>
      </c>
      <c r="I977" t="s">
        <v>495</v>
      </c>
      <c r="J977" t="s">
        <v>39</v>
      </c>
      <c r="K977">
        <v>55</v>
      </c>
      <c r="L977">
        <v>5</v>
      </c>
      <c r="M977">
        <v>302</v>
      </c>
    </row>
    <row r="978" spans="1:13">
      <c r="A978">
        <v>977</v>
      </c>
      <c r="B978" s="1">
        <v>45722</v>
      </c>
      <c r="C978" t="s">
        <v>105</v>
      </c>
      <c r="D978">
        <v>6</v>
      </c>
      <c r="E978">
        <v>3</v>
      </c>
      <c r="F978">
        <v>1</v>
      </c>
      <c r="G978">
        <v>2025</v>
      </c>
      <c r="H978" t="s">
        <v>617</v>
      </c>
      <c r="I978" t="s">
        <v>618</v>
      </c>
      <c r="J978" t="s">
        <v>100</v>
      </c>
      <c r="K978">
        <v>22</v>
      </c>
      <c r="L978">
        <v>6</v>
      </c>
      <c r="M978">
        <v>137</v>
      </c>
    </row>
    <row r="979" spans="1:13">
      <c r="A979">
        <v>978</v>
      </c>
      <c r="B979" s="1">
        <v>45722</v>
      </c>
      <c r="C979" t="s">
        <v>105</v>
      </c>
      <c r="D979">
        <v>6</v>
      </c>
      <c r="E979">
        <v>3</v>
      </c>
      <c r="F979">
        <v>1</v>
      </c>
      <c r="G979">
        <v>2025</v>
      </c>
      <c r="H979" t="s">
        <v>617</v>
      </c>
      <c r="I979" t="s">
        <v>59</v>
      </c>
      <c r="J979" t="s">
        <v>60</v>
      </c>
      <c r="K979">
        <v>10</v>
      </c>
      <c r="L979">
        <v>15</v>
      </c>
      <c r="M979">
        <v>153</v>
      </c>
    </row>
    <row r="980" spans="1:13">
      <c r="A980">
        <v>979</v>
      </c>
      <c r="B980" s="1">
        <v>45722</v>
      </c>
      <c r="C980" t="s">
        <v>105</v>
      </c>
      <c r="D980">
        <v>6</v>
      </c>
      <c r="E980">
        <v>3</v>
      </c>
      <c r="F980">
        <v>1</v>
      </c>
      <c r="G980">
        <v>2025</v>
      </c>
      <c r="H980" t="s">
        <v>617</v>
      </c>
      <c r="I980" t="s">
        <v>253</v>
      </c>
      <c r="J980" t="s">
        <v>23</v>
      </c>
      <c r="K980">
        <v>20</v>
      </c>
      <c r="L980">
        <v>6</v>
      </c>
      <c r="M980">
        <v>130</v>
      </c>
    </row>
    <row r="981" spans="1:13">
      <c r="A981">
        <v>980</v>
      </c>
      <c r="B981" s="1">
        <v>45722</v>
      </c>
      <c r="C981" t="s">
        <v>105</v>
      </c>
      <c r="D981">
        <v>6</v>
      </c>
      <c r="E981">
        <v>3</v>
      </c>
      <c r="F981">
        <v>1</v>
      </c>
      <c r="G981">
        <v>2025</v>
      </c>
      <c r="H981" t="s">
        <v>617</v>
      </c>
      <c r="I981" t="s">
        <v>602</v>
      </c>
      <c r="J981" t="s">
        <v>17</v>
      </c>
      <c r="K981">
        <v>44</v>
      </c>
      <c r="L981">
        <v>4</v>
      </c>
      <c r="M981">
        <v>182</v>
      </c>
    </row>
    <row r="982" spans="1:13">
      <c r="A982">
        <v>981</v>
      </c>
      <c r="B982" s="1">
        <v>45918</v>
      </c>
      <c r="C982" t="s">
        <v>105</v>
      </c>
      <c r="D982">
        <v>18</v>
      </c>
      <c r="E982">
        <v>9</v>
      </c>
      <c r="F982">
        <v>3</v>
      </c>
      <c r="G982">
        <v>2025</v>
      </c>
      <c r="H982" t="s">
        <v>619</v>
      </c>
      <c r="I982" t="s">
        <v>452</v>
      </c>
      <c r="J982" t="s">
        <v>69</v>
      </c>
      <c r="K982">
        <v>49</v>
      </c>
      <c r="L982">
        <v>3</v>
      </c>
      <c r="M982">
        <v>176</v>
      </c>
    </row>
    <row r="983" spans="1:13">
      <c r="A983">
        <v>982</v>
      </c>
      <c r="B983" s="1">
        <v>45918</v>
      </c>
      <c r="C983" t="s">
        <v>105</v>
      </c>
      <c r="D983">
        <v>18</v>
      </c>
      <c r="E983">
        <v>9</v>
      </c>
      <c r="F983">
        <v>3</v>
      </c>
      <c r="G983">
        <v>2025</v>
      </c>
      <c r="H983" t="s">
        <v>619</v>
      </c>
      <c r="I983" t="s">
        <v>102</v>
      </c>
      <c r="J983" t="s">
        <v>51</v>
      </c>
      <c r="K983">
        <v>29</v>
      </c>
      <c r="L983">
        <v>6</v>
      </c>
      <c r="M983">
        <v>198</v>
      </c>
    </row>
    <row r="984" spans="1:13">
      <c r="A984">
        <v>983</v>
      </c>
      <c r="B984" s="1">
        <v>45918</v>
      </c>
      <c r="C984" t="s">
        <v>105</v>
      </c>
      <c r="D984">
        <v>18</v>
      </c>
      <c r="E984">
        <v>9</v>
      </c>
      <c r="F984">
        <v>3</v>
      </c>
      <c r="G984">
        <v>2025</v>
      </c>
      <c r="H984" t="s">
        <v>619</v>
      </c>
      <c r="I984" t="s">
        <v>567</v>
      </c>
      <c r="J984" t="s">
        <v>100</v>
      </c>
      <c r="K984">
        <v>20</v>
      </c>
      <c r="L984">
        <v>9</v>
      </c>
      <c r="M984">
        <v>188</v>
      </c>
    </row>
    <row r="985" spans="1:13">
      <c r="A985">
        <v>984</v>
      </c>
      <c r="B985" s="1">
        <v>45918</v>
      </c>
      <c r="C985" t="s">
        <v>105</v>
      </c>
      <c r="D985">
        <v>18</v>
      </c>
      <c r="E985">
        <v>9</v>
      </c>
      <c r="F985">
        <v>3</v>
      </c>
      <c r="G985">
        <v>2025</v>
      </c>
      <c r="H985" t="s">
        <v>619</v>
      </c>
      <c r="I985" t="s">
        <v>207</v>
      </c>
      <c r="J985" t="s">
        <v>19</v>
      </c>
      <c r="K985">
        <v>50</v>
      </c>
      <c r="L985">
        <v>2</v>
      </c>
      <c r="M985">
        <v>145</v>
      </c>
    </row>
    <row r="986" spans="1:13">
      <c r="A986">
        <v>985</v>
      </c>
      <c r="B986" s="1">
        <v>45918</v>
      </c>
      <c r="C986" t="s">
        <v>105</v>
      </c>
      <c r="D986">
        <v>18</v>
      </c>
      <c r="E986">
        <v>9</v>
      </c>
      <c r="F986">
        <v>3</v>
      </c>
      <c r="G986">
        <v>2025</v>
      </c>
      <c r="H986" t="s">
        <v>619</v>
      </c>
      <c r="I986" t="s">
        <v>557</v>
      </c>
      <c r="J986" t="s">
        <v>46</v>
      </c>
      <c r="K986">
        <v>10</v>
      </c>
      <c r="L986">
        <v>46</v>
      </c>
      <c r="M986">
        <v>466</v>
      </c>
    </row>
    <row r="987" spans="1:13">
      <c r="A987">
        <v>986</v>
      </c>
      <c r="B987" s="1">
        <v>45918</v>
      </c>
      <c r="C987" t="s">
        <v>105</v>
      </c>
      <c r="D987">
        <v>18</v>
      </c>
      <c r="E987">
        <v>9</v>
      </c>
      <c r="F987">
        <v>3</v>
      </c>
      <c r="G987">
        <v>2025</v>
      </c>
      <c r="H987" t="s">
        <v>619</v>
      </c>
      <c r="I987" t="s">
        <v>479</v>
      </c>
      <c r="J987" t="s">
        <v>17</v>
      </c>
      <c r="K987">
        <v>48</v>
      </c>
      <c r="L987">
        <v>6</v>
      </c>
      <c r="M987">
        <v>317</v>
      </c>
    </row>
    <row r="988" spans="1:13">
      <c r="A988">
        <v>987</v>
      </c>
      <c r="B988" s="1">
        <v>45918</v>
      </c>
      <c r="C988" t="s">
        <v>105</v>
      </c>
      <c r="D988">
        <v>18</v>
      </c>
      <c r="E988">
        <v>9</v>
      </c>
      <c r="F988">
        <v>3</v>
      </c>
      <c r="G988">
        <v>2025</v>
      </c>
      <c r="H988" t="s">
        <v>619</v>
      </c>
      <c r="I988" t="s">
        <v>508</v>
      </c>
      <c r="J988" t="s">
        <v>43</v>
      </c>
      <c r="K988">
        <v>40</v>
      </c>
      <c r="L988">
        <v>3</v>
      </c>
      <c r="M988">
        <v>121</v>
      </c>
    </row>
    <row r="989" spans="1:13">
      <c r="A989">
        <v>988</v>
      </c>
      <c r="B989" s="1">
        <v>45918</v>
      </c>
      <c r="C989" t="s">
        <v>105</v>
      </c>
      <c r="D989">
        <v>18</v>
      </c>
      <c r="E989">
        <v>9</v>
      </c>
      <c r="F989">
        <v>3</v>
      </c>
      <c r="G989">
        <v>2025</v>
      </c>
      <c r="H989" t="s">
        <v>619</v>
      </c>
      <c r="I989" t="s">
        <v>594</v>
      </c>
      <c r="J989" t="s">
        <v>43</v>
      </c>
      <c r="K989">
        <v>51</v>
      </c>
      <c r="L989">
        <v>4</v>
      </c>
      <c r="M989">
        <v>221</v>
      </c>
    </row>
    <row r="990" spans="1:13">
      <c r="A990">
        <v>989</v>
      </c>
      <c r="B990" s="1">
        <v>45918</v>
      </c>
      <c r="C990" t="s">
        <v>105</v>
      </c>
      <c r="D990">
        <v>18</v>
      </c>
      <c r="E990">
        <v>9</v>
      </c>
      <c r="F990">
        <v>3</v>
      </c>
      <c r="G990">
        <v>2025</v>
      </c>
      <c r="H990" t="s">
        <v>619</v>
      </c>
      <c r="I990" t="s">
        <v>620</v>
      </c>
      <c r="J990" t="s">
        <v>21</v>
      </c>
      <c r="K990">
        <v>19</v>
      </c>
      <c r="L990">
        <v>11</v>
      </c>
      <c r="M990">
        <v>220</v>
      </c>
    </row>
    <row r="991" spans="1:13">
      <c r="A991">
        <v>990</v>
      </c>
      <c r="B991" s="1">
        <v>45918</v>
      </c>
      <c r="C991" t="s">
        <v>105</v>
      </c>
      <c r="D991">
        <v>18</v>
      </c>
      <c r="E991">
        <v>9</v>
      </c>
      <c r="F991">
        <v>3</v>
      </c>
      <c r="G991">
        <v>2025</v>
      </c>
      <c r="H991" t="s">
        <v>619</v>
      </c>
      <c r="I991" t="s">
        <v>224</v>
      </c>
      <c r="J991" t="s">
        <v>39</v>
      </c>
      <c r="K991">
        <v>33</v>
      </c>
      <c r="L991">
        <v>3</v>
      </c>
      <c r="M991">
        <v>128</v>
      </c>
    </row>
    <row r="992" spans="1:13">
      <c r="A992">
        <v>991</v>
      </c>
      <c r="B992" s="1">
        <v>45961</v>
      </c>
      <c r="C992" t="s">
        <v>79</v>
      </c>
      <c r="D992">
        <v>31</v>
      </c>
      <c r="E992">
        <v>10</v>
      </c>
      <c r="F992">
        <v>4</v>
      </c>
      <c r="G992">
        <v>2025</v>
      </c>
      <c r="H992" t="s">
        <v>581</v>
      </c>
      <c r="I992" t="s">
        <v>197</v>
      </c>
      <c r="J992" t="s">
        <v>19</v>
      </c>
      <c r="K992">
        <v>54</v>
      </c>
      <c r="L992">
        <v>4</v>
      </c>
      <c r="M992">
        <v>234</v>
      </c>
    </row>
    <row r="993" spans="1:13">
      <c r="A993">
        <v>992</v>
      </c>
      <c r="B993" s="1">
        <v>45961</v>
      </c>
      <c r="C993" t="s">
        <v>79</v>
      </c>
      <c r="D993">
        <v>31</v>
      </c>
      <c r="E993">
        <v>10</v>
      </c>
      <c r="F993">
        <v>4</v>
      </c>
      <c r="G993">
        <v>2025</v>
      </c>
      <c r="H993" t="s">
        <v>581</v>
      </c>
      <c r="I993" t="s">
        <v>419</v>
      </c>
      <c r="J993" t="s">
        <v>39</v>
      </c>
      <c r="K993">
        <v>15</v>
      </c>
      <c r="L993">
        <v>14</v>
      </c>
      <c r="M993">
        <v>210</v>
      </c>
    </row>
    <row r="994" spans="1:13">
      <c r="A994">
        <v>993</v>
      </c>
      <c r="B994" s="1">
        <v>45961</v>
      </c>
      <c r="C994" t="s">
        <v>79</v>
      </c>
      <c r="D994">
        <v>31</v>
      </c>
      <c r="E994">
        <v>10</v>
      </c>
      <c r="F994">
        <v>4</v>
      </c>
      <c r="G994">
        <v>2025</v>
      </c>
      <c r="H994" t="s">
        <v>581</v>
      </c>
      <c r="I994" t="s">
        <v>621</v>
      </c>
      <c r="J994" t="s">
        <v>19</v>
      </c>
      <c r="K994">
        <v>14</v>
      </c>
      <c r="L994">
        <v>31</v>
      </c>
      <c r="M994">
        <v>434</v>
      </c>
    </row>
    <row r="995" spans="1:13">
      <c r="A995">
        <v>994</v>
      </c>
      <c r="B995" s="1">
        <v>46270</v>
      </c>
      <c r="C995" t="s">
        <v>14</v>
      </c>
      <c r="D995">
        <v>5</v>
      </c>
      <c r="E995">
        <v>9</v>
      </c>
      <c r="F995">
        <v>3</v>
      </c>
      <c r="G995">
        <v>2026</v>
      </c>
      <c r="H995" t="s">
        <v>199</v>
      </c>
      <c r="I995" t="s">
        <v>514</v>
      </c>
      <c r="J995" t="s">
        <v>23</v>
      </c>
      <c r="K995">
        <v>49</v>
      </c>
      <c r="L995">
        <v>4</v>
      </c>
      <c r="M995">
        <v>214</v>
      </c>
    </row>
    <row r="996" spans="1:13">
      <c r="A996">
        <v>995</v>
      </c>
      <c r="B996" s="1">
        <v>45822</v>
      </c>
      <c r="C996" t="s">
        <v>14</v>
      </c>
      <c r="D996">
        <v>14</v>
      </c>
      <c r="E996">
        <v>6</v>
      </c>
      <c r="F996">
        <v>2</v>
      </c>
      <c r="G996">
        <v>2025</v>
      </c>
      <c r="H996" t="s">
        <v>608</v>
      </c>
      <c r="I996" t="s">
        <v>270</v>
      </c>
      <c r="J996" t="s">
        <v>55</v>
      </c>
      <c r="K996">
        <v>37</v>
      </c>
      <c r="L996">
        <v>6</v>
      </c>
      <c r="M996">
        <v>247</v>
      </c>
    </row>
    <row r="997" spans="1:13">
      <c r="A997">
        <v>996</v>
      </c>
      <c r="B997" s="1">
        <v>45822</v>
      </c>
      <c r="C997" t="s">
        <v>14</v>
      </c>
      <c r="D997">
        <v>14</v>
      </c>
      <c r="E997">
        <v>6</v>
      </c>
      <c r="F997">
        <v>2</v>
      </c>
      <c r="G997">
        <v>2025</v>
      </c>
      <c r="H997" t="s">
        <v>608</v>
      </c>
      <c r="I997" t="s">
        <v>104</v>
      </c>
      <c r="J997" t="s">
        <v>51</v>
      </c>
      <c r="K997">
        <v>52</v>
      </c>
      <c r="L997">
        <v>9</v>
      </c>
      <c r="M997">
        <v>482</v>
      </c>
    </row>
    <row r="998" spans="1:13">
      <c r="A998">
        <v>997</v>
      </c>
      <c r="B998" s="1">
        <v>45822</v>
      </c>
      <c r="C998" t="s">
        <v>14</v>
      </c>
      <c r="D998">
        <v>14</v>
      </c>
      <c r="E998">
        <v>6</v>
      </c>
      <c r="F998">
        <v>2</v>
      </c>
      <c r="G998">
        <v>2025</v>
      </c>
      <c r="H998" t="s">
        <v>608</v>
      </c>
      <c r="I998" t="s">
        <v>443</v>
      </c>
      <c r="J998" t="s">
        <v>55</v>
      </c>
      <c r="K998">
        <v>13</v>
      </c>
      <c r="L998">
        <v>28</v>
      </c>
      <c r="M998">
        <v>374</v>
      </c>
    </row>
    <row r="999" spans="1:13">
      <c r="A999">
        <v>998</v>
      </c>
      <c r="B999" s="1">
        <v>45822</v>
      </c>
      <c r="C999" t="s">
        <v>14</v>
      </c>
      <c r="D999">
        <v>14</v>
      </c>
      <c r="E999">
        <v>6</v>
      </c>
      <c r="F999">
        <v>2</v>
      </c>
      <c r="G999">
        <v>2025</v>
      </c>
      <c r="H999" t="s">
        <v>608</v>
      </c>
      <c r="I999" t="s">
        <v>607</v>
      </c>
      <c r="J999" t="s">
        <v>43</v>
      </c>
      <c r="K999">
        <v>29</v>
      </c>
      <c r="L999">
        <v>3</v>
      </c>
      <c r="M999">
        <v>112</v>
      </c>
    </row>
    <row r="1000" spans="1:13">
      <c r="A1000">
        <v>999</v>
      </c>
      <c r="B1000" s="1">
        <v>45822</v>
      </c>
      <c r="C1000" t="s">
        <v>14</v>
      </c>
      <c r="D1000">
        <v>14</v>
      </c>
      <c r="E1000">
        <v>6</v>
      </c>
      <c r="F1000">
        <v>2</v>
      </c>
      <c r="G1000">
        <v>2025</v>
      </c>
      <c r="H1000" t="s">
        <v>608</v>
      </c>
      <c r="I1000" t="s">
        <v>77</v>
      </c>
      <c r="J1000" t="s">
        <v>17</v>
      </c>
      <c r="K1000">
        <v>28</v>
      </c>
      <c r="L1000">
        <v>11</v>
      </c>
      <c r="M1000">
        <v>315</v>
      </c>
    </row>
    <row r="1001" spans="1:13">
      <c r="A1001">
        <v>1000</v>
      </c>
      <c r="B1001" s="1">
        <v>45822</v>
      </c>
      <c r="C1001" t="s">
        <v>14</v>
      </c>
      <c r="D1001">
        <v>14</v>
      </c>
      <c r="E1001">
        <v>6</v>
      </c>
      <c r="F1001">
        <v>2</v>
      </c>
      <c r="G1001">
        <v>2025</v>
      </c>
      <c r="H1001" t="s">
        <v>608</v>
      </c>
      <c r="I1001" t="s">
        <v>336</v>
      </c>
      <c r="J1001" t="s">
        <v>82</v>
      </c>
      <c r="K1001">
        <v>40</v>
      </c>
      <c r="L1001">
        <v>7</v>
      </c>
      <c r="M1001">
        <v>292</v>
      </c>
    </row>
    <row r="1002" spans="1:13">
      <c r="A1002">
        <v>1001</v>
      </c>
      <c r="B1002" s="1">
        <v>45822</v>
      </c>
      <c r="C1002" t="s">
        <v>14</v>
      </c>
      <c r="D1002">
        <v>14</v>
      </c>
      <c r="E1002">
        <v>6</v>
      </c>
      <c r="F1002">
        <v>2</v>
      </c>
      <c r="G1002">
        <v>2025</v>
      </c>
      <c r="H1002" t="s">
        <v>608</v>
      </c>
      <c r="I1002" t="s">
        <v>622</v>
      </c>
      <c r="J1002" t="s">
        <v>37</v>
      </c>
      <c r="K1002">
        <v>12</v>
      </c>
      <c r="L1002">
        <v>17</v>
      </c>
      <c r="M1002">
        <v>215</v>
      </c>
    </row>
    <row r="1003" spans="1:13">
      <c r="A1003">
        <v>1002</v>
      </c>
      <c r="B1003" s="1">
        <v>45822</v>
      </c>
      <c r="C1003" t="s">
        <v>14</v>
      </c>
      <c r="D1003">
        <v>14</v>
      </c>
      <c r="E1003">
        <v>6</v>
      </c>
      <c r="F1003">
        <v>2</v>
      </c>
      <c r="G1003">
        <v>2025</v>
      </c>
      <c r="H1003" t="s">
        <v>608</v>
      </c>
      <c r="I1003" t="s">
        <v>462</v>
      </c>
      <c r="J1003" t="s">
        <v>100</v>
      </c>
      <c r="K1003">
        <v>40</v>
      </c>
      <c r="L1003">
        <v>4</v>
      </c>
      <c r="M1003">
        <v>195</v>
      </c>
    </row>
    <row r="1004" spans="1:13">
      <c r="A1004">
        <v>1003</v>
      </c>
      <c r="B1004" s="1">
        <v>45822</v>
      </c>
      <c r="C1004" t="s">
        <v>14</v>
      </c>
      <c r="D1004">
        <v>14</v>
      </c>
      <c r="E1004">
        <v>6</v>
      </c>
      <c r="F1004">
        <v>2</v>
      </c>
      <c r="G1004">
        <v>2025</v>
      </c>
      <c r="H1004" t="s">
        <v>608</v>
      </c>
      <c r="I1004" t="s">
        <v>203</v>
      </c>
      <c r="J1004" t="s">
        <v>100</v>
      </c>
      <c r="K1004">
        <v>26</v>
      </c>
      <c r="L1004">
        <v>2</v>
      </c>
      <c r="M1004">
        <v>62</v>
      </c>
    </row>
    <row r="1005" spans="1:13">
      <c r="A1005">
        <v>1004</v>
      </c>
      <c r="B1005" s="1">
        <v>45822</v>
      </c>
      <c r="C1005" t="s">
        <v>14</v>
      </c>
      <c r="D1005">
        <v>14</v>
      </c>
      <c r="E1005">
        <v>6</v>
      </c>
      <c r="F1005">
        <v>2</v>
      </c>
      <c r="G1005">
        <v>2025</v>
      </c>
      <c r="H1005" t="s">
        <v>608</v>
      </c>
      <c r="I1005" t="s">
        <v>45</v>
      </c>
      <c r="J1005" t="s">
        <v>46</v>
      </c>
      <c r="K1005">
        <v>13</v>
      </c>
      <c r="L1005">
        <v>22</v>
      </c>
      <c r="M1005">
        <v>298</v>
      </c>
    </row>
    <row r="1006" spans="1:13">
      <c r="A1006">
        <v>1005</v>
      </c>
      <c r="B1006" s="1">
        <v>45821</v>
      </c>
      <c r="C1006" t="s">
        <v>79</v>
      </c>
      <c r="D1006">
        <v>13</v>
      </c>
      <c r="E1006">
        <v>6</v>
      </c>
      <c r="F1006">
        <v>2</v>
      </c>
      <c r="G1006">
        <v>2025</v>
      </c>
      <c r="H1006" t="s">
        <v>623</v>
      </c>
      <c r="I1006" t="s">
        <v>62</v>
      </c>
      <c r="J1006" t="s">
        <v>17</v>
      </c>
      <c r="K1006">
        <v>13</v>
      </c>
      <c r="L1006">
        <v>17</v>
      </c>
      <c r="M1006">
        <v>221</v>
      </c>
    </row>
    <row r="1007" spans="1:13">
      <c r="A1007">
        <v>1006</v>
      </c>
      <c r="B1007" s="1">
        <v>45821</v>
      </c>
      <c r="C1007" t="s">
        <v>79</v>
      </c>
      <c r="D1007">
        <v>13</v>
      </c>
      <c r="E1007">
        <v>6</v>
      </c>
      <c r="F1007">
        <v>2</v>
      </c>
      <c r="G1007">
        <v>2025</v>
      </c>
      <c r="H1007" t="s">
        <v>623</v>
      </c>
      <c r="I1007" t="s">
        <v>278</v>
      </c>
      <c r="J1007" t="s">
        <v>39</v>
      </c>
      <c r="K1007">
        <v>20</v>
      </c>
      <c r="L1007">
        <v>28</v>
      </c>
      <c r="M1007">
        <v>566</v>
      </c>
    </row>
    <row r="1008" spans="1:13">
      <c r="A1008">
        <v>1007</v>
      </c>
      <c r="B1008" s="1">
        <v>45821</v>
      </c>
      <c r="C1008" t="s">
        <v>79</v>
      </c>
      <c r="D1008">
        <v>13</v>
      </c>
      <c r="E1008">
        <v>6</v>
      </c>
      <c r="F1008">
        <v>2</v>
      </c>
      <c r="G1008">
        <v>2025</v>
      </c>
      <c r="H1008" t="s">
        <v>623</v>
      </c>
      <c r="I1008" t="s">
        <v>226</v>
      </c>
      <c r="J1008" t="s">
        <v>97</v>
      </c>
      <c r="K1008">
        <v>39</v>
      </c>
      <c r="L1008">
        <v>7</v>
      </c>
      <c r="M1008">
        <v>273</v>
      </c>
    </row>
    <row r="1009" spans="1:13">
      <c r="A1009">
        <v>1008</v>
      </c>
      <c r="B1009" s="1">
        <v>45821</v>
      </c>
      <c r="C1009" t="s">
        <v>79</v>
      </c>
      <c r="D1009">
        <v>13</v>
      </c>
      <c r="E1009">
        <v>6</v>
      </c>
      <c r="F1009">
        <v>2</v>
      </c>
      <c r="G1009">
        <v>2025</v>
      </c>
      <c r="H1009" t="s">
        <v>623</v>
      </c>
      <c r="I1009" t="s">
        <v>398</v>
      </c>
      <c r="J1009" t="s">
        <v>27</v>
      </c>
      <c r="K1009">
        <v>30</v>
      </c>
      <c r="L1009">
        <v>1</v>
      </c>
      <c r="M1009">
        <v>54</v>
      </c>
    </row>
    <row r="1010" spans="1:13">
      <c r="A1010">
        <v>1009</v>
      </c>
      <c r="B1010" s="1">
        <v>45821</v>
      </c>
      <c r="C1010" t="s">
        <v>79</v>
      </c>
      <c r="D1010">
        <v>13</v>
      </c>
      <c r="E1010">
        <v>6</v>
      </c>
      <c r="F1010">
        <v>2</v>
      </c>
      <c r="G1010">
        <v>2025</v>
      </c>
      <c r="H1010" t="s">
        <v>623</v>
      </c>
      <c r="I1010" t="s">
        <v>466</v>
      </c>
      <c r="J1010" t="s">
        <v>46</v>
      </c>
      <c r="K1010">
        <v>57</v>
      </c>
      <c r="L1010">
        <v>6</v>
      </c>
      <c r="M1010">
        <v>391</v>
      </c>
    </row>
    <row r="1011" spans="1:13">
      <c r="A1011">
        <v>1010</v>
      </c>
      <c r="B1011" s="1">
        <v>45665</v>
      </c>
      <c r="C1011" t="s">
        <v>34</v>
      </c>
      <c r="D1011">
        <v>8</v>
      </c>
      <c r="E1011">
        <v>1</v>
      </c>
      <c r="F1011">
        <v>1</v>
      </c>
      <c r="G1011">
        <v>2025</v>
      </c>
      <c r="H1011" t="s">
        <v>362</v>
      </c>
      <c r="I1011" t="s">
        <v>547</v>
      </c>
      <c r="J1011" t="s">
        <v>97</v>
      </c>
      <c r="K1011">
        <v>15</v>
      </c>
      <c r="L1011">
        <v>16</v>
      </c>
      <c r="M1011">
        <v>242</v>
      </c>
    </row>
    <row r="1012" spans="1:13">
      <c r="A1012">
        <v>1011</v>
      </c>
      <c r="B1012" s="1">
        <v>45665</v>
      </c>
      <c r="C1012" t="s">
        <v>34</v>
      </c>
      <c r="D1012">
        <v>8</v>
      </c>
      <c r="E1012">
        <v>1</v>
      </c>
      <c r="F1012">
        <v>1</v>
      </c>
      <c r="G1012">
        <v>2025</v>
      </c>
      <c r="H1012" t="s">
        <v>362</v>
      </c>
      <c r="I1012" t="s">
        <v>624</v>
      </c>
      <c r="J1012" t="s">
        <v>60</v>
      </c>
      <c r="K1012">
        <v>34</v>
      </c>
      <c r="L1012">
        <v>10</v>
      </c>
      <c r="M1012">
        <v>367</v>
      </c>
    </row>
    <row r="1013" spans="1:13">
      <c r="A1013">
        <v>1012</v>
      </c>
      <c r="B1013" s="1">
        <v>45665</v>
      </c>
      <c r="C1013" t="s">
        <v>34</v>
      </c>
      <c r="D1013">
        <v>8</v>
      </c>
      <c r="E1013">
        <v>1</v>
      </c>
      <c r="F1013">
        <v>1</v>
      </c>
      <c r="G1013">
        <v>2025</v>
      </c>
      <c r="H1013" t="s">
        <v>362</v>
      </c>
      <c r="I1013" t="s">
        <v>488</v>
      </c>
      <c r="J1013" t="s">
        <v>46</v>
      </c>
      <c r="K1013">
        <v>59</v>
      </c>
      <c r="L1013">
        <v>3</v>
      </c>
      <c r="M1013">
        <v>208</v>
      </c>
    </row>
    <row r="1014" spans="1:13">
      <c r="A1014">
        <v>1013</v>
      </c>
      <c r="B1014" s="1">
        <v>45665</v>
      </c>
      <c r="C1014" t="s">
        <v>34</v>
      </c>
      <c r="D1014">
        <v>8</v>
      </c>
      <c r="E1014">
        <v>1</v>
      </c>
      <c r="F1014">
        <v>1</v>
      </c>
      <c r="G1014">
        <v>2025</v>
      </c>
      <c r="H1014" t="s">
        <v>362</v>
      </c>
      <c r="I1014" t="s">
        <v>595</v>
      </c>
      <c r="J1014" t="s">
        <v>27</v>
      </c>
      <c r="K1014">
        <v>41</v>
      </c>
      <c r="L1014">
        <v>6</v>
      </c>
      <c r="M1014">
        <v>263</v>
      </c>
    </row>
    <row r="1015" spans="1:13">
      <c r="A1015">
        <v>1014</v>
      </c>
      <c r="B1015" s="1">
        <v>45665</v>
      </c>
      <c r="C1015" t="s">
        <v>34</v>
      </c>
      <c r="D1015">
        <v>8</v>
      </c>
      <c r="E1015">
        <v>1</v>
      </c>
      <c r="F1015">
        <v>1</v>
      </c>
      <c r="G1015">
        <v>2025</v>
      </c>
      <c r="H1015" t="s">
        <v>362</v>
      </c>
      <c r="I1015" t="s">
        <v>625</v>
      </c>
      <c r="J1015" t="s">
        <v>43</v>
      </c>
      <c r="K1015">
        <v>30</v>
      </c>
      <c r="L1015">
        <v>12</v>
      </c>
      <c r="M1015">
        <v>360</v>
      </c>
    </row>
    <row r="1016" spans="1:13">
      <c r="A1016">
        <v>1015</v>
      </c>
      <c r="B1016" s="1">
        <v>45665</v>
      </c>
      <c r="C1016" t="s">
        <v>34</v>
      </c>
      <c r="D1016">
        <v>8</v>
      </c>
      <c r="E1016">
        <v>1</v>
      </c>
      <c r="F1016">
        <v>1</v>
      </c>
      <c r="G1016">
        <v>2025</v>
      </c>
      <c r="H1016" t="s">
        <v>362</v>
      </c>
      <c r="I1016" t="s">
        <v>374</v>
      </c>
      <c r="J1016" t="s">
        <v>19</v>
      </c>
      <c r="K1016">
        <v>18</v>
      </c>
      <c r="L1016">
        <v>20</v>
      </c>
      <c r="M1016">
        <v>371</v>
      </c>
    </row>
    <row r="1017" spans="1:13">
      <c r="A1017">
        <v>1016</v>
      </c>
      <c r="B1017" s="1">
        <v>45665</v>
      </c>
      <c r="C1017" t="s">
        <v>34</v>
      </c>
      <c r="D1017">
        <v>8</v>
      </c>
      <c r="E1017">
        <v>1</v>
      </c>
      <c r="F1017">
        <v>1</v>
      </c>
      <c r="G1017">
        <v>2025</v>
      </c>
      <c r="H1017" t="s">
        <v>362</v>
      </c>
      <c r="I1017" t="s">
        <v>527</v>
      </c>
      <c r="J1017" t="s">
        <v>27</v>
      </c>
      <c r="K1017">
        <v>60</v>
      </c>
      <c r="L1017">
        <v>4</v>
      </c>
      <c r="M1017">
        <v>264</v>
      </c>
    </row>
    <row r="1018" spans="1:13">
      <c r="A1018">
        <v>1017</v>
      </c>
      <c r="B1018" s="1">
        <v>45665</v>
      </c>
      <c r="C1018" t="s">
        <v>34</v>
      </c>
      <c r="D1018">
        <v>8</v>
      </c>
      <c r="E1018">
        <v>1</v>
      </c>
      <c r="F1018">
        <v>1</v>
      </c>
      <c r="G1018">
        <v>2025</v>
      </c>
      <c r="H1018" t="s">
        <v>362</v>
      </c>
      <c r="I1018" t="s">
        <v>626</v>
      </c>
      <c r="J1018" t="s">
        <v>17</v>
      </c>
      <c r="K1018">
        <v>54</v>
      </c>
      <c r="L1018">
        <v>7</v>
      </c>
      <c r="M1018">
        <v>392</v>
      </c>
    </row>
    <row r="1019" spans="1:13">
      <c r="A1019">
        <v>1018</v>
      </c>
      <c r="B1019" s="1">
        <v>45665</v>
      </c>
      <c r="C1019" t="s">
        <v>34</v>
      </c>
      <c r="D1019">
        <v>8</v>
      </c>
      <c r="E1019">
        <v>1</v>
      </c>
      <c r="F1019">
        <v>1</v>
      </c>
      <c r="G1019">
        <v>2025</v>
      </c>
      <c r="H1019" t="s">
        <v>362</v>
      </c>
      <c r="I1019" t="s">
        <v>437</v>
      </c>
      <c r="J1019" t="s">
        <v>122</v>
      </c>
      <c r="K1019">
        <v>15</v>
      </c>
      <c r="L1019">
        <v>8</v>
      </c>
      <c r="M1019">
        <v>129</v>
      </c>
    </row>
    <row r="1020" spans="1:13">
      <c r="A1020">
        <v>1019</v>
      </c>
      <c r="B1020" s="1">
        <v>45665</v>
      </c>
      <c r="C1020" t="s">
        <v>34</v>
      </c>
      <c r="D1020">
        <v>8</v>
      </c>
      <c r="E1020">
        <v>1</v>
      </c>
      <c r="F1020">
        <v>1</v>
      </c>
      <c r="G1020">
        <v>2025</v>
      </c>
      <c r="H1020" t="s">
        <v>362</v>
      </c>
      <c r="I1020" t="s">
        <v>232</v>
      </c>
      <c r="J1020" t="s">
        <v>97</v>
      </c>
      <c r="K1020">
        <v>36</v>
      </c>
      <c r="L1020">
        <v>8</v>
      </c>
      <c r="M1020">
        <v>289</v>
      </c>
    </row>
    <row r="1021" spans="1:13">
      <c r="A1021">
        <v>1020</v>
      </c>
      <c r="B1021" s="1">
        <v>45616</v>
      </c>
      <c r="C1021" t="s">
        <v>34</v>
      </c>
      <c r="D1021">
        <v>20</v>
      </c>
      <c r="E1021">
        <v>11</v>
      </c>
      <c r="F1021">
        <v>4</v>
      </c>
      <c r="G1021">
        <v>2024</v>
      </c>
      <c r="H1021" t="s">
        <v>35</v>
      </c>
      <c r="I1021" t="s">
        <v>99</v>
      </c>
      <c r="J1021" t="s">
        <v>100</v>
      </c>
      <c r="K1021">
        <v>13</v>
      </c>
      <c r="L1021">
        <v>22</v>
      </c>
      <c r="M1021">
        <v>287</v>
      </c>
    </row>
    <row r="1022" spans="1:13">
      <c r="A1022">
        <v>1021</v>
      </c>
      <c r="B1022" s="1">
        <v>45616</v>
      </c>
      <c r="C1022" t="s">
        <v>34</v>
      </c>
      <c r="D1022">
        <v>20</v>
      </c>
      <c r="E1022">
        <v>11</v>
      </c>
      <c r="F1022">
        <v>4</v>
      </c>
      <c r="G1022">
        <v>2024</v>
      </c>
      <c r="H1022" t="s">
        <v>35</v>
      </c>
      <c r="I1022" t="s">
        <v>71</v>
      </c>
      <c r="J1022" t="s">
        <v>23</v>
      </c>
      <c r="K1022">
        <v>37</v>
      </c>
      <c r="L1022">
        <v>5</v>
      </c>
      <c r="M1022">
        <v>202</v>
      </c>
    </row>
    <row r="1023" spans="1:13">
      <c r="A1023">
        <v>1022</v>
      </c>
      <c r="B1023" s="1">
        <v>45616</v>
      </c>
      <c r="C1023" t="s">
        <v>34</v>
      </c>
      <c r="D1023">
        <v>20</v>
      </c>
      <c r="E1023">
        <v>11</v>
      </c>
      <c r="F1023">
        <v>4</v>
      </c>
      <c r="G1023">
        <v>2024</v>
      </c>
      <c r="H1023" t="s">
        <v>35</v>
      </c>
      <c r="I1023" t="s">
        <v>419</v>
      </c>
      <c r="J1023" t="s">
        <v>39</v>
      </c>
      <c r="K1023">
        <v>42</v>
      </c>
      <c r="L1023">
        <v>5</v>
      </c>
      <c r="M1023">
        <v>247</v>
      </c>
    </row>
    <row r="1024" spans="1:13">
      <c r="A1024">
        <v>1023</v>
      </c>
      <c r="B1024" s="1">
        <v>45616</v>
      </c>
      <c r="C1024" t="s">
        <v>34</v>
      </c>
      <c r="D1024">
        <v>20</v>
      </c>
      <c r="E1024">
        <v>11</v>
      </c>
      <c r="F1024">
        <v>4</v>
      </c>
      <c r="G1024">
        <v>2024</v>
      </c>
      <c r="H1024" t="s">
        <v>35</v>
      </c>
      <c r="I1024" t="s">
        <v>268</v>
      </c>
      <c r="J1024" t="s">
        <v>97</v>
      </c>
      <c r="K1024">
        <v>20</v>
      </c>
      <c r="L1024">
        <v>13</v>
      </c>
      <c r="M1024">
        <v>276</v>
      </c>
    </row>
    <row r="1025" spans="1:13">
      <c r="A1025">
        <v>1024</v>
      </c>
      <c r="B1025" s="1">
        <v>45616</v>
      </c>
      <c r="C1025" t="s">
        <v>34</v>
      </c>
      <c r="D1025">
        <v>20</v>
      </c>
      <c r="E1025">
        <v>11</v>
      </c>
      <c r="F1025">
        <v>4</v>
      </c>
      <c r="G1025">
        <v>2024</v>
      </c>
      <c r="H1025" t="s">
        <v>35</v>
      </c>
      <c r="I1025" t="s">
        <v>58</v>
      </c>
      <c r="J1025" t="s">
        <v>25</v>
      </c>
      <c r="K1025">
        <v>15</v>
      </c>
      <c r="L1025">
        <v>12</v>
      </c>
      <c r="M1025">
        <v>185</v>
      </c>
    </row>
    <row r="1026" spans="1:13">
      <c r="A1026">
        <v>1025</v>
      </c>
      <c r="B1026" s="1">
        <v>45616</v>
      </c>
      <c r="C1026" t="s">
        <v>34</v>
      </c>
      <c r="D1026">
        <v>20</v>
      </c>
      <c r="E1026">
        <v>11</v>
      </c>
      <c r="F1026">
        <v>4</v>
      </c>
      <c r="G1026">
        <v>2024</v>
      </c>
      <c r="H1026" t="s">
        <v>35</v>
      </c>
      <c r="I1026" t="s">
        <v>238</v>
      </c>
      <c r="J1026" t="s">
        <v>97</v>
      </c>
      <c r="K1026">
        <v>48</v>
      </c>
      <c r="L1026">
        <v>5</v>
      </c>
      <c r="M1026">
        <v>266</v>
      </c>
    </row>
    <row r="1027" spans="1:13">
      <c r="A1027">
        <v>1026</v>
      </c>
      <c r="B1027" s="1">
        <v>45616</v>
      </c>
      <c r="C1027" t="s">
        <v>34</v>
      </c>
      <c r="D1027">
        <v>20</v>
      </c>
      <c r="E1027">
        <v>11</v>
      </c>
      <c r="F1027">
        <v>4</v>
      </c>
      <c r="G1027">
        <v>2024</v>
      </c>
      <c r="H1027" t="s">
        <v>35</v>
      </c>
      <c r="I1027" t="s">
        <v>126</v>
      </c>
      <c r="J1027" t="s">
        <v>43</v>
      </c>
      <c r="K1027">
        <v>42</v>
      </c>
      <c r="L1027">
        <v>6</v>
      </c>
      <c r="M1027">
        <v>293</v>
      </c>
    </row>
    <row r="1028" spans="1:13">
      <c r="A1028">
        <v>1027</v>
      </c>
      <c r="B1028" s="1">
        <v>45616</v>
      </c>
      <c r="C1028" t="s">
        <v>34</v>
      </c>
      <c r="D1028">
        <v>20</v>
      </c>
      <c r="E1028">
        <v>11</v>
      </c>
      <c r="F1028">
        <v>4</v>
      </c>
      <c r="G1028">
        <v>2024</v>
      </c>
      <c r="H1028" t="s">
        <v>35</v>
      </c>
      <c r="I1028" t="s">
        <v>433</v>
      </c>
      <c r="J1028" t="s">
        <v>100</v>
      </c>
      <c r="K1028">
        <v>45</v>
      </c>
      <c r="L1028">
        <v>7</v>
      </c>
      <c r="M1028">
        <v>328</v>
      </c>
    </row>
    <row r="1029" spans="1:13">
      <c r="A1029">
        <v>1028</v>
      </c>
      <c r="B1029" s="1">
        <v>45616</v>
      </c>
      <c r="C1029" t="s">
        <v>34</v>
      </c>
      <c r="D1029">
        <v>20</v>
      </c>
      <c r="E1029">
        <v>11</v>
      </c>
      <c r="F1029">
        <v>4</v>
      </c>
      <c r="G1029">
        <v>2024</v>
      </c>
      <c r="H1029" t="s">
        <v>35</v>
      </c>
      <c r="I1029" t="s">
        <v>197</v>
      </c>
      <c r="J1029" t="s">
        <v>19</v>
      </c>
      <c r="K1029">
        <v>36</v>
      </c>
      <c r="L1029">
        <v>6</v>
      </c>
      <c r="M1029">
        <v>216</v>
      </c>
    </row>
    <row r="1030" spans="1:13">
      <c r="A1030">
        <v>1029</v>
      </c>
      <c r="B1030" s="1">
        <v>45616</v>
      </c>
      <c r="C1030" t="s">
        <v>34</v>
      </c>
      <c r="D1030">
        <v>20</v>
      </c>
      <c r="E1030">
        <v>11</v>
      </c>
      <c r="F1030">
        <v>4</v>
      </c>
      <c r="G1030">
        <v>2024</v>
      </c>
      <c r="H1030" t="s">
        <v>35</v>
      </c>
      <c r="I1030" t="s">
        <v>371</v>
      </c>
      <c r="J1030" t="s">
        <v>21</v>
      </c>
      <c r="K1030">
        <v>36</v>
      </c>
      <c r="L1030">
        <v>4</v>
      </c>
      <c r="M1030">
        <v>163</v>
      </c>
    </row>
    <row r="1031" spans="1:13">
      <c r="A1031">
        <v>1030</v>
      </c>
      <c r="B1031" s="1">
        <v>45616</v>
      </c>
      <c r="C1031" t="s">
        <v>34</v>
      </c>
      <c r="D1031">
        <v>20</v>
      </c>
      <c r="E1031">
        <v>11</v>
      </c>
      <c r="F1031">
        <v>4</v>
      </c>
      <c r="G1031">
        <v>2024</v>
      </c>
      <c r="H1031" t="s">
        <v>35</v>
      </c>
      <c r="I1031" t="s">
        <v>33</v>
      </c>
      <c r="J1031" t="s">
        <v>19</v>
      </c>
      <c r="K1031">
        <v>44</v>
      </c>
      <c r="L1031">
        <v>6</v>
      </c>
      <c r="M1031">
        <v>265</v>
      </c>
    </row>
    <row r="1032" spans="1:13">
      <c r="A1032">
        <v>1031</v>
      </c>
      <c r="B1032" s="1">
        <v>45594</v>
      </c>
      <c r="C1032" t="s">
        <v>48</v>
      </c>
      <c r="D1032">
        <v>29</v>
      </c>
      <c r="E1032">
        <v>10</v>
      </c>
      <c r="F1032">
        <v>4</v>
      </c>
      <c r="G1032">
        <v>2024</v>
      </c>
      <c r="H1032" t="s">
        <v>421</v>
      </c>
      <c r="I1032" t="s">
        <v>165</v>
      </c>
      <c r="J1032" t="s">
        <v>69</v>
      </c>
      <c r="K1032">
        <v>23</v>
      </c>
      <c r="L1032">
        <v>8</v>
      </c>
      <c r="M1032">
        <v>195</v>
      </c>
    </row>
    <row r="1033" spans="1:13">
      <c r="A1033">
        <v>1032</v>
      </c>
      <c r="B1033" s="1">
        <v>45594</v>
      </c>
      <c r="C1033" t="s">
        <v>48</v>
      </c>
      <c r="D1033">
        <v>29</v>
      </c>
      <c r="E1033">
        <v>10</v>
      </c>
      <c r="F1033">
        <v>4</v>
      </c>
      <c r="G1033">
        <v>2024</v>
      </c>
      <c r="H1033" t="s">
        <v>421</v>
      </c>
      <c r="I1033" t="s">
        <v>240</v>
      </c>
      <c r="J1033" t="s">
        <v>23</v>
      </c>
      <c r="K1033">
        <v>42</v>
      </c>
      <c r="L1033">
        <v>12</v>
      </c>
      <c r="M1033">
        <v>517</v>
      </c>
    </row>
    <row r="1034" spans="1:13">
      <c r="A1034">
        <v>1033</v>
      </c>
      <c r="B1034" s="1">
        <v>45594</v>
      </c>
      <c r="C1034" t="s">
        <v>48</v>
      </c>
      <c r="D1034">
        <v>29</v>
      </c>
      <c r="E1034">
        <v>10</v>
      </c>
      <c r="F1034">
        <v>4</v>
      </c>
      <c r="G1034">
        <v>2024</v>
      </c>
      <c r="H1034" t="s">
        <v>421</v>
      </c>
      <c r="I1034" t="s">
        <v>627</v>
      </c>
      <c r="J1034" t="s">
        <v>51</v>
      </c>
      <c r="K1034">
        <v>57</v>
      </c>
      <c r="L1034">
        <v>5</v>
      </c>
      <c r="M1034">
        <v>295</v>
      </c>
    </row>
    <row r="1035" spans="1:13">
      <c r="A1035">
        <v>1034</v>
      </c>
      <c r="B1035" s="1">
        <v>45594</v>
      </c>
      <c r="C1035" t="s">
        <v>48</v>
      </c>
      <c r="D1035">
        <v>29</v>
      </c>
      <c r="E1035">
        <v>10</v>
      </c>
      <c r="F1035">
        <v>4</v>
      </c>
      <c r="G1035">
        <v>2024</v>
      </c>
      <c r="H1035" t="s">
        <v>421</v>
      </c>
      <c r="I1035" t="s">
        <v>544</v>
      </c>
      <c r="J1035" t="s">
        <v>46</v>
      </c>
      <c r="K1035">
        <v>33</v>
      </c>
      <c r="L1035">
        <v>8</v>
      </c>
      <c r="M1035">
        <v>289</v>
      </c>
    </row>
    <row r="1036" spans="1:13">
      <c r="A1036">
        <v>1035</v>
      </c>
      <c r="B1036" s="1">
        <v>45594</v>
      </c>
      <c r="C1036" t="s">
        <v>48</v>
      </c>
      <c r="D1036">
        <v>29</v>
      </c>
      <c r="E1036">
        <v>10</v>
      </c>
      <c r="F1036">
        <v>4</v>
      </c>
      <c r="G1036">
        <v>2024</v>
      </c>
      <c r="H1036" t="s">
        <v>421</v>
      </c>
      <c r="I1036" t="s">
        <v>86</v>
      </c>
      <c r="J1036" t="s">
        <v>46</v>
      </c>
      <c r="K1036">
        <v>47</v>
      </c>
      <c r="L1036">
        <v>4</v>
      </c>
      <c r="M1036">
        <v>212</v>
      </c>
    </row>
    <row r="1037" spans="1:13">
      <c r="A1037">
        <v>1036</v>
      </c>
      <c r="B1037" s="1">
        <v>45939</v>
      </c>
      <c r="C1037" t="s">
        <v>105</v>
      </c>
      <c r="D1037">
        <v>9</v>
      </c>
      <c r="E1037">
        <v>10</v>
      </c>
      <c r="F1037">
        <v>4</v>
      </c>
      <c r="G1037">
        <v>2025</v>
      </c>
      <c r="H1037" t="s">
        <v>628</v>
      </c>
      <c r="I1037" t="s">
        <v>629</v>
      </c>
      <c r="J1037" t="s">
        <v>43</v>
      </c>
      <c r="K1037">
        <v>28</v>
      </c>
      <c r="L1037">
        <v>10</v>
      </c>
      <c r="M1037">
        <v>282</v>
      </c>
    </row>
    <row r="1038" spans="1:13">
      <c r="A1038">
        <v>1037</v>
      </c>
      <c r="B1038" s="1">
        <v>45939</v>
      </c>
      <c r="C1038" t="s">
        <v>105</v>
      </c>
      <c r="D1038">
        <v>9</v>
      </c>
      <c r="E1038">
        <v>10</v>
      </c>
      <c r="F1038">
        <v>4</v>
      </c>
      <c r="G1038">
        <v>2025</v>
      </c>
      <c r="H1038" t="s">
        <v>628</v>
      </c>
      <c r="I1038" t="s">
        <v>102</v>
      </c>
      <c r="J1038" t="s">
        <v>51</v>
      </c>
      <c r="K1038">
        <v>40</v>
      </c>
      <c r="L1038">
        <v>4</v>
      </c>
      <c r="M1038">
        <v>182</v>
      </c>
    </row>
    <row r="1039" spans="1:13">
      <c r="A1039">
        <v>1038</v>
      </c>
      <c r="B1039" s="1">
        <v>45939</v>
      </c>
      <c r="C1039" t="s">
        <v>105</v>
      </c>
      <c r="D1039">
        <v>9</v>
      </c>
      <c r="E1039">
        <v>10</v>
      </c>
      <c r="F1039">
        <v>4</v>
      </c>
      <c r="G1039">
        <v>2025</v>
      </c>
      <c r="H1039" t="s">
        <v>628</v>
      </c>
      <c r="I1039" t="s">
        <v>218</v>
      </c>
      <c r="J1039" t="s">
        <v>97</v>
      </c>
      <c r="K1039">
        <v>15</v>
      </c>
      <c r="L1039">
        <v>14</v>
      </c>
      <c r="M1039">
        <v>224</v>
      </c>
    </row>
    <row r="1040" spans="1:13">
      <c r="A1040">
        <v>1039</v>
      </c>
      <c r="B1040" s="1">
        <v>45939</v>
      </c>
      <c r="C1040" t="s">
        <v>105</v>
      </c>
      <c r="D1040">
        <v>9</v>
      </c>
      <c r="E1040">
        <v>10</v>
      </c>
      <c r="F1040">
        <v>4</v>
      </c>
      <c r="G1040">
        <v>2025</v>
      </c>
      <c r="H1040" t="s">
        <v>628</v>
      </c>
      <c r="I1040" t="s">
        <v>630</v>
      </c>
      <c r="J1040" t="s">
        <v>69</v>
      </c>
      <c r="K1040">
        <v>49</v>
      </c>
      <c r="L1040">
        <v>1</v>
      </c>
      <c r="M1040">
        <v>78</v>
      </c>
    </row>
    <row r="1041" spans="1:13">
      <c r="A1041">
        <v>1040</v>
      </c>
      <c r="B1041" s="1">
        <v>45939</v>
      </c>
      <c r="C1041" t="s">
        <v>105</v>
      </c>
      <c r="D1041">
        <v>9</v>
      </c>
      <c r="E1041">
        <v>10</v>
      </c>
      <c r="F1041">
        <v>4</v>
      </c>
      <c r="G1041">
        <v>2025</v>
      </c>
      <c r="H1041" t="s">
        <v>628</v>
      </c>
      <c r="I1041" t="s">
        <v>625</v>
      </c>
      <c r="J1041" t="s">
        <v>43</v>
      </c>
      <c r="K1041">
        <v>55</v>
      </c>
      <c r="L1041">
        <v>7</v>
      </c>
      <c r="M1041">
        <v>388</v>
      </c>
    </row>
    <row r="1042" spans="1:13">
      <c r="A1042">
        <v>1041</v>
      </c>
      <c r="B1042" s="1">
        <v>45939</v>
      </c>
      <c r="C1042" t="s">
        <v>105</v>
      </c>
      <c r="D1042">
        <v>9</v>
      </c>
      <c r="E1042">
        <v>10</v>
      </c>
      <c r="F1042">
        <v>4</v>
      </c>
      <c r="G1042">
        <v>2025</v>
      </c>
      <c r="H1042" t="s">
        <v>628</v>
      </c>
      <c r="I1042" t="s">
        <v>631</v>
      </c>
      <c r="J1042" t="s">
        <v>39</v>
      </c>
      <c r="K1042">
        <v>22</v>
      </c>
      <c r="L1042">
        <v>10</v>
      </c>
      <c r="M1042">
        <v>233</v>
      </c>
    </row>
    <row r="1043" spans="1:13">
      <c r="A1043">
        <v>1042</v>
      </c>
      <c r="B1043" s="1">
        <v>45939</v>
      </c>
      <c r="C1043" t="s">
        <v>105</v>
      </c>
      <c r="D1043">
        <v>9</v>
      </c>
      <c r="E1043">
        <v>10</v>
      </c>
      <c r="F1043">
        <v>4</v>
      </c>
      <c r="G1043">
        <v>2025</v>
      </c>
      <c r="H1043" t="s">
        <v>628</v>
      </c>
      <c r="I1043" t="s">
        <v>418</v>
      </c>
      <c r="J1043" t="s">
        <v>43</v>
      </c>
      <c r="K1043">
        <v>24</v>
      </c>
      <c r="L1043">
        <v>12</v>
      </c>
      <c r="M1043">
        <v>296</v>
      </c>
    </row>
    <row r="1044" spans="1:13">
      <c r="A1044">
        <v>1043</v>
      </c>
      <c r="B1044" s="1">
        <v>45939</v>
      </c>
      <c r="C1044" t="s">
        <v>105</v>
      </c>
      <c r="D1044">
        <v>9</v>
      </c>
      <c r="E1044">
        <v>10</v>
      </c>
      <c r="F1044">
        <v>4</v>
      </c>
      <c r="G1044">
        <v>2025</v>
      </c>
      <c r="H1044" t="s">
        <v>628</v>
      </c>
      <c r="I1044" t="s">
        <v>614</v>
      </c>
      <c r="J1044" t="s">
        <v>21</v>
      </c>
      <c r="K1044">
        <v>60</v>
      </c>
      <c r="L1044">
        <v>4</v>
      </c>
      <c r="M1044">
        <v>246</v>
      </c>
    </row>
    <row r="1045" spans="1:13">
      <c r="A1045">
        <v>1044</v>
      </c>
      <c r="B1045" s="1">
        <v>45939</v>
      </c>
      <c r="C1045" t="s">
        <v>105</v>
      </c>
      <c r="D1045">
        <v>9</v>
      </c>
      <c r="E1045">
        <v>10</v>
      </c>
      <c r="F1045">
        <v>4</v>
      </c>
      <c r="G1045">
        <v>2025</v>
      </c>
      <c r="H1045" t="s">
        <v>628</v>
      </c>
      <c r="I1045" t="s">
        <v>519</v>
      </c>
      <c r="J1045" t="s">
        <v>51</v>
      </c>
      <c r="K1045">
        <v>50</v>
      </c>
      <c r="L1045">
        <v>5</v>
      </c>
      <c r="M1045">
        <v>288</v>
      </c>
    </row>
    <row r="1046" spans="1:13">
      <c r="A1046">
        <v>1045</v>
      </c>
      <c r="B1046" s="1">
        <v>45939</v>
      </c>
      <c r="C1046" t="s">
        <v>105</v>
      </c>
      <c r="D1046">
        <v>9</v>
      </c>
      <c r="E1046">
        <v>10</v>
      </c>
      <c r="F1046">
        <v>4</v>
      </c>
      <c r="G1046">
        <v>2025</v>
      </c>
      <c r="H1046" t="s">
        <v>628</v>
      </c>
      <c r="I1046" t="s">
        <v>265</v>
      </c>
      <c r="J1046" t="s">
        <v>46</v>
      </c>
      <c r="K1046">
        <v>50</v>
      </c>
      <c r="L1046">
        <v>7</v>
      </c>
      <c r="M1046">
        <v>365</v>
      </c>
    </row>
    <row r="1047" spans="1:13">
      <c r="A1047">
        <v>1046</v>
      </c>
      <c r="B1047" s="1">
        <v>45939</v>
      </c>
      <c r="C1047" t="s">
        <v>105</v>
      </c>
      <c r="D1047">
        <v>9</v>
      </c>
      <c r="E1047">
        <v>10</v>
      </c>
      <c r="F1047">
        <v>4</v>
      </c>
      <c r="G1047">
        <v>2025</v>
      </c>
      <c r="H1047" t="s">
        <v>628</v>
      </c>
      <c r="I1047" t="s">
        <v>632</v>
      </c>
      <c r="J1047" t="s">
        <v>57</v>
      </c>
      <c r="K1047">
        <v>26</v>
      </c>
      <c r="L1047">
        <v>15</v>
      </c>
      <c r="M1047">
        <v>407</v>
      </c>
    </row>
    <row r="1048" spans="1:13">
      <c r="A1048">
        <v>1047</v>
      </c>
      <c r="B1048" s="1">
        <v>45939</v>
      </c>
      <c r="C1048" t="s">
        <v>105</v>
      </c>
      <c r="D1048">
        <v>9</v>
      </c>
      <c r="E1048">
        <v>10</v>
      </c>
      <c r="F1048">
        <v>4</v>
      </c>
      <c r="G1048">
        <v>2025</v>
      </c>
      <c r="H1048" t="s">
        <v>628</v>
      </c>
      <c r="I1048" t="s">
        <v>121</v>
      </c>
      <c r="J1048" t="s">
        <v>122</v>
      </c>
      <c r="K1048">
        <v>34</v>
      </c>
      <c r="L1048">
        <v>2</v>
      </c>
      <c r="M1048">
        <v>95</v>
      </c>
    </row>
    <row r="1049" spans="1:13">
      <c r="A1049">
        <v>1048</v>
      </c>
      <c r="B1049" s="1">
        <v>46135</v>
      </c>
      <c r="C1049" t="s">
        <v>105</v>
      </c>
      <c r="D1049">
        <v>23</v>
      </c>
      <c r="E1049">
        <v>4</v>
      </c>
      <c r="F1049">
        <v>2</v>
      </c>
      <c r="G1049">
        <v>2026</v>
      </c>
      <c r="H1049" t="s">
        <v>49</v>
      </c>
      <c r="I1049" t="s">
        <v>150</v>
      </c>
      <c r="J1049" t="s">
        <v>60</v>
      </c>
      <c r="K1049">
        <v>14</v>
      </c>
      <c r="L1049">
        <v>14</v>
      </c>
      <c r="M1049">
        <v>202</v>
      </c>
    </row>
    <row r="1050" spans="1:13">
      <c r="A1050">
        <v>1049</v>
      </c>
      <c r="B1050" s="1">
        <v>46135</v>
      </c>
      <c r="C1050" t="s">
        <v>105</v>
      </c>
      <c r="D1050">
        <v>23</v>
      </c>
      <c r="E1050">
        <v>4</v>
      </c>
      <c r="F1050">
        <v>2</v>
      </c>
      <c r="G1050">
        <v>2026</v>
      </c>
      <c r="H1050" t="s">
        <v>49</v>
      </c>
      <c r="I1050" t="s">
        <v>633</v>
      </c>
      <c r="J1050" t="s">
        <v>17</v>
      </c>
      <c r="K1050">
        <v>12</v>
      </c>
      <c r="L1050">
        <v>27</v>
      </c>
      <c r="M1050">
        <v>328</v>
      </c>
    </row>
    <row r="1051" spans="1:13">
      <c r="A1051">
        <v>1050</v>
      </c>
      <c r="B1051" s="1">
        <v>45697</v>
      </c>
      <c r="C1051" t="s">
        <v>28</v>
      </c>
      <c r="D1051">
        <v>9</v>
      </c>
      <c r="E1051">
        <v>2</v>
      </c>
      <c r="F1051">
        <v>1</v>
      </c>
      <c r="G1051">
        <v>2025</v>
      </c>
      <c r="H1051" t="s">
        <v>628</v>
      </c>
      <c r="I1051" t="s">
        <v>115</v>
      </c>
      <c r="J1051" t="s">
        <v>55</v>
      </c>
      <c r="K1051">
        <v>58</v>
      </c>
      <c r="L1051">
        <v>5</v>
      </c>
      <c r="M1051">
        <v>323</v>
      </c>
    </row>
    <row r="1052" spans="1:13">
      <c r="A1052">
        <v>1051</v>
      </c>
      <c r="B1052" s="1">
        <v>45697</v>
      </c>
      <c r="C1052" t="s">
        <v>28</v>
      </c>
      <c r="D1052">
        <v>9</v>
      </c>
      <c r="E1052">
        <v>2</v>
      </c>
      <c r="F1052">
        <v>1</v>
      </c>
      <c r="G1052">
        <v>2025</v>
      </c>
      <c r="H1052" t="s">
        <v>628</v>
      </c>
      <c r="I1052" t="s">
        <v>225</v>
      </c>
      <c r="J1052" t="s">
        <v>21</v>
      </c>
      <c r="K1052">
        <v>25</v>
      </c>
      <c r="L1052">
        <v>12</v>
      </c>
      <c r="M1052">
        <v>315</v>
      </c>
    </row>
    <row r="1053" spans="1:13">
      <c r="A1053">
        <v>1052</v>
      </c>
      <c r="B1053" s="1">
        <v>45697</v>
      </c>
      <c r="C1053" t="s">
        <v>28</v>
      </c>
      <c r="D1053">
        <v>9</v>
      </c>
      <c r="E1053">
        <v>2</v>
      </c>
      <c r="F1053">
        <v>1</v>
      </c>
      <c r="G1053">
        <v>2025</v>
      </c>
      <c r="H1053" t="s">
        <v>628</v>
      </c>
      <c r="I1053" t="s">
        <v>634</v>
      </c>
      <c r="J1053" t="s">
        <v>46</v>
      </c>
      <c r="K1053">
        <v>52</v>
      </c>
      <c r="L1053">
        <v>6</v>
      </c>
      <c r="M1053">
        <v>353</v>
      </c>
    </row>
    <row r="1054" spans="1:13">
      <c r="A1054">
        <v>1053</v>
      </c>
      <c r="B1054" s="1">
        <v>45697</v>
      </c>
      <c r="C1054" t="s">
        <v>28</v>
      </c>
      <c r="D1054">
        <v>9</v>
      </c>
      <c r="E1054">
        <v>2</v>
      </c>
      <c r="F1054">
        <v>1</v>
      </c>
      <c r="G1054">
        <v>2025</v>
      </c>
      <c r="H1054" t="s">
        <v>628</v>
      </c>
      <c r="I1054" t="s">
        <v>501</v>
      </c>
      <c r="J1054" t="s">
        <v>25</v>
      </c>
      <c r="K1054">
        <v>22</v>
      </c>
      <c r="L1054">
        <v>14</v>
      </c>
      <c r="M1054">
        <v>317</v>
      </c>
    </row>
    <row r="1055" spans="1:13">
      <c r="A1055">
        <v>1054</v>
      </c>
      <c r="B1055" s="1">
        <v>45697</v>
      </c>
      <c r="C1055" t="s">
        <v>28</v>
      </c>
      <c r="D1055">
        <v>9</v>
      </c>
      <c r="E1055">
        <v>2</v>
      </c>
      <c r="F1055">
        <v>1</v>
      </c>
      <c r="G1055">
        <v>2025</v>
      </c>
      <c r="H1055" t="s">
        <v>628</v>
      </c>
      <c r="I1055" t="s">
        <v>368</v>
      </c>
      <c r="J1055" t="s">
        <v>31</v>
      </c>
      <c r="K1055">
        <v>46</v>
      </c>
      <c r="L1055">
        <v>6</v>
      </c>
      <c r="M1055">
        <v>312</v>
      </c>
    </row>
    <row r="1056" spans="1:13">
      <c r="A1056">
        <v>1055</v>
      </c>
      <c r="B1056" s="1">
        <v>45947</v>
      </c>
      <c r="C1056" t="s">
        <v>79</v>
      </c>
      <c r="D1056">
        <v>17</v>
      </c>
      <c r="E1056">
        <v>10</v>
      </c>
      <c r="F1056">
        <v>4</v>
      </c>
      <c r="G1056">
        <v>2025</v>
      </c>
      <c r="H1056" t="s">
        <v>635</v>
      </c>
      <c r="I1056" t="s">
        <v>132</v>
      </c>
      <c r="J1056" t="s">
        <v>31</v>
      </c>
      <c r="K1056">
        <v>38</v>
      </c>
      <c r="L1056">
        <v>4</v>
      </c>
      <c r="M1056">
        <v>187</v>
      </c>
    </row>
    <row r="1057" spans="1:13">
      <c r="A1057">
        <v>1056</v>
      </c>
      <c r="B1057" s="1">
        <v>45947</v>
      </c>
      <c r="C1057" t="s">
        <v>79</v>
      </c>
      <c r="D1057">
        <v>17</v>
      </c>
      <c r="E1057">
        <v>10</v>
      </c>
      <c r="F1057">
        <v>4</v>
      </c>
      <c r="G1057">
        <v>2025</v>
      </c>
      <c r="H1057" t="s">
        <v>635</v>
      </c>
      <c r="I1057" t="s">
        <v>245</v>
      </c>
      <c r="J1057" t="s">
        <v>43</v>
      </c>
      <c r="K1057">
        <v>51</v>
      </c>
      <c r="L1057">
        <v>8</v>
      </c>
      <c r="M1057">
        <v>419</v>
      </c>
    </row>
    <row r="1058" spans="1:13">
      <c r="A1058">
        <v>1057</v>
      </c>
      <c r="B1058" s="1">
        <v>45947</v>
      </c>
      <c r="C1058" t="s">
        <v>79</v>
      </c>
      <c r="D1058">
        <v>17</v>
      </c>
      <c r="E1058">
        <v>10</v>
      </c>
      <c r="F1058">
        <v>4</v>
      </c>
      <c r="G1058">
        <v>2025</v>
      </c>
      <c r="H1058" t="s">
        <v>635</v>
      </c>
      <c r="I1058" t="s">
        <v>303</v>
      </c>
      <c r="J1058" t="s">
        <v>19</v>
      </c>
      <c r="K1058">
        <v>18</v>
      </c>
      <c r="L1058">
        <v>19</v>
      </c>
      <c r="M1058">
        <v>352</v>
      </c>
    </row>
    <row r="1059" spans="1:13">
      <c r="A1059">
        <v>1058</v>
      </c>
      <c r="B1059" s="1">
        <v>45947</v>
      </c>
      <c r="C1059" t="s">
        <v>79</v>
      </c>
      <c r="D1059">
        <v>17</v>
      </c>
      <c r="E1059">
        <v>10</v>
      </c>
      <c r="F1059">
        <v>4</v>
      </c>
      <c r="G1059">
        <v>2025</v>
      </c>
      <c r="H1059" t="s">
        <v>635</v>
      </c>
      <c r="I1059" t="s">
        <v>178</v>
      </c>
      <c r="J1059" t="s">
        <v>122</v>
      </c>
      <c r="K1059">
        <v>20</v>
      </c>
      <c r="L1059">
        <v>15</v>
      </c>
      <c r="M1059">
        <v>312</v>
      </c>
    </row>
    <row r="1060" spans="1:13">
      <c r="A1060">
        <v>1059</v>
      </c>
      <c r="B1060" s="1">
        <v>45947</v>
      </c>
      <c r="C1060" t="s">
        <v>79</v>
      </c>
      <c r="D1060">
        <v>17</v>
      </c>
      <c r="E1060">
        <v>10</v>
      </c>
      <c r="F1060">
        <v>4</v>
      </c>
      <c r="G1060">
        <v>2025</v>
      </c>
      <c r="H1060" t="s">
        <v>635</v>
      </c>
      <c r="I1060" t="s">
        <v>507</v>
      </c>
      <c r="J1060" t="s">
        <v>55</v>
      </c>
      <c r="K1060">
        <v>51</v>
      </c>
      <c r="L1060">
        <v>4</v>
      </c>
      <c r="M1060">
        <v>210</v>
      </c>
    </row>
    <row r="1061" spans="1:13">
      <c r="A1061">
        <v>1060</v>
      </c>
      <c r="B1061" s="1">
        <v>45947</v>
      </c>
      <c r="C1061" t="s">
        <v>79</v>
      </c>
      <c r="D1061">
        <v>17</v>
      </c>
      <c r="E1061">
        <v>10</v>
      </c>
      <c r="F1061">
        <v>4</v>
      </c>
      <c r="G1061">
        <v>2025</v>
      </c>
      <c r="H1061" t="s">
        <v>635</v>
      </c>
      <c r="I1061" t="s">
        <v>425</v>
      </c>
      <c r="J1061" t="s">
        <v>51</v>
      </c>
      <c r="K1061">
        <v>28</v>
      </c>
      <c r="L1061">
        <v>11</v>
      </c>
      <c r="M1061">
        <v>333</v>
      </c>
    </row>
    <row r="1062" spans="1:13">
      <c r="A1062">
        <v>1061</v>
      </c>
      <c r="B1062" s="1">
        <v>45947</v>
      </c>
      <c r="C1062" t="s">
        <v>79</v>
      </c>
      <c r="D1062">
        <v>17</v>
      </c>
      <c r="E1062">
        <v>10</v>
      </c>
      <c r="F1062">
        <v>4</v>
      </c>
      <c r="G1062">
        <v>2025</v>
      </c>
      <c r="H1062" t="s">
        <v>635</v>
      </c>
      <c r="I1062" t="s">
        <v>158</v>
      </c>
      <c r="J1062" t="s">
        <v>60</v>
      </c>
      <c r="K1062">
        <v>37</v>
      </c>
      <c r="L1062">
        <v>2</v>
      </c>
      <c r="M1062">
        <v>74</v>
      </c>
    </row>
    <row r="1063" spans="1:13">
      <c r="A1063">
        <v>1062</v>
      </c>
      <c r="B1063" s="1">
        <v>46110</v>
      </c>
      <c r="C1063" t="s">
        <v>28</v>
      </c>
      <c r="D1063">
        <v>29</v>
      </c>
      <c r="E1063">
        <v>3</v>
      </c>
      <c r="F1063">
        <v>1</v>
      </c>
      <c r="G1063">
        <v>2026</v>
      </c>
      <c r="H1063" t="s">
        <v>440</v>
      </c>
      <c r="I1063" t="s">
        <v>41</v>
      </c>
      <c r="J1063" t="s">
        <v>39</v>
      </c>
      <c r="K1063">
        <v>29</v>
      </c>
      <c r="L1063">
        <v>10</v>
      </c>
      <c r="M1063">
        <v>302</v>
      </c>
    </row>
    <row r="1064" spans="1:13">
      <c r="A1064">
        <v>1063</v>
      </c>
      <c r="B1064" s="1">
        <v>46110</v>
      </c>
      <c r="C1064" t="s">
        <v>28</v>
      </c>
      <c r="D1064">
        <v>29</v>
      </c>
      <c r="E1064">
        <v>3</v>
      </c>
      <c r="F1064">
        <v>1</v>
      </c>
      <c r="G1064">
        <v>2026</v>
      </c>
      <c r="H1064" t="s">
        <v>440</v>
      </c>
      <c r="I1064" t="s">
        <v>605</v>
      </c>
      <c r="J1064" t="s">
        <v>39</v>
      </c>
      <c r="K1064">
        <v>32</v>
      </c>
      <c r="L1064">
        <v>3</v>
      </c>
      <c r="M1064">
        <v>101</v>
      </c>
    </row>
    <row r="1065" spans="1:13">
      <c r="A1065">
        <v>1064</v>
      </c>
      <c r="B1065" s="1">
        <v>46110</v>
      </c>
      <c r="C1065" t="s">
        <v>28</v>
      </c>
      <c r="D1065">
        <v>29</v>
      </c>
      <c r="E1065">
        <v>3</v>
      </c>
      <c r="F1065">
        <v>1</v>
      </c>
      <c r="G1065">
        <v>2026</v>
      </c>
      <c r="H1065" t="s">
        <v>440</v>
      </c>
      <c r="I1065" t="s">
        <v>18</v>
      </c>
      <c r="J1065" t="s">
        <v>19</v>
      </c>
      <c r="K1065">
        <v>41</v>
      </c>
      <c r="L1065">
        <v>1</v>
      </c>
      <c r="M1065">
        <v>64</v>
      </c>
    </row>
    <row r="1066" spans="1:13">
      <c r="A1066">
        <v>1065</v>
      </c>
      <c r="B1066" s="1">
        <v>46110</v>
      </c>
      <c r="C1066" t="s">
        <v>28</v>
      </c>
      <c r="D1066">
        <v>29</v>
      </c>
      <c r="E1066">
        <v>3</v>
      </c>
      <c r="F1066">
        <v>1</v>
      </c>
      <c r="G1066">
        <v>2026</v>
      </c>
      <c r="H1066" t="s">
        <v>440</v>
      </c>
      <c r="I1066" t="s">
        <v>124</v>
      </c>
      <c r="J1066" t="s">
        <v>82</v>
      </c>
      <c r="K1066">
        <v>30</v>
      </c>
      <c r="L1066">
        <v>8</v>
      </c>
      <c r="M1066">
        <v>266</v>
      </c>
    </row>
    <row r="1067" spans="1:13">
      <c r="A1067">
        <v>1066</v>
      </c>
      <c r="B1067" s="1">
        <v>46110</v>
      </c>
      <c r="C1067" t="s">
        <v>28</v>
      </c>
      <c r="D1067">
        <v>29</v>
      </c>
      <c r="E1067">
        <v>3</v>
      </c>
      <c r="F1067">
        <v>1</v>
      </c>
      <c r="G1067">
        <v>2026</v>
      </c>
      <c r="H1067" t="s">
        <v>440</v>
      </c>
      <c r="I1067" t="s">
        <v>150</v>
      </c>
      <c r="J1067" t="s">
        <v>60</v>
      </c>
      <c r="K1067">
        <v>16</v>
      </c>
      <c r="L1067">
        <v>14</v>
      </c>
      <c r="M1067">
        <v>239</v>
      </c>
    </row>
    <row r="1068" spans="1:13">
      <c r="A1068">
        <v>1067</v>
      </c>
      <c r="B1068" s="1">
        <v>45953</v>
      </c>
      <c r="C1068" t="s">
        <v>105</v>
      </c>
      <c r="D1068">
        <v>23</v>
      </c>
      <c r="E1068">
        <v>10</v>
      </c>
      <c r="F1068">
        <v>4</v>
      </c>
      <c r="G1068">
        <v>2025</v>
      </c>
      <c r="H1068" t="s">
        <v>636</v>
      </c>
      <c r="I1068" t="s">
        <v>394</v>
      </c>
      <c r="J1068" t="s">
        <v>122</v>
      </c>
      <c r="K1068">
        <v>49</v>
      </c>
      <c r="L1068">
        <v>1</v>
      </c>
      <c r="M1068">
        <v>62</v>
      </c>
    </row>
    <row r="1069" spans="1:13">
      <c r="A1069">
        <v>1068</v>
      </c>
      <c r="B1069" s="1">
        <v>45953</v>
      </c>
      <c r="C1069" t="s">
        <v>105</v>
      </c>
      <c r="D1069">
        <v>23</v>
      </c>
      <c r="E1069">
        <v>10</v>
      </c>
      <c r="F1069">
        <v>4</v>
      </c>
      <c r="G1069">
        <v>2025</v>
      </c>
      <c r="H1069" t="s">
        <v>636</v>
      </c>
      <c r="I1069" t="s">
        <v>399</v>
      </c>
      <c r="J1069" t="s">
        <v>55</v>
      </c>
      <c r="K1069">
        <v>56</v>
      </c>
      <c r="L1069">
        <v>6</v>
      </c>
      <c r="M1069">
        <v>349</v>
      </c>
    </row>
    <row r="1070" spans="1:13">
      <c r="A1070">
        <v>1069</v>
      </c>
      <c r="B1070" s="1">
        <v>45953</v>
      </c>
      <c r="C1070" t="s">
        <v>105</v>
      </c>
      <c r="D1070">
        <v>23</v>
      </c>
      <c r="E1070">
        <v>10</v>
      </c>
      <c r="F1070">
        <v>4</v>
      </c>
      <c r="G1070">
        <v>2025</v>
      </c>
      <c r="H1070" t="s">
        <v>636</v>
      </c>
      <c r="I1070" t="s">
        <v>495</v>
      </c>
      <c r="J1070" t="s">
        <v>39</v>
      </c>
      <c r="K1070">
        <v>49</v>
      </c>
      <c r="L1070">
        <v>6</v>
      </c>
      <c r="M1070">
        <v>299</v>
      </c>
    </row>
    <row r="1071" spans="1:13">
      <c r="A1071">
        <v>1070</v>
      </c>
      <c r="B1071" s="1">
        <v>45953</v>
      </c>
      <c r="C1071" t="s">
        <v>105</v>
      </c>
      <c r="D1071">
        <v>23</v>
      </c>
      <c r="E1071">
        <v>10</v>
      </c>
      <c r="F1071">
        <v>4</v>
      </c>
      <c r="G1071">
        <v>2025</v>
      </c>
      <c r="H1071" t="s">
        <v>636</v>
      </c>
      <c r="I1071" t="s">
        <v>637</v>
      </c>
      <c r="J1071" t="s">
        <v>100</v>
      </c>
      <c r="K1071">
        <v>44</v>
      </c>
      <c r="L1071">
        <v>8</v>
      </c>
      <c r="M1071">
        <v>389</v>
      </c>
    </row>
    <row r="1072" spans="1:13">
      <c r="A1072">
        <v>1071</v>
      </c>
      <c r="B1072" s="1">
        <v>45953</v>
      </c>
      <c r="C1072" t="s">
        <v>105</v>
      </c>
      <c r="D1072">
        <v>23</v>
      </c>
      <c r="E1072">
        <v>10</v>
      </c>
      <c r="F1072">
        <v>4</v>
      </c>
      <c r="G1072">
        <v>2025</v>
      </c>
      <c r="H1072" t="s">
        <v>636</v>
      </c>
      <c r="I1072" t="s">
        <v>66</v>
      </c>
      <c r="J1072" t="s">
        <v>46</v>
      </c>
      <c r="K1072">
        <v>20</v>
      </c>
      <c r="L1072">
        <v>16</v>
      </c>
      <c r="M1072">
        <v>328</v>
      </c>
    </row>
    <row r="1073" spans="1:13">
      <c r="A1073">
        <v>1072</v>
      </c>
      <c r="B1073" s="1">
        <v>45953</v>
      </c>
      <c r="C1073" t="s">
        <v>105</v>
      </c>
      <c r="D1073">
        <v>23</v>
      </c>
      <c r="E1073">
        <v>10</v>
      </c>
      <c r="F1073">
        <v>4</v>
      </c>
      <c r="G1073">
        <v>2025</v>
      </c>
      <c r="H1073" t="s">
        <v>636</v>
      </c>
      <c r="I1073" t="s">
        <v>251</v>
      </c>
      <c r="J1073" t="s">
        <v>122</v>
      </c>
      <c r="K1073">
        <v>50</v>
      </c>
      <c r="L1073">
        <v>7</v>
      </c>
      <c r="M1073">
        <v>366</v>
      </c>
    </row>
    <row r="1074" spans="1:13">
      <c r="A1074">
        <v>1073</v>
      </c>
      <c r="B1074" s="1">
        <v>45953</v>
      </c>
      <c r="C1074" t="s">
        <v>105</v>
      </c>
      <c r="D1074">
        <v>23</v>
      </c>
      <c r="E1074">
        <v>10</v>
      </c>
      <c r="F1074">
        <v>4</v>
      </c>
      <c r="G1074">
        <v>2025</v>
      </c>
      <c r="H1074" t="s">
        <v>636</v>
      </c>
      <c r="I1074" t="s">
        <v>236</v>
      </c>
      <c r="J1074" t="s">
        <v>60</v>
      </c>
      <c r="K1074">
        <v>32</v>
      </c>
      <c r="L1074">
        <v>7</v>
      </c>
      <c r="M1074">
        <v>254</v>
      </c>
    </row>
    <row r="1075" spans="1:13">
      <c r="A1075">
        <v>1074</v>
      </c>
      <c r="B1075" s="1">
        <v>45953</v>
      </c>
      <c r="C1075" t="s">
        <v>105</v>
      </c>
      <c r="D1075">
        <v>23</v>
      </c>
      <c r="E1075">
        <v>10</v>
      </c>
      <c r="F1075">
        <v>4</v>
      </c>
      <c r="G1075">
        <v>2025</v>
      </c>
      <c r="H1075" t="s">
        <v>636</v>
      </c>
      <c r="I1075" t="s">
        <v>332</v>
      </c>
      <c r="J1075" t="s">
        <v>55</v>
      </c>
      <c r="K1075">
        <v>30</v>
      </c>
      <c r="L1075">
        <v>10</v>
      </c>
      <c r="M1075">
        <v>303</v>
      </c>
    </row>
    <row r="1076" spans="1:13">
      <c r="A1076">
        <v>1075</v>
      </c>
      <c r="B1076" s="1">
        <v>45953</v>
      </c>
      <c r="C1076" t="s">
        <v>105</v>
      </c>
      <c r="D1076">
        <v>23</v>
      </c>
      <c r="E1076">
        <v>10</v>
      </c>
      <c r="F1076">
        <v>4</v>
      </c>
      <c r="G1076">
        <v>2025</v>
      </c>
      <c r="H1076" t="s">
        <v>636</v>
      </c>
      <c r="I1076" t="s">
        <v>231</v>
      </c>
      <c r="J1076" t="s">
        <v>37</v>
      </c>
      <c r="K1076">
        <v>54</v>
      </c>
      <c r="L1076">
        <v>2</v>
      </c>
      <c r="M1076">
        <v>158</v>
      </c>
    </row>
    <row r="1077" spans="1:13">
      <c r="A1077">
        <v>1076</v>
      </c>
      <c r="B1077" s="1">
        <v>45953</v>
      </c>
      <c r="C1077" t="s">
        <v>105</v>
      </c>
      <c r="D1077">
        <v>23</v>
      </c>
      <c r="E1077">
        <v>10</v>
      </c>
      <c r="F1077">
        <v>4</v>
      </c>
      <c r="G1077">
        <v>2025</v>
      </c>
      <c r="H1077" t="s">
        <v>636</v>
      </c>
      <c r="I1077" t="s">
        <v>73</v>
      </c>
      <c r="J1077" t="s">
        <v>39</v>
      </c>
      <c r="K1077">
        <v>28</v>
      </c>
      <c r="L1077">
        <v>8</v>
      </c>
      <c r="M1077">
        <v>234</v>
      </c>
    </row>
    <row r="1078" spans="1:13">
      <c r="A1078">
        <v>1077</v>
      </c>
      <c r="B1078" s="1">
        <v>45953</v>
      </c>
      <c r="C1078" t="s">
        <v>105</v>
      </c>
      <c r="D1078">
        <v>23</v>
      </c>
      <c r="E1078">
        <v>10</v>
      </c>
      <c r="F1078">
        <v>4</v>
      </c>
      <c r="G1078">
        <v>2025</v>
      </c>
      <c r="H1078" t="s">
        <v>636</v>
      </c>
      <c r="I1078" t="s">
        <v>355</v>
      </c>
      <c r="J1078" t="s">
        <v>39</v>
      </c>
      <c r="K1078">
        <v>16</v>
      </c>
      <c r="L1078">
        <v>13</v>
      </c>
      <c r="M1078">
        <v>208</v>
      </c>
    </row>
    <row r="1079" spans="1:13">
      <c r="A1079">
        <v>1078</v>
      </c>
      <c r="B1079" s="1">
        <v>45953</v>
      </c>
      <c r="C1079" t="s">
        <v>105</v>
      </c>
      <c r="D1079">
        <v>23</v>
      </c>
      <c r="E1079">
        <v>10</v>
      </c>
      <c r="F1079">
        <v>4</v>
      </c>
      <c r="G1079">
        <v>2025</v>
      </c>
      <c r="H1079" t="s">
        <v>636</v>
      </c>
      <c r="I1079" t="s">
        <v>561</v>
      </c>
      <c r="J1079" t="s">
        <v>17</v>
      </c>
      <c r="K1079">
        <v>42</v>
      </c>
      <c r="L1079">
        <v>9</v>
      </c>
      <c r="M1079">
        <v>401</v>
      </c>
    </row>
    <row r="1080" spans="1:13">
      <c r="A1080">
        <v>1079</v>
      </c>
      <c r="B1080" s="1">
        <v>45739</v>
      </c>
      <c r="C1080" t="s">
        <v>28</v>
      </c>
      <c r="D1080">
        <v>23</v>
      </c>
      <c r="E1080">
        <v>3</v>
      </c>
      <c r="F1080">
        <v>1</v>
      </c>
      <c r="G1080">
        <v>2025</v>
      </c>
      <c r="H1080" t="s">
        <v>623</v>
      </c>
      <c r="I1080" t="s">
        <v>143</v>
      </c>
      <c r="J1080" t="s">
        <v>69</v>
      </c>
      <c r="K1080">
        <v>11</v>
      </c>
      <c r="L1080">
        <v>25</v>
      </c>
      <c r="M1080">
        <v>281</v>
      </c>
    </row>
    <row r="1081" spans="1:13">
      <c r="A1081">
        <v>1080</v>
      </c>
      <c r="B1081" s="1">
        <v>45739</v>
      </c>
      <c r="C1081" t="s">
        <v>28</v>
      </c>
      <c r="D1081">
        <v>23</v>
      </c>
      <c r="E1081">
        <v>3</v>
      </c>
      <c r="F1081">
        <v>1</v>
      </c>
      <c r="G1081">
        <v>2025</v>
      </c>
      <c r="H1081" t="s">
        <v>623</v>
      </c>
      <c r="I1081" t="s">
        <v>484</v>
      </c>
      <c r="J1081" t="s">
        <v>25</v>
      </c>
      <c r="K1081">
        <v>57</v>
      </c>
      <c r="L1081">
        <v>2</v>
      </c>
      <c r="M1081">
        <v>122</v>
      </c>
    </row>
    <row r="1082" spans="1:13">
      <c r="A1082">
        <v>1081</v>
      </c>
      <c r="B1082" s="1">
        <v>45739</v>
      </c>
      <c r="C1082" t="s">
        <v>28</v>
      </c>
      <c r="D1082">
        <v>23</v>
      </c>
      <c r="E1082">
        <v>3</v>
      </c>
      <c r="F1082">
        <v>1</v>
      </c>
      <c r="G1082">
        <v>2025</v>
      </c>
      <c r="H1082" t="s">
        <v>623</v>
      </c>
      <c r="I1082" t="s">
        <v>266</v>
      </c>
      <c r="J1082" t="s">
        <v>19</v>
      </c>
      <c r="K1082">
        <v>13</v>
      </c>
      <c r="L1082">
        <v>18</v>
      </c>
      <c r="M1082">
        <v>242</v>
      </c>
    </row>
    <row r="1083" spans="1:13">
      <c r="A1083">
        <v>1082</v>
      </c>
      <c r="B1083" s="1">
        <v>45739</v>
      </c>
      <c r="C1083" t="s">
        <v>28</v>
      </c>
      <c r="D1083">
        <v>23</v>
      </c>
      <c r="E1083">
        <v>3</v>
      </c>
      <c r="F1083">
        <v>1</v>
      </c>
      <c r="G1083">
        <v>2025</v>
      </c>
      <c r="H1083" t="s">
        <v>623</v>
      </c>
      <c r="I1083" t="s">
        <v>560</v>
      </c>
      <c r="J1083" t="s">
        <v>122</v>
      </c>
      <c r="K1083">
        <v>52</v>
      </c>
      <c r="L1083">
        <v>2</v>
      </c>
      <c r="M1083">
        <v>146</v>
      </c>
    </row>
    <row r="1084" spans="1:13">
      <c r="A1084">
        <v>1083</v>
      </c>
      <c r="B1084" s="1">
        <v>45739</v>
      </c>
      <c r="C1084" t="s">
        <v>28</v>
      </c>
      <c r="D1084">
        <v>23</v>
      </c>
      <c r="E1084">
        <v>3</v>
      </c>
      <c r="F1084">
        <v>1</v>
      </c>
      <c r="G1084">
        <v>2025</v>
      </c>
      <c r="H1084" t="s">
        <v>623</v>
      </c>
      <c r="I1084" t="s">
        <v>233</v>
      </c>
      <c r="J1084" t="s">
        <v>122</v>
      </c>
      <c r="K1084">
        <v>23</v>
      </c>
      <c r="L1084">
        <v>9</v>
      </c>
      <c r="M1084">
        <v>222</v>
      </c>
    </row>
    <row r="1085" spans="1:13">
      <c r="A1085">
        <v>1084</v>
      </c>
      <c r="B1085" s="1">
        <v>45739</v>
      </c>
      <c r="C1085" t="s">
        <v>28</v>
      </c>
      <c r="D1085">
        <v>23</v>
      </c>
      <c r="E1085">
        <v>3</v>
      </c>
      <c r="F1085">
        <v>1</v>
      </c>
      <c r="G1085">
        <v>2025</v>
      </c>
      <c r="H1085" t="s">
        <v>623</v>
      </c>
      <c r="I1085" t="s">
        <v>419</v>
      </c>
      <c r="J1085" t="s">
        <v>39</v>
      </c>
      <c r="K1085">
        <v>27</v>
      </c>
      <c r="L1085">
        <v>9</v>
      </c>
      <c r="M1085">
        <v>248</v>
      </c>
    </row>
    <row r="1086" spans="1:13">
      <c r="A1086">
        <v>1085</v>
      </c>
      <c r="B1086" s="1">
        <v>45968</v>
      </c>
      <c r="C1086" t="s">
        <v>79</v>
      </c>
      <c r="D1086">
        <v>7</v>
      </c>
      <c r="E1086">
        <v>11</v>
      </c>
      <c r="F1086">
        <v>4</v>
      </c>
      <c r="G1086">
        <v>2025</v>
      </c>
      <c r="H1086" t="s">
        <v>113</v>
      </c>
      <c r="I1086" t="s">
        <v>170</v>
      </c>
      <c r="J1086" t="s">
        <v>82</v>
      </c>
      <c r="K1086">
        <v>34</v>
      </c>
      <c r="L1086">
        <v>5</v>
      </c>
      <c r="M1086">
        <v>198</v>
      </c>
    </row>
    <row r="1087" spans="1:13">
      <c r="A1087">
        <v>1086</v>
      </c>
      <c r="B1087" s="1">
        <v>45968</v>
      </c>
      <c r="C1087" t="s">
        <v>79</v>
      </c>
      <c r="D1087">
        <v>7</v>
      </c>
      <c r="E1087">
        <v>11</v>
      </c>
      <c r="F1087">
        <v>4</v>
      </c>
      <c r="G1087">
        <v>2025</v>
      </c>
      <c r="H1087" t="s">
        <v>113</v>
      </c>
      <c r="I1087" t="s">
        <v>305</v>
      </c>
      <c r="J1087" t="s">
        <v>55</v>
      </c>
      <c r="K1087">
        <v>43</v>
      </c>
      <c r="L1087">
        <v>8</v>
      </c>
      <c r="M1087">
        <v>360</v>
      </c>
    </row>
    <row r="1088" spans="1:13">
      <c r="A1088">
        <v>1087</v>
      </c>
      <c r="B1088" s="1">
        <v>45968</v>
      </c>
      <c r="C1088" t="s">
        <v>79</v>
      </c>
      <c r="D1088">
        <v>7</v>
      </c>
      <c r="E1088">
        <v>11</v>
      </c>
      <c r="F1088">
        <v>4</v>
      </c>
      <c r="G1088">
        <v>2025</v>
      </c>
      <c r="H1088" t="s">
        <v>113</v>
      </c>
      <c r="I1088" t="s">
        <v>190</v>
      </c>
      <c r="J1088" t="s">
        <v>39</v>
      </c>
      <c r="K1088">
        <v>50</v>
      </c>
      <c r="L1088">
        <v>3</v>
      </c>
      <c r="M1088">
        <v>190</v>
      </c>
    </row>
    <row r="1089" spans="1:13">
      <c r="A1089">
        <v>1088</v>
      </c>
      <c r="B1089" s="1">
        <v>45968</v>
      </c>
      <c r="C1089" t="s">
        <v>79</v>
      </c>
      <c r="D1089">
        <v>7</v>
      </c>
      <c r="E1089">
        <v>11</v>
      </c>
      <c r="F1089">
        <v>4</v>
      </c>
      <c r="G1089">
        <v>2025</v>
      </c>
      <c r="H1089" t="s">
        <v>113</v>
      </c>
      <c r="I1089" t="s">
        <v>638</v>
      </c>
      <c r="J1089" t="s">
        <v>100</v>
      </c>
      <c r="K1089">
        <v>23</v>
      </c>
      <c r="L1089">
        <v>10</v>
      </c>
      <c r="M1089">
        <v>231</v>
      </c>
    </row>
    <row r="1090" spans="1:13">
      <c r="A1090">
        <v>1089</v>
      </c>
      <c r="B1090" s="1">
        <v>45968</v>
      </c>
      <c r="C1090" t="s">
        <v>79</v>
      </c>
      <c r="D1090">
        <v>7</v>
      </c>
      <c r="E1090">
        <v>11</v>
      </c>
      <c r="F1090">
        <v>4</v>
      </c>
      <c r="G1090">
        <v>2025</v>
      </c>
      <c r="H1090" t="s">
        <v>113</v>
      </c>
      <c r="I1090" t="s">
        <v>315</v>
      </c>
      <c r="J1090" t="s">
        <v>27</v>
      </c>
      <c r="K1090">
        <v>17</v>
      </c>
      <c r="L1090">
        <v>25</v>
      </c>
      <c r="M1090">
        <v>436</v>
      </c>
    </row>
    <row r="1091" spans="1:13">
      <c r="A1091">
        <v>1090</v>
      </c>
      <c r="B1091" s="1">
        <v>45968</v>
      </c>
      <c r="C1091" t="s">
        <v>79</v>
      </c>
      <c r="D1091">
        <v>7</v>
      </c>
      <c r="E1091">
        <v>11</v>
      </c>
      <c r="F1091">
        <v>4</v>
      </c>
      <c r="G1091">
        <v>2025</v>
      </c>
      <c r="H1091" t="s">
        <v>113</v>
      </c>
      <c r="I1091" t="s">
        <v>115</v>
      </c>
      <c r="J1091" t="s">
        <v>55</v>
      </c>
      <c r="K1091">
        <v>55</v>
      </c>
      <c r="L1091">
        <v>6</v>
      </c>
      <c r="M1091">
        <v>346</v>
      </c>
    </row>
    <row r="1092" spans="1:13">
      <c r="A1092">
        <v>1091</v>
      </c>
      <c r="B1092" s="1">
        <v>45968</v>
      </c>
      <c r="C1092" t="s">
        <v>79</v>
      </c>
      <c r="D1092">
        <v>7</v>
      </c>
      <c r="E1092">
        <v>11</v>
      </c>
      <c r="F1092">
        <v>4</v>
      </c>
      <c r="G1092">
        <v>2025</v>
      </c>
      <c r="H1092" t="s">
        <v>113</v>
      </c>
      <c r="I1092" t="s">
        <v>77</v>
      </c>
      <c r="J1092" t="s">
        <v>17</v>
      </c>
      <c r="K1092">
        <v>12</v>
      </c>
      <c r="L1092">
        <v>25</v>
      </c>
      <c r="M1092">
        <v>300</v>
      </c>
    </row>
    <row r="1093" spans="1:13">
      <c r="A1093">
        <v>1092</v>
      </c>
      <c r="B1093" s="1">
        <v>45968</v>
      </c>
      <c r="C1093" t="s">
        <v>79</v>
      </c>
      <c r="D1093">
        <v>7</v>
      </c>
      <c r="E1093">
        <v>11</v>
      </c>
      <c r="F1093">
        <v>4</v>
      </c>
      <c r="G1093">
        <v>2025</v>
      </c>
      <c r="H1093" t="s">
        <v>113</v>
      </c>
      <c r="I1093" t="s">
        <v>212</v>
      </c>
      <c r="J1093" t="s">
        <v>57</v>
      </c>
      <c r="K1093">
        <v>52</v>
      </c>
      <c r="L1093">
        <v>8</v>
      </c>
      <c r="M1093">
        <v>423</v>
      </c>
    </row>
    <row r="1094" spans="1:13">
      <c r="A1094">
        <v>1093</v>
      </c>
      <c r="B1094" s="1">
        <v>45968</v>
      </c>
      <c r="C1094" t="s">
        <v>79</v>
      </c>
      <c r="D1094">
        <v>7</v>
      </c>
      <c r="E1094">
        <v>11</v>
      </c>
      <c r="F1094">
        <v>4</v>
      </c>
      <c r="G1094">
        <v>2025</v>
      </c>
      <c r="H1094" t="s">
        <v>113</v>
      </c>
      <c r="I1094" t="s">
        <v>192</v>
      </c>
      <c r="J1094" t="s">
        <v>46</v>
      </c>
      <c r="K1094">
        <v>35</v>
      </c>
      <c r="L1094">
        <v>4</v>
      </c>
      <c r="M1094">
        <v>151</v>
      </c>
    </row>
    <row r="1095" spans="1:13">
      <c r="A1095">
        <v>1094</v>
      </c>
      <c r="B1095" s="1">
        <v>45968</v>
      </c>
      <c r="C1095" t="s">
        <v>79</v>
      </c>
      <c r="D1095">
        <v>7</v>
      </c>
      <c r="E1095">
        <v>11</v>
      </c>
      <c r="F1095">
        <v>4</v>
      </c>
      <c r="G1095">
        <v>2025</v>
      </c>
      <c r="H1095" t="s">
        <v>113</v>
      </c>
      <c r="I1095" t="s">
        <v>256</v>
      </c>
      <c r="J1095" t="s">
        <v>31</v>
      </c>
      <c r="K1095">
        <v>27</v>
      </c>
      <c r="L1095">
        <v>4</v>
      </c>
      <c r="M1095">
        <v>132</v>
      </c>
    </row>
    <row r="1096" spans="1:13">
      <c r="A1096">
        <v>1095</v>
      </c>
      <c r="B1096" s="1">
        <v>45968</v>
      </c>
      <c r="C1096" t="s">
        <v>79</v>
      </c>
      <c r="D1096">
        <v>7</v>
      </c>
      <c r="E1096">
        <v>11</v>
      </c>
      <c r="F1096">
        <v>4</v>
      </c>
      <c r="G1096">
        <v>2025</v>
      </c>
      <c r="H1096" t="s">
        <v>113</v>
      </c>
      <c r="I1096" t="s">
        <v>231</v>
      </c>
      <c r="J1096" t="s">
        <v>37</v>
      </c>
      <c r="K1096">
        <v>46</v>
      </c>
      <c r="L1096">
        <v>3</v>
      </c>
      <c r="M1096">
        <v>178</v>
      </c>
    </row>
    <row r="1097" spans="1:13">
      <c r="A1097">
        <v>1096</v>
      </c>
      <c r="B1097" s="1">
        <v>46061</v>
      </c>
      <c r="C1097" t="s">
        <v>28</v>
      </c>
      <c r="D1097">
        <v>8</v>
      </c>
      <c r="E1097">
        <v>2</v>
      </c>
      <c r="F1097">
        <v>1</v>
      </c>
      <c r="G1097">
        <v>2026</v>
      </c>
      <c r="H1097" t="s">
        <v>639</v>
      </c>
      <c r="I1097" t="s">
        <v>153</v>
      </c>
      <c r="J1097" t="s">
        <v>37</v>
      </c>
      <c r="K1097">
        <v>35</v>
      </c>
      <c r="L1097">
        <v>8</v>
      </c>
      <c r="M1097">
        <v>300</v>
      </c>
    </row>
    <row r="1098" spans="1:13">
      <c r="A1098">
        <v>1097</v>
      </c>
      <c r="B1098" s="1">
        <v>46061</v>
      </c>
      <c r="C1098" t="s">
        <v>28</v>
      </c>
      <c r="D1098">
        <v>8</v>
      </c>
      <c r="E1098">
        <v>2</v>
      </c>
      <c r="F1098">
        <v>1</v>
      </c>
      <c r="G1098">
        <v>2026</v>
      </c>
      <c r="H1098" t="s">
        <v>639</v>
      </c>
      <c r="I1098" t="s">
        <v>308</v>
      </c>
      <c r="J1098" t="s">
        <v>19</v>
      </c>
      <c r="K1098">
        <v>32</v>
      </c>
      <c r="L1098">
        <v>7</v>
      </c>
      <c r="M1098">
        <v>244</v>
      </c>
    </row>
    <row r="1099" spans="1:13">
      <c r="A1099">
        <v>1098</v>
      </c>
      <c r="B1099" s="1">
        <v>46061</v>
      </c>
      <c r="C1099" t="s">
        <v>28</v>
      </c>
      <c r="D1099">
        <v>8</v>
      </c>
      <c r="E1099">
        <v>2</v>
      </c>
      <c r="F1099">
        <v>1</v>
      </c>
      <c r="G1099">
        <v>2026</v>
      </c>
      <c r="H1099" t="s">
        <v>639</v>
      </c>
      <c r="I1099" t="s">
        <v>266</v>
      </c>
      <c r="J1099" t="s">
        <v>19</v>
      </c>
      <c r="K1099">
        <v>16</v>
      </c>
      <c r="L1099">
        <v>15</v>
      </c>
      <c r="M1099">
        <v>241</v>
      </c>
    </row>
    <row r="1100" spans="1:13">
      <c r="A1100">
        <v>1099</v>
      </c>
      <c r="B1100" s="1">
        <v>46061</v>
      </c>
      <c r="C1100" t="s">
        <v>28</v>
      </c>
      <c r="D1100">
        <v>8</v>
      </c>
      <c r="E1100">
        <v>2</v>
      </c>
      <c r="F1100">
        <v>1</v>
      </c>
      <c r="G1100">
        <v>2026</v>
      </c>
      <c r="H1100" t="s">
        <v>639</v>
      </c>
      <c r="I1100" t="s">
        <v>305</v>
      </c>
      <c r="J1100" t="s">
        <v>55</v>
      </c>
      <c r="K1100">
        <v>23</v>
      </c>
      <c r="L1100">
        <v>16</v>
      </c>
      <c r="M1100">
        <v>390</v>
      </c>
    </row>
    <row r="1101" spans="1:13">
      <c r="A1101">
        <v>1100</v>
      </c>
      <c r="B1101" s="1">
        <v>46061</v>
      </c>
      <c r="C1101" t="s">
        <v>28</v>
      </c>
      <c r="D1101">
        <v>8</v>
      </c>
      <c r="E1101">
        <v>2</v>
      </c>
      <c r="F1101">
        <v>1</v>
      </c>
      <c r="G1101">
        <v>2026</v>
      </c>
      <c r="H1101" t="s">
        <v>639</v>
      </c>
      <c r="I1101" t="s">
        <v>640</v>
      </c>
      <c r="J1101" t="s">
        <v>82</v>
      </c>
      <c r="K1101">
        <v>33</v>
      </c>
      <c r="L1101">
        <v>10</v>
      </c>
      <c r="M1101">
        <v>362</v>
      </c>
    </row>
    <row r="1102" spans="1:13">
      <c r="A1102">
        <v>1101</v>
      </c>
      <c r="B1102" s="1">
        <v>46061</v>
      </c>
      <c r="C1102" t="s">
        <v>28</v>
      </c>
      <c r="D1102">
        <v>8</v>
      </c>
      <c r="E1102">
        <v>2</v>
      </c>
      <c r="F1102">
        <v>1</v>
      </c>
      <c r="G1102">
        <v>2026</v>
      </c>
      <c r="H1102" t="s">
        <v>639</v>
      </c>
      <c r="I1102" t="s">
        <v>406</v>
      </c>
      <c r="J1102" t="s">
        <v>17</v>
      </c>
      <c r="K1102">
        <v>43</v>
      </c>
      <c r="L1102">
        <v>9</v>
      </c>
      <c r="M1102">
        <v>413</v>
      </c>
    </row>
    <row r="1103" spans="1:13">
      <c r="A1103">
        <v>1102</v>
      </c>
      <c r="B1103" s="1">
        <v>46061</v>
      </c>
      <c r="C1103" t="s">
        <v>28</v>
      </c>
      <c r="D1103">
        <v>8</v>
      </c>
      <c r="E1103">
        <v>2</v>
      </c>
      <c r="F1103">
        <v>1</v>
      </c>
      <c r="G1103">
        <v>2026</v>
      </c>
      <c r="H1103" t="s">
        <v>639</v>
      </c>
      <c r="I1103" t="s">
        <v>306</v>
      </c>
      <c r="J1103" t="s">
        <v>39</v>
      </c>
      <c r="K1103">
        <v>36</v>
      </c>
      <c r="L1103">
        <v>9</v>
      </c>
      <c r="M1103">
        <v>333</v>
      </c>
    </row>
    <row r="1104" spans="1:13">
      <c r="A1104">
        <v>1103</v>
      </c>
      <c r="B1104" s="1">
        <v>46061</v>
      </c>
      <c r="C1104" t="s">
        <v>28</v>
      </c>
      <c r="D1104">
        <v>8</v>
      </c>
      <c r="E1104">
        <v>2</v>
      </c>
      <c r="F1104">
        <v>1</v>
      </c>
      <c r="G1104">
        <v>2026</v>
      </c>
      <c r="H1104" t="s">
        <v>639</v>
      </c>
      <c r="I1104" t="s">
        <v>490</v>
      </c>
      <c r="J1104" t="s">
        <v>43</v>
      </c>
      <c r="K1104">
        <v>33</v>
      </c>
      <c r="L1104">
        <v>5</v>
      </c>
      <c r="M1104">
        <v>193</v>
      </c>
    </row>
    <row r="1105" spans="1:13">
      <c r="A1105">
        <v>1104</v>
      </c>
      <c r="B1105" s="1">
        <v>46061</v>
      </c>
      <c r="C1105" t="s">
        <v>28</v>
      </c>
      <c r="D1105">
        <v>8</v>
      </c>
      <c r="E1105">
        <v>2</v>
      </c>
      <c r="F1105">
        <v>1</v>
      </c>
      <c r="G1105">
        <v>2026</v>
      </c>
      <c r="H1105" t="s">
        <v>639</v>
      </c>
      <c r="I1105" t="s">
        <v>301</v>
      </c>
      <c r="J1105" t="s">
        <v>69</v>
      </c>
      <c r="K1105">
        <v>12</v>
      </c>
      <c r="L1105">
        <v>13</v>
      </c>
      <c r="M1105">
        <v>157</v>
      </c>
    </row>
    <row r="1106" spans="1:13">
      <c r="A1106">
        <v>1105</v>
      </c>
      <c r="B1106" s="1">
        <v>46061</v>
      </c>
      <c r="C1106" t="s">
        <v>28</v>
      </c>
      <c r="D1106">
        <v>8</v>
      </c>
      <c r="E1106">
        <v>2</v>
      </c>
      <c r="F1106">
        <v>1</v>
      </c>
      <c r="G1106">
        <v>2026</v>
      </c>
      <c r="H1106" t="s">
        <v>639</v>
      </c>
      <c r="I1106" t="s">
        <v>128</v>
      </c>
      <c r="J1106" t="s">
        <v>55</v>
      </c>
      <c r="K1106">
        <v>17</v>
      </c>
      <c r="L1106">
        <v>4</v>
      </c>
      <c r="M1106">
        <v>81</v>
      </c>
    </row>
    <row r="1107" spans="1:13">
      <c r="A1107">
        <v>1106</v>
      </c>
      <c r="B1107" s="1">
        <v>46082</v>
      </c>
      <c r="C1107" t="s">
        <v>28</v>
      </c>
      <c r="D1107">
        <v>1</v>
      </c>
      <c r="E1107">
        <v>3</v>
      </c>
      <c r="F1107">
        <v>1</v>
      </c>
      <c r="G1107">
        <v>2026</v>
      </c>
      <c r="H1107" t="s">
        <v>345</v>
      </c>
      <c r="I1107" t="s">
        <v>158</v>
      </c>
      <c r="J1107" t="s">
        <v>60</v>
      </c>
      <c r="K1107">
        <v>17</v>
      </c>
      <c r="L1107">
        <v>5</v>
      </c>
      <c r="M1107">
        <v>88</v>
      </c>
    </row>
    <row r="1108" spans="1:13">
      <c r="A1108">
        <v>1107</v>
      </c>
      <c r="B1108" s="1">
        <v>46082</v>
      </c>
      <c r="C1108" t="s">
        <v>28</v>
      </c>
      <c r="D1108">
        <v>1</v>
      </c>
      <c r="E1108">
        <v>3</v>
      </c>
      <c r="F1108">
        <v>1</v>
      </c>
      <c r="G1108">
        <v>2026</v>
      </c>
      <c r="H1108" t="s">
        <v>345</v>
      </c>
      <c r="I1108" t="s">
        <v>569</v>
      </c>
      <c r="J1108" t="s">
        <v>43</v>
      </c>
      <c r="K1108">
        <v>48</v>
      </c>
      <c r="L1108">
        <v>5</v>
      </c>
      <c r="M1108">
        <v>247</v>
      </c>
    </row>
    <row r="1109" spans="1:13">
      <c r="A1109">
        <v>1108</v>
      </c>
      <c r="B1109" s="1">
        <v>46260</v>
      </c>
      <c r="C1109" t="s">
        <v>34</v>
      </c>
      <c r="D1109">
        <v>26</v>
      </c>
      <c r="E1109">
        <v>8</v>
      </c>
      <c r="F1109">
        <v>3</v>
      </c>
      <c r="G1109">
        <v>2026</v>
      </c>
      <c r="H1109" t="s">
        <v>451</v>
      </c>
      <c r="I1109" t="s">
        <v>38</v>
      </c>
      <c r="J1109" t="s">
        <v>39</v>
      </c>
      <c r="K1109">
        <v>40</v>
      </c>
      <c r="L1109">
        <v>12</v>
      </c>
      <c r="M1109">
        <v>506</v>
      </c>
    </row>
    <row r="1110" spans="1:13">
      <c r="A1110">
        <v>1109</v>
      </c>
      <c r="B1110" s="1">
        <v>46260</v>
      </c>
      <c r="C1110" t="s">
        <v>34</v>
      </c>
      <c r="D1110">
        <v>26</v>
      </c>
      <c r="E1110">
        <v>8</v>
      </c>
      <c r="F1110">
        <v>3</v>
      </c>
      <c r="G1110">
        <v>2026</v>
      </c>
      <c r="H1110" t="s">
        <v>451</v>
      </c>
      <c r="I1110" t="s">
        <v>641</v>
      </c>
      <c r="J1110" t="s">
        <v>46</v>
      </c>
      <c r="K1110">
        <v>28</v>
      </c>
      <c r="L1110">
        <v>10</v>
      </c>
      <c r="M1110">
        <v>288</v>
      </c>
    </row>
    <row r="1111" spans="1:13">
      <c r="A1111">
        <v>1110</v>
      </c>
      <c r="B1111" s="1">
        <v>46260</v>
      </c>
      <c r="C1111" t="s">
        <v>34</v>
      </c>
      <c r="D1111">
        <v>26</v>
      </c>
      <c r="E1111">
        <v>8</v>
      </c>
      <c r="F1111">
        <v>3</v>
      </c>
      <c r="G1111">
        <v>2026</v>
      </c>
      <c r="H1111" t="s">
        <v>451</v>
      </c>
      <c r="I1111" t="s">
        <v>369</v>
      </c>
      <c r="J1111" t="s">
        <v>43</v>
      </c>
      <c r="K1111">
        <v>30</v>
      </c>
      <c r="L1111">
        <v>15</v>
      </c>
      <c r="M1111">
        <v>454</v>
      </c>
    </row>
    <row r="1112" spans="1:13">
      <c r="A1112">
        <v>1111</v>
      </c>
      <c r="B1112" s="1">
        <v>46260</v>
      </c>
      <c r="C1112" t="s">
        <v>34</v>
      </c>
      <c r="D1112">
        <v>26</v>
      </c>
      <c r="E1112">
        <v>8</v>
      </c>
      <c r="F1112">
        <v>3</v>
      </c>
      <c r="G1112">
        <v>2026</v>
      </c>
      <c r="H1112" t="s">
        <v>451</v>
      </c>
      <c r="I1112" t="s">
        <v>395</v>
      </c>
      <c r="J1112" t="s">
        <v>19</v>
      </c>
      <c r="K1112">
        <v>40</v>
      </c>
      <c r="L1112">
        <v>9</v>
      </c>
      <c r="M1112">
        <v>397</v>
      </c>
    </row>
    <row r="1113" spans="1:13">
      <c r="A1113">
        <v>1112</v>
      </c>
      <c r="B1113" s="1">
        <v>46260</v>
      </c>
      <c r="C1113" t="s">
        <v>34</v>
      </c>
      <c r="D1113">
        <v>26</v>
      </c>
      <c r="E1113">
        <v>8</v>
      </c>
      <c r="F1113">
        <v>3</v>
      </c>
      <c r="G1113">
        <v>2026</v>
      </c>
      <c r="H1113" t="s">
        <v>451</v>
      </c>
      <c r="I1113" t="s">
        <v>173</v>
      </c>
      <c r="J1113" t="s">
        <v>55</v>
      </c>
      <c r="K1113">
        <v>51</v>
      </c>
      <c r="L1113">
        <v>7</v>
      </c>
      <c r="M1113">
        <v>370</v>
      </c>
    </row>
    <row r="1114" spans="1:13">
      <c r="A1114">
        <v>1113</v>
      </c>
      <c r="B1114" s="1">
        <v>46260</v>
      </c>
      <c r="C1114" t="s">
        <v>34</v>
      </c>
      <c r="D1114">
        <v>26</v>
      </c>
      <c r="E1114">
        <v>8</v>
      </c>
      <c r="F1114">
        <v>3</v>
      </c>
      <c r="G1114">
        <v>2026</v>
      </c>
      <c r="H1114" t="s">
        <v>451</v>
      </c>
      <c r="I1114" t="s">
        <v>301</v>
      </c>
      <c r="J1114" t="s">
        <v>69</v>
      </c>
      <c r="K1114">
        <v>30</v>
      </c>
      <c r="L1114">
        <v>5</v>
      </c>
      <c r="M1114">
        <v>153</v>
      </c>
    </row>
    <row r="1115" spans="1:13">
      <c r="A1115">
        <v>1114</v>
      </c>
      <c r="B1115" s="1">
        <v>46260</v>
      </c>
      <c r="C1115" t="s">
        <v>34</v>
      </c>
      <c r="D1115">
        <v>26</v>
      </c>
      <c r="E1115">
        <v>8</v>
      </c>
      <c r="F1115">
        <v>3</v>
      </c>
      <c r="G1115">
        <v>2026</v>
      </c>
      <c r="H1115" t="s">
        <v>451</v>
      </c>
      <c r="I1115" t="s">
        <v>553</v>
      </c>
      <c r="J1115" t="s">
        <v>100</v>
      </c>
      <c r="K1115">
        <v>15</v>
      </c>
      <c r="L1115">
        <v>5</v>
      </c>
      <c r="M1115">
        <v>75</v>
      </c>
    </row>
    <row r="1116" spans="1:13">
      <c r="A1116">
        <v>1115</v>
      </c>
      <c r="B1116" s="1">
        <v>46260</v>
      </c>
      <c r="C1116" t="s">
        <v>34</v>
      </c>
      <c r="D1116">
        <v>26</v>
      </c>
      <c r="E1116">
        <v>8</v>
      </c>
      <c r="F1116">
        <v>3</v>
      </c>
      <c r="G1116">
        <v>2026</v>
      </c>
      <c r="H1116" t="s">
        <v>451</v>
      </c>
      <c r="I1116" t="s">
        <v>396</v>
      </c>
      <c r="J1116" t="s">
        <v>122</v>
      </c>
      <c r="K1116">
        <v>10</v>
      </c>
      <c r="L1116">
        <v>27</v>
      </c>
      <c r="M1116">
        <v>275</v>
      </c>
    </row>
    <row r="1117" spans="1:13">
      <c r="A1117">
        <v>1116</v>
      </c>
      <c r="B1117" s="1">
        <v>45890</v>
      </c>
      <c r="C1117" t="s">
        <v>105</v>
      </c>
      <c r="D1117">
        <v>21</v>
      </c>
      <c r="E1117">
        <v>8</v>
      </c>
      <c r="F1117">
        <v>3</v>
      </c>
      <c r="G1117">
        <v>2025</v>
      </c>
      <c r="H1117" t="s">
        <v>642</v>
      </c>
      <c r="I1117" t="s">
        <v>36</v>
      </c>
      <c r="J1117" t="s">
        <v>37</v>
      </c>
      <c r="K1117">
        <v>28</v>
      </c>
      <c r="L1117">
        <v>9</v>
      </c>
      <c r="M1117">
        <v>266</v>
      </c>
    </row>
    <row r="1118" spans="1:13">
      <c r="A1118">
        <v>1117</v>
      </c>
      <c r="B1118" s="1">
        <v>45890</v>
      </c>
      <c r="C1118" t="s">
        <v>105</v>
      </c>
      <c r="D1118">
        <v>21</v>
      </c>
      <c r="E1118">
        <v>8</v>
      </c>
      <c r="F1118">
        <v>3</v>
      </c>
      <c r="G1118">
        <v>2025</v>
      </c>
      <c r="H1118" t="s">
        <v>642</v>
      </c>
      <c r="I1118" t="s">
        <v>643</v>
      </c>
      <c r="J1118" t="s">
        <v>37</v>
      </c>
      <c r="K1118">
        <v>58</v>
      </c>
      <c r="L1118">
        <v>3</v>
      </c>
      <c r="M1118">
        <v>231</v>
      </c>
    </row>
    <row r="1119" spans="1:13">
      <c r="A1119">
        <v>1118</v>
      </c>
      <c r="B1119" s="1">
        <v>45890</v>
      </c>
      <c r="C1119" t="s">
        <v>105</v>
      </c>
      <c r="D1119">
        <v>21</v>
      </c>
      <c r="E1119">
        <v>8</v>
      </c>
      <c r="F1119">
        <v>3</v>
      </c>
      <c r="G1119">
        <v>2025</v>
      </c>
      <c r="H1119" t="s">
        <v>642</v>
      </c>
      <c r="I1119" t="s">
        <v>223</v>
      </c>
      <c r="J1119" t="s">
        <v>19</v>
      </c>
      <c r="K1119">
        <v>25</v>
      </c>
      <c r="L1119">
        <v>8</v>
      </c>
      <c r="M1119">
        <v>213</v>
      </c>
    </row>
    <row r="1120" spans="1:13">
      <c r="A1120">
        <v>1119</v>
      </c>
      <c r="B1120" s="1">
        <v>45890</v>
      </c>
      <c r="C1120" t="s">
        <v>105</v>
      </c>
      <c r="D1120">
        <v>21</v>
      </c>
      <c r="E1120">
        <v>8</v>
      </c>
      <c r="F1120">
        <v>3</v>
      </c>
      <c r="G1120">
        <v>2025</v>
      </c>
      <c r="H1120" t="s">
        <v>642</v>
      </c>
      <c r="I1120" t="s">
        <v>129</v>
      </c>
      <c r="J1120" t="s">
        <v>25</v>
      </c>
      <c r="K1120">
        <v>23</v>
      </c>
      <c r="L1120">
        <v>5</v>
      </c>
      <c r="M1120">
        <v>129</v>
      </c>
    </row>
    <row r="1121" spans="1:13">
      <c r="A1121">
        <v>1120</v>
      </c>
      <c r="B1121" s="1">
        <v>45890</v>
      </c>
      <c r="C1121" t="s">
        <v>105</v>
      </c>
      <c r="D1121">
        <v>21</v>
      </c>
      <c r="E1121">
        <v>8</v>
      </c>
      <c r="F1121">
        <v>3</v>
      </c>
      <c r="G1121">
        <v>2025</v>
      </c>
      <c r="H1121" t="s">
        <v>642</v>
      </c>
      <c r="I1121" t="s">
        <v>182</v>
      </c>
      <c r="J1121" t="s">
        <v>39</v>
      </c>
      <c r="K1121">
        <v>57</v>
      </c>
      <c r="L1121">
        <v>3</v>
      </c>
      <c r="M1121">
        <v>181</v>
      </c>
    </row>
    <row r="1122" spans="1:13">
      <c r="A1122">
        <v>1121</v>
      </c>
      <c r="B1122" s="1">
        <v>45890</v>
      </c>
      <c r="C1122" t="s">
        <v>105</v>
      </c>
      <c r="D1122">
        <v>21</v>
      </c>
      <c r="E1122">
        <v>8</v>
      </c>
      <c r="F1122">
        <v>3</v>
      </c>
      <c r="G1122">
        <v>2025</v>
      </c>
      <c r="H1122" t="s">
        <v>642</v>
      </c>
      <c r="I1122" t="s">
        <v>175</v>
      </c>
      <c r="J1122" t="s">
        <v>21</v>
      </c>
      <c r="K1122">
        <v>29</v>
      </c>
      <c r="L1122">
        <v>12</v>
      </c>
      <c r="M1122">
        <v>352</v>
      </c>
    </row>
    <row r="1123" spans="1:13">
      <c r="A1123">
        <v>1122</v>
      </c>
      <c r="B1123" s="1">
        <v>45890</v>
      </c>
      <c r="C1123" t="s">
        <v>105</v>
      </c>
      <c r="D1123">
        <v>21</v>
      </c>
      <c r="E1123">
        <v>8</v>
      </c>
      <c r="F1123">
        <v>3</v>
      </c>
      <c r="G1123">
        <v>2025</v>
      </c>
      <c r="H1123" t="s">
        <v>642</v>
      </c>
      <c r="I1123" t="s">
        <v>135</v>
      </c>
      <c r="J1123" t="s">
        <v>122</v>
      </c>
      <c r="K1123">
        <v>24</v>
      </c>
      <c r="L1123">
        <v>10</v>
      </c>
      <c r="M1123">
        <v>252</v>
      </c>
    </row>
    <row r="1124" spans="1:13">
      <c r="A1124">
        <v>1123</v>
      </c>
      <c r="B1124" s="1">
        <v>45890</v>
      </c>
      <c r="C1124" t="s">
        <v>105</v>
      </c>
      <c r="D1124">
        <v>21</v>
      </c>
      <c r="E1124">
        <v>8</v>
      </c>
      <c r="F1124">
        <v>3</v>
      </c>
      <c r="G1124">
        <v>2025</v>
      </c>
      <c r="H1124" t="s">
        <v>642</v>
      </c>
      <c r="I1124" t="s">
        <v>465</v>
      </c>
      <c r="J1124" t="s">
        <v>31</v>
      </c>
      <c r="K1124">
        <v>15</v>
      </c>
      <c r="L1124">
        <v>3</v>
      </c>
      <c r="M1124">
        <v>49</v>
      </c>
    </row>
    <row r="1125" spans="1:13">
      <c r="A1125">
        <v>1124</v>
      </c>
      <c r="B1125" s="1">
        <v>45890</v>
      </c>
      <c r="C1125" t="s">
        <v>105</v>
      </c>
      <c r="D1125">
        <v>21</v>
      </c>
      <c r="E1125">
        <v>8</v>
      </c>
      <c r="F1125">
        <v>3</v>
      </c>
      <c r="G1125">
        <v>2025</v>
      </c>
      <c r="H1125" t="s">
        <v>642</v>
      </c>
      <c r="I1125" t="s">
        <v>253</v>
      </c>
      <c r="J1125" t="s">
        <v>23</v>
      </c>
      <c r="K1125">
        <v>12</v>
      </c>
      <c r="L1125">
        <v>12</v>
      </c>
      <c r="M1125">
        <v>149</v>
      </c>
    </row>
    <row r="1126" spans="1:13">
      <c r="A1126">
        <v>1125</v>
      </c>
      <c r="B1126" s="1">
        <v>45890</v>
      </c>
      <c r="C1126" t="s">
        <v>105</v>
      </c>
      <c r="D1126">
        <v>21</v>
      </c>
      <c r="E1126">
        <v>8</v>
      </c>
      <c r="F1126">
        <v>3</v>
      </c>
      <c r="G1126">
        <v>2025</v>
      </c>
      <c r="H1126" t="s">
        <v>642</v>
      </c>
      <c r="I1126" t="s">
        <v>102</v>
      </c>
      <c r="J1126" t="s">
        <v>51</v>
      </c>
      <c r="K1126">
        <v>20</v>
      </c>
      <c r="L1126">
        <v>10</v>
      </c>
      <c r="M1126">
        <v>203</v>
      </c>
    </row>
    <row r="1127" spans="1:13">
      <c r="A1127">
        <v>1126</v>
      </c>
      <c r="B1127" s="1">
        <v>46202</v>
      </c>
      <c r="C1127" t="s">
        <v>93</v>
      </c>
      <c r="D1127">
        <v>29</v>
      </c>
      <c r="E1127">
        <v>6</v>
      </c>
      <c r="F1127">
        <v>2</v>
      </c>
      <c r="G1127">
        <v>2026</v>
      </c>
      <c r="H1127" t="s">
        <v>644</v>
      </c>
      <c r="I1127" t="s">
        <v>154</v>
      </c>
      <c r="J1127" t="s">
        <v>37</v>
      </c>
      <c r="K1127">
        <v>38</v>
      </c>
      <c r="L1127">
        <v>7</v>
      </c>
      <c r="M1127">
        <v>293</v>
      </c>
    </row>
    <row r="1128" spans="1:13">
      <c r="A1128">
        <v>1127</v>
      </c>
      <c r="B1128" s="1">
        <v>46202</v>
      </c>
      <c r="C1128" t="s">
        <v>93</v>
      </c>
      <c r="D1128">
        <v>29</v>
      </c>
      <c r="E1128">
        <v>6</v>
      </c>
      <c r="F1128">
        <v>2</v>
      </c>
      <c r="G1128">
        <v>2026</v>
      </c>
      <c r="H1128" t="s">
        <v>644</v>
      </c>
      <c r="I1128" t="s">
        <v>645</v>
      </c>
      <c r="J1128" t="s">
        <v>51</v>
      </c>
      <c r="K1128">
        <v>13</v>
      </c>
      <c r="L1128">
        <v>15</v>
      </c>
      <c r="M1128">
        <v>204</v>
      </c>
    </row>
    <row r="1129" spans="1:13">
      <c r="A1129">
        <v>1128</v>
      </c>
      <c r="B1129" s="1">
        <v>46202</v>
      </c>
      <c r="C1129" t="s">
        <v>93</v>
      </c>
      <c r="D1129">
        <v>29</v>
      </c>
      <c r="E1129">
        <v>6</v>
      </c>
      <c r="F1129">
        <v>2</v>
      </c>
      <c r="G1129">
        <v>2026</v>
      </c>
      <c r="H1129" t="s">
        <v>644</v>
      </c>
      <c r="I1129" t="s">
        <v>240</v>
      </c>
      <c r="J1129" t="s">
        <v>23</v>
      </c>
      <c r="K1129">
        <v>27</v>
      </c>
      <c r="L1129">
        <v>16</v>
      </c>
      <c r="M1129">
        <v>447</v>
      </c>
    </row>
    <row r="1130" spans="1:13">
      <c r="A1130">
        <v>1129</v>
      </c>
      <c r="B1130" s="1">
        <v>46202</v>
      </c>
      <c r="C1130" t="s">
        <v>93</v>
      </c>
      <c r="D1130">
        <v>29</v>
      </c>
      <c r="E1130">
        <v>6</v>
      </c>
      <c r="F1130">
        <v>2</v>
      </c>
      <c r="G1130">
        <v>2026</v>
      </c>
      <c r="H1130" t="s">
        <v>644</v>
      </c>
      <c r="I1130" t="s">
        <v>58</v>
      </c>
      <c r="J1130" t="s">
        <v>25</v>
      </c>
      <c r="K1130">
        <v>14</v>
      </c>
      <c r="L1130">
        <v>11</v>
      </c>
      <c r="M1130">
        <v>161</v>
      </c>
    </row>
    <row r="1131" spans="1:13">
      <c r="A1131">
        <v>1130</v>
      </c>
      <c r="B1131" s="1">
        <v>46202</v>
      </c>
      <c r="C1131" t="s">
        <v>93</v>
      </c>
      <c r="D1131">
        <v>29</v>
      </c>
      <c r="E1131">
        <v>6</v>
      </c>
      <c r="F1131">
        <v>2</v>
      </c>
      <c r="G1131">
        <v>2026</v>
      </c>
      <c r="H1131" t="s">
        <v>644</v>
      </c>
      <c r="I1131" t="s">
        <v>146</v>
      </c>
      <c r="J1131" t="s">
        <v>97</v>
      </c>
      <c r="K1131">
        <v>44</v>
      </c>
      <c r="L1131">
        <v>5</v>
      </c>
      <c r="M1131">
        <v>233</v>
      </c>
    </row>
    <row r="1132" spans="1:13">
      <c r="A1132">
        <v>1131</v>
      </c>
      <c r="B1132" s="1">
        <v>46202</v>
      </c>
      <c r="C1132" t="s">
        <v>93</v>
      </c>
      <c r="D1132">
        <v>29</v>
      </c>
      <c r="E1132">
        <v>6</v>
      </c>
      <c r="F1132">
        <v>2</v>
      </c>
      <c r="G1132">
        <v>2026</v>
      </c>
      <c r="H1132" t="s">
        <v>644</v>
      </c>
      <c r="I1132" t="s">
        <v>646</v>
      </c>
      <c r="J1132" t="s">
        <v>21</v>
      </c>
      <c r="K1132">
        <v>38</v>
      </c>
      <c r="L1132">
        <v>5</v>
      </c>
      <c r="M1132">
        <v>219</v>
      </c>
    </row>
    <row r="1133" spans="1:13">
      <c r="A1133">
        <v>1132</v>
      </c>
      <c r="B1133" s="1">
        <v>46202</v>
      </c>
      <c r="C1133" t="s">
        <v>93</v>
      </c>
      <c r="D1133">
        <v>29</v>
      </c>
      <c r="E1133">
        <v>6</v>
      </c>
      <c r="F1133">
        <v>2</v>
      </c>
      <c r="G1133">
        <v>2026</v>
      </c>
      <c r="H1133" t="s">
        <v>644</v>
      </c>
      <c r="I1133" t="s">
        <v>130</v>
      </c>
      <c r="J1133" t="s">
        <v>69</v>
      </c>
      <c r="K1133">
        <v>39</v>
      </c>
      <c r="L1133">
        <v>6</v>
      </c>
      <c r="M1133">
        <v>258</v>
      </c>
    </row>
    <row r="1134" spans="1:13">
      <c r="A1134">
        <v>1133</v>
      </c>
      <c r="B1134" s="1">
        <v>46202</v>
      </c>
      <c r="C1134" t="s">
        <v>93</v>
      </c>
      <c r="D1134">
        <v>29</v>
      </c>
      <c r="E1134">
        <v>6</v>
      </c>
      <c r="F1134">
        <v>2</v>
      </c>
      <c r="G1134">
        <v>2026</v>
      </c>
      <c r="H1134" t="s">
        <v>644</v>
      </c>
      <c r="I1134" t="s">
        <v>638</v>
      </c>
      <c r="J1134" t="s">
        <v>100</v>
      </c>
      <c r="K1134">
        <v>52</v>
      </c>
      <c r="L1134">
        <v>3</v>
      </c>
      <c r="M1134">
        <v>205</v>
      </c>
    </row>
    <row r="1135" spans="1:13">
      <c r="A1135">
        <v>1134</v>
      </c>
      <c r="B1135" s="1">
        <v>46202</v>
      </c>
      <c r="C1135" t="s">
        <v>93</v>
      </c>
      <c r="D1135">
        <v>29</v>
      </c>
      <c r="E1135">
        <v>6</v>
      </c>
      <c r="F1135">
        <v>2</v>
      </c>
      <c r="G1135">
        <v>2026</v>
      </c>
      <c r="H1135" t="s">
        <v>644</v>
      </c>
      <c r="I1135" t="s">
        <v>156</v>
      </c>
      <c r="J1135" t="s">
        <v>57</v>
      </c>
      <c r="K1135">
        <v>44</v>
      </c>
      <c r="L1135">
        <v>4</v>
      </c>
      <c r="M1135">
        <v>195</v>
      </c>
    </row>
    <row r="1136" spans="1:13">
      <c r="A1136">
        <v>1135</v>
      </c>
      <c r="B1136" s="1">
        <v>46136</v>
      </c>
      <c r="C1136" t="s">
        <v>79</v>
      </c>
      <c r="D1136">
        <v>24</v>
      </c>
      <c r="E1136">
        <v>4</v>
      </c>
      <c r="F1136">
        <v>2</v>
      </c>
      <c r="G1136">
        <v>2026</v>
      </c>
      <c r="H1136" t="s">
        <v>498</v>
      </c>
      <c r="I1136" t="s">
        <v>278</v>
      </c>
      <c r="J1136" t="s">
        <v>39</v>
      </c>
      <c r="K1136">
        <v>14</v>
      </c>
      <c r="L1136">
        <v>44</v>
      </c>
      <c r="M1136">
        <v>618</v>
      </c>
    </row>
    <row r="1137" spans="1:13">
      <c r="A1137">
        <v>1136</v>
      </c>
      <c r="B1137" s="1">
        <v>46136</v>
      </c>
      <c r="C1137" t="s">
        <v>79</v>
      </c>
      <c r="D1137">
        <v>24</v>
      </c>
      <c r="E1137">
        <v>4</v>
      </c>
      <c r="F1137">
        <v>2</v>
      </c>
      <c r="G1137">
        <v>2026</v>
      </c>
      <c r="H1137" t="s">
        <v>498</v>
      </c>
      <c r="I1137" t="s">
        <v>283</v>
      </c>
      <c r="J1137" t="s">
        <v>100</v>
      </c>
      <c r="K1137">
        <v>23</v>
      </c>
      <c r="L1137">
        <v>3</v>
      </c>
      <c r="M1137">
        <v>83</v>
      </c>
    </row>
    <row r="1138" spans="1:13">
      <c r="A1138">
        <v>1137</v>
      </c>
      <c r="B1138" s="1">
        <v>46136</v>
      </c>
      <c r="C1138" t="s">
        <v>79</v>
      </c>
      <c r="D1138">
        <v>24</v>
      </c>
      <c r="E1138">
        <v>4</v>
      </c>
      <c r="F1138">
        <v>2</v>
      </c>
      <c r="G1138">
        <v>2026</v>
      </c>
      <c r="H1138" t="s">
        <v>498</v>
      </c>
      <c r="I1138" t="s">
        <v>426</v>
      </c>
      <c r="J1138" t="s">
        <v>37</v>
      </c>
      <c r="K1138">
        <v>60</v>
      </c>
      <c r="L1138">
        <v>6</v>
      </c>
      <c r="M1138">
        <v>410</v>
      </c>
    </row>
    <row r="1139" spans="1:13">
      <c r="A1139">
        <v>1138</v>
      </c>
      <c r="B1139" s="1">
        <v>46136</v>
      </c>
      <c r="C1139" t="s">
        <v>79</v>
      </c>
      <c r="D1139">
        <v>24</v>
      </c>
      <c r="E1139">
        <v>4</v>
      </c>
      <c r="F1139">
        <v>2</v>
      </c>
      <c r="G1139">
        <v>2026</v>
      </c>
      <c r="H1139" t="s">
        <v>498</v>
      </c>
      <c r="I1139" t="s">
        <v>455</v>
      </c>
      <c r="J1139" t="s">
        <v>69</v>
      </c>
      <c r="K1139">
        <v>53</v>
      </c>
      <c r="L1139">
        <v>2</v>
      </c>
      <c r="M1139">
        <v>147</v>
      </c>
    </row>
    <row r="1140" spans="1:13">
      <c r="A1140">
        <v>1139</v>
      </c>
      <c r="B1140" s="1">
        <v>46136</v>
      </c>
      <c r="C1140" t="s">
        <v>79</v>
      </c>
      <c r="D1140">
        <v>24</v>
      </c>
      <c r="E1140">
        <v>4</v>
      </c>
      <c r="F1140">
        <v>2</v>
      </c>
      <c r="G1140">
        <v>2026</v>
      </c>
      <c r="H1140" t="s">
        <v>498</v>
      </c>
      <c r="I1140" t="s">
        <v>218</v>
      </c>
      <c r="J1140" t="s">
        <v>97</v>
      </c>
      <c r="K1140">
        <v>16</v>
      </c>
      <c r="L1140">
        <v>13</v>
      </c>
      <c r="M1140">
        <v>210</v>
      </c>
    </row>
    <row r="1141" spans="1:13">
      <c r="A1141">
        <v>1140</v>
      </c>
      <c r="B1141" s="1">
        <v>46136</v>
      </c>
      <c r="C1141" t="s">
        <v>79</v>
      </c>
      <c r="D1141">
        <v>24</v>
      </c>
      <c r="E1141">
        <v>4</v>
      </c>
      <c r="F1141">
        <v>2</v>
      </c>
      <c r="G1141">
        <v>2026</v>
      </c>
      <c r="H1141" t="s">
        <v>498</v>
      </c>
      <c r="I1141" t="s">
        <v>150</v>
      </c>
      <c r="J1141" t="s">
        <v>60</v>
      </c>
      <c r="K1141">
        <v>39</v>
      </c>
      <c r="L1141">
        <v>5</v>
      </c>
      <c r="M1141">
        <v>208</v>
      </c>
    </row>
    <row r="1142" spans="1:13">
      <c r="A1142">
        <v>1141</v>
      </c>
      <c r="B1142" s="1">
        <v>46136</v>
      </c>
      <c r="C1142" t="s">
        <v>79</v>
      </c>
      <c r="D1142">
        <v>24</v>
      </c>
      <c r="E1142">
        <v>4</v>
      </c>
      <c r="F1142">
        <v>2</v>
      </c>
      <c r="G1142">
        <v>2026</v>
      </c>
      <c r="H1142" t="s">
        <v>498</v>
      </c>
      <c r="I1142" t="s">
        <v>647</v>
      </c>
      <c r="J1142" t="s">
        <v>57</v>
      </c>
      <c r="K1142">
        <v>19</v>
      </c>
      <c r="L1142">
        <v>14</v>
      </c>
      <c r="M1142">
        <v>275</v>
      </c>
    </row>
    <row r="1143" spans="1:13">
      <c r="A1143">
        <v>1142</v>
      </c>
      <c r="B1143" s="1">
        <v>46136</v>
      </c>
      <c r="C1143" t="s">
        <v>79</v>
      </c>
      <c r="D1143">
        <v>24</v>
      </c>
      <c r="E1143">
        <v>4</v>
      </c>
      <c r="F1143">
        <v>2</v>
      </c>
      <c r="G1143">
        <v>2026</v>
      </c>
      <c r="H1143" t="s">
        <v>498</v>
      </c>
      <c r="I1143" t="s">
        <v>648</v>
      </c>
      <c r="J1143" t="s">
        <v>57</v>
      </c>
      <c r="K1143">
        <v>55</v>
      </c>
      <c r="L1143">
        <v>3</v>
      </c>
      <c r="M1143">
        <v>201</v>
      </c>
    </row>
    <row r="1144" spans="1:13">
      <c r="A1144">
        <v>1143</v>
      </c>
      <c r="B1144" s="1">
        <v>46136</v>
      </c>
      <c r="C1144" t="s">
        <v>79</v>
      </c>
      <c r="D1144">
        <v>24</v>
      </c>
      <c r="E1144">
        <v>4</v>
      </c>
      <c r="F1144">
        <v>2</v>
      </c>
      <c r="G1144">
        <v>2026</v>
      </c>
      <c r="H1144" t="s">
        <v>498</v>
      </c>
      <c r="I1144" t="s">
        <v>600</v>
      </c>
      <c r="J1144" t="s">
        <v>69</v>
      </c>
      <c r="K1144">
        <v>17</v>
      </c>
      <c r="L1144">
        <v>13</v>
      </c>
      <c r="M1144">
        <v>236</v>
      </c>
    </row>
    <row r="1145" spans="1:13">
      <c r="A1145">
        <v>1144</v>
      </c>
      <c r="B1145" s="1">
        <v>46136</v>
      </c>
      <c r="C1145" t="s">
        <v>79</v>
      </c>
      <c r="D1145">
        <v>24</v>
      </c>
      <c r="E1145">
        <v>4</v>
      </c>
      <c r="F1145">
        <v>2</v>
      </c>
      <c r="G1145">
        <v>2026</v>
      </c>
      <c r="H1145" t="s">
        <v>498</v>
      </c>
      <c r="I1145" t="s">
        <v>376</v>
      </c>
      <c r="J1145" t="s">
        <v>51</v>
      </c>
      <c r="K1145">
        <v>27</v>
      </c>
      <c r="L1145">
        <v>9</v>
      </c>
      <c r="M1145">
        <v>250</v>
      </c>
    </row>
    <row r="1146" spans="1:13">
      <c r="A1146">
        <v>1145</v>
      </c>
      <c r="B1146" s="1">
        <v>46136</v>
      </c>
      <c r="C1146" t="s">
        <v>79</v>
      </c>
      <c r="D1146">
        <v>24</v>
      </c>
      <c r="E1146">
        <v>4</v>
      </c>
      <c r="F1146">
        <v>2</v>
      </c>
      <c r="G1146">
        <v>2026</v>
      </c>
      <c r="H1146" t="s">
        <v>498</v>
      </c>
      <c r="I1146" t="s">
        <v>290</v>
      </c>
      <c r="J1146" t="s">
        <v>17</v>
      </c>
      <c r="K1146">
        <v>42</v>
      </c>
      <c r="L1146">
        <v>5</v>
      </c>
      <c r="M1146">
        <v>246</v>
      </c>
    </row>
    <row r="1147" spans="1:13">
      <c r="A1147">
        <v>1146</v>
      </c>
      <c r="B1147" s="1">
        <v>46005</v>
      </c>
      <c r="C1147" t="s">
        <v>28</v>
      </c>
      <c r="D1147">
        <v>14</v>
      </c>
      <c r="E1147">
        <v>12</v>
      </c>
      <c r="F1147">
        <v>4</v>
      </c>
      <c r="G1147">
        <v>2025</v>
      </c>
      <c r="H1147" t="s">
        <v>504</v>
      </c>
      <c r="I1147" t="s">
        <v>648</v>
      </c>
      <c r="J1147" t="s">
        <v>57</v>
      </c>
      <c r="K1147">
        <v>34</v>
      </c>
      <c r="L1147">
        <v>5</v>
      </c>
      <c r="M1147">
        <v>192</v>
      </c>
    </row>
    <row r="1148" spans="1:13">
      <c r="A1148">
        <v>1147</v>
      </c>
      <c r="B1148" s="1">
        <v>46005</v>
      </c>
      <c r="C1148" t="s">
        <v>28</v>
      </c>
      <c r="D1148">
        <v>14</v>
      </c>
      <c r="E1148">
        <v>12</v>
      </c>
      <c r="F1148">
        <v>4</v>
      </c>
      <c r="G1148">
        <v>2025</v>
      </c>
      <c r="H1148" t="s">
        <v>504</v>
      </c>
      <c r="I1148" t="s">
        <v>649</v>
      </c>
      <c r="J1148" t="s">
        <v>23</v>
      </c>
      <c r="K1148">
        <v>13</v>
      </c>
      <c r="L1148">
        <v>18</v>
      </c>
      <c r="M1148">
        <v>238</v>
      </c>
    </row>
    <row r="1149" spans="1:13">
      <c r="A1149">
        <v>1148</v>
      </c>
      <c r="B1149" s="1">
        <v>46005</v>
      </c>
      <c r="C1149" t="s">
        <v>28</v>
      </c>
      <c r="D1149">
        <v>14</v>
      </c>
      <c r="E1149">
        <v>12</v>
      </c>
      <c r="F1149">
        <v>4</v>
      </c>
      <c r="G1149">
        <v>2025</v>
      </c>
      <c r="H1149" t="s">
        <v>504</v>
      </c>
      <c r="I1149" t="s">
        <v>309</v>
      </c>
      <c r="J1149" t="s">
        <v>100</v>
      </c>
      <c r="K1149">
        <v>27</v>
      </c>
      <c r="L1149">
        <v>5</v>
      </c>
      <c r="M1149">
        <v>161</v>
      </c>
    </row>
    <row r="1150" spans="1:13">
      <c r="A1150">
        <v>1149</v>
      </c>
      <c r="B1150" s="1">
        <v>46005</v>
      </c>
      <c r="C1150" t="s">
        <v>28</v>
      </c>
      <c r="D1150">
        <v>14</v>
      </c>
      <c r="E1150">
        <v>12</v>
      </c>
      <c r="F1150">
        <v>4</v>
      </c>
      <c r="G1150">
        <v>2025</v>
      </c>
      <c r="H1150" t="s">
        <v>504</v>
      </c>
      <c r="I1150" t="s">
        <v>367</v>
      </c>
      <c r="J1150" t="s">
        <v>31</v>
      </c>
      <c r="K1150">
        <v>35</v>
      </c>
      <c r="L1150">
        <v>5</v>
      </c>
      <c r="M1150">
        <v>196</v>
      </c>
    </row>
    <row r="1151" spans="1:13">
      <c r="A1151">
        <v>1150</v>
      </c>
      <c r="B1151" s="1">
        <v>46005</v>
      </c>
      <c r="C1151" t="s">
        <v>28</v>
      </c>
      <c r="D1151">
        <v>14</v>
      </c>
      <c r="E1151">
        <v>12</v>
      </c>
      <c r="F1151">
        <v>4</v>
      </c>
      <c r="G1151">
        <v>2025</v>
      </c>
      <c r="H1151" t="s">
        <v>504</v>
      </c>
      <c r="I1151" t="s">
        <v>85</v>
      </c>
      <c r="J1151" t="s">
        <v>37</v>
      </c>
      <c r="K1151">
        <v>43</v>
      </c>
      <c r="L1151">
        <v>4</v>
      </c>
      <c r="M1151">
        <v>177</v>
      </c>
    </row>
    <row r="1152" spans="1:13">
      <c r="A1152">
        <v>1151</v>
      </c>
      <c r="B1152" s="1">
        <v>46130</v>
      </c>
      <c r="C1152" t="s">
        <v>14</v>
      </c>
      <c r="D1152">
        <v>18</v>
      </c>
      <c r="E1152">
        <v>4</v>
      </c>
      <c r="F1152">
        <v>2</v>
      </c>
      <c r="G1152">
        <v>2026</v>
      </c>
      <c r="H1152" t="s">
        <v>307</v>
      </c>
      <c r="I1152" t="s">
        <v>460</v>
      </c>
      <c r="J1152" t="s">
        <v>69</v>
      </c>
      <c r="K1152">
        <v>57</v>
      </c>
      <c r="L1152">
        <v>2</v>
      </c>
      <c r="M1152">
        <v>129</v>
      </c>
    </row>
    <row r="1153" spans="1:13">
      <c r="A1153">
        <v>1152</v>
      </c>
      <c r="B1153" s="1">
        <v>46130</v>
      </c>
      <c r="C1153" t="s">
        <v>14</v>
      </c>
      <c r="D1153">
        <v>18</v>
      </c>
      <c r="E1153">
        <v>4</v>
      </c>
      <c r="F1153">
        <v>2</v>
      </c>
      <c r="G1153">
        <v>2026</v>
      </c>
      <c r="H1153" t="s">
        <v>307</v>
      </c>
      <c r="I1153" t="s">
        <v>650</v>
      </c>
      <c r="J1153" t="s">
        <v>37</v>
      </c>
      <c r="K1153">
        <v>32</v>
      </c>
      <c r="L1153">
        <v>11</v>
      </c>
      <c r="M1153">
        <v>383</v>
      </c>
    </row>
    <row r="1154" spans="1:13">
      <c r="A1154">
        <v>1153</v>
      </c>
      <c r="B1154" s="1">
        <v>46130</v>
      </c>
      <c r="C1154" t="s">
        <v>14</v>
      </c>
      <c r="D1154">
        <v>18</v>
      </c>
      <c r="E1154">
        <v>4</v>
      </c>
      <c r="F1154">
        <v>2</v>
      </c>
      <c r="G1154">
        <v>2026</v>
      </c>
      <c r="H1154" t="s">
        <v>307</v>
      </c>
      <c r="I1154" t="s">
        <v>651</v>
      </c>
      <c r="J1154" t="s">
        <v>122</v>
      </c>
      <c r="K1154">
        <v>14</v>
      </c>
      <c r="L1154">
        <v>25</v>
      </c>
      <c r="M1154">
        <v>363</v>
      </c>
    </row>
    <row r="1155" spans="1:13">
      <c r="A1155">
        <v>1154</v>
      </c>
      <c r="B1155" s="1">
        <v>46130</v>
      </c>
      <c r="C1155" t="s">
        <v>14</v>
      </c>
      <c r="D1155">
        <v>18</v>
      </c>
      <c r="E1155">
        <v>4</v>
      </c>
      <c r="F1155">
        <v>2</v>
      </c>
      <c r="G1155">
        <v>2026</v>
      </c>
      <c r="H1155" t="s">
        <v>307</v>
      </c>
      <c r="I1155" t="s">
        <v>458</v>
      </c>
      <c r="J1155" t="s">
        <v>37</v>
      </c>
      <c r="K1155">
        <v>42</v>
      </c>
      <c r="L1155">
        <v>1</v>
      </c>
      <c r="M1155">
        <v>56</v>
      </c>
    </row>
    <row r="1156" spans="1:13">
      <c r="A1156">
        <v>1155</v>
      </c>
      <c r="B1156" s="1">
        <v>46130</v>
      </c>
      <c r="C1156" t="s">
        <v>14</v>
      </c>
      <c r="D1156">
        <v>18</v>
      </c>
      <c r="E1156">
        <v>4</v>
      </c>
      <c r="F1156">
        <v>2</v>
      </c>
      <c r="G1156">
        <v>2026</v>
      </c>
      <c r="H1156" t="s">
        <v>307</v>
      </c>
      <c r="I1156" t="s">
        <v>505</v>
      </c>
      <c r="J1156" t="s">
        <v>100</v>
      </c>
      <c r="K1156">
        <v>28</v>
      </c>
      <c r="L1156">
        <v>10</v>
      </c>
      <c r="M1156">
        <v>304</v>
      </c>
    </row>
    <row r="1157" spans="1:13">
      <c r="A1157">
        <v>1156</v>
      </c>
      <c r="B1157" s="1">
        <v>46130</v>
      </c>
      <c r="C1157" t="s">
        <v>14</v>
      </c>
      <c r="D1157">
        <v>18</v>
      </c>
      <c r="E1157">
        <v>4</v>
      </c>
      <c r="F1157">
        <v>2</v>
      </c>
      <c r="G1157">
        <v>2026</v>
      </c>
      <c r="H1157" t="s">
        <v>307</v>
      </c>
      <c r="I1157" t="s">
        <v>652</v>
      </c>
      <c r="J1157" t="s">
        <v>37</v>
      </c>
      <c r="K1157">
        <v>30</v>
      </c>
      <c r="L1157">
        <v>7</v>
      </c>
      <c r="M1157">
        <v>216</v>
      </c>
    </row>
    <row r="1158" spans="1:13">
      <c r="A1158">
        <v>1157</v>
      </c>
      <c r="B1158" s="1">
        <v>46130</v>
      </c>
      <c r="C1158" t="s">
        <v>14</v>
      </c>
      <c r="D1158">
        <v>18</v>
      </c>
      <c r="E1158">
        <v>4</v>
      </c>
      <c r="F1158">
        <v>2</v>
      </c>
      <c r="G1158">
        <v>2026</v>
      </c>
      <c r="H1158" t="s">
        <v>307</v>
      </c>
      <c r="I1158" t="s">
        <v>92</v>
      </c>
      <c r="J1158" t="s">
        <v>51</v>
      </c>
      <c r="K1158">
        <v>48</v>
      </c>
      <c r="L1158">
        <v>2</v>
      </c>
      <c r="M1158">
        <v>132</v>
      </c>
    </row>
    <row r="1159" spans="1:13">
      <c r="A1159">
        <v>1158</v>
      </c>
      <c r="B1159" s="1">
        <v>45870</v>
      </c>
      <c r="C1159" t="s">
        <v>79</v>
      </c>
      <c r="D1159">
        <v>1</v>
      </c>
      <c r="E1159">
        <v>8</v>
      </c>
      <c r="F1159">
        <v>3</v>
      </c>
      <c r="G1159">
        <v>2025</v>
      </c>
      <c r="H1159" t="s">
        <v>497</v>
      </c>
      <c r="I1159" t="s">
        <v>652</v>
      </c>
      <c r="J1159" t="s">
        <v>37</v>
      </c>
      <c r="K1159">
        <v>55</v>
      </c>
      <c r="L1159">
        <v>3</v>
      </c>
      <c r="M1159">
        <v>197</v>
      </c>
    </row>
    <row r="1160" spans="1:13">
      <c r="A1160">
        <v>1159</v>
      </c>
      <c r="B1160" s="1">
        <v>45870</v>
      </c>
      <c r="C1160" t="s">
        <v>79</v>
      </c>
      <c r="D1160">
        <v>1</v>
      </c>
      <c r="E1160">
        <v>8</v>
      </c>
      <c r="F1160">
        <v>3</v>
      </c>
      <c r="G1160">
        <v>2025</v>
      </c>
      <c r="H1160" t="s">
        <v>497</v>
      </c>
      <c r="I1160" t="s">
        <v>66</v>
      </c>
      <c r="J1160" t="s">
        <v>46</v>
      </c>
      <c r="K1160">
        <v>34</v>
      </c>
      <c r="L1160">
        <v>9</v>
      </c>
      <c r="M1160">
        <v>336</v>
      </c>
    </row>
    <row r="1161" spans="1:13">
      <c r="A1161">
        <v>1160</v>
      </c>
      <c r="B1161" s="1">
        <v>45870</v>
      </c>
      <c r="C1161" t="s">
        <v>79</v>
      </c>
      <c r="D1161">
        <v>1</v>
      </c>
      <c r="E1161">
        <v>8</v>
      </c>
      <c r="F1161">
        <v>3</v>
      </c>
      <c r="G1161">
        <v>2025</v>
      </c>
      <c r="H1161" t="s">
        <v>497</v>
      </c>
      <c r="I1161" t="s">
        <v>424</v>
      </c>
      <c r="J1161" t="s">
        <v>69</v>
      </c>
      <c r="K1161">
        <v>42</v>
      </c>
      <c r="L1161">
        <v>4</v>
      </c>
      <c r="M1161">
        <v>184</v>
      </c>
    </row>
    <row r="1162" spans="1:13">
      <c r="A1162">
        <v>1161</v>
      </c>
      <c r="B1162" s="1">
        <v>45870</v>
      </c>
      <c r="C1162" t="s">
        <v>79</v>
      </c>
      <c r="D1162">
        <v>1</v>
      </c>
      <c r="E1162">
        <v>8</v>
      </c>
      <c r="F1162">
        <v>3</v>
      </c>
      <c r="G1162">
        <v>2025</v>
      </c>
      <c r="H1162" t="s">
        <v>497</v>
      </c>
      <c r="I1162" t="s">
        <v>181</v>
      </c>
      <c r="J1162" t="s">
        <v>82</v>
      </c>
      <c r="K1162">
        <v>55</v>
      </c>
      <c r="L1162">
        <v>2</v>
      </c>
      <c r="M1162">
        <v>124</v>
      </c>
    </row>
    <row r="1163" spans="1:13">
      <c r="A1163">
        <v>1162</v>
      </c>
      <c r="B1163" s="1">
        <v>45870</v>
      </c>
      <c r="C1163" t="s">
        <v>79</v>
      </c>
      <c r="D1163">
        <v>1</v>
      </c>
      <c r="E1163">
        <v>8</v>
      </c>
      <c r="F1163">
        <v>3</v>
      </c>
      <c r="G1163">
        <v>2025</v>
      </c>
      <c r="H1163" t="s">
        <v>497</v>
      </c>
      <c r="I1163" t="s">
        <v>310</v>
      </c>
      <c r="J1163" t="s">
        <v>60</v>
      </c>
      <c r="K1163">
        <v>40</v>
      </c>
      <c r="L1163">
        <v>1</v>
      </c>
      <c r="M1163">
        <v>73</v>
      </c>
    </row>
    <row r="1164" spans="1:13">
      <c r="A1164">
        <v>1163</v>
      </c>
      <c r="B1164" s="1">
        <v>45770</v>
      </c>
      <c r="C1164" t="s">
        <v>34</v>
      </c>
      <c r="D1164">
        <v>23</v>
      </c>
      <c r="E1164">
        <v>4</v>
      </c>
      <c r="F1164">
        <v>2</v>
      </c>
      <c r="G1164">
        <v>2025</v>
      </c>
      <c r="H1164" t="s">
        <v>653</v>
      </c>
      <c r="I1164" t="s">
        <v>654</v>
      </c>
      <c r="J1164" t="s">
        <v>60</v>
      </c>
      <c r="K1164">
        <v>23</v>
      </c>
      <c r="L1164">
        <v>11</v>
      </c>
      <c r="M1164">
        <v>258</v>
      </c>
    </row>
    <row r="1165" spans="1:13">
      <c r="A1165">
        <v>1164</v>
      </c>
      <c r="B1165" s="1">
        <v>45770</v>
      </c>
      <c r="C1165" t="s">
        <v>34</v>
      </c>
      <c r="D1165">
        <v>23</v>
      </c>
      <c r="E1165">
        <v>4</v>
      </c>
      <c r="F1165">
        <v>2</v>
      </c>
      <c r="G1165">
        <v>2025</v>
      </c>
      <c r="H1165" t="s">
        <v>653</v>
      </c>
      <c r="I1165" t="s">
        <v>103</v>
      </c>
      <c r="J1165" t="s">
        <v>46</v>
      </c>
      <c r="K1165">
        <v>39</v>
      </c>
      <c r="L1165">
        <v>10</v>
      </c>
      <c r="M1165">
        <v>415</v>
      </c>
    </row>
    <row r="1166" spans="1:13">
      <c r="A1166">
        <v>1165</v>
      </c>
      <c r="B1166" s="1">
        <v>45770</v>
      </c>
      <c r="C1166" t="s">
        <v>34</v>
      </c>
      <c r="D1166">
        <v>23</v>
      </c>
      <c r="E1166">
        <v>4</v>
      </c>
      <c r="F1166">
        <v>2</v>
      </c>
      <c r="G1166">
        <v>2025</v>
      </c>
      <c r="H1166" t="s">
        <v>653</v>
      </c>
      <c r="I1166" t="s">
        <v>73</v>
      </c>
      <c r="J1166" t="s">
        <v>39</v>
      </c>
      <c r="K1166">
        <v>37</v>
      </c>
      <c r="L1166">
        <v>6</v>
      </c>
      <c r="M1166">
        <v>240</v>
      </c>
    </row>
    <row r="1167" spans="1:13">
      <c r="A1167">
        <v>1166</v>
      </c>
      <c r="B1167" s="1">
        <v>45770</v>
      </c>
      <c r="C1167" t="s">
        <v>34</v>
      </c>
      <c r="D1167">
        <v>23</v>
      </c>
      <c r="E1167">
        <v>4</v>
      </c>
      <c r="F1167">
        <v>2</v>
      </c>
      <c r="G1167">
        <v>2025</v>
      </c>
      <c r="H1167" t="s">
        <v>653</v>
      </c>
      <c r="I1167" t="s">
        <v>655</v>
      </c>
      <c r="J1167" t="s">
        <v>82</v>
      </c>
      <c r="K1167">
        <v>36</v>
      </c>
      <c r="L1167">
        <v>5</v>
      </c>
      <c r="M1167">
        <v>183</v>
      </c>
    </row>
    <row r="1168" spans="1:13">
      <c r="A1168">
        <v>1167</v>
      </c>
      <c r="B1168" s="1">
        <v>45770</v>
      </c>
      <c r="C1168" t="s">
        <v>34</v>
      </c>
      <c r="D1168">
        <v>23</v>
      </c>
      <c r="E1168">
        <v>4</v>
      </c>
      <c r="F1168">
        <v>2</v>
      </c>
      <c r="G1168">
        <v>2025</v>
      </c>
      <c r="H1168" t="s">
        <v>653</v>
      </c>
      <c r="I1168" t="s">
        <v>422</v>
      </c>
      <c r="J1168" t="s">
        <v>122</v>
      </c>
      <c r="K1168">
        <v>21</v>
      </c>
      <c r="L1168">
        <v>2</v>
      </c>
      <c r="M1168">
        <v>52</v>
      </c>
    </row>
    <row r="1169" spans="1:13">
      <c r="A1169">
        <v>1168</v>
      </c>
      <c r="B1169" s="1">
        <v>45770</v>
      </c>
      <c r="C1169" t="s">
        <v>34</v>
      </c>
      <c r="D1169">
        <v>23</v>
      </c>
      <c r="E1169">
        <v>4</v>
      </c>
      <c r="F1169">
        <v>2</v>
      </c>
      <c r="G1169">
        <v>2025</v>
      </c>
      <c r="H1169" t="s">
        <v>653</v>
      </c>
      <c r="I1169" t="s">
        <v>565</v>
      </c>
      <c r="J1169" t="s">
        <v>17</v>
      </c>
      <c r="K1169">
        <v>20</v>
      </c>
      <c r="L1169">
        <v>5</v>
      </c>
      <c r="M1169">
        <v>102</v>
      </c>
    </row>
    <row r="1170" spans="1:13">
      <c r="A1170">
        <v>1169</v>
      </c>
      <c r="B1170" s="1">
        <v>45770</v>
      </c>
      <c r="C1170" t="s">
        <v>34</v>
      </c>
      <c r="D1170">
        <v>23</v>
      </c>
      <c r="E1170">
        <v>4</v>
      </c>
      <c r="F1170">
        <v>2</v>
      </c>
      <c r="G1170">
        <v>2025</v>
      </c>
      <c r="H1170" t="s">
        <v>653</v>
      </c>
      <c r="I1170" t="s">
        <v>167</v>
      </c>
      <c r="J1170" t="s">
        <v>23</v>
      </c>
      <c r="K1170">
        <v>43</v>
      </c>
      <c r="L1170">
        <v>8</v>
      </c>
      <c r="M1170">
        <v>351</v>
      </c>
    </row>
    <row r="1171" spans="1:13">
      <c r="A1171">
        <v>1170</v>
      </c>
      <c r="B1171" s="1">
        <v>45770</v>
      </c>
      <c r="C1171" t="s">
        <v>34</v>
      </c>
      <c r="D1171">
        <v>23</v>
      </c>
      <c r="E1171">
        <v>4</v>
      </c>
      <c r="F1171">
        <v>2</v>
      </c>
      <c r="G1171">
        <v>2025</v>
      </c>
      <c r="H1171" t="s">
        <v>653</v>
      </c>
      <c r="I1171" t="s">
        <v>339</v>
      </c>
      <c r="J1171" t="s">
        <v>19</v>
      </c>
      <c r="K1171">
        <v>16</v>
      </c>
      <c r="L1171">
        <v>13</v>
      </c>
      <c r="M1171">
        <v>211</v>
      </c>
    </row>
    <row r="1172" spans="1:13">
      <c r="A1172">
        <v>1171</v>
      </c>
      <c r="B1172" s="1">
        <v>45770</v>
      </c>
      <c r="C1172" t="s">
        <v>34</v>
      </c>
      <c r="D1172">
        <v>23</v>
      </c>
      <c r="E1172">
        <v>4</v>
      </c>
      <c r="F1172">
        <v>2</v>
      </c>
      <c r="G1172">
        <v>2025</v>
      </c>
      <c r="H1172" t="s">
        <v>653</v>
      </c>
      <c r="I1172" t="s">
        <v>213</v>
      </c>
      <c r="J1172" t="s">
        <v>69</v>
      </c>
      <c r="K1172">
        <v>39</v>
      </c>
      <c r="L1172">
        <v>7</v>
      </c>
      <c r="M1172">
        <v>289</v>
      </c>
    </row>
    <row r="1173" spans="1:13">
      <c r="A1173">
        <v>1172</v>
      </c>
      <c r="B1173" s="1">
        <v>45770</v>
      </c>
      <c r="C1173" t="s">
        <v>34</v>
      </c>
      <c r="D1173">
        <v>23</v>
      </c>
      <c r="E1173">
        <v>4</v>
      </c>
      <c r="F1173">
        <v>2</v>
      </c>
      <c r="G1173">
        <v>2025</v>
      </c>
      <c r="H1173" t="s">
        <v>653</v>
      </c>
      <c r="I1173" t="s">
        <v>193</v>
      </c>
      <c r="J1173" t="s">
        <v>55</v>
      </c>
      <c r="K1173">
        <v>39</v>
      </c>
      <c r="L1173">
        <v>5</v>
      </c>
      <c r="M1173">
        <v>211</v>
      </c>
    </row>
    <row r="1174" spans="1:13">
      <c r="A1174">
        <v>1173</v>
      </c>
      <c r="B1174" s="1">
        <v>45770</v>
      </c>
      <c r="C1174" t="s">
        <v>34</v>
      </c>
      <c r="D1174">
        <v>23</v>
      </c>
      <c r="E1174">
        <v>4</v>
      </c>
      <c r="F1174">
        <v>2</v>
      </c>
      <c r="G1174">
        <v>2025</v>
      </c>
      <c r="H1174" t="s">
        <v>653</v>
      </c>
      <c r="I1174" t="s">
        <v>207</v>
      </c>
      <c r="J1174" t="s">
        <v>19</v>
      </c>
      <c r="K1174">
        <v>40</v>
      </c>
      <c r="L1174">
        <v>3</v>
      </c>
      <c r="M1174">
        <v>158</v>
      </c>
    </row>
    <row r="1175" spans="1:13">
      <c r="A1175">
        <v>1174</v>
      </c>
      <c r="B1175" s="1">
        <v>45770</v>
      </c>
      <c r="C1175" t="s">
        <v>34</v>
      </c>
      <c r="D1175">
        <v>23</v>
      </c>
      <c r="E1175">
        <v>4</v>
      </c>
      <c r="F1175">
        <v>2</v>
      </c>
      <c r="G1175">
        <v>2025</v>
      </c>
      <c r="H1175" t="s">
        <v>653</v>
      </c>
      <c r="I1175" t="s">
        <v>50</v>
      </c>
      <c r="J1175" t="s">
        <v>51</v>
      </c>
      <c r="K1175">
        <v>60</v>
      </c>
      <c r="L1175">
        <v>2</v>
      </c>
      <c r="M1175">
        <v>159</v>
      </c>
    </row>
    <row r="1176" spans="1:13">
      <c r="A1176">
        <v>1175</v>
      </c>
      <c r="B1176" s="1">
        <v>45821</v>
      </c>
      <c r="C1176" t="s">
        <v>79</v>
      </c>
      <c r="D1176">
        <v>13</v>
      </c>
      <c r="E1176">
        <v>6</v>
      </c>
      <c r="F1176">
        <v>2</v>
      </c>
      <c r="G1176">
        <v>2025</v>
      </c>
      <c r="H1176" t="s">
        <v>656</v>
      </c>
      <c r="I1176" t="s">
        <v>294</v>
      </c>
      <c r="J1176" t="s">
        <v>51</v>
      </c>
      <c r="K1176">
        <v>59</v>
      </c>
      <c r="L1176">
        <v>4</v>
      </c>
      <c r="M1176">
        <v>266</v>
      </c>
    </row>
    <row r="1177" spans="1:13">
      <c r="A1177">
        <v>1176</v>
      </c>
      <c r="B1177" s="1">
        <v>45821</v>
      </c>
      <c r="C1177" t="s">
        <v>79</v>
      </c>
      <c r="D1177">
        <v>13</v>
      </c>
      <c r="E1177">
        <v>6</v>
      </c>
      <c r="F1177">
        <v>2</v>
      </c>
      <c r="G1177">
        <v>2025</v>
      </c>
      <c r="H1177" t="s">
        <v>656</v>
      </c>
      <c r="I1177" t="s">
        <v>505</v>
      </c>
      <c r="J1177" t="s">
        <v>100</v>
      </c>
      <c r="K1177">
        <v>27</v>
      </c>
      <c r="L1177">
        <v>10</v>
      </c>
      <c r="M1177">
        <v>279</v>
      </c>
    </row>
    <row r="1178" spans="1:13">
      <c r="A1178">
        <v>1177</v>
      </c>
      <c r="B1178" s="1">
        <v>45821</v>
      </c>
      <c r="C1178" t="s">
        <v>79</v>
      </c>
      <c r="D1178">
        <v>13</v>
      </c>
      <c r="E1178">
        <v>6</v>
      </c>
      <c r="F1178">
        <v>2</v>
      </c>
      <c r="G1178">
        <v>2025</v>
      </c>
      <c r="H1178" t="s">
        <v>656</v>
      </c>
      <c r="I1178" t="s">
        <v>269</v>
      </c>
      <c r="J1178" t="s">
        <v>60</v>
      </c>
      <c r="K1178">
        <v>10</v>
      </c>
      <c r="L1178">
        <v>18</v>
      </c>
      <c r="M1178">
        <v>180</v>
      </c>
    </row>
    <row r="1179" spans="1:13">
      <c r="A1179">
        <v>1178</v>
      </c>
      <c r="B1179" s="1">
        <v>45821</v>
      </c>
      <c r="C1179" t="s">
        <v>79</v>
      </c>
      <c r="D1179">
        <v>13</v>
      </c>
      <c r="E1179">
        <v>6</v>
      </c>
      <c r="F1179">
        <v>2</v>
      </c>
      <c r="G1179">
        <v>2025</v>
      </c>
      <c r="H1179" t="s">
        <v>656</v>
      </c>
      <c r="I1179" t="s">
        <v>650</v>
      </c>
      <c r="J1179" t="s">
        <v>37</v>
      </c>
      <c r="K1179">
        <v>10</v>
      </c>
      <c r="L1179">
        <v>33</v>
      </c>
      <c r="M1179">
        <v>331</v>
      </c>
    </row>
    <row r="1180" spans="1:13">
      <c r="A1180">
        <v>1179</v>
      </c>
      <c r="B1180" s="1">
        <v>45821</v>
      </c>
      <c r="C1180" t="s">
        <v>79</v>
      </c>
      <c r="D1180">
        <v>13</v>
      </c>
      <c r="E1180">
        <v>6</v>
      </c>
      <c r="F1180">
        <v>2</v>
      </c>
      <c r="G1180">
        <v>2025</v>
      </c>
      <c r="H1180" t="s">
        <v>656</v>
      </c>
      <c r="I1180" t="s">
        <v>207</v>
      </c>
      <c r="J1180" t="s">
        <v>19</v>
      </c>
      <c r="K1180">
        <v>44</v>
      </c>
      <c r="L1180">
        <v>3</v>
      </c>
      <c r="M1180">
        <v>158</v>
      </c>
    </row>
    <row r="1181" spans="1:13">
      <c r="A1181">
        <v>1180</v>
      </c>
      <c r="B1181" s="1">
        <v>45821</v>
      </c>
      <c r="C1181" t="s">
        <v>79</v>
      </c>
      <c r="D1181">
        <v>13</v>
      </c>
      <c r="E1181">
        <v>6</v>
      </c>
      <c r="F1181">
        <v>2</v>
      </c>
      <c r="G1181">
        <v>2025</v>
      </c>
      <c r="H1181" t="s">
        <v>656</v>
      </c>
      <c r="I1181" t="s">
        <v>508</v>
      </c>
      <c r="J1181" t="s">
        <v>43</v>
      </c>
      <c r="K1181">
        <v>28</v>
      </c>
      <c r="L1181">
        <v>3</v>
      </c>
      <c r="M1181">
        <v>110</v>
      </c>
    </row>
    <row r="1182" spans="1:13">
      <c r="A1182">
        <v>1181</v>
      </c>
      <c r="B1182" s="1">
        <v>46254</v>
      </c>
      <c r="C1182" t="s">
        <v>105</v>
      </c>
      <c r="D1182">
        <v>20</v>
      </c>
      <c r="E1182">
        <v>8</v>
      </c>
      <c r="F1182">
        <v>3</v>
      </c>
      <c r="G1182">
        <v>2026</v>
      </c>
      <c r="H1182" t="s">
        <v>264</v>
      </c>
      <c r="I1182" t="s">
        <v>84</v>
      </c>
      <c r="J1182" t="s">
        <v>31</v>
      </c>
      <c r="K1182">
        <v>20</v>
      </c>
      <c r="L1182">
        <v>13</v>
      </c>
      <c r="M1182">
        <v>266</v>
      </c>
    </row>
    <row r="1183" spans="1:13">
      <c r="A1183">
        <v>1182</v>
      </c>
      <c r="B1183" s="1">
        <v>46254</v>
      </c>
      <c r="C1183" t="s">
        <v>105</v>
      </c>
      <c r="D1183">
        <v>20</v>
      </c>
      <c r="E1183">
        <v>8</v>
      </c>
      <c r="F1183">
        <v>3</v>
      </c>
      <c r="G1183">
        <v>2026</v>
      </c>
      <c r="H1183" t="s">
        <v>264</v>
      </c>
      <c r="I1183" t="s">
        <v>378</v>
      </c>
      <c r="J1183" t="s">
        <v>57</v>
      </c>
      <c r="K1183">
        <v>32</v>
      </c>
      <c r="L1183">
        <v>9</v>
      </c>
      <c r="M1183">
        <v>295</v>
      </c>
    </row>
    <row r="1184" spans="1:13">
      <c r="A1184">
        <v>1183</v>
      </c>
      <c r="B1184" s="1">
        <v>46254</v>
      </c>
      <c r="C1184" t="s">
        <v>105</v>
      </c>
      <c r="D1184">
        <v>20</v>
      </c>
      <c r="E1184">
        <v>8</v>
      </c>
      <c r="F1184">
        <v>3</v>
      </c>
      <c r="G1184">
        <v>2026</v>
      </c>
      <c r="H1184" t="s">
        <v>264</v>
      </c>
      <c r="I1184" t="s">
        <v>289</v>
      </c>
      <c r="J1184" t="s">
        <v>60</v>
      </c>
      <c r="K1184">
        <v>42</v>
      </c>
      <c r="L1184">
        <v>3</v>
      </c>
      <c r="M1184">
        <v>147</v>
      </c>
    </row>
    <row r="1185" spans="1:13">
      <c r="A1185">
        <v>1184</v>
      </c>
      <c r="B1185" s="1">
        <v>45869</v>
      </c>
      <c r="C1185" t="s">
        <v>105</v>
      </c>
      <c r="D1185">
        <v>31</v>
      </c>
      <c r="E1185">
        <v>7</v>
      </c>
      <c r="F1185">
        <v>3</v>
      </c>
      <c r="G1185">
        <v>2025</v>
      </c>
      <c r="H1185" t="s">
        <v>74</v>
      </c>
      <c r="I1185" t="s">
        <v>641</v>
      </c>
      <c r="J1185" t="s">
        <v>46</v>
      </c>
      <c r="K1185">
        <v>58</v>
      </c>
      <c r="L1185">
        <v>4</v>
      </c>
      <c r="M1185">
        <v>257</v>
      </c>
    </row>
    <row r="1186" spans="1:13">
      <c r="A1186">
        <v>1185</v>
      </c>
      <c r="B1186" s="1">
        <v>45869</v>
      </c>
      <c r="C1186" t="s">
        <v>105</v>
      </c>
      <c r="D1186">
        <v>31</v>
      </c>
      <c r="E1186">
        <v>7</v>
      </c>
      <c r="F1186">
        <v>3</v>
      </c>
      <c r="G1186">
        <v>2025</v>
      </c>
      <c r="H1186" t="s">
        <v>74</v>
      </c>
      <c r="I1186" t="s">
        <v>95</v>
      </c>
      <c r="J1186" t="s">
        <v>46</v>
      </c>
      <c r="K1186">
        <v>28</v>
      </c>
      <c r="L1186">
        <v>4</v>
      </c>
      <c r="M1186">
        <v>113</v>
      </c>
    </row>
    <row r="1187" spans="1:13">
      <c r="A1187">
        <v>1186</v>
      </c>
      <c r="B1187" s="1">
        <v>45869</v>
      </c>
      <c r="C1187" t="s">
        <v>105</v>
      </c>
      <c r="D1187">
        <v>31</v>
      </c>
      <c r="E1187">
        <v>7</v>
      </c>
      <c r="F1187">
        <v>3</v>
      </c>
      <c r="G1187">
        <v>2025</v>
      </c>
      <c r="H1187" t="s">
        <v>74</v>
      </c>
      <c r="I1187" t="s">
        <v>472</v>
      </c>
      <c r="J1187" t="s">
        <v>122</v>
      </c>
      <c r="K1187">
        <v>20</v>
      </c>
      <c r="L1187">
        <v>3</v>
      </c>
      <c r="M1187">
        <v>73</v>
      </c>
    </row>
    <row r="1188" spans="1:13">
      <c r="A1188">
        <v>1187</v>
      </c>
      <c r="B1188" s="1">
        <v>45869</v>
      </c>
      <c r="C1188" t="s">
        <v>105</v>
      </c>
      <c r="D1188">
        <v>31</v>
      </c>
      <c r="E1188">
        <v>7</v>
      </c>
      <c r="F1188">
        <v>3</v>
      </c>
      <c r="G1188">
        <v>2025</v>
      </c>
      <c r="H1188" t="s">
        <v>74</v>
      </c>
      <c r="I1188" t="s">
        <v>215</v>
      </c>
      <c r="J1188" t="s">
        <v>51</v>
      </c>
      <c r="K1188">
        <v>18</v>
      </c>
      <c r="L1188">
        <v>14</v>
      </c>
      <c r="M1188">
        <v>269</v>
      </c>
    </row>
    <row r="1189" spans="1:13">
      <c r="A1189">
        <v>1188</v>
      </c>
      <c r="B1189" s="1">
        <v>45869</v>
      </c>
      <c r="C1189" t="s">
        <v>105</v>
      </c>
      <c r="D1189">
        <v>31</v>
      </c>
      <c r="E1189">
        <v>7</v>
      </c>
      <c r="F1189">
        <v>3</v>
      </c>
      <c r="G1189">
        <v>2025</v>
      </c>
      <c r="H1189" t="s">
        <v>74</v>
      </c>
      <c r="I1189" t="s">
        <v>521</v>
      </c>
      <c r="J1189" t="s">
        <v>17</v>
      </c>
      <c r="K1189">
        <v>35</v>
      </c>
      <c r="L1189">
        <v>3</v>
      </c>
      <c r="M1189">
        <v>131</v>
      </c>
    </row>
    <row r="1190" spans="1:13">
      <c r="A1190">
        <v>1189</v>
      </c>
      <c r="B1190" s="1">
        <v>45869</v>
      </c>
      <c r="C1190" t="s">
        <v>105</v>
      </c>
      <c r="D1190">
        <v>31</v>
      </c>
      <c r="E1190">
        <v>7</v>
      </c>
      <c r="F1190">
        <v>3</v>
      </c>
      <c r="G1190">
        <v>2025</v>
      </c>
      <c r="H1190" t="s">
        <v>74</v>
      </c>
      <c r="I1190" t="s">
        <v>316</v>
      </c>
      <c r="J1190" t="s">
        <v>97</v>
      </c>
      <c r="K1190">
        <v>45</v>
      </c>
      <c r="L1190">
        <v>1</v>
      </c>
      <c r="M1190">
        <v>79</v>
      </c>
    </row>
    <row r="1191" spans="1:13">
      <c r="A1191">
        <v>1190</v>
      </c>
      <c r="B1191" s="1">
        <v>45869</v>
      </c>
      <c r="C1191" t="s">
        <v>105</v>
      </c>
      <c r="D1191">
        <v>31</v>
      </c>
      <c r="E1191">
        <v>7</v>
      </c>
      <c r="F1191">
        <v>3</v>
      </c>
      <c r="G1191">
        <v>2025</v>
      </c>
      <c r="H1191" t="s">
        <v>74</v>
      </c>
      <c r="I1191" t="s">
        <v>61</v>
      </c>
      <c r="J1191" t="s">
        <v>55</v>
      </c>
      <c r="K1191">
        <v>54</v>
      </c>
      <c r="L1191">
        <v>3</v>
      </c>
      <c r="M1191">
        <v>198</v>
      </c>
    </row>
    <row r="1192" spans="1:13">
      <c r="A1192">
        <v>1191</v>
      </c>
      <c r="B1192" s="1">
        <v>45869</v>
      </c>
      <c r="C1192" t="s">
        <v>105</v>
      </c>
      <c r="D1192">
        <v>31</v>
      </c>
      <c r="E1192">
        <v>7</v>
      </c>
      <c r="F1192">
        <v>3</v>
      </c>
      <c r="G1192">
        <v>2025</v>
      </c>
      <c r="H1192" t="s">
        <v>74</v>
      </c>
      <c r="I1192" t="s">
        <v>138</v>
      </c>
      <c r="J1192" t="s">
        <v>97</v>
      </c>
      <c r="K1192">
        <v>50</v>
      </c>
      <c r="L1192">
        <v>5</v>
      </c>
      <c r="M1192">
        <v>258</v>
      </c>
    </row>
    <row r="1193" spans="1:13">
      <c r="A1193">
        <v>1192</v>
      </c>
      <c r="B1193" s="1">
        <v>45869</v>
      </c>
      <c r="C1193" t="s">
        <v>105</v>
      </c>
      <c r="D1193">
        <v>31</v>
      </c>
      <c r="E1193">
        <v>7</v>
      </c>
      <c r="F1193">
        <v>3</v>
      </c>
      <c r="G1193">
        <v>2025</v>
      </c>
      <c r="H1193" t="s">
        <v>74</v>
      </c>
      <c r="I1193" t="s">
        <v>553</v>
      </c>
      <c r="J1193" t="s">
        <v>100</v>
      </c>
      <c r="K1193">
        <v>30</v>
      </c>
      <c r="L1193">
        <v>2</v>
      </c>
      <c r="M1193">
        <v>76</v>
      </c>
    </row>
    <row r="1194" spans="1:13">
      <c r="A1194">
        <v>1193</v>
      </c>
      <c r="B1194" s="1">
        <v>45877</v>
      </c>
      <c r="C1194" t="s">
        <v>79</v>
      </c>
      <c r="D1194">
        <v>8</v>
      </c>
      <c r="E1194">
        <v>8</v>
      </c>
      <c r="F1194">
        <v>3</v>
      </c>
      <c r="G1194">
        <v>2025</v>
      </c>
      <c r="H1194" t="s">
        <v>657</v>
      </c>
      <c r="I1194" t="s">
        <v>658</v>
      </c>
      <c r="J1194" t="s">
        <v>69</v>
      </c>
      <c r="K1194">
        <v>53</v>
      </c>
      <c r="L1194">
        <v>2</v>
      </c>
      <c r="M1194">
        <v>142</v>
      </c>
    </row>
    <row r="1195" spans="1:13">
      <c r="A1195">
        <v>1194</v>
      </c>
      <c r="B1195" s="1">
        <v>45877</v>
      </c>
      <c r="C1195" t="s">
        <v>79</v>
      </c>
      <c r="D1195">
        <v>8</v>
      </c>
      <c r="E1195">
        <v>8</v>
      </c>
      <c r="F1195">
        <v>3</v>
      </c>
      <c r="G1195">
        <v>2025</v>
      </c>
      <c r="H1195" t="s">
        <v>657</v>
      </c>
      <c r="I1195" t="s">
        <v>522</v>
      </c>
      <c r="J1195" t="s">
        <v>97</v>
      </c>
      <c r="K1195">
        <v>46</v>
      </c>
      <c r="L1195">
        <v>9</v>
      </c>
      <c r="M1195">
        <v>432</v>
      </c>
    </row>
    <row r="1196" spans="1:13">
      <c r="A1196">
        <v>1195</v>
      </c>
      <c r="B1196" s="1">
        <v>46097</v>
      </c>
      <c r="C1196" t="s">
        <v>93</v>
      </c>
      <c r="D1196">
        <v>16</v>
      </c>
      <c r="E1196">
        <v>3</v>
      </c>
      <c r="F1196">
        <v>1</v>
      </c>
      <c r="G1196">
        <v>2026</v>
      </c>
      <c r="H1196" t="s">
        <v>659</v>
      </c>
      <c r="I1196" t="s">
        <v>475</v>
      </c>
      <c r="J1196" t="s">
        <v>27</v>
      </c>
      <c r="K1196">
        <v>45</v>
      </c>
      <c r="L1196">
        <v>6</v>
      </c>
      <c r="M1196">
        <v>301</v>
      </c>
    </row>
    <row r="1197" spans="1:13">
      <c r="A1197">
        <v>1196</v>
      </c>
      <c r="B1197" s="1">
        <v>46097</v>
      </c>
      <c r="C1197" t="s">
        <v>93</v>
      </c>
      <c r="D1197">
        <v>16</v>
      </c>
      <c r="E1197">
        <v>3</v>
      </c>
      <c r="F1197">
        <v>1</v>
      </c>
      <c r="G1197">
        <v>2026</v>
      </c>
      <c r="H1197" t="s">
        <v>659</v>
      </c>
      <c r="I1197" t="s">
        <v>265</v>
      </c>
      <c r="J1197" t="s">
        <v>46</v>
      </c>
      <c r="K1197">
        <v>34</v>
      </c>
      <c r="L1197">
        <v>10</v>
      </c>
      <c r="M1197">
        <v>366</v>
      </c>
    </row>
    <row r="1198" spans="1:13">
      <c r="A1198">
        <v>1197</v>
      </c>
      <c r="B1198" s="1">
        <v>46152</v>
      </c>
      <c r="C1198" t="s">
        <v>28</v>
      </c>
      <c r="D1198">
        <v>10</v>
      </c>
      <c r="E1198">
        <v>5</v>
      </c>
      <c r="F1198">
        <v>2</v>
      </c>
      <c r="G1198">
        <v>2026</v>
      </c>
      <c r="H1198" t="s">
        <v>562</v>
      </c>
      <c r="I1198" t="s">
        <v>605</v>
      </c>
      <c r="J1198" t="s">
        <v>39</v>
      </c>
      <c r="K1198">
        <v>11</v>
      </c>
      <c r="L1198">
        <v>9</v>
      </c>
      <c r="M1198">
        <v>101</v>
      </c>
    </row>
    <row r="1199" spans="1:13">
      <c r="A1199">
        <v>1198</v>
      </c>
      <c r="B1199" s="1">
        <v>46152</v>
      </c>
      <c r="C1199" t="s">
        <v>28</v>
      </c>
      <c r="D1199">
        <v>10</v>
      </c>
      <c r="E1199">
        <v>5</v>
      </c>
      <c r="F1199">
        <v>2</v>
      </c>
      <c r="G1199">
        <v>2026</v>
      </c>
      <c r="H1199" t="s">
        <v>562</v>
      </c>
      <c r="I1199" t="s">
        <v>155</v>
      </c>
      <c r="J1199" t="s">
        <v>19</v>
      </c>
      <c r="K1199">
        <v>22</v>
      </c>
      <c r="L1199">
        <v>13</v>
      </c>
      <c r="M1199">
        <v>286</v>
      </c>
    </row>
    <row r="1200" spans="1:13">
      <c r="A1200">
        <v>1199</v>
      </c>
      <c r="B1200" s="1">
        <v>46152</v>
      </c>
      <c r="C1200" t="s">
        <v>28</v>
      </c>
      <c r="D1200">
        <v>10</v>
      </c>
      <c r="E1200">
        <v>5</v>
      </c>
      <c r="F1200">
        <v>2</v>
      </c>
      <c r="G1200">
        <v>2026</v>
      </c>
      <c r="H1200" t="s">
        <v>562</v>
      </c>
      <c r="I1200" t="s">
        <v>523</v>
      </c>
      <c r="J1200" t="s">
        <v>23</v>
      </c>
      <c r="K1200">
        <v>16</v>
      </c>
      <c r="L1200">
        <v>21</v>
      </c>
      <c r="M1200">
        <v>343</v>
      </c>
    </row>
    <row r="1201" spans="1:13">
      <c r="A1201">
        <v>1200</v>
      </c>
      <c r="B1201" s="1">
        <v>46152</v>
      </c>
      <c r="C1201" t="s">
        <v>28</v>
      </c>
      <c r="D1201">
        <v>10</v>
      </c>
      <c r="E1201">
        <v>5</v>
      </c>
      <c r="F1201">
        <v>2</v>
      </c>
      <c r="G1201">
        <v>2026</v>
      </c>
      <c r="H1201" t="s">
        <v>562</v>
      </c>
      <c r="I1201" t="s">
        <v>646</v>
      </c>
      <c r="J1201" t="s">
        <v>21</v>
      </c>
      <c r="K1201">
        <v>11</v>
      </c>
      <c r="L1201">
        <v>19</v>
      </c>
      <c r="M1201">
        <v>216</v>
      </c>
    </row>
    <row r="1202" spans="1:13">
      <c r="A1202">
        <v>1201</v>
      </c>
      <c r="B1202" s="1">
        <v>46152</v>
      </c>
      <c r="C1202" t="s">
        <v>28</v>
      </c>
      <c r="D1202">
        <v>10</v>
      </c>
      <c r="E1202">
        <v>5</v>
      </c>
      <c r="F1202">
        <v>2</v>
      </c>
      <c r="G1202">
        <v>2026</v>
      </c>
      <c r="H1202" t="s">
        <v>562</v>
      </c>
      <c r="I1202" t="s">
        <v>465</v>
      </c>
      <c r="J1202" t="s">
        <v>31</v>
      </c>
      <c r="K1202">
        <v>45</v>
      </c>
      <c r="L1202">
        <v>1</v>
      </c>
      <c r="M1202">
        <v>57</v>
      </c>
    </row>
    <row r="1203" spans="1:13">
      <c r="A1203">
        <v>1202</v>
      </c>
      <c r="B1203" s="1">
        <v>46152</v>
      </c>
      <c r="C1203" t="s">
        <v>28</v>
      </c>
      <c r="D1203">
        <v>10</v>
      </c>
      <c r="E1203">
        <v>5</v>
      </c>
      <c r="F1203">
        <v>2</v>
      </c>
      <c r="G1203">
        <v>2026</v>
      </c>
      <c r="H1203" t="s">
        <v>562</v>
      </c>
      <c r="I1203" t="s">
        <v>491</v>
      </c>
      <c r="J1203" t="s">
        <v>25</v>
      </c>
      <c r="K1203">
        <v>31</v>
      </c>
      <c r="L1203">
        <v>6</v>
      </c>
      <c r="M1203">
        <v>207</v>
      </c>
    </row>
    <row r="1204" spans="1:13">
      <c r="A1204">
        <v>1203</v>
      </c>
      <c r="B1204" s="1">
        <v>46152</v>
      </c>
      <c r="C1204" t="s">
        <v>28</v>
      </c>
      <c r="D1204">
        <v>10</v>
      </c>
      <c r="E1204">
        <v>5</v>
      </c>
      <c r="F1204">
        <v>2</v>
      </c>
      <c r="G1204">
        <v>2026</v>
      </c>
      <c r="H1204" t="s">
        <v>562</v>
      </c>
      <c r="I1204" t="s">
        <v>172</v>
      </c>
      <c r="J1204" t="s">
        <v>46</v>
      </c>
      <c r="K1204">
        <v>42</v>
      </c>
      <c r="L1204">
        <v>5</v>
      </c>
      <c r="M1204">
        <v>224</v>
      </c>
    </row>
    <row r="1205" spans="1:13">
      <c r="A1205">
        <v>1204</v>
      </c>
      <c r="B1205" s="1">
        <v>45774</v>
      </c>
      <c r="C1205" t="s">
        <v>28</v>
      </c>
      <c r="D1205">
        <v>27</v>
      </c>
      <c r="E1205">
        <v>4</v>
      </c>
      <c r="F1205">
        <v>2</v>
      </c>
      <c r="G1205">
        <v>2025</v>
      </c>
      <c r="H1205" t="s">
        <v>264</v>
      </c>
      <c r="I1205" t="s">
        <v>520</v>
      </c>
      <c r="J1205" t="s">
        <v>122</v>
      </c>
      <c r="K1205">
        <v>19</v>
      </c>
      <c r="L1205">
        <v>20</v>
      </c>
      <c r="M1205">
        <v>385</v>
      </c>
    </row>
    <row r="1206" spans="1:13">
      <c r="A1206">
        <v>1205</v>
      </c>
      <c r="B1206" s="1">
        <v>45774</v>
      </c>
      <c r="C1206" t="s">
        <v>28</v>
      </c>
      <c r="D1206">
        <v>27</v>
      </c>
      <c r="E1206">
        <v>4</v>
      </c>
      <c r="F1206">
        <v>2</v>
      </c>
      <c r="G1206">
        <v>2025</v>
      </c>
      <c r="H1206" t="s">
        <v>264</v>
      </c>
      <c r="I1206" t="s">
        <v>565</v>
      </c>
      <c r="J1206" t="s">
        <v>17</v>
      </c>
      <c r="K1206">
        <v>21</v>
      </c>
      <c r="L1206">
        <v>4</v>
      </c>
      <c r="M1206">
        <v>97</v>
      </c>
    </row>
    <row r="1207" spans="1:13">
      <c r="A1207">
        <v>1206</v>
      </c>
      <c r="B1207" s="1">
        <v>45774</v>
      </c>
      <c r="C1207" t="s">
        <v>28</v>
      </c>
      <c r="D1207">
        <v>27</v>
      </c>
      <c r="E1207">
        <v>4</v>
      </c>
      <c r="F1207">
        <v>2</v>
      </c>
      <c r="G1207">
        <v>2025</v>
      </c>
      <c r="H1207" t="s">
        <v>264</v>
      </c>
      <c r="I1207" t="s">
        <v>388</v>
      </c>
      <c r="J1207" t="s">
        <v>46</v>
      </c>
      <c r="K1207">
        <v>31</v>
      </c>
      <c r="L1207">
        <v>12</v>
      </c>
      <c r="M1207">
        <v>377</v>
      </c>
    </row>
    <row r="1208" spans="1:13">
      <c r="A1208">
        <v>1207</v>
      </c>
      <c r="B1208" s="1">
        <v>45774</v>
      </c>
      <c r="C1208" t="s">
        <v>28</v>
      </c>
      <c r="D1208">
        <v>27</v>
      </c>
      <c r="E1208">
        <v>4</v>
      </c>
      <c r="F1208">
        <v>2</v>
      </c>
      <c r="G1208">
        <v>2025</v>
      </c>
      <c r="H1208" t="s">
        <v>264</v>
      </c>
      <c r="I1208" t="s">
        <v>660</v>
      </c>
      <c r="J1208" t="s">
        <v>25</v>
      </c>
      <c r="K1208">
        <v>45</v>
      </c>
      <c r="L1208">
        <v>5</v>
      </c>
      <c r="M1208">
        <v>267</v>
      </c>
    </row>
    <row r="1209" spans="1:13">
      <c r="A1209">
        <v>1208</v>
      </c>
      <c r="B1209" s="1">
        <v>45774</v>
      </c>
      <c r="C1209" t="s">
        <v>28</v>
      </c>
      <c r="D1209">
        <v>27</v>
      </c>
      <c r="E1209">
        <v>4</v>
      </c>
      <c r="F1209">
        <v>2</v>
      </c>
      <c r="G1209">
        <v>2025</v>
      </c>
      <c r="H1209" t="s">
        <v>264</v>
      </c>
      <c r="I1209" t="s">
        <v>661</v>
      </c>
      <c r="J1209" t="s">
        <v>122</v>
      </c>
      <c r="K1209">
        <v>15</v>
      </c>
      <c r="L1209">
        <v>17</v>
      </c>
      <c r="M1209">
        <v>262</v>
      </c>
    </row>
    <row r="1210" spans="1:13">
      <c r="A1210">
        <v>1209</v>
      </c>
      <c r="B1210" s="1">
        <v>45774</v>
      </c>
      <c r="C1210" t="s">
        <v>28</v>
      </c>
      <c r="D1210">
        <v>27</v>
      </c>
      <c r="E1210">
        <v>4</v>
      </c>
      <c r="F1210">
        <v>2</v>
      </c>
      <c r="G1210">
        <v>2025</v>
      </c>
      <c r="H1210" t="s">
        <v>264</v>
      </c>
      <c r="I1210" t="s">
        <v>471</v>
      </c>
      <c r="J1210" t="s">
        <v>19</v>
      </c>
      <c r="K1210">
        <v>28</v>
      </c>
      <c r="L1210">
        <v>13</v>
      </c>
      <c r="M1210">
        <v>385</v>
      </c>
    </row>
    <row r="1211" spans="1:13">
      <c r="A1211">
        <v>1210</v>
      </c>
      <c r="B1211" s="1">
        <v>45774</v>
      </c>
      <c r="C1211" t="s">
        <v>28</v>
      </c>
      <c r="D1211">
        <v>27</v>
      </c>
      <c r="E1211">
        <v>4</v>
      </c>
      <c r="F1211">
        <v>2</v>
      </c>
      <c r="G1211">
        <v>2025</v>
      </c>
      <c r="H1211" t="s">
        <v>264</v>
      </c>
      <c r="I1211" t="s">
        <v>662</v>
      </c>
      <c r="J1211" t="s">
        <v>21</v>
      </c>
      <c r="K1211">
        <v>14</v>
      </c>
      <c r="L1211">
        <v>17</v>
      </c>
      <c r="M1211">
        <v>251</v>
      </c>
    </row>
    <row r="1212" spans="1:13">
      <c r="A1212">
        <v>1211</v>
      </c>
      <c r="B1212" s="1">
        <v>45774</v>
      </c>
      <c r="C1212" t="s">
        <v>28</v>
      </c>
      <c r="D1212">
        <v>27</v>
      </c>
      <c r="E1212">
        <v>4</v>
      </c>
      <c r="F1212">
        <v>2</v>
      </c>
      <c r="G1212">
        <v>2025</v>
      </c>
      <c r="H1212" t="s">
        <v>264</v>
      </c>
      <c r="I1212" t="s">
        <v>558</v>
      </c>
      <c r="J1212" t="s">
        <v>43</v>
      </c>
      <c r="K1212">
        <v>57</v>
      </c>
      <c r="L1212">
        <v>3</v>
      </c>
      <c r="M1212">
        <v>183</v>
      </c>
    </row>
    <row r="1213" spans="1:13">
      <c r="A1213">
        <v>1212</v>
      </c>
      <c r="B1213" s="1">
        <v>45647</v>
      </c>
      <c r="C1213" t="s">
        <v>14</v>
      </c>
      <c r="D1213">
        <v>21</v>
      </c>
      <c r="E1213">
        <v>12</v>
      </c>
      <c r="F1213">
        <v>4</v>
      </c>
      <c r="G1213">
        <v>2024</v>
      </c>
      <c r="H1213" t="s">
        <v>436</v>
      </c>
      <c r="I1213" t="s">
        <v>54</v>
      </c>
      <c r="J1213" t="s">
        <v>55</v>
      </c>
      <c r="K1213">
        <v>26</v>
      </c>
      <c r="L1213">
        <v>10</v>
      </c>
      <c r="M1213">
        <v>282</v>
      </c>
    </row>
    <row r="1214" spans="1:13">
      <c r="A1214">
        <v>1213</v>
      </c>
      <c r="B1214" s="1">
        <v>45780</v>
      </c>
      <c r="C1214" t="s">
        <v>14</v>
      </c>
      <c r="D1214">
        <v>3</v>
      </c>
      <c r="E1214">
        <v>5</v>
      </c>
      <c r="F1214">
        <v>2</v>
      </c>
      <c r="G1214">
        <v>2025</v>
      </c>
      <c r="H1214" t="s">
        <v>580</v>
      </c>
      <c r="I1214" t="s">
        <v>528</v>
      </c>
      <c r="J1214" t="s">
        <v>69</v>
      </c>
      <c r="K1214">
        <v>11</v>
      </c>
      <c r="L1214">
        <v>8</v>
      </c>
      <c r="M1214">
        <v>96</v>
      </c>
    </row>
    <row r="1215" spans="1:13">
      <c r="A1215">
        <v>1214</v>
      </c>
      <c r="B1215" s="1">
        <v>45780</v>
      </c>
      <c r="C1215" t="s">
        <v>14</v>
      </c>
      <c r="D1215">
        <v>3</v>
      </c>
      <c r="E1215">
        <v>5</v>
      </c>
      <c r="F1215">
        <v>2</v>
      </c>
      <c r="G1215">
        <v>2025</v>
      </c>
      <c r="H1215" t="s">
        <v>580</v>
      </c>
      <c r="I1215" t="s">
        <v>153</v>
      </c>
      <c r="J1215" t="s">
        <v>37</v>
      </c>
      <c r="K1215">
        <v>44</v>
      </c>
      <c r="L1215">
        <v>7</v>
      </c>
      <c r="M1215">
        <v>340</v>
      </c>
    </row>
    <row r="1216" spans="1:13">
      <c r="A1216">
        <v>1215</v>
      </c>
      <c r="B1216" s="1">
        <v>45780</v>
      </c>
      <c r="C1216" t="s">
        <v>14</v>
      </c>
      <c r="D1216">
        <v>3</v>
      </c>
      <c r="E1216">
        <v>5</v>
      </c>
      <c r="F1216">
        <v>2</v>
      </c>
      <c r="G1216">
        <v>2025</v>
      </c>
      <c r="H1216" t="s">
        <v>580</v>
      </c>
      <c r="I1216" t="s">
        <v>184</v>
      </c>
      <c r="J1216" t="s">
        <v>31</v>
      </c>
      <c r="K1216">
        <v>12</v>
      </c>
      <c r="L1216">
        <v>27</v>
      </c>
      <c r="M1216">
        <v>333</v>
      </c>
    </row>
    <row r="1217" spans="1:13">
      <c r="A1217">
        <v>1216</v>
      </c>
      <c r="B1217" s="1">
        <v>45599</v>
      </c>
      <c r="C1217" t="s">
        <v>28</v>
      </c>
      <c r="D1217">
        <v>3</v>
      </c>
      <c r="E1217">
        <v>11</v>
      </c>
      <c r="F1217">
        <v>4</v>
      </c>
      <c r="G1217">
        <v>2024</v>
      </c>
      <c r="H1217" t="s">
        <v>585</v>
      </c>
      <c r="I1217" t="s">
        <v>484</v>
      </c>
      <c r="J1217" t="s">
        <v>25</v>
      </c>
      <c r="K1217">
        <v>23</v>
      </c>
      <c r="L1217">
        <v>5</v>
      </c>
      <c r="M1217">
        <v>126</v>
      </c>
    </row>
    <row r="1218" spans="1:13">
      <c r="A1218">
        <v>1217</v>
      </c>
      <c r="B1218" s="1">
        <v>46093</v>
      </c>
      <c r="C1218" t="s">
        <v>105</v>
      </c>
      <c r="D1218">
        <v>12</v>
      </c>
      <c r="E1218">
        <v>3</v>
      </c>
      <c r="F1218">
        <v>1</v>
      </c>
      <c r="G1218">
        <v>2026</v>
      </c>
      <c r="H1218" t="s">
        <v>35</v>
      </c>
      <c r="I1218" t="s">
        <v>310</v>
      </c>
      <c r="J1218" t="s">
        <v>60</v>
      </c>
      <c r="K1218">
        <v>20</v>
      </c>
      <c r="L1218">
        <v>3</v>
      </c>
      <c r="M1218">
        <v>73</v>
      </c>
    </row>
    <row r="1219" spans="1:13">
      <c r="A1219">
        <v>1218</v>
      </c>
      <c r="B1219" s="1">
        <v>46093</v>
      </c>
      <c r="C1219" t="s">
        <v>105</v>
      </c>
      <c r="D1219">
        <v>12</v>
      </c>
      <c r="E1219">
        <v>3</v>
      </c>
      <c r="F1219">
        <v>1</v>
      </c>
      <c r="G1219">
        <v>2026</v>
      </c>
      <c r="H1219" t="s">
        <v>35</v>
      </c>
      <c r="I1219" t="s">
        <v>652</v>
      </c>
      <c r="J1219" t="s">
        <v>37</v>
      </c>
      <c r="K1219">
        <v>53</v>
      </c>
      <c r="L1219">
        <v>3</v>
      </c>
      <c r="M1219">
        <v>211</v>
      </c>
    </row>
    <row r="1220" spans="1:13">
      <c r="A1220">
        <v>1219</v>
      </c>
      <c r="B1220" s="1">
        <v>45722</v>
      </c>
      <c r="C1220" t="s">
        <v>105</v>
      </c>
      <c r="D1220">
        <v>6</v>
      </c>
      <c r="E1220">
        <v>3</v>
      </c>
      <c r="F1220">
        <v>1</v>
      </c>
      <c r="G1220">
        <v>2025</v>
      </c>
      <c r="H1220" t="s">
        <v>414</v>
      </c>
      <c r="I1220" t="s">
        <v>490</v>
      </c>
      <c r="J1220" t="s">
        <v>43</v>
      </c>
      <c r="K1220">
        <v>11</v>
      </c>
      <c r="L1220">
        <v>16</v>
      </c>
      <c r="M1220">
        <v>182</v>
      </c>
    </row>
    <row r="1221" spans="1:13">
      <c r="A1221">
        <v>1220</v>
      </c>
      <c r="B1221" s="1">
        <v>45722</v>
      </c>
      <c r="C1221" t="s">
        <v>105</v>
      </c>
      <c r="D1221">
        <v>6</v>
      </c>
      <c r="E1221">
        <v>3</v>
      </c>
      <c r="F1221">
        <v>1</v>
      </c>
      <c r="G1221">
        <v>2025</v>
      </c>
      <c r="H1221" t="s">
        <v>414</v>
      </c>
      <c r="I1221" t="s">
        <v>137</v>
      </c>
      <c r="J1221" t="s">
        <v>82</v>
      </c>
      <c r="K1221">
        <v>48</v>
      </c>
      <c r="L1221">
        <v>6</v>
      </c>
      <c r="M1221">
        <v>288</v>
      </c>
    </row>
    <row r="1222" spans="1:13">
      <c r="A1222">
        <v>1221</v>
      </c>
      <c r="B1222" s="1">
        <v>45722</v>
      </c>
      <c r="C1222" t="s">
        <v>105</v>
      </c>
      <c r="D1222">
        <v>6</v>
      </c>
      <c r="E1222">
        <v>3</v>
      </c>
      <c r="F1222">
        <v>1</v>
      </c>
      <c r="G1222">
        <v>2025</v>
      </c>
      <c r="H1222" t="s">
        <v>414</v>
      </c>
      <c r="I1222" t="s">
        <v>543</v>
      </c>
      <c r="J1222" t="s">
        <v>37</v>
      </c>
      <c r="K1222">
        <v>35</v>
      </c>
      <c r="L1222">
        <v>7</v>
      </c>
      <c r="M1222">
        <v>252</v>
      </c>
    </row>
    <row r="1223" spans="1:13">
      <c r="A1223">
        <v>1222</v>
      </c>
      <c r="B1223" s="1">
        <v>45722</v>
      </c>
      <c r="C1223" t="s">
        <v>105</v>
      </c>
      <c r="D1223">
        <v>6</v>
      </c>
      <c r="E1223">
        <v>3</v>
      </c>
      <c r="F1223">
        <v>1</v>
      </c>
      <c r="G1223">
        <v>2025</v>
      </c>
      <c r="H1223" t="s">
        <v>414</v>
      </c>
      <c r="I1223" t="s">
        <v>170</v>
      </c>
      <c r="J1223" t="s">
        <v>82</v>
      </c>
      <c r="K1223">
        <v>36</v>
      </c>
      <c r="L1223">
        <v>5</v>
      </c>
      <c r="M1223">
        <v>206</v>
      </c>
    </row>
    <row r="1224" spans="1:13">
      <c r="A1224">
        <v>1223</v>
      </c>
      <c r="B1224" s="1">
        <v>45722</v>
      </c>
      <c r="C1224" t="s">
        <v>105</v>
      </c>
      <c r="D1224">
        <v>6</v>
      </c>
      <c r="E1224">
        <v>3</v>
      </c>
      <c r="F1224">
        <v>1</v>
      </c>
      <c r="G1224">
        <v>2025</v>
      </c>
      <c r="H1224" t="s">
        <v>414</v>
      </c>
      <c r="I1224" t="s">
        <v>123</v>
      </c>
      <c r="J1224" t="s">
        <v>43</v>
      </c>
      <c r="K1224">
        <v>59</v>
      </c>
      <c r="L1224">
        <v>2</v>
      </c>
      <c r="M1224">
        <v>159</v>
      </c>
    </row>
    <row r="1225" spans="1:13">
      <c r="A1225">
        <v>1224</v>
      </c>
      <c r="B1225" s="1">
        <v>45722</v>
      </c>
      <c r="C1225" t="s">
        <v>105</v>
      </c>
      <c r="D1225">
        <v>6</v>
      </c>
      <c r="E1225">
        <v>3</v>
      </c>
      <c r="F1225">
        <v>1</v>
      </c>
      <c r="G1225">
        <v>2025</v>
      </c>
      <c r="H1225" t="s">
        <v>414</v>
      </c>
      <c r="I1225" t="s">
        <v>663</v>
      </c>
      <c r="J1225" t="s">
        <v>27</v>
      </c>
      <c r="K1225">
        <v>36</v>
      </c>
      <c r="L1225">
        <v>2</v>
      </c>
      <c r="M1225">
        <v>94</v>
      </c>
    </row>
    <row r="1226" spans="1:13">
      <c r="A1226">
        <v>1225</v>
      </c>
      <c r="B1226" s="1">
        <v>45722</v>
      </c>
      <c r="C1226" t="s">
        <v>105</v>
      </c>
      <c r="D1226">
        <v>6</v>
      </c>
      <c r="E1226">
        <v>3</v>
      </c>
      <c r="F1226">
        <v>1</v>
      </c>
      <c r="G1226">
        <v>2025</v>
      </c>
      <c r="H1226" t="s">
        <v>414</v>
      </c>
      <c r="I1226" t="s">
        <v>186</v>
      </c>
      <c r="J1226" t="s">
        <v>37</v>
      </c>
      <c r="K1226">
        <v>39</v>
      </c>
      <c r="L1226">
        <v>4</v>
      </c>
      <c r="M1226">
        <v>182</v>
      </c>
    </row>
    <row r="1227" spans="1:13">
      <c r="A1227">
        <v>1226</v>
      </c>
      <c r="B1227" s="1">
        <v>45722</v>
      </c>
      <c r="C1227" t="s">
        <v>105</v>
      </c>
      <c r="D1227">
        <v>6</v>
      </c>
      <c r="E1227">
        <v>3</v>
      </c>
      <c r="F1227">
        <v>1</v>
      </c>
      <c r="G1227">
        <v>2025</v>
      </c>
      <c r="H1227" t="s">
        <v>414</v>
      </c>
      <c r="I1227" t="s">
        <v>593</v>
      </c>
      <c r="J1227" t="s">
        <v>97</v>
      </c>
      <c r="K1227">
        <v>34</v>
      </c>
      <c r="L1227">
        <v>8</v>
      </c>
      <c r="M1227">
        <v>273</v>
      </c>
    </row>
    <row r="1228" spans="1:13">
      <c r="A1228">
        <v>1227</v>
      </c>
      <c r="B1228" s="1">
        <v>45722</v>
      </c>
      <c r="C1228" t="s">
        <v>105</v>
      </c>
      <c r="D1228">
        <v>6</v>
      </c>
      <c r="E1228">
        <v>3</v>
      </c>
      <c r="F1228">
        <v>1</v>
      </c>
      <c r="G1228">
        <v>2025</v>
      </c>
      <c r="H1228" t="s">
        <v>414</v>
      </c>
      <c r="I1228" t="s">
        <v>181</v>
      </c>
      <c r="J1228" t="s">
        <v>82</v>
      </c>
      <c r="K1228">
        <v>20</v>
      </c>
      <c r="L1228">
        <v>5</v>
      </c>
      <c r="M1228">
        <v>108</v>
      </c>
    </row>
    <row r="1229" spans="1:13">
      <c r="A1229">
        <v>1228</v>
      </c>
      <c r="B1229" s="1">
        <v>45722</v>
      </c>
      <c r="C1229" t="s">
        <v>105</v>
      </c>
      <c r="D1229">
        <v>6</v>
      </c>
      <c r="E1229">
        <v>3</v>
      </c>
      <c r="F1229">
        <v>1</v>
      </c>
      <c r="G1229">
        <v>2025</v>
      </c>
      <c r="H1229" t="s">
        <v>414</v>
      </c>
      <c r="I1229" t="s">
        <v>286</v>
      </c>
      <c r="J1229" t="s">
        <v>97</v>
      </c>
      <c r="K1229">
        <v>49</v>
      </c>
      <c r="L1229">
        <v>6</v>
      </c>
      <c r="M1229">
        <v>299</v>
      </c>
    </row>
    <row r="1230" spans="1:13">
      <c r="A1230">
        <v>1229</v>
      </c>
      <c r="B1230" s="1">
        <v>45722</v>
      </c>
      <c r="C1230" t="s">
        <v>105</v>
      </c>
      <c r="D1230">
        <v>6</v>
      </c>
      <c r="E1230">
        <v>3</v>
      </c>
      <c r="F1230">
        <v>1</v>
      </c>
      <c r="G1230">
        <v>2025</v>
      </c>
      <c r="H1230" t="s">
        <v>414</v>
      </c>
      <c r="I1230" t="s">
        <v>294</v>
      </c>
      <c r="J1230" t="s">
        <v>51</v>
      </c>
      <c r="K1230">
        <v>28</v>
      </c>
      <c r="L1230">
        <v>9</v>
      </c>
      <c r="M1230">
        <v>273</v>
      </c>
    </row>
    <row r="1231" spans="1:13">
      <c r="A1231">
        <v>1230</v>
      </c>
      <c r="B1231" s="1">
        <v>45722</v>
      </c>
      <c r="C1231" t="s">
        <v>105</v>
      </c>
      <c r="D1231">
        <v>6</v>
      </c>
      <c r="E1231">
        <v>3</v>
      </c>
      <c r="F1231">
        <v>1</v>
      </c>
      <c r="G1231">
        <v>2025</v>
      </c>
      <c r="H1231" t="s">
        <v>414</v>
      </c>
      <c r="I1231" t="s">
        <v>81</v>
      </c>
      <c r="J1231" t="s">
        <v>82</v>
      </c>
      <c r="K1231">
        <v>51</v>
      </c>
      <c r="L1231">
        <v>1</v>
      </c>
      <c r="M1231">
        <v>55</v>
      </c>
    </row>
    <row r="1232" spans="1:13">
      <c r="A1232">
        <v>1231</v>
      </c>
      <c r="B1232" s="1">
        <v>45683</v>
      </c>
      <c r="C1232" t="s">
        <v>28</v>
      </c>
      <c r="D1232">
        <v>26</v>
      </c>
      <c r="E1232">
        <v>1</v>
      </c>
      <c r="F1232">
        <v>1</v>
      </c>
      <c r="G1232">
        <v>2025</v>
      </c>
      <c r="H1232" t="s">
        <v>136</v>
      </c>
      <c r="I1232" t="s">
        <v>385</v>
      </c>
      <c r="J1232" t="s">
        <v>39</v>
      </c>
      <c r="K1232">
        <v>42</v>
      </c>
      <c r="L1232">
        <v>5</v>
      </c>
      <c r="M1232">
        <v>242</v>
      </c>
    </row>
    <row r="1233" spans="1:13">
      <c r="A1233">
        <v>1232</v>
      </c>
      <c r="B1233" s="1">
        <v>45683</v>
      </c>
      <c r="C1233" t="s">
        <v>28</v>
      </c>
      <c r="D1233">
        <v>26</v>
      </c>
      <c r="E1233">
        <v>1</v>
      </c>
      <c r="F1233">
        <v>1</v>
      </c>
      <c r="G1233">
        <v>2025</v>
      </c>
      <c r="H1233" t="s">
        <v>136</v>
      </c>
      <c r="I1233" t="s">
        <v>336</v>
      </c>
      <c r="J1233" t="s">
        <v>82</v>
      </c>
      <c r="K1233">
        <v>49</v>
      </c>
      <c r="L1233">
        <v>5</v>
      </c>
      <c r="M1233">
        <v>282</v>
      </c>
    </row>
    <row r="1234" spans="1:13">
      <c r="A1234">
        <v>1233</v>
      </c>
      <c r="B1234" s="1">
        <v>45683</v>
      </c>
      <c r="C1234" t="s">
        <v>28</v>
      </c>
      <c r="D1234">
        <v>26</v>
      </c>
      <c r="E1234">
        <v>1</v>
      </c>
      <c r="F1234">
        <v>1</v>
      </c>
      <c r="G1234">
        <v>2025</v>
      </c>
      <c r="H1234" t="s">
        <v>136</v>
      </c>
      <c r="I1234" t="s">
        <v>664</v>
      </c>
      <c r="J1234" t="s">
        <v>23</v>
      </c>
      <c r="K1234">
        <v>37</v>
      </c>
      <c r="L1234">
        <v>3</v>
      </c>
      <c r="M1234">
        <v>146</v>
      </c>
    </row>
    <row r="1235" spans="1:13">
      <c r="A1235">
        <v>1234</v>
      </c>
      <c r="B1235" s="1">
        <v>45683</v>
      </c>
      <c r="C1235" t="s">
        <v>28</v>
      </c>
      <c r="D1235">
        <v>26</v>
      </c>
      <c r="E1235">
        <v>1</v>
      </c>
      <c r="F1235">
        <v>1</v>
      </c>
      <c r="G1235">
        <v>2025</v>
      </c>
      <c r="H1235" t="s">
        <v>136</v>
      </c>
      <c r="I1235" t="s">
        <v>203</v>
      </c>
      <c r="J1235" t="s">
        <v>100</v>
      </c>
      <c r="K1235">
        <v>34</v>
      </c>
      <c r="L1235">
        <v>2</v>
      </c>
      <c r="M1235">
        <v>71</v>
      </c>
    </row>
    <row r="1236" spans="1:13">
      <c r="A1236">
        <v>1235</v>
      </c>
      <c r="B1236" s="1">
        <v>45683</v>
      </c>
      <c r="C1236" t="s">
        <v>28</v>
      </c>
      <c r="D1236">
        <v>26</v>
      </c>
      <c r="E1236">
        <v>1</v>
      </c>
      <c r="F1236">
        <v>1</v>
      </c>
      <c r="G1236">
        <v>2025</v>
      </c>
      <c r="H1236" t="s">
        <v>136</v>
      </c>
      <c r="I1236" t="s">
        <v>466</v>
      </c>
      <c r="J1236" t="s">
        <v>46</v>
      </c>
      <c r="K1236">
        <v>28</v>
      </c>
      <c r="L1236">
        <v>14</v>
      </c>
      <c r="M1236">
        <v>398</v>
      </c>
    </row>
    <row r="1237" spans="1:13">
      <c r="A1237">
        <v>1236</v>
      </c>
      <c r="B1237" s="1">
        <v>45683</v>
      </c>
      <c r="C1237" t="s">
        <v>28</v>
      </c>
      <c r="D1237">
        <v>26</v>
      </c>
      <c r="E1237">
        <v>1</v>
      </c>
      <c r="F1237">
        <v>1</v>
      </c>
      <c r="G1237">
        <v>2025</v>
      </c>
      <c r="H1237" t="s">
        <v>136</v>
      </c>
      <c r="I1237" t="s">
        <v>662</v>
      </c>
      <c r="J1237" t="s">
        <v>21</v>
      </c>
      <c r="K1237">
        <v>57</v>
      </c>
      <c r="L1237">
        <v>5</v>
      </c>
      <c r="M1237">
        <v>294</v>
      </c>
    </row>
    <row r="1238" spans="1:13">
      <c r="A1238">
        <v>1237</v>
      </c>
      <c r="B1238" s="1">
        <v>45683</v>
      </c>
      <c r="C1238" t="s">
        <v>28</v>
      </c>
      <c r="D1238">
        <v>26</v>
      </c>
      <c r="E1238">
        <v>1</v>
      </c>
      <c r="F1238">
        <v>1</v>
      </c>
      <c r="G1238">
        <v>2025</v>
      </c>
      <c r="H1238" t="s">
        <v>136</v>
      </c>
      <c r="I1238" t="s">
        <v>390</v>
      </c>
      <c r="J1238" t="s">
        <v>82</v>
      </c>
      <c r="K1238">
        <v>37</v>
      </c>
      <c r="L1238">
        <v>3</v>
      </c>
      <c r="M1238">
        <v>120</v>
      </c>
    </row>
    <row r="1239" spans="1:13">
      <c r="A1239">
        <v>1238</v>
      </c>
      <c r="B1239" s="1">
        <v>45683</v>
      </c>
      <c r="C1239" t="s">
        <v>28</v>
      </c>
      <c r="D1239">
        <v>26</v>
      </c>
      <c r="E1239">
        <v>1</v>
      </c>
      <c r="F1239">
        <v>1</v>
      </c>
      <c r="G1239">
        <v>2025</v>
      </c>
      <c r="H1239" t="s">
        <v>136</v>
      </c>
      <c r="I1239" t="s">
        <v>209</v>
      </c>
      <c r="J1239" t="s">
        <v>25</v>
      </c>
      <c r="K1239">
        <v>54</v>
      </c>
      <c r="L1239">
        <v>3</v>
      </c>
      <c r="M1239">
        <v>196</v>
      </c>
    </row>
    <row r="1240" spans="1:13">
      <c r="A1240">
        <v>1239</v>
      </c>
      <c r="B1240" s="1">
        <v>45683</v>
      </c>
      <c r="C1240" t="s">
        <v>28</v>
      </c>
      <c r="D1240">
        <v>26</v>
      </c>
      <c r="E1240">
        <v>1</v>
      </c>
      <c r="F1240">
        <v>1</v>
      </c>
      <c r="G1240">
        <v>2025</v>
      </c>
      <c r="H1240" t="s">
        <v>136</v>
      </c>
      <c r="I1240" t="s">
        <v>622</v>
      </c>
      <c r="J1240" t="s">
        <v>37</v>
      </c>
      <c r="K1240">
        <v>16</v>
      </c>
      <c r="L1240">
        <v>13</v>
      </c>
      <c r="M1240">
        <v>208</v>
      </c>
    </row>
    <row r="1241" spans="1:13">
      <c r="A1241">
        <v>1240</v>
      </c>
      <c r="B1241" s="1">
        <v>45683</v>
      </c>
      <c r="C1241" t="s">
        <v>28</v>
      </c>
      <c r="D1241">
        <v>26</v>
      </c>
      <c r="E1241">
        <v>1</v>
      </c>
      <c r="F1241">
        <v>1</v>
      </c>
      <c r="G1241">
        <v>2025</v>
      </c>
      <c r="H1241" t="s">
        <v>136</v>
      </c>
      <c r="I1241" t="s">
        <v>159</v>
      </c>
      <c r="J1241" t="s">
        <v>21</v>
      </c>
      <c r="K1241">
        <v>33</v>
      </c>
      <c r="L1241">
        <v>14</v>
      </c>
      <c r="M1241">
        <v>477</v>
      </c>
    </row>
    <row r="1242" spans="1:13">
      <c r="A1242">
        <v>1241</v>
      </c>
      <c r="B1242" s="1">
        <v>45683</v>
      </c>
      <c r="C1242" t="s">
        <v>28</v>
      </c>
      <c r="D1242">
        <v>26</v>
      </c>
      <c r="E1242">
        <v>1</v>
      </c>
      <c r="F1242">
        <v>1</v>
      </c>
      <c r="G1242">
        <v>2025</v>
      </c>
      <c r="H1242" t="s">
        <v>136</v>
      </c>
      <c r="I1242" t="s">
        <v>263</v>
      </c>
      <c r="J1242" t="s">
        <v>60</v>
      </c>
      <c r="K1242">
        <v>47</v>
      </c>
      <c r="L1242">
        <v>4</v>
      </c>
      <c r="M1242">
        <v>195</v>
      </c>
    </row>
    <row r="1243" spans="1:13">
      <c r="A1243">
        <v>1242</v>
      </c>
      <c r="B1243" s="1">
        <v>45683</v>
      </c>
      <c r="C1243" t="s">
        <v>28</v>
      </c>
      <c r="D1243">
        <v>26</v>
      </c>
      <c r="E1243">
        <v>1</v>
      </c>
      <c r="F1243">
        <v>1</v>
      </c>
      <c r="G1243">
        <v>2025</v>
      </c>
      <c r="H1243" t="s">
        <v>136</v>
      </c>
      <c r="I1243" t="s">
        <v>365</v>
      </c>
      <c r="J1243" t="s">
        <v>51</v>
      </c>
      <c r="K1243">
        <v>39</v>
      </c>
      <c r="L1243">
        <v>6</v>
      </c>
      <c r="M1243">
        <v>269</v>
      </c>
    </row>
    <row r="1244" spans="1:13">
      <c r="A1244">
        <v>1243</v>
      </c>
      <c r="B1244" s="1">
        <v>46214</v>
      </c>
      <c r="C1244" t="s">
        <v>14</v>
      </c>
      <c r="D1244">
        <v>11</v>
      </c>
      <c r="E1244">
        <v>7</v>
      </c>
      <c r="F1244">
        <v>3</v>
      </c>
      <c r="G1244">
        <v>2026</v>
      </c>
      <c r="H1244" t="s">
        <v>113</v>
      </c>
      <c r="I1244" t="s">
        <v>640</v>
      </c>
      <c r="J1244" t="s">
        <v>82</v>
      </c>
      <c r="K1244">
        <v>36</v>
      </c>
      <c r="L1244">
        <v>10</v>
      </c>
      <c r="M1244">
        <v>375</v>
      </c>
    </row>
    <row r="1245" spans="1:13">
      <c r="A1245">
        <v>1244</v>
      </c>
      <c r="B1245" s="1">
        <v>46214</v>
      </c>
      <c r="C1245" t="s">
        <v>14</v>
      </c>
      <c r="D1245">
        <v>11</v>
      </c>
      <c r="E1245">
        <v>7</v>
      </c>
      <c r="F1245">
        <v>3</v>
      </c>
      <c r="G1245">
        <v>2026</v>
      </c>
      <c r="H1245" t="s">
        <v>113</v>
      </c>
      <c r="I1245" t="s">
        <v>368</v>
      </c>
      <c r="J1245" t="s">
        <v>31</v>
      </c>
      <c r="K1245">
        <v>51</v>
      </c>
      <c r="L1245">
        <v>7</v>
      </c>
      <c r="M1245">
        <v>357</v>
      </c>
    </row>
    <row r="1246" spans="1:13">
      <c r="A1246">
        <v>1245</v>
      </c>
      <c r="B1246" s="1">
        <v>46214</v>
      </c>
      <c r="C1246" t="s">
        <v>14</v>
      </c>
      <c r="D1246">
        <v>11</v>
      </c>
      <c r="E1246">
        <v>7</v>
      </c>
      <c r="F1246">
        <v>3</v>
      </c>
      <c r="G1246">
        <v>2026</v>
      </c>
      <c r="H1246" t="s">
        <v>113</v>
      </c>
      <c r="I1246" t="s">
        <v>284</v>
      </c>
      <c r="J1246" t="s">
        <v>97</v>
      </c>
      <c r="K1246">
        <v>27</v>
      </c>
      <c r="L1246">
        <v>8</v>
      </c>
      <c r="M1246">
        <v>233</v>
      </c>
    </row>
    <row r="1247" spans="1:13">
      <c r="A1247">
        <v>1246</v>
      </c>
      <c r="B1247" s="1">
        <v>46214</v>
      </c>
      <c r="C1247" t="s">
        <v>14</v>
      </c>
      <c r="D1247">
        <v>11</v>
      </c>
      <c r="E1247">
        <v>7</v>
      </c>
      <c r="F1247">
        <v>3</v>
      </c>
      <c r="G1247">
        <v>2026</v>
      </c>
      <c r="H1247" t="s">
        <v>113</v>
      </c>
      <c r="I1247" t="s">
        <v>507</v>
      </c>
      <c r="J1247" t="s">
        <v>55</v>
      </c>
      <c r="K1247">
        <v>14</v>
      </c>
      <c r="L1247">
        <v>13</v>
      </c>
      <c r="M1247">
        <v>195</v>
      </c>
    </row>
    <row r="1248" spans="1:13">
      <c r="A1248">
        <v>1247</v>
      </c>
      <c r="B1248" s="1">
        <v>46214</v>
      </c>
      <c r="C1248" t="s">
        <v>14</v>
      </c>
      <c r="D1248">
        <v>11</v>
      </c>
      <c r="E1248">
        <v>7</v>
      </c>
      <c r="F1248">
        <v>3</v>
      </c>
      <c r="G1248">
        <v>2026</v>
      </c>
      <c r="H1248" t="s">
        <v>113</v>
      </c>
      <c r="I1248" t="s">
        <v>16</v>
      </c>
      <c r="J1248" t="s">
        <v>17</v>
      </c>
      <c r="K1248">
        <v>25</v>
      </c>
      <c r="L1248">
        <v>15</v>
      </c>
      <c r="M1248">
        <v>393</v>
      </c>
    </row>
    <row r="1249" spans="1:13">
      <c r="A1249">
        <v>1248</v>
      </c>
      <c r="B1249" s="1">
        <v>46214</v>
      </c>
      <c r="C1249" t="s">
        <v>14</v>
      </c>
      <c r="D1249">
        <v>11</v>
      </c>
      <c r="E1249">
        <v>7</v>
      </c>
      <c r="F1249">
        <v>3</v>
      </c>
      <c r="G1249">
        <v>2026</v>
      </c>
      <c r="H1249" t="s">
        <v>113</v>
      </c>
      <c r="I1249" t="s">
        <v>229</v>
      </c>
      <c r="J1249" t="s">
        <v>97</v>
      </c>
      <c r="K1249">
        <v>26</v>
      </c>
      <c r="L1249">
        <v>10</v>
      </c>
      <c r="M1249">
        <v>284</v>
      </c>
    </row>
    <row r="1250" spans="1:13">
      <c r="A1250">
        <v>1249</v>
      </c>
      <c r="B1250" s="1">
        <v>46214</v>
      </c>
      <c r="C1250" t="s">
        <v>14</v>
      </c>
      <c r="D1250">
        <v>11</v>
      </c>
      <c r="E1250">
        <v>7</v>
      </c>
      <c r="F1250">
        <v>3</v>
      </c>
      <c r="G1250">
        <v>2026</v>
      </c>
      <c r="H1250" t="s">
        <v>113</v>
      </c>
      <c r="I1250" t="s">
        <v>539</v>
      </c>
      <c r="J1250" t="s">
        <v>69</v>
      </c>
      <c r="K1250">
        <v>54</v>
      </c>
      <c r="L1250">
        <v>3</v>
      </c>
      <c r="M1250">
        <v>210</v>
      </c>
    </row>
    <row r="1251" spans="1:13">
      <c r="A1251">
        <v>1250</v>
      </c>
      <c r="B1251" s="1">
        <v>46214</v>
      </c>
      <c r="C1251" t="s">
        <v>14</v>
      </c>
      <c r="D1251">
        <v>11</v>
      </c>
      <c r="E1251">
        <v>7</v>
      </c>
      <c r="F1251">
        <v>3</v>
      </c>
      <c r="G1251">
        <v>2026</v>
      </c>
      <c r="H1251" t="s">
        <v>113</v>
      </c>
      <c r="I1251" t="s">
        <v>428</v>
      </c>
      <c r="J1251" t="s">
        <v>31</v>
      </c>
      <c r="K1251">
        <v>48</v>
      </c>
      <c r="L1251">
        <v>9</v>
      </c>
      <c r="M1251">
        <v>449</v>
      </c>
    </row>
    <row r="1252" spans="1:13">
      <c r="A1252">
        <v>1251</v>
      </c>
      <c r="B1252" s="1">
        <v>46214</v>
      </c>
      <c r="C1252" t="s">
        <v>14</v>
      </c>
      <c r="D1252">
        <v>11</v>
      </c>
      <c r="E1252">
        <v>7</v>
      </c>
      <c r="F1252">
        <v>3</v>
      </c>
      <c r="G1252">
        <v>2026</v>
      </c>
      <c r="H1252" t="s">
        <v>113</v>
      </c>
      <c r="I1252" t="s">
        <v>665</v>
      </c>
      <c r="J1252" t="s">
        <v>17</v>
      </c>
      <c r="K1252">
        <v>37</v>
      </c>
      <c r="L1252">
        <v>3</v>
      </c>
      <c r="M1252">
        <v>143</v>
      </c>
    </row>
    <row r="1253" spans="1:13">
      <c r="A1253">
        <v>1252</v>
      </c>
      <c r="B1253" s="1">
        <v>46214</v>
      </c>
      <c r="C1253" t="s">
        <v>14</v>
      </c>
      <c r="D1253">
        <v>11</v>
      </c>
      <c r="E1253">
        <v>7</v>
      </c>
      <c r="F1253">
        <v>3</v>
      </c>
      <c r="G1253">
        <v>2026</v>
      </c>
      <c r="H1253" t="s">
        <v>113</v>
      </c>
      <c r="I1253" t="s">
        <v>593</v>
      </c>
      <c r="J1253" t="s">
        <v>97</v>
      </c>
      <c r="K1253">
        <v>36</v>
      </c>
      <c r="L1253">
        <v>7</v>
      </c>
      <c r="M1253">
        <v>266</v>
      </c>
    </row>
    <row r="1254" spans="1:13">
      <c r="A1254">
        <v>1253</v>
      </c>
      <c r="B1254" s="1">
        <v>45862</v>
      </c>
      <c r="C1254" t="s">
        <v>105</v>
      </c>
      <c r="D1254">
        <v>24</v>
      </c>
      <c r="E1254">
        <v>7</v>
      </c>
      <c r="F1254">
        <v>3</v>
      </c>
      <c r="G1254">
        <v>2025</v>
      </c>
      <c r="H1254" t="s">
        <v>666</v>
      </c>
      <c r="I1254" t="s">
        <v>350</v>
      </c>
      <c r="J1254" t="s">
        <v>60</v>
      </c>
      <c r="K1254">
        <v>57</v>
      </c>
      <c r="L1254">
        <v>5</v>
      </c>
      <c r="M1254">
        <v>332</v>
      </c>
    </row>
    <row r="1255" spans="1:13">
      <c r="A1255">
        <v>1254</v>
      </c>
      <c r="B1255" s="1">
        <v>45862</v>
      </c>
      <c r="C1255" t="s">
        <v>105</v>
      </c>
      <c r="D1255">
        <v>24</v>
      </c>
      <c r="E1255">
        <v>7</v>
      </c>
      <c r="F1255">
        <v>3</v>
      </c>
      <c r="G1255">
        <v>2025</v>
      </c>
      <c r="H1255" t="s">
        <v>666</v>
      </c>
      <c r="I1255" t="s">
        <v>515</v>
      </c>
      <c r="J1255" t="s">
        <v>60</v>
      </c>
      <c r="K1255">
        <v>13</v>
      </c>
      <c r="L1255">
        <v>19</v>
      </c>
      <c r="M1255">
        <v>253</v>
      </c>
    </row>
    <row r="1256" spans="1:13">
      <c r="A1256">
        <v>1255</v>
      </c>
      <c r="B1256" s="1">
        <v>45862</v>
      </c>
      <c r="C1256" t="s">
        <v>105</v>
      </c>
      <c r="D1256">
        <v>24</v>
      </c>
      <c r="E1256">
        <v>7</v>
      </c>
      <c r="F1256">
        <v>3</v>
      </c>
      <c r="G1256">
        <v>2025</v>
      </c>
      <c r="H1256" t="s">
        <v>666</v>
      </c>
      <c r="I1256" t="s">
        <v>594</v>
      </c>
      <c r="J1256" t="s">
        <v>43</v>
      </c>
      <c r="K1256">
        <v>13</v>
      </c>
      <c r="L1256">
        <v>17</v>
      </c>
      <c r="M1256">
        <v>223</v>
      </c>
    </row>
    <row r="1257" spans="1:13">
      <c r="A1257">
        <v>1256</v>
      </c>
      <c r="B1257" s="1">
        <v>45862</v>
      </c>
      <c r="C1257" t="s">
        <v>105</v>
      </c>
      <c r="D1257">
        <v>24</v>
      </c>
      <c r="E1257">
        <v>7</v>
      </c>
      <c r="F1257">
        <v>3</v>
      </c>
      <c r="G1257">
        <v>2025</v>
      </c>
      <c r="H1257" t="s">
        <v>666</v>
      </c>
      <c r="I1257" t="s">
        <v>76</v>
      </c>
      <c r="J1257" t="s">
        <v>69</v>
      </c>
      <c r="K1257">
        <v>52</v>
      </c>
      <c r="L1257">
        <v>6</v>
      </c>
      <c r="M1257">
        <v>332</v>
      </c>
    </row>
    <row r="1258" spans="1:13">
      <c r="A1258">
        <v>1257</v>
      </c>
      <c r="B1258" s="1">
        <v>45862</v>
      </c>
      <c r="C1258" t="s">
        <v>105</v>
      </c>
      <c r="D1258">
        <v>24</v>
      </c>
      <c r="E1258">
        <v>7</v>
      </c>
      <c r="F1258">
        <v>3</v>
      </c>
      <c r="G1258">
        <v>2025</v>
      </c>
      <c r="H1258" t="s">
        <v>666</v>
      </c>
      <c r="I1258" t="s">
        <v>652</v>
      </c>
      <c r="J1258" t="s">
        <v>37</v>
      </c>
      <c r="K1258">
        <v>49</v>
      </c>
      <c r="L1258">
        <v>3</v>
      </c>
      <c r="M1258">
        <v>189</v>
      </c>
    </row>
    <row r="1259" spans="1:13">
      <c r="A1259">
        <v>1258</v>
      </c>
      <c r="B1259" s="1">
        <v>45862</v>
      </c>
      <c r="C1259" t="s">
        <v>105</v>
      </c>
      <c r="D1259">
        <v>24</v>
      </c>
      <c r="E1259">
        <v>7</v>
      </c>
      <c r="F1259">
        <v>3</v>
      </c>
      <c r="G1259">
        <v>2025</v>
      </c>
      <c r="H1259" t="s">
        <v>666</v>
      </c>
      <c r="I1259" t="s">
        <v>616</v>
      </c>
      <c r="J1259" t="s">
        <v>37</v>
      </c>
      <c r="K1259">
        <v>55</v>
      </c>
      <c r="L1259">
        <v>2</v>
      </c>
      <c r="M1259">
        <v>121</v>
      </c>
    </row>
    <row r="1260" spans="1:13">
      <c r="A1260">
        <v>1259</v>
      </c>
      <c r="B1260" s="1">
        <v>45862</v>
      </c>
      <c r="C1260" t="s">
        <v>105</v>
      </c>
      <c r="D1260">
        <v>24</v>
      </c>
      <c r="E1260">
        <v>7</v>
      </c>
      <c r="F1260">
        <v>3</v>
      </c>
      <c r="G1260">
        <v>2025</v>
      </c>
      <c r="H1260" t="s">
        <v>666</v>
      </c>
      <c r="I1260" t="s">
        <v>468</v>
      </c>
      <c r="J1260" t="s">
        <v>25</v>
      </c>
      <c r="K1260">
        <v>16</v>
      </c>
      <c r="L1260">
        <v>16</v>
      </c>
      <c r="M1260">
        <v>263</v>
      </c>
    </row>
    <row r="1261" spans="1:13">
      <c r="A1261">
        <v>1260</v>
      </c>
      <c r="B1261" s="1">
        <v>45862</v>
      </c>
      <c r="C1261" t="s">
        <v>105</v>
      </c>
      <c r="D1261">
        <v>24</v>
      </c>
      <c r="E1261">
        <v>7</v>
      </c>
      <c r="F1261">
        <v>3</v>
      </c>
      <c r="G1261">
        <v>2025</v>
      </c>
      <c r="H1261" t="s">
        <v>666</v>
      </c>
      <c r="I1261" t="s">
        <v>191</v>
      </c>
      <c r="J1261" t="s">
        <v>60</v>
      </c>
      <c r="K1261">
        <v>10</v>
      </c>
      <c r="L1261">
        <v>22</v>
      </c>
      <c r="M1261">
        <v>227</v>
      </c>
    </row>
    <row r="1262" spans="1:13">
      <c r="A1262">
        <v>1261</v>
      </c>
      <c r="B1262" s="1">
        <v>45862</v>
      </c>
      <c r="C1262" t="s">
        <v>105</v>
      </c>
      <c r="D1262">
        <v>24</v>
      </c>
      <c r="E1262">
        <v>7</v>
      </c>
      <c r="F1262">
        <v>3</v>
      </c>
      <c r="G1262">
        <v>2025</v>
      </c>
      <c r="H1262" t="s">
        <v>666</v>
      </c>
      <c r="I1262" t="s">
        <v>667</v>
      </c>
      <c r="J1262" t="s">
        <v>51</v>
      </c>
      <c r="K1262">
        <v>33</v>
      </c>
      <c r="L1262">
        <v>7</v>
      </c>
      <c r="M1262">
        <v>242</v>
      </c>
    </row>
    <row r="1263" spans="1:13">
      <c r="A1263">
        <v>1262</v>
      </c>
      <c r="B1263" s="1">
        <v>45862</v>
      </c>
      <c r="C1263" t="s">
        <v>105</v>
      </c>
      <c r="D1263">
        <v>24</v>
      </c>
      <c r="E1263">
        <v>7</v>
      </c>
      <c r="F1263">
        <v>3</v>
      </c>
      <c r="G1263">
        <v>2025</v>
      </c>
      <c r="H1263" t="s">
        <v>666</v>
      </c>
      <c r="I1263" t="s">
        <v>648</v>
      </c>
      <c r="J1263" t="s">
        <v>57</v>
      </c>
      <c r="K1263">
        <v>57</v>
      </c>
      <c r="L1263">
        <v>3</v>
      </c>
      <c r="M1263">
        <v>182</v>
      </c>
    </row>
    <row r="1264" spans="1:13">
      <c r="A1264">
        <v>1263</v>
      </c>
      <c r="B1264" s="1">
        <v>45862</v>
      </c>
      <c r="C1264" t="s">
        <v>105</v>
      </c>
      <c r="D1264">
        <v>24</v>
      </c>
      <c r="E1264">
        <v>7</v>
      </c>
      <c r="F1264">
        <v>3</v>
      </c>
      <c r="G1264">
        <v>2025</v>
      </c>
      <c r="H1264" t="s">
        <v>666</v>
      </c>
      <c r="I1264" t="s">
        <v>391</v>
      </c>
      <c r="J1264" t="s">
        <v>60</v>
      </c>
      <c r="K1264">
        <v>22</v>
      </c>
      <c r="L1264">
        <v>11</v>
      </c>
      <c r="M1264">
        <v>255</v>
      </c>
    </row>
    <row r="1265" spans="1:13">
      <c r="A1265">
        <v>1264</v>
      </c>
      <c r="B1265" s="1">
        <v>46182</v>
      </c>
      <c r="C1265" t="s">
        <v>48</v>
      </c>
      <c r="D1265">
        <v>9</v>
      </c>
      <c r="E1265">
        <v>6</v>
      </c>
      <c r="F1265">
        <v>2</v>
      </c>
      <c r="G1265">
        <v>2026</v>
      </c>
      <c r="H1265" t="s">
        <v>657</v>
      </c>
      <c r="I1265" t="s">
        <v>174</v>
      </c>
      <c r="J1265" t="s">
        <v>122</v>
      </c>
      <c r="K1265">
        <v>40</v>
      </c>
      <c r="L1265">
        <v>6</v>
      </c>
      <c r="M1265">
        <v>253</v>
      </c>
    </row>
    <row r="1266" spans="1:13">
      <c r="A1266">
        <v>1265</v>
      </c>
      <c r="B1266" s="1">
        <v>46182</v>
      </c>
      <c r="C1266" t="s">
        <v>48</v>
      </c>
      <c r="D1266">
        <v>9</v>
      </c>
      <c r="E1266">
        <v>6</v>
      </c>
      <c r="F1266">
        <v>2</v>
      </c>
      <c r="G1266">
        <v>2026</v>
      </c>
      <c r="H1266" t="s">
        <v>657</v>
      </c>
      <c r="I1266" t="s">
        <v>668</v>
      </c>
      <c r="J1266" t="s">
        <v>46</v>
      </c>
      <c r="K1266">
        <v>28</v>
      </c>
      <c r="L1266">
        <v>14</v>
      </c>
      <c r="M1266">
        <v>405</v>
      </c>
    </row>
    <row r="1267" spans="1:13">
      <c r="A1267">
        <v>1266</v>
      </c>
      <c r="B1267" s="1">
        <v>46182</v>
      </c>
      <c r="C1267" t="s">
        <v>48</v>
      </c>
      <c r="D1267">
        <v>9</v>
      </c>
      <c r="E1267">
        <v>6</v>
      </c>
      <c r="F1267">
        <v>2</v>
      </c>
      <c r="G1267">
        <v>2026</v>
      </c>
      <c r="H1267" t="s">
        <v>657</v>
      </c>
      <c r="I1267" t="s">
        <v>96</v>
      </c>
      <c r="J1267" t="s">
        <v>97</v>
      </c>
      <c r="K1267">
        <v>50</v>
      </c>
      <c r="L1267">
        <v>5</v>
      </c>
      <c r="M1267">
        <v>278</v>
      </c>
    </row>
    <row r="1268" spans="1:13">
      <c r="A1268">
        <v>1267</v>
      </c>
      <c r="B1268" s="1">
        <v>46182</v>
      </c>
      <c r="C1268" t="s">
        <v>48</v>
      </c>
      <c r="D1268">
        <v>9</v>
      </c>
      <c r="E1268">
        <v>6</v>
      </c>
      <c r="F1268">
        <v>2</v>
      </c>
      <c r="G1268">
        <v>2026</v>
      </c>
      <c r="H1268" t="s">
        <v>657</v>
      </c>
      <c r="I1268" t="s">
        <v>669</v>
      </c>
      <c r="J1268" t="s">
        <v>97</v>
      </c>
      <c r="K1268">
        <v>30</v>
      </c>
      <c r="L1268">
        <v>4</v>
      </c>
      <c r="M1268">
        <v>143</v>
      </c>
    </row>
    <row r="1269" spans="1:13">
      <c r="A1269">
        <v>1268</v>
      </c>
      <c r="B1269" s="1">
        <v>46182</v>
      </c>
      <c r="C1269" t="s">
        <v>48</v>
      </c>
      <c r="D1269">
        <v>9</v>
      </c>
      <c r="E1269">
        <v>6</v>
      </c>
      <c r="F1269">
        <v>2</v>
      </c>
      <c r="G1269">
        <v>2026</v>
      </c>
      <c r="H1269" t="s">
        <v>657</v>
      </c>
      <c r="I1269" t="s">
        <v>615</v>
      </c>
      <c r="J1269" t="s">
        <v>100</v>
      </c>
      <c r="K1269">
        <v>23</v>
      </c>
      <c r="L1269">
        <v>6</v>
      </c>
      <c r="M1269">
        <v>141</v>
      </c>
    </row>
    <row r="1270" spans="1:13">
      <c r="A1270">
        <v>1269</v>
      </c>
      <c r="B1270" s="1">
        <v>46182</v>
      </c>
      <c r="C1270" t="s">
        <v>48</v>
      </c>
      <c r="D1270">
        <v>9</v>
      </c>
      <c r="E1270">
        <v>6</v>
      </c>
      <c r="F1270">
        <v>2</v>
      </c>
      <c r="G1270">
        <v>2026</v>
      </c>
      <c r="H1270" t="s">
        <v>657</v>
      </c>
      <c r="I1270" t="s">
        <v>649</v>
      </c>
      <c r="J1270" t="s">
        <v>23</v>
      </c>
      <c r="K1270">
        <v>52</v>
      </c>
      <c r="L1270">
        <v>5</v>
      </c>
      <c r="M1270">
        <v>264</v>
      </c>
    </row>
    <row r="1271" spans="1:13">
      <c r="A1271">
        <v>1270</v>
      </c>
      <c r="B1271" s="1">
        <v>45953</v>
      </c>
      <c r="C1271" t="s">
        <v>105</v>
      </c>
      <c r="D1271">
        <v>23</v>
      </c>
      <c r="E1271">
        <v>10</v>
      </c>
      <c r="F1271">
        <v>4</v>
      </c>
      <c r="G1271">
        <v>2025</v>
      </c>
      <c r="H1271" t="s">
        <v>106</v>
      </c>
      <c r="I1271" t="s">
        <v>606</v>
      </c>
      <c r="J1271" t="s">
        <v>82</v>
      </c>
      <c r="K1271">
        <v>33</v>
      </c>
      <c r="L1271">
        <v>9</v>
      </c>
      <c r="M1271">
        <v>313</v>
      </c>
    </row>
    <row r="1272" spans="1:13">
      <c r="A1272">
        <v>1271</v>
      </c>
      <c r="B1272" s="1">
        <v>45953</v>
      </c>
      <c r="C1272" t="s">
        <v>105</v>
      </c>
      <c r="D1272">
        <v>23</v>
      </c>
      <c r="E1272">
        <v>10</v>
      </c>
      <c r="F1272">
        <v>4</v>
      </c>
      <c r="G1272">
        <v>2025</v>
      </c>
      <c r="H1272" t="s">
        <v>106</v>
      </c>
      <c r="I1272" t="s">
        <v>625</v>
      </c>
      <c r="J1272" t="s">
        <v>43</v>
      </c>
      <c r="K1272">
        <v>57</v>
      </c>
      <c r="L1272">
        <v>5</v>
      </c>
      <c r="M1272">
        <v>334</v>
      </c>
    </row>
    <row r="1273" spans="1:13">
      <c r="A1273">
        <v>1272</v>
      </c>
      <c r="B1273" s="1">
        <v>45953</v>
      </c>
      <c r="C1273" t="s">
        <v>105</v>
      </c>
      <c r="D1273">
        <v>23</v>
      </c>
      <c r="E1273">
        <v>10</v>
      </c>
      <c r="F1273">
        <v>4</v>
      </c>
      <c r="G1273">
        <v>2025</v>
      </c>
      <c r="H1273" t="s">
        <v>106</v>
      </c>
      <c r="I1273" t="s">
        <v>624</v>
      </c>
      <c r="J1273" t="s">
        <v>60</v>
      </c>
      <c r="K1273">
        <v>38</v>
      </c>
      <c r="L1273">
        <v>9</v>
      </c>
      <c r="M1273">
        <v>351</v>
      </c>
    </row>
    <row r="1274" spans="1:13">
      <c r="A1274">
        <v>1273</v>
      </c>
      <c r="B1274" s="1">
        <v>45953</v>
      </c>
      <c r="C1274" t="s">
        <v>105</v>
      </c>
      <c r="D1274">
        <v>23</v>
      </c>
      <c r="E1274">
        <v>10</v>
      </c>
      <c r="F1274">
        <v>4</v>
      </c>
      <c r="G1274">
        <v>2025</v>
      </c>
      <c r="H1274" t="s">
        <v>106</v>
      </c>
      <c r="I1274" t="s">
        <v>218</v>
      </c>
      <c r="J1274" t="s">
        <v>97</v>
      </c>
      <c r="K1274">
        <v>28</v>
      </c>
      <c r="L1274">
        <v>7</v>
      </c>
      <c r="M1274">
        <v>207</v>
      </c>
    </row>
    <row r="1275" spans="1:13">
      <c r="A1275">
        <v>1274</v>
      </c>
      <c r="B1275" s="1">
        <v>45953</v>
      </c>
      <c r="C1275" t="s">
        <v>105</v>
      </c>
      <c r="D1275">
        <v>23</v>
      </c>
      <c r="E1275">
        <v>10</v>
      </c>
      <c r="F1275">
        <v>4</v>
      </c>
      <c r="G1275">
        <v>2025</v>
      </c>
      <c r="H1275" t="s">
        <v>106</v>
      </c>
      <c r="I1275" t="s">
        <v>669</v>
      </c>
      <c r="J1275" t="s">
        <v>97</v>
      </c>
      <c r="K1275">
        <v>58</v>
      </c>
      <c r="L1275">
        <v>2</v>
      </c>
      <c r="M1275">
        <v>136</v>
      </c>
    </row>
    <row r="1276" spans="1:13">
      <c r="A1276">
        <v>1275</v>
      </c>
      <c r="B1276" s="1">
        <v>45953</v>
      </c>
      <c r="C1276" t="s">
        <v>105</v>
      </c>
      <c r="D1276">
        <v>23</v>
      </c>
      <c r="E1276">
        <v>10</v>
      </c>
      <c r="F1276">
        <v>4</v>
      </c>
      <c r="G1276">
        <v>2025</v>
      </c>
      <c r="H1276" t="s">
        <v>106</v>
      </c>
      <c r="I1276" t="s">
        <v>493</v>
      </c>
      <c r="J1276" t="s">
        <v>46</v>
      </c>
      <c r="K1276">
        <v>39</v>
      </c>
      <c r="L1276">
        <v>4</v>
      </c>
      <c r="M1276">
        <v>169</v>
      </c>
    </row>
    <row r="1277" spans="1:13">
      <c r="A1277">
        <v>1276</v>
      </c>
      <c r="B1277" s="1">
        <v>45953</v>
      </c>
      <c r="C1277" t="s">
        <v>105</v>
      </c>
      <c r="D1277">
        <v>23</v>
      </c>
      <c r="E1277">
        <v>10</v>
      </c>
      <c r="F1277">
        <v>4</v>
      </c>
      <c r="G1277">
        <v>2025</v>
      </c>
      <c r="H1277" t="s">
        <v>106</v>
      </c>
      <c r="I1277" t="s">
        <v>670</v>
      </c>
      <c r="J1277" t="s">
        <v>57</v>
      </c>
      <c r="K1277">
        <v>38</v>
      </c>
      <c r="L1277">
        <v>9</v>
      </c>
      <c r="M1277">
        <v>342</v>
      </c>
    </row>
    <row r="1278" spans="1:13">
      <c r="A1278">
        <v>1277</v>
      </c>
      <c r="B1278" s="1">
        <v>45953</v>
      </c>
      <c r="C1278" t="s">
        <v>105</v>
      </c>
      <c r="D1278">
        <v>23</v>
      </c>
      <c r="E1278">
        <v>10</v>
      </c>
      <c r="F1278">
        <v>4</v>
      </c>
      <c r="G1278">
        <v>2025</v>
      </c>
      <c r="H1278" t="s">
        <v>106</v>
      </c>
      <c r="I1278" t="s">
        <v>129</v>
      </c>
      <c r="J1278" t="s">
        <v>25</v>
      </c>
      <c r="K1278">
        <v>20</v>
      </c>
      <c r="L1278">
        <v>6</v>
      </c>
      <c r="M1278">
        <v>126</v>
      </c>
    </row>
    <row r="1279" spans="1:13">
      <c r="A1279">
        <v>1278</v>
      </c>
      <c r="B1279" s="1">
        <v>45953</v>
      </c>
      <c r="C1279" t="s">
        <v>105</v>
      </c>
      <c r="D1279">
        <v>23</v>
      </c>
      <c r="E1279">
        <v>10</v>
      </c>
      <c r="F1279">
        <v>4</v>
      </c>
      <c r="G1279">
        <v>2025</v>
      </c>
      <c r="H1279" t="s">
        <v>106</v>
      </c>
      <c r="I1279" t="s">
        <v>545</v>
      </c>
      <c r="J1279" t="s">
        <v>60</v>
      </c>
      <c r="K1279">
        <v>29</v>
      </c>
      <c r="L1279">
        <v>12</v>
      </c>
      <c r="M1279">
        <v>370</v>
      </c>
    </row>
    <row r="1280" spans="1:13">
      <c r="A1280">
        <v>1279</v>
      </c>
      <c r="B1280" s="1">
        <v>45953</v>
      </c>
      <c r="C1280" t="s">
        <v>105</v>
      </c>
      <c r="D1280">
        <v>23</v>
      </c>
      <c r="E1280">
        <v>10</v>
      </c>
      <c r="F1280">
        <v>4</v>
      </c>
      <c r="G1280">
        <v>2025</v>
      </c>
      <c r="H1280" t="s">
        <v>106</v>
      </c>
      <c r="I1280" t="s">
        <v>216</v>
      </c>
      <c r="J1280" t="s">
        <v>100</v>
      </c>
      <c r="K1280">
        <v>44</v>
      </c>
      <c r="L1280">
        <v>6</v>
      </c>
      <c r="M1280">
        <v>264</v>
      </c>
    </row>
    <row r="1281" spans="1:13">
      <c r="A1281">
        <v>1280</v>
      </c>
      <c r="B1281" s="1">
        <v>45909</v>
      </c>
      <c r="C1281" t="s">
        <v>48</v>
      </c>
      <c r="D1281">
        <v>9</v>
      </c>
      <c r="E1281">
        <v>9</v>
      </c>
      <c r="F1281">
        <v>3</v>
      </c>
      <c r="G1281">
        <v>2025</v>
      </c>
      <c r="H1281" t="s">
        <v>451</v>
      </c>
      <c r="I1281" t="s">
        <v>416</v>
      </c>
      <c r="J1281" t="s">
        <v>57</v>
      </c>
      <c r="K1281">
        <v>56</v>
      </c>
      <c r="L1281">
        <v>8</v>
      </c>
      <c r="M1281">
        <v>457</v>
      </c>
    </row>
    <row r="1282" spans="1:13">
      <c r="A1282">
        <v>1281</v>
      </c>
      <c r="B1282" s="1">
        <v>46064</v>
      </c>
      <c r="C1282" t="s">
        <v>34</v>
      </c>
      <c r="D1282">
        <v>11</v>
      </c>
      <c r="E1282">
        <v>2</v>
      </c>
      <c r="F1282">
        <v>1</v>
      </c>
      <c r="G1282">
        <v>2026</v>
      </c>
      <c r="H1282" t="s">
        <v>671</v>
      </c>
      <c r="I1282" t="s">
        <v>672</v>
      </c>
      <c r="J1282" t="s">
        <v>55</v>
      </c>
      <c r="K1282">
        <v>51</v>
      </c>
      <c r="L1282">
        <v>2</v>
      </c>
      <c r="M1282">
        <v>141</v>
      </c>
    </row>
    <row r="1283" spans="1:13">
      <c r="A1283">
        <v>1282</v>
      </c>
      <c r="B1283" s="1">
        <v>46064</v>
      </c>
      <c r="C1283" t="s">
        <v>34</v>
      </c>
      <c r="D1283">
        <v>11</v>
      </c>
      <c r="E1283">
        <v>2</v>
      </c>
      <c r="F1283">
        <v>1</v>
      </c>
      <c r="G1283">
        <v>2026</v>
      </c>
      <c r="H1283" t="s">
        <v>671</v>
      </c>
      <c r="I1283" t="s">
        <v>351</v>
      </c>
      <c r="J1283" t="s">
        <v>57</v>
      </c>
      <c r="K1283">
        <v>18</v>
      </c>
      <c r="L1283">
        <v>5</v>
      </c>
      <c r="M1283">
        <v>104</v>
      </c>
    </row>
    <row r="1284" spans="1:13">
      <c r="A1284">
        <v>1283</v>
      </c>
      <c r="B1284" s="1">
        <v>46064</v>
      </c>
      <c r="C1284" t="s">
        <v>34</v>
      </c>
      <c r="D1284">
        <v>11</v>
      </c>
      <c r="E1284">
        <v>2</v>
      </c>
      <c r="F1284">
        <v>1</v>
      </c>
      <c r="G1284">
        <v>2026</v>
      </c>
      <c r="H1284" t="s">
        <v>671</v>
      </c>
      <c r="I1284" t="s">
        <v>669</v>
      </c>
      <c r="J1284" t="s">
        <v>97</v>
      </c>
      <c r="K1284">
        <v>44</v>
      </c>
      <c r="L1284">
        <v>3</v>
      </c>
      <c r="M1284">
        <v>134</v>
      </c>
    </row>
    <row r="1285" spans="1:13">
      <c r="A1285">
        <v>1284</v>
      </c>
      <c r="B1285" s="1">
        <v>46064</v>
      </c>
      <c r="C1285" t="s">
        <v>34</v>
      </c>
      <c r="D1285">
        <v>11</v>
      </c>
      <c r="E1285">
        <v>2</v>
      </c>
      <c r="F1285">
        <v>1</v>
      </c>
      <c r="G1285">
        <v>2026</v>
      </c>
      <c r="H1285" t="s">
        <v>671</v>
      </c>
      <c r="I1285" t="s">
        <v>166</v>
      </c>
      <c r="J1285" t="s">
        <v>23</v>
      </c>
      <c r="K1285">
        <v>12</v>
      </c>
      <c r="L1285">
        <v>15</v>
      </c>
      <c r="M1285">
        <v>191</v>
      </c>
    </row>
    <row r="1286" spans="1:13">
      <c r="A1286">
        <v>1285</v>
      </c>
      <c r="B1286" s="1">
        <v>46064</v>
      </c>
      <c r="C1286" t="s">
        <v>34</v>
      </c>
      <c r="D1286">
        <v>11</v>
      </c>
      <c r="E1286">
        <v>2</v>
      </c>
      <c r="F1286">
        <v>1</v>
      </c>
      <c r="G1286">
        <v>2026</v>
      </c>
      <c r="H1286" t="s">
        <v>671</v>
      </c>
      <c r="I1286" t="s">
        <v>673</v>
      </c>
      <c r="J1286" t="s">
        <v>100</v>
      </c>
      <c r="K1286">
        <v>37</v>
      </c>
      <c r="L1286">
        <v>4</v>
      </c>
      <c r="M1286">
        <v>180</v>
      </c>
    </row>
    <row r="1287" spans="1:13">
      <c r="A1287">
        <v>1286</v>
      </c>
      <c r="B1287" s="1">
        <v>46064</v>
      </c>
      <c r="C1287" t="s">
        <v>34</v>
      </c>
      <c r="D1287">
        <v>11</v>
      </c>
      <c r="E1287">
        <v>2</v>
      </c>
      <c r="F1287">
        <v>1</v>
      </c>
      <c r="G1287">
        <v>2026</v>
      </c>
      <c r="H1287" t="s">
        <v>671</v>
      </c>
      <c r="I1287" t="s">
        <v>609</v>
      </c>
      <c r="J1287" t="s">
        <v>27</v>
      </c>
      <c r="K1287">
        <v>57</v>
      </c>
      <c r="L1287">
        <v>3</v>
      </c>
      <c r="M1287">
        <v>197</v>
      </c>
    </row>
    <row r="1288" spans="1:13">
      <c r="A1288">
        <v>1287</v>
      </c>
      <c r="B1288" s="1">
        <v>46064</v>
      </c>
      <c r="C1288" t="s">
        <v>34</v>
      </c>
      <c r="D1288">
        <v>11</v>
      </c>
      <c r="E1288">
        <v>2</v>
      </c>
      <c r="F1288">
        <v>1</v>
      </c>
      <c r="G1288">
        <v>2026</v>
      </c>
      <c r="H1288" t="s">
        <v>671</v>
      </c>
      <c r="I1288" t="s">
        <v>461</v>
      </c>
      <c r="J1288" t="s">
        <v>60</v>
      </c>
      <c r="K1288">
        <v>36</v>
      </c>
      <c r="L1288">
        <v>9</v>
      </c>
      <c r="M1288">
        <v>348</v>
      </c>
    </row>
    <row r="1289" spans="1:13">
      <c r="A1289">
        <v>1288</v>
      </c>
      <c r="B1289" s="1">
        <v>46222</v>
      </c>
      <c r="C1289" t="s">
        <v>28</v>
      </c>
      <c r="D1289">
        <v>19</v>
      </c>
      <c r="E1289">
        <v>7</v>
      </c>
      <c r="F1289">
        <v>3</v>
      </c>
      <c r="G1289">
        <v>2026</v>
      </c>
      <c r="H1289" t="s">
        <v>94</v>
      </c>
      <c r="I1289" t="s">
        <v>444</v>
      </c>
      <c r="J1289" t="s">
        <v>37</v>
      </c>
      <c r="K1289">
        <v>43</v>
      </c>
      <c r="L1289">
        <v>7</v>
      </c>
      <c r="M1289">
        <v>305</v>
      </c>
    </row>
    <row r="1290" spans="1:13">
      <c r="A1290">
        <v>1289</v>
      </c>
      <c r="B1290" s="1">
        <v>46222</v>
      </c>
      <c r="C1290" t="s">
        <v>28</v>
      </c>
      <c r="D1290">
        <v>19</v>
      </c>
      <c r="E1290">
        <v>7</v>
      </c>
      <c r="F1290">
        <v>3</v>
      </c>
      <c r="G1290">
        <v>2026</v>
      </c>
      <c r="H1290" t="s">
        <v>94</v>
      </c>
      <c r="I1290" t="s">
        <v>565</v>
      </c>
      <c r="J1290" t="s">
        <v>17</v>
      </c>
      <c r="K1290">
        <v>39</v>
      </c>
      <c r="L1290">
        <v>2</v>
      </c>
      <c r="M1290">
        <v>107</v>
      </c>
    </row>
    <row r="1291" spans="1:13">
      <c r="A1291">
        <v>1290</v>
      </c>
      <c r="B1291" s="1">
        <v>46222</v>
      </c>
      <c r="C1291" t="s">
        <v>28</v>
      </c>
      <c r="D1291">
        <v>19</v>
      </c>
      <c r="E1291">
        <v>7</v>
      </c>
      <c r="F1291">
        <v>3</v>
      </c>
      <c r="G1291">
        <v>2026</v>
      </c>
      <c r="H1291" t="s">
        <v>94</v>
      </c>
      <c r="I1291" t="s">
        <v>38</v>
      </c>
      <c r="J1291" t="s">
        <v>39</v>
      </c>
      <c r="K1291">
        <v>48</v>
      </c>
      <c r="L1291">
        <v>9</v>
      </c>
      <c r="M1291">
        <v>468</v>
      </c>
    </row>
    <row r="1292" spans="1:13">
      <c r="A1292">
        <v>1291</v>
      </c>
      <c r="B1292" s="1">
        <v>46222</v>
      </c>
      <c r="C1292" t="s">
        <v>28</v>
      </c>
      <c r="D1292">
        <v>19</v>
      </c>
      <c r="E1292">
        <v>7</v>
      </c>
      <c r="F1292">
        <v>3</v>
      </c>
      <c r="G1292">
        <v>2026</v>
      </c>
      <c r="H1292" t="s">
        <v>94</v>
      </c>
      <c r="I1292" t="s">
        <v>589</v>
      </c>
      <c r="J1292" t="s">
        <v>46</v>
      </c>
      <c r="K1292">
        <v>23</v>
      </c>
      <c r="L1292">
        <v>11</v>
      </c>
      <c r="M1292">
        <v>260</v>
      </c>
    </row>
    <row r="1293" spans="1:13">
      <c r="A1293">
        <v>1292</v>
      </c>
      <c r="B1293" s="1">
        <v>46222</v>
      </c>
      <c r="C1293" t="s">
        <v>28</v>
      </c>
      <c r="D1293">
        <v>19</v>
      </c>
      <c r="E1293">
        <v>7</v>
      </c>
      <c r="F1293">
        <v>3</v>
      </c>
      <c r="G1293">
        <v>2026</v>
      </c>
      <c r="H1293" t="s">
        <v>94</v>
      </c>
      <c r="I1293" t="s">
        <v>173</v>
      </c>
      <c r="J1293" t="s">
        <v>55</v>
      </c>
      <c r="K1293">
        <v>26</v>
      </c>
      <c r="L1293">
        <v>12</v>
      </c>
      <c r="M1293">
        <v>312</v>
      </c>
    </row>
    <row r="1294" spans="1:13">
      <c r="A1294">
        <v>1293</v>
      </c>
      <c r="B1294" s="1">
        <v>46222</v>
      </c>
      <c r="C1294" t="s">
        <v>28</v>
      </c>
      <c r="D1294">
        <v>19</v>
      </c>
      <c r="E1294">
        <v>7</v>
      </c>
      <c r="F1294">
        <v>3</v>
      </c>
      <c r="G1294">
        <v>2026</v>
      </c>
      <c r="H1294" t="s">
        <v>94</v>
      </c>
      <c r="I1294" t="s">
        <v>674</v>
      </c>
      <c r="J1294" t="s">
        <v>122</v>
      </c>
      <c r="K1294">
        <v>28</v>
      </c>
      <c r="L1294">
        <v>10</v>
      </c>
      <c r="M1294">
        <v>285</v>
      </c>
    </row>
    <row r="1295" spans="1:13">
      <c r="A1295">
        <v>1294</v>
      </c>
      <c r="B1295" s="1">
        <v>46222</v>
      </c>
      <c r="C1295" t="s">
        <v>28</v>
      </c>
      <c r="D1295">
        <v>19</v>
      </c>
      <c r="E1295">
        <v>7</v>
      </c>
      <c r="F1295">
        <v>3</v>
      </c>
      <c r="G1295">
        <v>2026</v>
      </c>
      <c r="H1295" t="s">
        <v>94</v>
      </c>
      <c r="I1295" t="s">
        <v>187</v>
      </c>
      <c r="J1295" t="s">
        <v>60</v>
      </c>
      <c r="K1295">
        <v>45</v>
      </c>
      <c r="L1295">
        <v>3</v>
      </c>
      <c r="M1295">
        <v>162</v>
      </c>
    </row>
    <row r="1296" spans="1:13">
      <c r="A1296">
        <v>1295</v>
      </c>
      <c r="B1296" s="1">
        <v>46222</v>
      </c>
      <c r="C1296" t="s">
        <v>28</v>
      </c>
      <c r="D1296">
        <v>19</v>
      </c>
      <c r="E1296">
        <v>7</v>
      </c>
      <c r="F1296">
        <v>3</v>
      </c>
      <c r="G1296">
        <v>2026</v>
      </c>
      <c r="H1296" t="s">
        <v>94</v>
      </c>
      <c r="I1296" t="s">
        <v>102</v>
      </c>
      <c r="J1296" t="s">
        <v>51</v>
      </c>
      <c r="K1296">
        <v>47</v>
      </c>
      <c r="L1296">
        <v>3</v>
      </c>
      <c r="M1296">
        <v>183</v>
      </c>
    </row>
    <row r="1297" spans="1:13">
      <c r="A1297">
        <v>1296</v>
      </c>
      <c r="B1297" s="1">
        <v>46222</v>
      </c>
      <c r="C1297" t="s">
        <v>28</v>
      </c>
      <c r="D1297">
        <v>19</v>
      </c>
      <c r="E1297">
        <v>7</v>
      </c>
      <c r="F1297">
        <v>3</v>
      </c>
      <c r="G1297">
        <v>2026</v>
      </c>
      <c r="H1297" t="s">
        <v>94</v>
      </c>
      <c r="I1297" t="s">
        <v>354</v>
      </c>
      <c r="J1297" t="s">
        <v>31</v>
      </c>
      <c r="K1297">
        <v>13</v>
      </c>
      <c r="L1297">
        <v>20</v>
      </c>
      <c r="M1297">
        <v>265</v>
      </c>
    </row>
    <row r="1298" spans="1:13">
      <c r="A1298">
        <v>1297</v>
      </c>
      <c r="B1298" s="1">
        <v>46222</v>
      </c>
      <c r="C1298" t="s">
        <v>28</v>
      </c>
      <c r="D1298">
        <v>19</v>
      </c>
      <c r="E1298">
        <v>7</v>
      </c>
      <c r="F1298">
        <v>3</v>
      </c>
      <c r="G1298">
        <v>2026</v>
      </c>
      <c r="H1298" t="s">
        <v>94</v>
      </c>
      <c r="I1298" t="s">
        <v>675</v>
      </c>
      <c r="J1298" t="s">
        <v>97</v>
      </c>
      <c r="K1298">
        <v>54</v>
      </c>
      <c r="L1298">
        <v>9</v>
      </c>
      <c r="M1298">
        <v>486</v>
      </c>
    </row>
    <row r="1299" spans="1:13">
      <c r="A1299">
        <v>1298</v>
      </c>
      <c r="B1299" s="1">
        <v>46222</v>
      </c>
      <c r="C1299" t="s">
        <v>28</v>
      </c>
      <c r="D1299">
        <v>19</v>
      </c>
      <c r="E1299">
        <v>7</v>
      </c>
      <c r="F1299">
        <v>3</v>
      </c>
      <c r="G1299">
        <v>2026</v>
      </c>
      <c r="H1299" t="s">
        <v>94</v>
      </c>
      <c r="I1299" t="s">
        <v>347</v>
      </c>
      <c r="J1299" t="s">
        <v>69</v>
      </c>
      <c r="K1299">
        <v>53</v>
      </c>
      <c r="L1299">
        <v>1</v>
      </c>
      <c r="M1299">
        <v>98</v>
      </c>
    </row>
    <row r="1300" spans="1:13">
      <c r="A1300">
        <v>1299</v>
      </c>
      <c r="B1300" s="1">
        <v>45621</v>
      </c>
      <c r="C1300" t="s">
        <v>93</v>
      </c>
      <c r="D1300">
        <v>25</v>
      </c>
      <c r="E1300">
        <v>11</v>
      </c>
      <c r="F1300">
        <v>4</v>
      </c>
      <c r="G1300">
        <v>2024</v>
      </c>
      <c r="H1300" t="s">
        <v>592</v>
      </c>
      <c r="I1300" t="s">
        <v>510</v>
      </c>
      <c r="J1300" t="s">
        <v>43</v>
      </c>
      <c r="K1300">
        <v>24</v>
      </c>
      <c r="L1300">
        <v>6</v>
      </c>
      <c r="M1300">
        <v>149</v>
      </c>
    </row>
    <row r="1301" spans="1:13">
      <c r="A1301">
        <v>1300</v>
      </c>
      <c r="B1301" s="1">
        <v>45621</v>
      </c>
      <c r="C1301" t="s">
        <v>93</v>
      </c>
      <c r="D1301">
        <v>25</v>
      </c>
      <c r="E1301">
        <v>11</v>
      </c>
      <c r="F1301">
        <v>4</v>
      </c>
      <c r="G1301">
        <v>2024</v>
      </c>
      <c r="H1301" t="s">
        <v>592</v>
      </c>
      <c r="I1301" t="s">
        <v>540</v>
      </c>
      <c r="J1301" t="s">
        <v>19</v>
      </c>
      <c r="K1301">
        <v>27</v>
      </c>
      <c r="L1301">
        <v>10</v>
      </c>
      <c r="M1301">
        <v>272</v>
      </c>
    </row>
    <row r="1302" spans="1:13">
      <c r="A1302">
        <v>1301</v>
      </c>
      <c r="B1302" s="1">
        <v>45621</v>
      </c>
      <c r="C1302" t="s">
        <v>93</v>
      </c>
      <c r="D1302">
        <v>25</v>
      </c>
      <c r="E1302">
        <v>11</v>
      </c>
      <c r="F1302">
        <v>4</v>
      </c>
      <c r="G1302">
        <v>2024</v>
      </c>
      <c r="H1302" t="s">
        <v>592</v>
      </c>
      <c r="I1302" t="s">
        <v>240</v>
      </c>
      <c r="J1302" t="s">
        <v>23</v>
      </c>
      <c r="K1302">
        <v>10</v>
      </c>
      <c r="L1302">
        <v>44</v>
      </c>
      <c r="M1302">
        <v>449</v>
      </c>
    </row>
    <row r="1303" spans="1:13">
      <c r="A1303">
        <v>1302</v>
      </c>
      <c r="B1303" s="1">
        <v>45621</v>
      </c>
      <c r="C1303" t="s">
        <v>93</v>
      </c>
      <c r="D1303">
        <v>25</v>
      </c>
      <c r="E1303">
        <v>11</v>
      </c>
      <c r="F1303">
        <v>4</v>
      </c>
      <c r="G1303">
        <v>2024</v>
      </c>
      <c r="H1303" t="s">
        <v>592</v>
      </c>
      <c r="I1303" t="s">
        <v>676</v>
      </c>
      <c r="J1303" t="s">
        <v>69</v>
      </c>
      <c r="K1303">
        <v>49</v>
      </c>
      <c r="L1303">
        <v>6</v>
      </c>
      <c r="M1303">
        <v>322</v>
      </c>
    </row>
    <row r="1304" spans="1:13">
      <c r="A1304">
        <v>1303</v>
      </c>
      <c r="B1304" s="1">
        <v>45621</v>
      </c>
      <c r="C1304" t="s">
        <v>93</v>
      </c>
      <c r="D1304">
        <v>25</v>
      </c>
      <c r="E1304">
        <v>11</v>
      </c>
      <c r="F1304">
        <v>4</v>
      </c>
      <c r="G1304">
        <v>2024</v>
      </c>
      <c r="H1304" t="s">
        <v>592</v>
      </c>
      <c r="I1304" t="s">
        <v>674</v>
      </c>
      <c r="J1304" t="s">
        <v>122</v>
      </c>
      <c r="K1304">
        <v>20</v>
      </c>
      <c r="L1304">
        <v>13</v>
      </c>
      <c r="M1304">
        <v>274</v>
      </c>
    </row>
    <row r="1305" spans="1:13">
      <c r="A1305">
        <v>1304</v>
      </c>
      <c r="B1305" s="1">
        <v>45621</v>
      </c>
      <c r="C1305" t="s">
        <v>93</v>
      </c>
      <c r="D1305">
        <v>25</v>
      </c>
      <c r="E1305">
        <v>11</v>
      </c>
      <c r="F1305">
        <v>4</v>
      </c>
      <c r="G1305">
        <v>2024</v>
      </c>
      <c r="H1305" t="s">
        <v>592</v>
      </c>
      <c r="I1305" t="s">
        <v>293</v>
      </c>
      <c r="J1305" t="s">
        <v>100</v>
      </c>
      <c r="K1305">
        <v>23</v>
      </c>
      <c r="L1305">
        <v>19</v>
      </c>
      <c r="M1305">
        <v>450</v>
      </c>
    </row>
    <row r="1306" spans="1:13">
      <c r="A1306">
        <v>1305</v>
      </c>
      <c r="B1306" s="1">
        <v>45621</v>
      </c>
      <c r="C1306" t="s">
        <v>93</v>
      </c>
      <c r="D1306">
        <v>25</v>
      </c>
      <c r="E1306">
        <v>11</v>
      </c>
      <c r="F1306">
        <v>4</v>
      </c>
      <c r="G1306">
        <v>2024</v>
      </c>
      <c r="H1306" t="s">
        <v>592</v>
      </c>
      <c r="I1306" t="s">
        <v>549</v>
      </c>
      <c r="J1306" t="s">
        <v>82</v>
      </c>
      <c r="K1306">
        <v>14</v>
      </c>
      <c r="L1306">
        <v>15</v>
      </c>
      <c r="M1306">
        <v>218</v>
      </c>
    </row>
    <row r="1307" spans="1:13">
      <c r="A1307">
        <v>1306</v>
      </c>
      <c r="B1307" s="1">
        <v>45621</v>
      </c>
      <c r="C1307" t="s">
        <v>93</v>
      </c>
      <c r="D1307">
        <v>25</v>
      </c>
      <c r="E1307">
        <v>11</v>
      </c>
      <c r="F1307">
        <v>4</v>
      </c>
      <c r="G1307">
        <v>2024</v>
      </c>
      <c r="H1307" t="s">
        <v>592</v>
      </c>
      <c r="I1307" t="s">
        <v>418</v>
      </c>
      <c r="J1307" t="s">
        <v>43</v>
      </c>
      <c r="K1307">
        <v>25</v>
      </c>
      <c r="L1307">
        <v>14</v>
      </c>
      <c r="M1307">
        <v>351</v>
      </c>
    </row>
    <row r="1308" spans="1:13">
      <c r="A1308">
        <v>1307</v>
      </c>
      <c r="B1308" s="1">
        <v>45621</v>
      </c>
      <c r="C1308" t="s">
        <v>93</v>
      </c>
      <c r="D1308">
        <v>25</v>
      </c>
      <c r="E1308">
        <v>11</v>
      </c>
      <c r="F1308">
        <v>4</v>
      </c>
      <c r="G1308">
        <v>2024</v>
      </c>
      <c r="H1308" t="s">
        <v>592</v>
      </c>
      <c r="I1308" t="s">
        <v>254</v>
      </c>
      <c r="J1308" t="s">
        <v>51</v>
      </c>
      <c r="K1308">
        <v>22</v>
      </c>
      <c r="L1308">
        <v>15</v>
      </c>
      <c r="M1308">
        <v>334</v>
      </c>
    </row>
    <row r="1309" spans="1:13">
      <c r="A1309">
        <v>1308</v>
      </c>
      <c r="B1309" s="1">
        <v>45621</v>
      </c>
      <c r="C1309" t="s">
        <v>93</v>
      </c>
      <c r="D1309">
        <v>25</v>
      </c>
      <c r="E1309">
        <v>11</v>
      </c>
      <c r="F1309">
        <v>4</v>
      </c>
      <c r="G1309">
        <v>2024</v>
      </c>
      <c r="H1309" t="s">
        <v>592</v>
      </c>
      <c r="I1309" t="s">
        <v>277</v>
      </c>
      <c r="J1309" t="s">
        <v>122</v>
      </c>
      <c r="K1309">
        <v>43</v>
      </c>
      <c r="L1309">
        <v>7</v>
      </c>
      <c r="M1309">
        <v>309</v>
      </c>
    </row>
    <row r="1310" spans="1:13">
      <c r="A1310">
        <v>1309</v>
      </c>
      <c r="B1310" s="1">
        <v>45821</v>
      </c>
      <c r="C1310" t="s">
        <v>79</v>
      </c>
      <c r="D1310">
        <v>13</v>
      </c>
      <c r="E1310">
        <v>6</v>
      </c>
      <c r="F1310">
        <v>2</v>
      </c>
      <c r="G1310">
        <v>2025</v>
      </c>
      <c r="H1310" t="s">
        <v>677</v>
      </c>
      <c r="I1310" t="s">
        <v>182</v>
      </c>
      <c r="J1310" t="s">
        <v>39</v>
      </c>
      <c r="K1310">
        <v>18</v>
      </c>
      <c r="L1310">
        <v>10</v>
      </c>
      <c r="M1310">
        <v>194</v>
      </c>
    </row>
    <row r="1311" spans="1:13">
      <c r="A1311">
        <v>1310</v>
      </c>
      <c r="B1311" s="1">
        <v>45821</v>
      </c>
      <c r="C1311" t="s">
        <v>79</v>
      </c>
      <c r="D1311">
        <v>13</v>
      </c>
      <c r="E1311">
        <v>6</v>
      </c>
      <c r="F1311">
        <v>2</v>
      </c>
      <c r="G1311">
        <v>2025</v>
      </c>
      <c r="H1311" t="s">
        <v>677</v>
      </c>
      <c r="I1311" t="s">
        <v>274</v>
      </c>
      <c r="J1311" t="s">
        <v>19</v>
      </c>
      <c r="K1311">
        <v>27</v>
      </c>
      <c r="L1311">
        <v>5</v>
      </c>
      <c r="M1311">
        <v>135</v>
      </c>
    </row>
    <row r="1312" spans="1:13">
      <c r="A1312">
        <v>1311</v>
      </c>
      <c r="B1312" s="1">
        <v>45821</v>
      </c>
      <c r="C1312" t="s">
        <v>79</v>
      </c>
      <c r="D1312">
        <v>13</v>
      </c>
      <c r="E1312">
        <v>6</v>
      </c>
      <c r="F1312">
        <v>2</v>
      </c>
      <c r="G1312">
        <v>2025</v>
      </c>
      <c r="H1312" t="s">
        <v>677</v>
      </c>
      <c r="I1312" t="s">
        <v>40</v>
      </c>
      <c r="J1312" t="s">
        <v>37</v>
      </c>
      <c r="K1312">
        <v>29</v>
      </c>
      <c r="L1312">
        <v>7</v>
      </c>
      <c r="M1312">
        <v>226</v>
      </c>
    </row>
    <row r="1313" spans="1:13">
      <c r="A1313">
        <v>1312</v>
      </c>
      <c r="B1313" s="1">
        <v>45821</v>
      </c>
      <c r="C1313" t="s">
        <v>79</v>
      </c>
      <c r="D1313">
        <v>13</v>
      </c>
      <c r="E1313">
        <v>6</v>
      </c>
      <c r="F1313">
        <v>2</v>
      </c>
      <c r="G1313">
        <v>2025</v>
      </c>
      <c r="H1313" t="s">
        <v>677</v>
      </c>
      <c r="I1313" t="s">
        <v>519</v>
      </c>
      <c r="J1313" t="s">
        <v>51</v>
      </c>
      <c r="K1313">
        <v>60</v>
      </c>
      <c r="L1313">
        <v>4</v>
      </c>
      <c r="M1313">
        <v>298</v>
      </c>
    </row>
    <row r="1314" spans="1:13">
      <c r="A1314">
        <v>1313</v>
      </c>
      <c r="B1314" s="1">
        <v>45821</v>
      </c>
      <c r="C1314" t="s">
        <v>79</v>
      </c>
      <c r="D1314">
        <v>13</v>
      </c>
      <c r="E1314">
        <v>6</v>
      </c>
      <c r="F1314">
        <v>2</v>
      </c>
      <c r="G1314">
        <v>2025</v>
      </c>
      <c r="H1314" t="s">
        <v>677</v>
      </c>
      <c r="I1314" t="s">
        <v>678</v>
      </c>
      <c r="J1314" t="s">
        <v>100</v>
      </c>
      <c r="K1314">
        <v>58</v>
      </c>
      <c r="L1314">
        <v>4</v>
      </c>
      <c r="M1314">
        <v>269</v>
      </c>
    </row>
    <row r="1315" spans="1:13">
      <c r="A1315">
        <v>1314</v>
      </c>
      <c r="B1315" s="1">
        <v>45821</v>
      </c>
      <c r="C1315" t="s">
        <v>79</v>
      </c>
      <c r="D1315">
        <v>13</v>
      </c>
      <c r="E1315">
        <v>6</v>
      </c>
      <c r="F1315">
        <v>2</v>
      </c>
      <c r="G1315">
        <v>2025</v>
      </c>
      <c r="H1315" t="s">
        <v>677</v>
      </c>
      <c r="I1315" t="s">
        <v>42</v>
      </c>
      <c r="J1315" t="s">
        <v>43</v>
      </c>
      <c r="K1315">
        <v>60</v>
      </c>
      <c r="L1315">
        <v>5</v>
      </c>
      <c r="M1315">
        <v>322</v>
      </c>
    </row>
    <row r="1316" spans="1:13">
      <c r="A1316">
        <v>1315</v>
      </c>
      <c r="B1316" s="1">
        <v>45821</v>
      </c>
      <c r="C1316" t="s">
        <v>79</v>
      </c>
      <c r="D1316">
        <v>13</v>
      </c>
      <c r="E1316">
        <v>6</v>
      </c>
      <c r="F1316">
        <v>2</v>
      </c>
      <c r="G1316">
        <v>2025</v>
      </c>
      <c r="H1316" t="s">
        <v>677</v>
      </c>
      <c r="I1316" t="s">
        <v>341</v>
      </c>
      <c r="J1316" t="s">
        <v>21</v>
      </c>
      <c r="K1316">
        <v>22</v>
      </c>
      <c r="L1316">
        <v>8</v>
      </c>
      <c r="M1316">
        <v>180</v>
      </c>
    </row>
    <row r="1317" spans="1:13">
      <c r="A1317">
        <v>1316</v>
      </c>
      <c r="B1317" s="1">
        <v>45821</v>
      </c>
      <c r="C1317" t="s">
        <v>79</v>
      </c>
      <c r="D1317">
        <v>13</v>
      </c>
      <c r="E1317">
        <v>6</v>
      </c>
      <c r="F1317">
        <v>2</v>
      </c>
      <c r="G1317">
        <v>2025</v>
      </c>
      <c r="H1317" t="s">
        <v>677</v>
      </c>
      <c r="I1317" t="s">
        <v>670</v>
      </c>
      <c r="J1317" t="s">
        <v>57</v>
      </c>
      <c r="K1317">
        <v>24</v>
      </c>
      <c r="L1317">
        <v>14</v>
      </c>
      <c r="M1317">
        <v>342</v>
      </c>
    </row>
    <row r="1318" spans="1:13">
      <c r="A1318">
        <v>1317</v>
      </c>
      <c r="B1318" s="1">
        <v>45821</v>
      </c>
      <c r="C1318" t="s">
        <v>79</v>
      </c>
      <c r="D1318">
        <v>13</v>
      </c>
      <c r="E1318">
        <v>6</v>
      </c>
      <c r="F1318">
        <v>2</v>
      </c>
      <c r="G1318">
        <v>2025</v>
      </c>
      <c r="H1318" t="s">
        <v>677</v>
      </c>
      <c r="I1318" t="s">
        <v>679</v>
      </c>
      <c r="J1318" t="s">
        <v>25</v>
      </c>
      <c r="K1318">
        <v>45</v>
      </c>
      <c r="L1318">
        <v>5</v>
      </c>
      <c r="M1318">
        <v>234</v>
      </c>
    </row>
    <row r="1319" spans="1:13">
      <c r="A1319">
        <v>1318</v>
      </c>
      <c r="B1319" s="1">
        <v>45821</v>
      </c>
      <c r="C1319" t="s">
        <v>79</v>
      </c>
      <c r="D1319">
        <v>13</v>
      </c>
      <c r="E1319">
        <v>6</v>
      </c>
      <c r="F1319">
        <v>2</v>
      </c>
      <c r="G1319">
        <v>2025</v>
      </c>
      <c r="H1319" t="s">
        <v>677</v>
      </c>
      <c r="I1319" t="s">
        <v>520</v>
      </c>
      <c r="J1319" t="s">
        <v>122</v>
      </c>
      <c r="K1319">
        <v>43</v>
      </c>
      <c r="L1319">
        <v>8</v>
      </c>
      <c r="M1319">
        <v>372</v>
      </c>
    </row>
    <row r="1320" spans="1:13">
      <c r="A1320">
        <v>1319</v>
      </c>
      <c r="B1320" s="1">
        <v>46035</v>
      </c>
      <c r="C1320" t="s">
        <v>48</v>
      </c>
      <c r="D1320">
        <v>13</v>
      </c>
      <c r="E1320">
        <v>1</v>
      </c>
      <c r="F1320">
        <v>1</v>
      </c>
      <c r="G1320">
        <v>2026</v>
      </c>
      <c r="H1320" t="s">
        <v>451</v>
      </c>
      <c r="I1320" t="s">
        <v>276</v>
      </c>
      <c r="J1320" t="s">
        <v>57</v>
      </c>
      <c r="K1320">
        <v>19</v>
      </c>
      <c r="L1320">
        <v>10</v>
      </c>
      <c r="M1320">
        <v>202</v>
      </c>
    </row>
    <row r="1321" spans="1:13">
      <c r="A1321">
        <v>1320</v>
      </c>
      <c r="B1321" s="1">
        <v>46035</v>
      </c>
      <c r="C1321" t="s">
        <v>48</v>
      </c>
      <c r="D1321">
        <v>13</v>
      </c>
      <c r="E1321">
        <v>1</v>
      </c>
      <c r="F1321">
        <v>1</v>
      </c>
      <c r="G1321">
        <v>2026</v>
      </c>
      <c r="H1321" t="s">
        <v>451</v>
      </c>
      <c r="I1321" t="s">
        <v>680</v>
      </c>
      <c r="J1321" t="s">
        <v>69</v>
      </c>
      <c r="K1321">
        <v>52</v>
      </c>
      <c r="L1321">
        <v>3</v>
      </c>
      <c r="M1321">
        <v>180</v>
      </c>
    </row>
    <row r="1322" spans="1:13">
      <c r="A1322">
        <v>1321</v>
      </c>
      <c r="B1322" s="1">
        <v>46035</v>
      </c>
      <c r="C1322" t="s">
        <v>48</v>
      </c>
      <c r="D1322">
        <v>13</v>
      </c>
      <c r="E1322">
        <v>1</v>
      </c>
      <c r="F1322">
        <v>1</v>
      </c>
      <c r="G1322">
        <v>2026</v>
      </c>
      <c r="H1322" t="s">
        <v>451</v>
      </c>
      <c r="I1322" t="s">
        <v>681</v>
      </c>
      <c r="J1322" t="s">
        <v>43</v>
      </c>
      <c r="K1322">
        <v>30</v>
      </c>
      <c r="L1322">
        <v>4</v>
      </c>
      <c r="M1322">
        <v>123</v>
      </c>
    </row>
    <row r="1323" spans="1:13">
      <c r="A1323">
        <v>1322</v>
      </c>
      <c r="B1323" s="1">
        <v>46035</v>
      </c>
      <c r="C1323" t="s">
        <v>48</v>
      </c>
      <c r="D1323">
        <v>13</v>
      </c>
      <c r="E1323">
        <v>1</v>
      </c>
      <c r="F1323">
        <v>1</v>
      </c>
      <c r="G1323">
        <v>2026</v>
      </c>
      <c r="H1323" t="s">
        <v>451</v>
      </c>
      <c r="I1323" t="s">
        <v>616</v>
      </c>
      <c r="J1323" t="s">
        <v>37</v>
      </c>
      <c r="K1323">
        <v>10</v>
      </c>
      <c r="L1323">
        <v>11</v>
      </c>
      <c r="M1323">
        <v>119</v>
      </c>
    </row>
    <row r="1324" spans="1:13">
      <c r="A1324">
        <v>1323</v>
      </c>
      <c r="B1324" s="1">
        <v>46035</v>
      </c>
      <c r="C1324" t="s">
        <v>48</v>
      </c>
      <c r="D1324">
        <v>13</v>
      </c>
      <c r="E1324">
        <v>1</v>
      </c>
      <c r="F1324">
        <v>1</v>
      </c>
      <c r="G1324">
        <v>2026</v>
      </c>
      <c r="H1324" t="s">
        <v>451</v>
      </c>
      <c r="I1324" t="s">
        <v>382</v>
      </c>
      <c r="J1324" t="s">
        <v>122</v>
      </c>
      <c r="K1324">
        <v>36</v>
      </c>
      <c r="L1324">
        <v>5</v>
      </c>
      <c r="M1324">
        <v>192</v>
      </c>
    </row>
    <row r="1325" spans="1:13">
      <c r="A1325">
        <v>1324</v>
      </c>
      <c r="B1325" s="1">
        <v>46035</v>
      </c>
      <c r="C1325" t="s">
        <v>48</v>
      </c>
      <c r="D1325">
        <v>13</v>
      </c>
      <c r="E1325">
        <v>1</v>
      </c>
      <c r="F1325">
        <v>1</v>
      </c>
      <c r="G1325">
        <v>2026</v>
      </c>
      <c r="H1325" t="s">
        <v>451</v>
      </c>
      <c r="I1325" t="s">
        <v>637</v>
      </c>
      <c r="J1325" t="s">
        <v>100</v>
      </c>
      <c r="K1325">
        <v>30</v>
      </c>
      <c r="L1325">
        <v>12</v>
      </c>
      <c r="M1325">
        <v>383</v>
      </c>
    </row>
    <row r="1326" spans="1:13">
      <c r="A1326">
        <v>1325</v>
      </c>
      <c r="B1326" s="1">
        <v>46035</v>
      </c>
      <c r="C1326" t="s">
        <v>48</v>
      </c>
      <c r="D1326">
        <v>13</v>
      </c>
      <c r="E1326">
        <v>1</v>
      </c>
      <c r="F1326">
        <v>1</v>
      </c>
      <c r="G1326">
        <v>2026</v>
      </c>
      <c r="H1326" t="s">
        <v>451</v>
      </c>
      <c r="I1326" t="s">
        <v>400</v>
      </c>
      <c r="J1326" t="s">
        <v>57</v>
      </c>
      <c r="K1326">
        <v>28</v>
      </c>
      <c r="L1326">
        <v>16</v>
      </c>
      <c r="M1326">
        <v>468</v>
      </c>
    </row>
    <row r="1327" spans="1:13">
      <c r="A1327">
        <v>1326</v>
      </c>
      <c r="B1327" s="1">
        <v>45824</v>
      </c>
      <c r="C1327" t="s">
        <v>93</v>
      </c>
      <c r="D1327">
        <v>16</v>
      </c>
      <c r="E1327">
        <v>6</v>
      </c>
      <c r="F1327">
        <v>2</v>
      </c>
      <c r="G1327">
        <v>2025</v>
      </c>
      <c r="H1327" t="s">
        <v>113</v>
      </c>
      <c r="I1327" t="s">
        <v>613</v>
      </c>
      <c r="J1327" t="s">
        <v>21</v>
      </c>
      <c r="K1327">
        <v>29</v>
      </c>
      <c r="L1327">
        <v>10</v>
      </c>
      <c r="M1327">
        <v>304</v>
      </c>
    </row>
    <row r="1328" spans="1:13">
      <c r="A1328">
        <v>1327</v>
      </c>
      <c r="B1328" s="1">
        <v>45824</v>
      </c>
      <c r="C1328" t="s">
        <v>93</v>
      </c>
      <c r="D1328">
        <v>16</v>
      </c>
      <c r="E1328">
        <v>6</v>
      </c>
      <c r="F1328">
        <v>2</v>
      </c>
      <c r="G1328">
        <v>2025</v>
      </c>
      <c r="H1328" t="s">
        <v>113</v>
      </c>
      <c r="I1328" t="s">
        <v>391</v>
      </c>
      <c r="J1328" t="s">
        <v>60</v>
      </c>
      <c r="K1328">
        <v>42</v>
      </c>
      <c r="L1328">
        <v>6</v>
      </c>
      <c r="M1328">
        <v>280</v>
      </c>
    </row>
    <row r="1329" spans="1:13">
      <c r="A1329">
        <v>1328</v>
      </c>
      <c r="B1329" s="1">
        <v>45824</v>
      </c>
      <c r="C1329" t="s">
        <v>93</v>
      </c>
      <c r="D1329">
        <v>16</v>
      </c>
      <c r="E1329">
        <v>6</v>
      </c>
      <c r="F1329">
        <v>2</v>
      </c>
      <c r="G1329">
        <v>2025</v>
      </c>
      <c r="H1329" t="s">
        <v>113</v>
      </c>
      <c r="I1329" t="s">
        <v>271</v>
      </c>
      <c r="J1329" t="s">
        <v>25</v>
      </c>
      <c r="K1329">
        <v>46</v>
      </c>
      <c r="L1329">
        <v>5</v>
      </c>
      <c r="M1329">
        <v>243</v>
      </c>
    </row>
    <row r="1330" spans="1:13">
      <c r="A1330">
        <v>1329</v>
      </c>
      <c r="B1330" s="1">
        <v>45824</v>
      </c>
      <c r="C1330" t="s">
        <v>93</v>
      </c>
      <c r="D1330">
        <v>16</v>
      </c>
      <c r="E1330">
        <v>6</v>
      </c>
      <c r="F1330">
        <v>2</v>
      </c>
      <c r="G1330">
        <v>2025</v>
      </c>
      <c r="H1330" t="s">
        <v>113</v>
      </c>
      <c r="I1330" t="s">
        <v>182</v>
      </c>
      <c r="J1330" t="s">
        <v>39</v>
      </c>
      <c r="K1330">
        <v>58</v>
      </c>
      <c r="L1330">
        <v>3</v>
      </c>
      <c r="M1330">
        <v>182</v>
      </c>
    </row>
    <row r="1331" spans="1:13">
      <c r="A1331">
        <v>1330</v>
      </c>
      <c r="B1331" s="1">
        <v>45824</v>
      </c>
      <c r="C1331" t="s">
        <v>93</v>
      </c>
      <c r="D1331">
        <v>16</v>
      </c>
      <c r="E1331">
        <v>6</v>
      </c>
      <c r="F1331">
        <v>2</v>
      </c>
      <c r="G1331">
        <v>2025</v>
      </c>
      <c r="H1331" t="s">
        <v>113</v>
      </c>
      <c r="I1331" t="s">
        <v>185</v>
      </c>
      <c r="J1331" t="s">
        <v>57</v>
      </c>
      <c r="K1331">
        <v>23</v>
      </c>
      <c r="L1331">
        <v>12</v>
      </c>
      <c r="M1331">
        <v>292</v>
      </c>
    </row>
    <row r="1332" spans="1:13">
      <c r="A1332">
        <v>1331</v>
      </c>
      <c r="B1332" s="1">
        <v>45824</v>
      </c>
      <c r="C1332" t="s">
        <v>93</v>
      </c>
      <c r="D1332">
        <v>16</v>
      </c>
      <c r="E1332">
        <v>6</v>
      </c>
      <c r="F1332">
        <v>2</v>
      </c>
      <c r="G1332">
        <v>2025</v>
      </c>
      <c r="H1332" t="s">
        <v>113</v>
      </c>
      <c r="I1332" t="s">
        <v>379</v>
      </c>
      <c r="J1332" t="s">
        <v>69</v>
      </c>
      <c r="K1332">
        <v>11</v>
      </c>
      <c r="L1332">
        <v>25</v>
      </c>
      <c r="M1332">
        <v>280</v>
      </c>
    </row>
    <row r="1333" spans="1:13">
      <c r="A1333">
        <v>1332</v>
      </c>
      <c r="B1333" s="1">
        <v>45824</v>
      </c>
      <c r="C1333" t="s">
        <v>93</v>
      </c>
      <c r="D1333">
        <v>16</v>
      </c>
      <c r="E1333">
        <v>6</v>
      </c>
      <c r="F1333">
        <v>2</v>
      </c>
      <c r="G1333">
        <v>2025</v>
      </c>
      <c r="H1333" t="s">
        <v>113</v>
      </c>
      <c r="I1333" t="s">
        <v>682</v>
      </c>
      <c r="J1333" t="s">
        <v>23</v>
      </c>
      <c r="K1333">
        <v>59</v>
      </c>
      <c r="L1333">
        <v>4</v>
      </c>
      <c r="M1333">
        <v>272</v>
      </c>
    </row>
    <row r="1334" spans="1:13">
      <c r="A1334">
        <v>1333</v>
      </c>
      <c r="B1334" s="1">
        <v>45824</v>
      </c>
      <c r="C1334" t="s">
        <v>93</v>
      </c>
      <c r="D1334">
        <v>16</v>
      </c>
      <c r="E1334">
        <v>6</v>
      </c>
      <c r="F1334">
        <v>2</v>
      </c>
      <c r="G1334">
        <v>2025</v>
      </c>
      <c r="H1334" t="s">
        <v>113</v>
      </c>
      <c r="I1334" t="s">
        <v>279</v>
      </c>
      <c r="J1334" t="s">
        <v>82</v>
      </c>
      <c r="K1334">
        <v>21</v>
      </c>
      <c r="L1334">
        <v>15</v>
      </c>
      <c r="M1334">
        <v>329</v>
      </c>
    </row>
    <row r="1335" spans="1:13">
      <c r="A1335">
        <v>1334</v>
      </c>
      <c r="B1335" s="1">
        <v>45824</v>
      </c>
      <c r="C1335" t="s">
        <v>93</v>
      </c>
      <c r="D1335">
        <v>16</v>
      </c>
      <c r="E1335">
        <v>6</v>
      </c>
      <c r="F1335">
        <v>2</v>
      </c>
      <c r="G1335">
        <v>2025</v>
      </c>
      <c r="H1335" t="s">
        <v>113</v>
      </c>
      <c r="I1335" t="s">
        <v>514</v>
      </c>
      <c r="J1335" t="s">
        <v>23</v>
      </c>
      <c r="K1335">
        <v>22</v>
      </c>
      <c r="L1335">
        <v>10</v>
      </c>
      <c r="M1335">
        <v>234</v>
      </c>
    </row>
    <row r="1336" spans="1:13">
      <c r="A1336">
        <v>1335</v>
      </c>
      <c r="B1336" s="1">
        <v>45824</v>
      </c>
      <c r="C1336" t="s">
        <v>93</v>
      </c>
      <c r="D1336">
        <v>16</v>
      </c>
      <c r="E1336">
        <v>6</v>
      </c>
      <c r="F1336">
        <v>2</v>
      </c>
      <c r="G1336">
        <v>2025</v>
      </c>
      <c r="H1336" t="s">
        <v>113</v>
      </c>
      <c r="I1336" t="s">
        <v>683</v>
      </c>
      <c r="J1336" t="s">
        <v>55</v>
      </c>
      <c r="K1336">
        <v>46</v>
      </c>
      <c r="L1336">
        <v>5</v>
      </c>
      <c r="M1336">
        <v>261</v>
      </c>
    </row>
    <row r="1337" spans="1:13">
      <c r="A1337">
        <v>1336</v>
      </c>
      <c r="B1337" s="1">
        <v>45824</v>
      </c>
      <c r="C1337" t="s">
        <v>93</v>
      </c>
      <c r="D1337">
        <v>16</v>
      </c>
      <c r="E1337">
        <v>6</v>
      </c>
      <c r="F1337">
        <v>2</v>
      </c>
      <c r="G1337">
        <v>2025</v>
      </c>
      <c r="H1337" t="s">
        <v>113</v>
      </c>
      <c r="I1337" t="s">
        <v>267</v>
      </c>
      <c r="J1337" t="s">
        <v>25</v>
      </c>
      <c r="K1337">
        <v>14</v>
      </c>
      <c r="L1337">
        <v>24</v>
      </c>
      <c r="M1337">
        <v>337</v>
      </c>
    </row>
    <row r="1338" spans="1:13">
      <c r="A1338">
        <v>1337</v>
      </c>
      <c r="B1338" s="1">
        <v>45794</v>
      </c>
      <c r="C1338" t="s">
        <v>14</v>
      </c>
      <c r="D1338">
        <v>17</v>
      </c>
      <c r="E1338">
        <v>5</v>
      </c>
      <c r="F1338">
        <v>2</v>
      </c>
      <c r="G1338">
        <v>2025</v>
      </c>
      <c r="H1338" t="s">
        <v>684</v>
      </c>
      <c r="I1338" t="s">
        <v>685</v>
      </c>
      <c r="J1338" t="s">
        <v>69</v>
      </c>
      <c r="K1338">
        <v>19</v>
      </c>
      <c r="L1338">
        <v>13</v>
      </c>
      <c r="M1338">
        <v>261</v>
      </c>
    </row>
    <row r="1339" spans="1:13">
      <c r="A1339">
        <v>1338</v>
      </c>
      <c r="B1339" s="1">
        <v>45794</v>
      </c>
      <c r="C1339" t="s">
        <v>14</v>
      </c>
      <c r="D1339">
        <v>17</v>
      </c>
      <c r="E1339">
        <v>5</v>
      </c>
      <c r="F1339">
        <v>2</v>
      </c>
      <c r="G1339">
        <v>2025</v>
      </c>
      <c r="H1339" t="s">
        <v>684</v>
      </c>
      <c r="I1339" t="s">
        <v>190</v>
      </c>
      <c r="J1339" t="s">
        <v>39</v>
      </c>
      <c r="K1339">
        <v>23</v>
      </c>
      <c r="L1339">
        <v>8</v>
      </c>
      <c r="M1339">
        <v>184</v>
      </c>
    </row>
    <row r="1340" spans="1:13">
      <c r="A1340">
        <v>1339</v>
      </c>
      <c r="B1340" s="1">
        <v>45794</v>
      </c>
      <c r="C1340" t="s">
        <v>14</v>
      </c>
      <c r="D1340">
        <v>17</v>
      </c>
      <c r="E1340">
        <v>5</v>
      </c>
      <c r="F1340">
        <v>2</v>
      </c>
      <c r="G1340">
        <v>2025</v>
      </c>
      <c r="H1340" t="s">
        <v>684</v>
      </c>
      <c r="I1340" t="s">
        <v>686</v>
      </c>
      <c r="J1340" t="s">
        <v>82</v>
      </c>
      <c r="K1340">
        <v>56</v>
      </c>
      <c r="L1340">
        <v>6</v>
      </c>
      <c r="M1340">
        <v>348</v>
      </c>
    </row>
    <row r="1341" spans="1:13">
      <c r="A1341">
        <v>1340</v>
      </c>
      <c r="B1341" s="1">
        <v>45794</v>
      </c>
      <c r="C1341" t="s">
        <v>14</v>
      </c>
      <c r="D1341">
        <v>17</v>
      </c>
      <c r="E1341">
        <v>5</v>
      </c>
      <c r="F1341">
        <v>2</v>
      </c>
      <c r="G1341">
        <v>2025</v>
      </c>
      <c r="H1341" t="s">
        <v>684</v>
      </c>
      <c r="I1341" t="s">
        <v>283</v>
      </c>
      <c r="J1341" t="s">
        <v>100</v>
      </c>
      <c r="K1341">
        <v>38</v>
      </c>
      <c r="L1341">
        <v>2</v>
      </c>
      <c r="M1341">
        <v>85</v>
      </c>
    </row>
    <row r="1342" spans="1:13">
      <c r="A1342">
        <v>1341</v>
      </c>
      <c r="B1342" s="1">
        <v>45794</v>
      </c>
      <c r="C1342" t="s">
        <v>14</v>
      </c>
      <c r="D1342">
        <v>17</v>
      </c>
      <c r="E1342">
        <v>5</v>
      </c>
      <c r="F1342">
        <v>2</v>
      </c>
      <c r="G1342">
        <v>2025</v>
      </c>
      <c r="H1342" t="s">
        <v>684</v>
      </c>
      <c r="I1342" t="s">
        <v>665</v>
      </c>
      <c r="J1342" t="s">
        <v>17</v>
      </c>
      <c r="K1342">
        <v>37</v>
      </c>
      <c r="L1342">
        <v>3</v>
      </c>
      <c r="M1342">
        <v>130</v>
      </c>
    </row>
    <row r="1343" spans="1:13">
      <c r="A1343">
        <v>1342</v>
      </c>
      <c r="B1343" s="1">
        <v>45794</v>
      </c>
      <c r="C1343" t="s">
        <v>14</v>
      </c>
      <c r="D1343">
        <v>17</v>
      </c>
      <c r="E1343">
        <v>5</v>
      </c>
      <c r="F1343">
        <v>2</v>
      </c>
      <c r="G1343">
        <v>2025</v>
      </c>
      <c r="H1343" t="s">
        <v>684</v>
      </c>
      <c r="I1343" t="s">
        <v>293</v>
      </c>
      <c r="J1343" t="s">
        <v>100</v>
      </c>
      <c r="K1343">
        <v>30</v>
      </c>
      <c r="L1343">
        <v>15</v>
      </c>
      <c r="M1343">
        <v>475</v>
      </c>
    </row>
    <row r="1344" spans="1:13">
      <c r="A1344">
        <v>1343</v>
      </c>
      <c r="B1344" s="1">
        <v>45794</v>
      </c>
      <c r="C1344" t="s">
        <v>14</v>
      </c>
      <c r="D1344">
        <v>17</v>
      </c>
      <c r="E1344">
        <v>5</v>
      </c>
      <c r="F1344">
        <v>2</v>
      </c>
      <c r="G1344">
        <v>2025</v>
      </c>
      <c r="H1344" t="s">
        <v>684</v>
      </c>
      <c r="I1344" t="s">
        <v>424</v>
      </c>
      <c r="J1344" t="s">
        <v>69</v>
      </c>
      <c r="K1344">
        <v>42</v>
      </c>
      <c r="L1344">
        <v>4</v>
      </c>
      <c r="M1344">
        <v>189</v>
      </c>
    </row>
    <row r="1345" spans="1:13">
      <c r="A1345">
        <v>1344</v>
      </c>
      <c r="B1345" s="1">
        <v>45794</v>
      </c>
      <c r="C1345" t="s">
        <v>14</v>
      </c>
      <c r="D1345">
        <v>17</v>
      </c>
      <c r="E1345">
        <v>5</v>
      </c>
      <c r="F1345">
        <v>2</v>
      </c>
      <c r="G1345">
        <v>2025</v>
      </c>
      <c r="H1345" t="s">
        <v>684</v>
      </c>
      <c r="I1345" t="s">
        <v>149</v>
      </c>
      <c r="J1345" t="s">
        <v>100</v>
      </c>
      <c r="K1345">
        <v>46</v>
      </c>
      <c r="L1345">
        <v>5</v>
      </c>
      <c r="M1345">
        <v>256</v>
      </c>
    </row>
    <row r="1346" spans="1:13">
      <c r="A1346">
        <v>1345</v>
      </c>
      <c r="B1346" s="1">
        <v>45709</v>
      </c>
      <c r="C1346" t="s">
        <v>79</v>
      </c>
      <c r="D1346">
        <v>21</v>
      </c>
      <c r="E1346">
        <v>2</v>
      </c>
      <c r="F1346">
        <v>1</v>
      </c>
      <c r="G1346">
        <v>2025</v>
      </c>
      <c r="H1346" t="s">
        <v>687</v>
      </c>
      <c r="I1346" t="s">
        <v>134</v>
      </c>
      <c r="J1346" t="s">
        <v>100</v>
      </c>
      <c r="K1346">
        <v>60</v>
      </c>
      <c r="L1346">
        <v>2</v>
      </c>
      <c r="M1346">
        <v>177</v>
      </c>
    </row>
    <row r="1347" spans="1:13">
      <c r="A1347">
        <v>1346</v>
      </c>
      <c r="B1347" s="1">
        <v>45709</v>
      </c>
      <c r="C1347" t="s">
        <v>79</v>
      </c>
      <c r="D1347">
        <v>21</v>
      </c>
      <c r="E1347">
        <v>2</v>
      </c>
      <c r="F1347">
        <v>1</v>
      </c>
      <c r="G1347">
        <v>2025</v>
      </c>
      <c r="H1347" t="s">
        <v>687</v>
      </c>
      <c r="I1347" t="s">
        <v>525</v>
      </c>
      <c r="J1347" t="s">
        <v>17</v>
      </c>
      <c r="K1347">
        <v>49</v>
      </c>
      <c r="L1347">
        <v>2</v>
      </c>
      <c r="M1347">
        <v>121</v>
      </c>
    </row>
    <row r="1348" spans="1:13">
      <c r="A1348">
        <v>1347</v>
      </c>
      <c r="B1348" s="1">
        <v>45709</v>
      </c>
      <c r="C1348" t="s">
        <v>79</v>
      </c>
      <c r="D1348">
        <v>21</v>
      </c>
      <c r="E1348">
        <v>2</v>
      </c>
      <c r="F1348">
        <v>1</v>
      </c>
      <c r="G1348">
        <v>2025</v>
      </c>
      <c r="H1348" t="s">
        <v>687</v>
      </c>
      <c r="I1348" t="s">
        <v>688</v>
      </c>
      <c r="J1348" t="s">
        <v>17</v>
      </c>
      <c r="K1348">
        <v>32</v>
      </c>
      <c r="L1348">
        <v>8</v>
      </c>
      <c r="M1348">
        <v>272</v>
      </c>
    </row>
    <row r="1349" spans="1:13">
      <c r="A1349">
        <v>1348</v>
      </c>
      <c r="B1349" s="1">
        <v>45709</v>
      </c>
      <c r="C1349" t="s">
        <v>79</v>
      </c>
      <c r="D1349">
        <v>21</v>
      </c>
      <c r="E1349">
        <v>2</v>
      </c>
      <c r="F1349">
        <v>1</v>
      </c>
      <c r="G1349">
        <v>2025</v>
      </c>
      <c r="H1349" t="s">
        <v>687</v>
      </c>
      <c r="I1349" t="s">
        <v>336</v>
      </c>
      <c r="J1349" t="s">
        <v>82</v>
      </c>
      <c r="K1349">
        <v>16</v>
      </c>
      <c r="L1349">
        <v>17</v>
      </c>
      <c r="M1349">
        <v>275</v>
      </c>
    </row>
    <row r="1350" spans="1:13">
      <c r="A1350">
        <v>1349</v>
      </c>
      <c r="B1350" s="1">
        <v>45709</v>
      </c>
      <c r="C1350" t="s">
        <v>79</v>
      </c>
      <c r="D1350">
        <v>21</v>
      </c>
      <c r="E1350">
        <v>2</v>
      </c>
      <c r="F1350">
        <v>1</v>
      </c>
      <c r="G1350">
        <v>2025</v>
      </c>
      <c r="H1350" t="s">
        <v>687</v>
      </c>
      <c r="I1350" t="s">
        <v>61</v>
      </c>
      <c r="J1350" t="s">
        <v>55</v>
      </c>
      <c r="K1350">
        <v>32</v>
      </c>
      <c r="L1350">
        <v>5</v>
      </c>
      <c r="M1350">
        <v>170</v>
      </c>
    </row>
    <row r="1351" spans="1:13">
      <c r="A1351">
        <v>1350</v>
      </c>
      <c r="B1351" s="1">
        <v>45709</v>
      </c>
      <c r="C1351" t="s">
        <v>79</v>
      </c>
      <c r="D1351">
        <v>21</v>
      </c>
      <c r="E1351">
        <v>2</v>
      </c>
      <c r="F1351">
        <v>1</v>
      </c>
      <c r="G1351">
        <v>2025</v>
      </c>
      <c r="H1351" t="s">
        <v>687</v>
      </c>
      <c r="I1351" t="s">
        <v>423</v>
      </c>
      <c r="J1351" t="s">
        <v>37</v>
      </c>
      <c r="K1351">
        <v>33</v>
      </c>
      <c r="L1351">
        <v>10</v>
      </c>
      <c r="M1351">
        <v>347</v>
      </c>
    </row>
    <row r="1352" spans="1:13">
      <c r="A1352">
        <v>1351</v>
      </c>
      <c r="B1352" s="1">
        <v>45709</v>
      </c>
      <c r="C1352" t="s">
        <v>79</v>
      </c>
      <c r="D1352">
        <v>21</v>
      </c>
      <c r="E1352">
        <v>2</v>
      </c>
      <c r="F1352">
        <v>1</v>
      </c>
      <c r="G1352">
        <v>2025</v>
      </c>
      <c r="H1352" t="s">
        <v>687</v>
      </c>
      <c r="I1352" t="s">
        <v>689</v>
      </c>
      <c r="J1352" t="s">
        <v>55</v>
      </c>
      <c r="K1352">
        <v>59</v>
      </c>
      <c r="L1352">
        <v>3</v>
      </c>
      <c r="M1352">
        <v>182</v>
      </c>
    </row>
    <row r="1353" spans="1:13">
      <c r="A1353">
        <v>1352</v>
      </c>
      <c r="B1353" s="1">
        <v>45709</v>
      </c>
      <c r="C1353" t="s">
        <v>79</v>
      </c>
      <c r="D1353">
        <v>21</v>
      </c>
      <c r="E1353">
        <v>2</v>
      </c>
      <c r="F1353">
        <v>1</v>
      </c>
      <c r="G1353">
        <v>2025</v>
      </c>
      <c r="H1353" t="s">
        <v>687</v>
      </c>
      <c r="I1353" t="s">
        <v>678</v>
      </c>
      <c r="J1353" t="s">
        <v>100</v>
      </c>
      <c r="K1353">
        <v>57</v>
      </c>
      <c r="L1353">
        <v>4</v>
      </c>
      <c r="M1353">
        <v>240</v>
      </c>
    </row>
    <row r="1354" spans="1:13">
      <c r="A1354">
        <v>1353</v>
      </c>
      <c r="B1354" s="1">
        <v>45709</v>
      </c>
      <c r="C1354" t="s">
        <v>79</v>
      </c>
      <c r="D1354">
        <v>21</v>
      </c>
      <c r="E1354">
        <v>2</v>
      </c>
      <c r="F1354">
        <v>1</v>
      </c>
      <c r="G1354">
        <v>2025</v>
      </c>
      <c r="H1354" t="s">
        <v>687</v>
      </c>
      <c r="I1354" t="s">
        <v>92</v>
      </c>
      <c r="J1354" t="s">
        <v>51</v>
      </c>
      <c r="K1354">
        <v>10</v>
      </c>
      <c r="L1354">
        <v>12</v>
      </c>
      <c r="M1354">
        <v>125</v>
      </c>
    </row>
    <row r="1355" spans="1:13">
      <c r="A1355">
        <v>1354</v>
      </c>
      <c r="B1355" s="1">
        <v>45709</v>
      </c>
      <c r="C1355" t="s">
        <v>79</v>
      </c>
      <c r="D1355">
        <v>21</v>
      </c>
      <c r="E1355">
        <v>2</v>
      </c>
      <c r="F1355">
        <v>1</v>
      </c>
      <c r="G1355">
        <v>2025</v>
      </c>
      <c r="H1355" t="s">
        <v>687</v>
      </c>
      <c r="I1355" t="s">
        <v>690</v>
      </c>
      <c r="J1355" t="s">
        <v>46</v>
      </c>
      <c r="K1355">
        <v>52</v>
      </c>
      <c r="L1355">
        <v>4</v>
      </c>
      <c r="M1355">
        <v>251</v>
      </c>
    </row>
    <row r="1356" spans="1:13">
      <c r="A1356">
        <v>1355</v>
      </c>
      <c r="B1356" s="1">
        <v>45709</v>
      </c>
      <c r="C1356" t="s">
        <v>79</v>
      </c>
      <c r="D1356">
        <v>21</v>
      </c>
      <c r="E1356">
        <v>2</v>
      </c>
      <c r="F1356">
        <v>1</v>
      </c>
      <c r="G1356">
        <v>2025</v>
      </c>
      <c r="H1356" t="s">
        <v>687</v>
      </c>
      <c r="I1356" t="s">
        <v>187</v>
      </c>
      <c r="J1356" t="s">
        <v>60</v>
      </c>
      <c r="K1356">
        <v>35</v>
      </c>
      <c r="L1356">
        <v>4</v>
      </c>
      <c r="M1356">
        <v>164</v>
      </c>
    </row>
    <row r="1357" spans="1:13">
      <c r="A1357">
        <v>1356</v>
      </c>
      <c r="B1357" s="1">
        <v>45709</v>
      </c>
      <c r="C1357" t="s">
        <v>79</v>
      </c>
      <c r="D1357">
        <v>21</v>
      </c>
      <c r="E1357">
        <v>2</v>
      </c>
      <c r="F1357">
        <v>1</v>
      </c>
      <c r="G1357">
        <v>2025</v>
      </c>
      <c r="H1357" t="s">
        <v>687</v>
      </c>
      <c r="I1357" t="s">
        <v>637</v>
      </c>
      <c r="J1357" t="s">
        <v>100</v>
      </c>
      <c r="K1357">
        <v>50</v>
      </c>
      <c r="L1357">
        <v>7</v>
      </c>
      <c r="M1357">
        <v>384</v>
      </c>
    </row>
    <row r="1358" spans="1:13">
      <c r="A1358">
        <v>1357</v>
      </c>
      <c r="B1358" s="1">
        <v>45910</v>
      </c>
      <c r="C1358" t="s">
        <v>34</v>
      </c>
      <c r="D1358">
        <v>10</v>
      </c>
      <c r="E1358">
        <v>9</v>
      </c>
      <c r="F1358">
        <v>3</v>
      </c>
      <c r="G1358">
        <v>2025</v>
      </c>
      <c r="H1358" t="s">
        <v>677</v>
      </c>
      <c r="I1358" t="s">
        <v>293</v>
      </c>
      <c r="J1358" t="s">
        <v>100</v>
      </c>
      <c r="K1358">
        <v>30</v>
      </c>
      <c r="L1358">
        <v>15</v>
      </c>
      <c r="M1358">
        <v>451</v>
      </c>
    </row>
    <row r="1359" spans="1:13">
      <c r="A1359">
        <v>1358</v>
      </c>
      <c r="B1359" s="1">
        <v>45910</v>
      </c>
      <c r="C1359" t="s">
        <v>34</v>
      </c>
      <c r="D1359">
        <v>10</v>
      </c>
      <c r="E1359">
        <v>9</v>
      </c>
      <c r="F1359">
        <v>3</v>
      </c>
      <c r="G1359">
        <v>2025</v>
      </c>
      <c r="H1359" t="s">
        <v>677</v>
      </c>
      <c r="I1359" t="s">
        <v>216</v>
      </c>
      <c r="J1359" t="s">
        <v>100</v>
      </c>
      <c r="K1359">
        <v>24</v>
      </c>
      <c r="L1359">
        <v>9</v>
      </c>
      <c r="M1359">
        <v>232</v>
      </c>
    </row>
    <row r="1360" spans="1:13">
      <c r="A1360">
        <v>1359</v>
      </c>
      <c r="B1360" s="1">
        <v>45910</v>
      </c>
      <c r="C1360" t="s">
        <v>34</v>
      </c>
      <c r="D1360">
        <v>10</v>
      </c>
      <c r="E1360">
        <v>9</v>
      </c>
      <c r="F1360">
        <v>3</v>
      </c>
      <c r="G1360">
        <v>2025</v>
      </c>
      <c r="H1360" t="s">
        <v>677</v>
      </c>
      <c r="I1360" t="s">
        <v>496</v>
      </c>
      <c r="J1360" t="s">
        <v>17</v>
      </c>
      <c r="K1360">
        <v>12</v>
      </c>
      <c r="L1360">
        <v>23</v>
      </c>
      <c r="M1360">
        <v>281</v>
      </c>
    </row>
    <row r="1361" spans="1:13">
      <c r="A1361">
        <v>1360</v>
      </c>
      <c r="B1361" s="1">
        <v>45923</v>
      </c>
      <c r="C1361" t="s">
        <v>48</v>
      </c>
      <c r="D1361">
        <v>23</v>
      </c>
      <c r="E1361">
        <v>9</v>
      </c>
      <c r="F1361">
        <v>3</v>
      </c>
      <c r="G1361">
        <v>2025</v>
      </c>
      <c r="H1361" t="s">
        <v>691</v>
      </c>
      <c r="I1361" t="s">
        <v>16</v>
      </c>
      <c r="J1361" t="s">
        <v>17</v>
      </c>
      <c r="K1361">
        <v>15</v>
      </c>
      <c r="L1361">
        <v>23</v>
      </c>
      <c r="M1361">
        <v>346</v>
      </c>
    </row>
    <row r="1362" spans="1:13">
      <c r="A1362">
        <v>1361</v>
      </c>
      <c r="B1362" s="1">
        <v>45923</v>
      </c>
      <c r="C1362" t="s">
        <v>48</v>
      </c>
      <c r="D1362">
        <v>23</v>
      </c>
      <c r="E1362">
        <v>9</v>
      </c>
      <c r="F1362">
        <v>3</v>
      </c>
      <c r="G1362">
        <v>2025</v>
      </c>
      <c r="H1362" t="s">
        <v>691</v>
      </c>
      <c r="I1362" t="s">
        <v>117</v>
      </c>
      <c r="J1362" t="s">
        <v>55</v>
      </c>
      <c r="K1362">
        <v>24</v>
      </c>
      <c r="L1362">
        <v>13</v>
      </c>
      <c r="M1362">
        <v>317</v>
      </c>
    </row>
    <row r="1363" spans="1:13">
      <c r="A1363">
        <v>1362</v>
      </c>
      <c r="B1363" s="1">
        <v>45782</v>
      </c>
      <c r="C1363" t="s">
        <v>93</v>
      </c>
      <c r="D1363">
        <v>5</v>
      </c>
      <c r="E1363">
        <v>5</v>
      </c>
      <c r="F1363">
        <v>2</v>
      </c>
      <c r="G1363">
        <v>2025</v>
      </c>
      <c r="H1363" t="s">
        <v>526</v>
      </c>
      <c r="I1363" t="s">
        <v>283</v>
      </c>
      <c r="J1363" t="s">
        <v>100</v>
      </c>
      <c r="K1363">
        <v>51</v>
      </c>
      <c r="L1363">
        <v>1</v>
      </c>
      <c r="M1363">
        <v>81</v>
      </c>
    </row>
    <row r="1364" spans="1:13">
      <c r="A1364">
        <v>1363</v>
      </c>
      <c r="B1364" s="1">
        <v>45782</v>
      </c>
      <c r="C1364" t="s">
        <v>93</v>
      </c>
      <c r="D1364">
        <v>5</v>
      </c>
      <c r="E1364">
        <v>5</v>
      </c>
      <c r="F1364">
        <v>2</v>
      </c>
      <c r="G1364">
        <v>2025</v>
      </c>
      <c r="H1364" t="s">
        <v>526</v>
      </c>
      <c r="I1364" t="s">
        <v>115</v>
      </c>
      <c r="J1364" t="s">
        <v>55</v>
      </c>
      <c r="K1364">
        <v>28</v>
      </c>
      <c r="L1364">
        <v>11</v>
      </c>
      <c r="M1364">
        <v>312</v>
      </c>
    </row>
    <row r="1365" spans="1:13">
      <c r="A1365">
        <v>1364</v>
      </c>
      <c r="B1365" s="1">
        <v>45782</v>
      </c>
      <c r="C1365" t="s">
        <v>93</v>
      </c>
      <c r="D1365">
        <v>5</v>
      </c>
      <c r="E1365">
        <v>5</v>
      </c>
      <c r="F1365">
        <v>2</v>
      </c>
      <c r="G1365">
        <v>2025</v>
      </c>
      <c r="H1365" t="s">
        <v>526</v>
      </c>
      <c r="I1365" t="s">
        <v>231</v>
      </c>
      <c r="J1365" t="s">
        <v>37</v>
      </c>
      <c r="K1365">
        <v>43</v>
      </c>
      <c r="L1365">
        <v>4</v>
      </c>
      <c r="M1365">
        <v>172</v>
      </c>
    </row>
    <row r="1366" spans="1:13">
      <c r="A1366">
        <v>1365</v>
      </c>
      <c r="B1366" s="1">
        <v>45782</v>
      </c>
      <c r="C1366" t="s">
        <v>93</v>
      </c>
      <c r="D1366">
        <v>5</v>
      </c>
      <c r="E1366">
        <v>5</v>
      </c>
      <c r="F1366">
        <v>2</v>
      </c>
      <c r="G1366">
        <v>2025</v>
      </c>
      <c r="H1366" t="s">
        <v>526</v>
      </c>
      <c r="I1366" t="s">
        <v>472</v>
      </c>
      <c r="J1366" t="s">
        <v>122</v>
      </c>
      <c r="K1366">
        <v>10</v>
      </c>
      <c r="L1366">
        <v>6</v>
      </c>
      <c r="M1366">
        <v>65</v>
      </c>
    </row>
    <row r="1367" spans="1:13">
      <c r="A1367">
        <v>1366</v>
      </c>
      <c r="B1367" s="1">
        <v>45782</v>
      </c>
      <c r="C1367" t="s">
        <v>93</v>
      </c>
      <c r="D1367">
        <v>5</v>
      </c>
      <c r="E1367">
        <v>5</v>
      </c>
      <c r="F1367">
        <v>2</v>
      </c>
      <c r="G1367">
        <v>2025</v>
      </c>
      <c r="H1367" t="s">
        <v>526</v>
      </c>
      <c r="I1367" t="s">
        <v>174</v>
      </c>
      <c r="J1367" t="s">
        <v>122</v>
      </c>
      <c r="K1367">
        <v>21</v>
      </c>
      <c r="L1367">
        <v>12</v>
      </c>
      <c r="M1367">
        <v>260</v>
      </c>
    </row>
    <row r="1368" spans="1:13">
      <c r="A1368">
        <v>1367</v>
      </c>
      <c r="B1368" s="1">
        <v>45782</v>
      </c>
      <c r="C1368" t="s">
        <v>93</v>
      </c>
      <c r="D1368">
        <v>5</v>
      </c>
      <c r="E1368">
        <v>5</v>
      </c>
      <c r="F1368">
        <v>2</v>
      </c>
      <c r="G1368">
        <v>2025</v>
      </c>
      <c r="H1368" t="s">
        <v>526</v>
      </c>
      <c r="I1368" t="s">
        <v>692</v>
      </c>
      <c r="J1368" t="s">
        <v>69</v>
      </c>
      <c r="K1368">
        <v>27</v>
      </c>
      <c r="L1368">
        <v>11</v>
      </c>
      <c r="M1368">
        <v>323</v>
      </c>
    </row>
    <row r="1369" spans="1:13">
      <c r="A1369">
        <v>1368</v>
      </c>
      <c r="B1369" s="1">
        <v>45782</v>
      </c>
      <c r="C1369" t="s">
        <v>93</v>
      </c>
      <c r="D1369">
        <v>5</v>
      </c>
      <c r="E1369">
        <v>5</v>
      </c>
      <c r="F1369">
        <v>2</v>
      </c>
      <c r="G1369">
        <v>2025</v>
      </c>
      <c r="H1369" t="s">
        <v>526</v>
      </c>
      <c r="I1369" t="s">
        <v>265</v>
      </c>
      <c r="J1369" t="s">
        <v>46</v>
      </c>
      <c r="K1369">
        <v>42</v>
      </c>
      <c r="L1369">
        <v>8</v>
      </c>
      <c r="M1369">
        <v>361</v>
      </c>
    </row>
    <row r="1370" spans="1:13">
      <c r="A1370">
        <v>1369</v>
      </c>
      <c r="B1370" s="1">
        <v>45782</v>
      </c>
      <c r="C1370" t="s">
        <v>93</v>
      </c>
      <c r="D1370">
        <v>5</v>
      </c>
      <c r="E1370">
        <v>5</v>
      </c>
      <c r="F1370">
        <v>2</v>
      </c>
      <c r="G1370">
        <v>2025</v>
      </c>
      <c r="H1370" t="s">
        <v>526</v>
      </c>
      <c r="I1370" t="s">
        <v>631</v>
      </c>
      <c r="J1370" t="s">
        <v>39</v>
      </c>
      <c r="K1370">
        <v>23</v>
      </c>
      <c r="L1370">
        <v>8</v>
      </c>
      <c r="M1370">
        <v>199</v>
      </c>
    </row>
    <row r="1371" spans="1:13">
      <c r="A1371">
        <v>1370</v>
      </c>
      <c r="B1371" s="1">
        <v>45579</v>
      </c>
      <c r="C1371" t="s">
        <v>93</v>
      </c>
      <c r="D1371">
        <v>14</v>
      </c>
      <c r="E1371">
        <v>10</v>
      </c>
      <c r="F1371">
        <v>4</v>
      </c>
      <c r="G1371">
        <v>2024</v>
      </c>
      <c r="H1371" t="s">
        <v>499</v>
      </c>
      <c r="I1371" t="s">
        <v>422</v>
      </c>
      <c r="J1371" t="s">
        <v>122</v>
      </c>
      <c r="K1371">
        <v>44</v>
      </c>
      <c r="L1371">
        <v>1</v>
      </c>
      <c r="M1371">
        <v>61</v>
      </c>
    </row>
    <row r="1372" spans="1:13">
      <c r="A1372">
        <v>1371</v>
      </c>
      <c r="B1372" s="1">
        <v>45579</v>
      </c>
      <c r="C1372" t="s">
        <v>93</v>
      </c>
      <c r="D1372">
        <v>14</v>
      </c>
      <c r="E1372">
        <v>10</v>
      </c>
      <c r="F1372">
        <v>4</v>
      </c>
      <c r="G1372">
        <v>2024</v>
      </c>
      <c r="H1372" t="s">
        <v>499</v>
      </c>
      <c r="I1372" t="s">
        <v>693</v>
      </c>
      <c r="J1372" t="s">
        <v>46</v>
      </c>
      <c r="K1372">
        <v>54</v>
      </c>
      <c r="L1372">
        <v>4</v>
      </c>
      <c r="M1372">
        <v>220</v>
      </c>
    </row>
    <row r="1373" spans="1:13">
      <c r="A1373">
        <v>1372</v>
      </c>
      <c r="B1373" s="1">
        <v>45579</v>
      </c>
      <c r="C1373" t="s">
        <v>93</v>
      </c>
      <c r="D1373">
        <v>14</v>
      </c>
      <c r="E1373">
        <v>10</v>
      </c>
      <c r="F1373">
        <v>4</v>
      </c>
      <c r="G1373">
        <v>2024</v>
      </c>
      <c r="H1373" t="s">
        <v>499</v>
      </c>
      <c r="I1373" t="s">
        <v>532</v>
      </c>
      <c r="J1373" t="s">
        <v>55</v>
      </c>
      <c r="K1373">
        <v>13</v>
      </c>
      <c r="L1373">
        <v>3</v>
      </c>
      <c r="M1373">
        <v>46</v>
      </c>
    </row>
    <row r="1374" spans="1:13">
      <c r="A1374">
        <v>1373</v>
      </c>
      <c r="B1374" s="1">
        <v>45579</v>
      </c>
      <c r="C1374" t="s">
        <v>93</v>
      </c>
      <c r="D1374">
        <v>14</v>
      </c>
      <c r="E1374">
        <v>10</v>
      </c>
      <c r="F1374">
        <v>4</v>
      </c>
      <c r="G1374">
        <v>2024</v>
      </c>
      <c r="H1374" t="s">
        <v>499</v>
      </c>
      <c r="I1374" t="s">
        <v>327</v>
      </c>
      <c r="J1374" t="s">
        <v>51</v>
      </c>
      <c r="K1374">
        <v>36</v>
      </c>
      <c r="L1374">
        <v>7</v>
      </c>
      <c r="M1374">
        <v>282</v>
      </c>
    </row>
    <row r="1375" spans="1:13">
      <c r="A1375">
        <v>1374</v>
      </c>
      <c r="B1375" s="1">
        <v>45579</v>
      </c>
      <c r="C1375" t="s">
        <v>93</v>
      </c>
      <c r="D1375">
        <v>14</v>
      </c>
      <c r="E1375">
        <v>10</v>
      </c>
      <c r="F1375">
        <v>4</v>
      </c>
      <c r="G1375">
        <v>2024</v>
      </c>
      <c r="H1375" t="s">
        <v>499</v>
      </c>
      <c r="I1375" t="s">
        <v>132</v>
      </c>
      <c r="J1375" t="s">
        <v>31</v>
      </c>
      <c r="K1375">
        <v>11</v>
      </c>
      <c r="L1375">
        <v>18</v>
      </c>
      <c r="M1375">
        <v>200</v>
      </c>
    </row>
    <row r="1376" spans="1:13">
      <c r="A1376">
        <v>1375</v>
      </c>
      <c r="B1376" s="1">
        <v>45579</v>
      </c>
      <c r="C1376" t="s">
        <v>93</v>
      </c>
      <c r="D1376">
        <v>14</v>
      </c>
      <c r="E1376">
        <v>10</v>
      </c>
      <c r="F1376">
        <v>4</v>
      </c>
      <c r="G1376">
        <v>2024</v>
      </c>
      <c r="H1376" t="s">
        <v>499</v>
      </c>
      <c r="I1376" t="s">
        <v>155</v>
      </c>
      <c r="J1376" t="s">
        <v>19</v>
      </c>
      <c r="K1376">
        <v>28</v>
      </c>
      <c r="L1376">
        <v>10</v>
      </c>
      <c r="M1376">
        <v>286</v>
      </c>
    </row>
    <row r="1377" spans="1:13">
      <c r="A1377">
        <v>1376</v>
      </c>
      <c r="B1377" s="1">
        <v>45863</v>
      </c>
      <c r="C1377" t="s">
        <v>79</v>
      </c>
      <c r="D1377">
        <v>25</v>
      </c>
      <c r="E1377">
        <v>7</v>
      </c>
      <c r="F1377">
        <v>3</v>
      </c>
      <c r="G1377">
        <v>2025</v>
      </c>
      <c r="H1377" t="s">
        <v>694</v>
      </c>
      <c r="I1377" t="s">
        <v>243</v>
      </c>
      <c r="J1377" t="s">
        <v>57</v>
      </c>
      <c r="K1377">
        <v>13</v>
      </c>
      <c r="L1377">
        <v>31</v>
      </c>
      <c r="M1377">
        <v>414</v>
      </c>
    </row>
    <row r="1378" spans="1:13">
      <c r="A1378">
        <v>1377</v>
      </c>
      <c r="B1378" s="1">
        <v>45863</v>
      </c>
      <c r="C1378" t="s">
        <v>79</v>
      </c>
      <c r="D1378">
        <v>25</v>
      </c>
      <c r="E1378">
        <v>7</v>
      </c>
      <c r="F1378">
        <v>3</v>
      </c>
      <c r="G1378">
        <v>2025</v>
      </c>
      <c r="H1378" t="s">
        <v>694</v>
      </c>
      <c r="I1378" t="s">
        <v>228</v>
      </c>
      <c r="J1378" t="s">
        <v>23</v>
      </c>
      <c r="K1378">
        <v>23</v>
      </c>
      <c r="L1378">
        <v>11</v>
      </c>
      <c r="M1378">
        <v>261</v>
      </c>
    </row>
    <row r="1379" spans="1:13">
      <c r="A1379">
        <v>1378</v>
      </c>
      <c r="B1379" s="1">
        <v>45863</v>
      </c>
      <c r="C1379" t="s">
        <v>79</v>
      </c>
      <c r="D1379">
        <v>25</v>
      </c>
      <c r="E1379">
        <v>7</v>
      </c>
      <c r="F1379">
        <v>3</v>
      </c>
      <c r="G1379">
        <v>2025</v>
      </c>
      <c r="H1379" t="s">
        <v>694</v>
      </c>
      <c r="I1379" t="s">
        <v>298</v>
      </c>
      <c r="J1379" t="s">
        <v>31</v>
      </c>
      <c r="K1379">
        <v>49</v>
      </c>
      <c r="L1379">
        <v>2</v>
      </c>
      <c r="M1379">
        <v>127</v>
      </c>
    </row>
    <row r="1380" spans="1:13">
      <c r="A1380">
        <v>1379</v>
      </c>
      <c r="B1380" s="1">
        <v>45863</v>
      </c>
      <c r="C1380" t="s">
        <v>79</v>
      </c>
      <c r="D1380">
        <v>25</v>
      </c>
      <c r="E1380">
        <v>7</v>
      </c>
      <c r="F1380">
        <v>3</v>
      </c>
      <c r="G1380">
        <v>2025</v>
      </c>
      <c r="H1380" t="s">
        <v>694</v>
      </c>
      <c r="I1380" t="s">
        <v>557</v>
      </c>
      <c r="J1380" t="s">
        <v>46</v>
      </c>
      <c r="K1380">
        <v>42</v>
      </c>
      <c r="L1380">
        <v>10</v>
      </c>
      <c r="M1380">
        <v>454</v>
      </c>
    </row>
    <row r="1381" spans="1:13">
      <c r="A1381">
        <v>1380</v>
      </c>
      <c r="B1381" s="1">
        <v>45863</v>
      </c>
      <c r="C1381" t="s">
        <v>79</v>
      </c>
      <c r="D1381">
        <v>25</v>
      </c>
      <c r="E1381">
        <v>7</v>
      </c>
      <c r="F1381">
        <v>3</v>
      </c>
      <c r="G1381">
        <v>2025</v>
      </c>
      <c r="H1381" t="s">
        <v>694</v>
      </c>
      <c r="I1381" t="s">
        <v>520</v>
      </c>
      <c r="J1381" t="s">
        <v>122</v>
      </c>
      <c r="K1381">
        <v>32</v>
      </c>
      <c r="L1381">
        <v>11</v>
      </c>
      <c r="M1381">
        <v>377</v>
      </c>
    </row>
    <row r="1382" spans="1:13">
      <c r="A1382">
        <v>1381</v>
      </c>
      <c r="B1382" s="1">
        <v>45863</v>
      </c>
      <c r="C1382" t="s">
        <v>79</v>
      </c>
      <c r="D1382">
        <v>25</v>
      </c>
      <c r="E1382">
        <v>7</v>
      </c>
      <c r="F1382">
        <v>3</v>
      </c>
      <c r="G1382">
        <v>2025</v>
      </c>
      <c r="H1382" t="s">
        <v>694</v>
      </c>
      <c r="I1382" t="s">
        <v>469</v>
      </c>
      <c r="J1382" t="s">
        <v>46</v>
      </c>
      <c r="K1382">
        <v>58</v>
      </c>
      <c r="L1382">
        <v>3</v>
      </c>
      <c r="M1382">
        <v>207</v>
      </c>
    </row>
    <row r="1383" spans="1:13">
      <c r="A1383">
        <v>1382</v>
      </c>
      <c r="B1383" s="1">
        <v>45863</v>
      </c>
      <c r="C1383" t="s">
        <v>79</v>
      </c>
      <c r="D1383">
        <v>25</v>
      </c>
      <c r="E1383">
        <v>7</v>
      </c>
      <c r="F1383">
        <v>3</v>
      </c>
      <c r="G1383">
        <v>2025</v>
      </c>
      <c r="H1383" t="s">
        <v>694</v>
      </c>
      <c r="I1383" t="s">
        <v>552</v>
      </c>
      <c r="J1383" t="s">
        <v>31</v>
      </c>
      <c r="K1383">
        <v>41</v>
      </c>
      <c r="L1383">
        <v>5</v>
      </c>
      <c r="M1383">
        <v>236</v>
      </c>
    </row>
    <row r="1384" spans="1:13">
      <c r="A1384">
        <v>1383</v>
      </c>
      <c r="B1384" s="1">
        <v>46167</v>
      </c>
      <c r="C1384" t="s">
        <v>93</v>
      </c>
      <c r="D1384">
        <v>25</v>
      </c>
      <c r="E1384">
        <v>5</v>
      </c>
      <c r="F1384">
        <v>2</v>
      </c>
      <c r="G1384">
        <v>2026</v>
      </c>
      <c r="H1384" t="s">
        <v>502</v>
      </c>
      <c r="I1384" t="s">
        <v>81</v>
      </c>
      <c r="J1384" t="s">
        <v>82</v>
      </c>
      <c r="K1384">
        <v>15</v>
      </c>
      <c r="L1384">
        <v>3</v>
      </c>
      <c r="M1384">
        <v>54</v>
      </c>
    </row>
    <row r="1385" spans="1:13">
      <c r="A1385">
        <v>1384</v>
      </c>
      <c r="B1385" s="1">
        <v>46167</v>
      </c>
      <c r="C1385" t="s">
        <v>93</v>
      </c>
      <c r="D1385">
        <v>25</v>
      </c>
      <c r="E1385">
        <v>5</v>
      </c>
      <c r="F1385">
        <v>2</v>
      </c>
      <c r="G1385">
        <v>2026</v>
      </c>
      <c r="H1385" t="s">
        <v>502</v>
      </c>
      <c r="I1385" t="s">
        <v>22</v>
      </c>
      <c r="J1385" t="s">
        <v>23</v>
      </c>
      <c r="K1385">
        <v>22</v>
      </c>
      <c r="L1385">
        <v>7</v>
      </c>
      <c r="M1385">
        <v>158</v>
      </c>
    </row>
    <row r="1386" spans="1:13">
      <c r="A1386">
        <v>1385</v>
      </c>
      <c r="B1386" s="1">
        <v>46167</v>
      </c>
      <c r="C1386" t="s">
        <v>93</v>
      </c>
      <c r="D1386">
        <v>25</v>
      </c>
      <c r="E1386">
        <v>5</v>
      </c>
      <c r="F1386">
        <v>2</v>
      </c>
      <c r="G1386">
        <v>2026</v>
      </c>
      <c r="H1386" t="s">
        <v>502</v>
      </c>
      <c r="I1386" t="s">
        <v>347</v>
      </c>
      <c r="J1386" t="s">
        <v>69</v>
      </c>
      <c r="K1386">
        <v>42</v>
      </c>
      <c r="L1386">
        <v>2</v>
      </c>
      <c r="M1386">
        <v>89</v>
      </c>
    </row>
    <row r="1387" spans="1:13">
      <c r="A1387">
        <v>1386</v>
      </c>
      <c r="B1387" s="1">
        <v>46167</v>
      </c>
      <c r="C1387" t="s">
        <v>93</v>
      </c>
      <c r="D1387">
        <v>25</v>
      </c>
      <c r="E1387">
        <v>5</v>
      </c>
      <c r="F1387">
        <v>2</v>
      </c>
      <c r="G1387">
        <v>2026</v>
      </c>
      <c r="H1387" t="s">
        <v>502</v>
      </c>
      <c r="I1387" t="s">
        <v>695</v>
      </c>
      <c r="J1387" t="s">
        <v>19</v>
      </c>
      <c r="K1387">
        <v>35</v>
      </c>
      <c r="L1387">
        <v>3</v>
      </c>
      <c r="M1387">
        <v>122</v>
      </c>
    </row>
    <row r="1388" spans="1:13">
      <c r="A1388">
        <v>1387</v>
      </c>
      <c r="B1388" s="1">
        <v>46167</v>
      </c>
      <c r="C1388" t="s">
        <v>93</v>
      </c>
      <c r="D1388">
        <v>25</v>
      </c>
      <c r="E1388">
        <v>5</v>
      </c>
      <c r="F1388">
        <v>2</v>
      </c>
      <c r="G1388">
        <v>2026</v>
      </c>
      <c r="H1388" t="s">
        <v>502</v>
      </c>
      <c r="I1388" t="s">
        <v>391</v>
      </c>
      <c r="J1388" t="s">
        <v>60</v>
      </c>
      <c r="K1388">
        <v>29</v>
      </c>
      <c r="L1388">
        <v>8</v>
      </c>
      <c r="M1388">
        <v>258</v>
      </c>
    </row>
    <row r="1389" spans="1:13">
      <c r="A1389">
        <v>1388</v>
      </c>
      <c r="B1389" s="1">
        <v>46167</v>
      </c>
      <c r="C1389" t="s">
        <v>93</v>
      </c>
      <c r="D1389">
        <v>25</v>
      </c>
      <c r="E1389">
        <v>5</v>
      </c>
      <c r="F1389">
        <v>2</v>
      </c>
      <c r="G1389">
        <v>2026</v>
      </c>
      <c r="H1389" t="s">
        <v>502</v>
      </c>
      <c r="I1389" t="s">
        <v>290</v>
      </c>
      <c r="J1389" t="s">
        <v>17</v>
      </c>
      <c r="K1389">
        <v>38</v>
      </c>
      <c r="L1389">
        <v>5</v>
      </c>
      <c r="M1389">
        <v>214</v>
      </c>
    </row>
    <row r="1390" spans="1:13">
      <c r="A1390">
        <v>1389</v>
      </c>
      <c r="B1390" s="1">
        <v>46167</v>
      </c>
      <c r="C1390" t="s">
        <v>93</v>
      </c>
      <c r="D1390">
        <v>25</v>
      </c>
      <c r="E1390">
        <v>5</v>
      </c>
      <c r="F1390">
        <v>2</v>
      </c>
      <c r="G1390">
        <v>2026</v>
      </c>
      <c r="H1390" t="s">
        <v>502</v>
      </c>
      <c r="I1390" t="s">
        <v>116</v>
      </c>
      <c r="J1390" t="s">
        <v>57</v>
      </c>
      <c r="K1390">
        <v>52</v>
      </c>
      <c r="L1390">
        <v>4</v>
      </c>
      <c r="M1390">
        <v>231</v>
      </c>
    </row>
    <row r="1391" spans="1:13">
      <c r="A1391">
        <v>1390</v>
      </c>
      <c r="B1391" s="1">
        <v>46167</v>
      </c>
      <c r="C1391" t="s">
        <v>93</v>
      </c>
      <c r="D1391">
        <v>25</v>
      </c>
      <c r="E1391">
        <v>5</v>
      </c>
      <c r="F1391">
        <v>2</v>
      </c>
      <c r="G1391">
        <v>2026</v>
      </c>
      <c r="H1391" t="s">
        <v>502</v>
      </c>
      <c r="I1391" t="s">
        <v>20</v>
      </c>
      <c r="J1391" t="s">
        <v>21</v>
      </c>
      <c r="K1391">
        <v>13</v>
      </c>
      <c r="L1391">
        <v>12</v>
      </c>
      <c r="M1391">
        <v>161</v>
      </c>
    </row>
    <row r="1392" spans="1:13">
      <c r="A1392">
        <v>1391</v>
      </c>
      <c r="B1392" s="1">
        <v>46167</v>
      </c>
      <c r="C1392" t="s">
        <v>93</v>
      </c>
      <c r="D1392">
        <v>25</v>
      </c>
      <c r="E1392">
        <v>5</v>
      </c>
      <c r="F1392">
        <v>2</v>
      </c>
      <c r="G1392">
        <v>2026</v>
      </c>
      <c r="H1392" t="s">
        <v>502</v>
      </c>
      <c r="I1392" t="s">
        <v>281</v>
      </c>
      <c r="J1392" t="s">
        <v>51</v>
      </c>
      <c r="K1392">
        <v>40</v>
      </c>
      <c r="L1392">
        <v>5</v>
      </c>
      <c r="M1392">
        <v>222</v>
      </c>
    </row>
    <row r="1393" spans="1:13">
      <c r="A1393">
        <v>1392</v>
      </c>
      <c r="B1393" s="1">
        <v>45602</v>
      </c>
      <c r="C1393" t="s">
        <v>34</v>
      </c>
      <c r="D1393">
        <v>6</v>
      </c>
      <c r="E1393">
        <v>11</v>
      </c>
      <c r="F1393">
        <v>4</v>
      </c>
      <c r="G1393">
        <v>2024</v>
      </c>
      <c r="H1393" t="s">
        <v>696</v>
      </c>
      <c r="I1393" t="s">
        <v>563</v>
      </c>
      <c r="J1393" t="s">
        <v>46</v>
      </c>
      <c r="K1393">
        <v>35</v>
      </c>
      <c r="L1393">
        <v>8</v>
      </c>
      <c r="M1393">
        <v>302</v>
      </c>
    </row>
    <row r="1394" spans="1:13">
      <c r="A1394">
        <v>1393</v>
      </c>
      <c r="B1394" s="1">
        <v>45602</v>
      </c>
      <c r="C1394" t="s">
        <v>34</v>
      </c>
      <c r="D1394">
        <v>6</v>
      </c>
      <c r="E1394">
        <v>11</v>
      </c>
      <c r="F1394">
        <v>4</v>
      </c>
      <c r="G1394">
        <v>2024</v>
      </c>
      <c r="H1394" t="s">
        <v>696</v>
      </c>
      <c r="I1394" t="s">
        <v>697</v>
      </c>
      <c r="J1394" t="s">
        <v>17</v>
      </c>
      <c r="K1394">
        <v>47</v>
      </c>
      <c r="L1394">
        <v>11</v>
      </c>
      <c r="M1394">
        <v>536</v>
      </c>
    </row>
    <row r="1395" spans="1:13">
      <c r="A1395">
        <v>1394</v>
      </c>
      <c r="B1395" s="1">
        <v>45602</v>
      </c>
      <c r="C1395" t="s">
        <v>34</v>
      </c>
      <c r="D1395">
        <v>6</v>
      </c>
      <c r="E1395">
        <v>11</v>
      </c>
      <c r="F1395">
        <v>4</v>
      </c>
      <c r="G1395">
        <v>2024</v>
      </c>
      <c r="H1395" t="s">
        <v>696</v>
      </c>
      <c r="I1395" t="s">
        <v>664</v>
      </c>
      <c r="J1395" t="s">
        <v>23</v>
      </c>
      <c r="K1395">
        <v>43</v>
      </c>
      <c r="L1395">
        <v>3</v>
      </c>
      <c r="M1395">
        <v>147</v>
      </c>
    </row>
    <row r="1396" spans="1:13">
      <c r="A1396">
        <v>1395</v>
      </c>
      <c r="B1396" s="1">
        <v>45602</v>
      </c>
      <c r="C1396" t="s">
        <v>34</v>
      </c>
      <c r="D1396">
        <v>6</v>
      </c>
      <c r="E1396">
        <v>11</v>
      </c>
      <c r="F1396">
        <v>4</v>
      </c>
      <c r="G1396">
        <v>2024</v>
      </c>
      <c r="H1396" t="s">
        <v>696</v>
      </c>
      <c r="I1396" t="s">
        <v>579</v>
      </c>
      <c r="J1396" t="s">
        <v>31</v>
      </c>
      <c r="K1396">
        <v>58</v>
      </c>
      <c r="L1396">
        <v>5</v>
      </c>
      <c r="M1396">
        <v>322</v>
      </c>
    </row>
    <row r="1397" spans="1:13">
      <c r="A1397">
        <v>1396</v>
      </c>
      <c r="B1397" s="1">
        <v>45602</v>
      </c>
      <c r="C1397" t="s">
        <v>34</v>
      </c>
      <c r="D1397">
        <v>6</v>
      </c>
      <c r="E1397">
        <v>11</v>
      </c>
      <c r="F1397">
        <v>4</v>
      </c>
      <c r="G1397">
        <v>2024</v>
      </c>
      <c r="H1397" t="s">
        <v>696</v>
      </c>
      <c r="I1397" t="s">
        <v>604</v>
      </c>
      <c r="J1397" t="s">
        <v>69</v>
      </c>
      <c r="K1397">
        <v>39</v>
      </c>
      <c r="L1397">
        <v>4</v>
      </c>
      <c r="M1397">
        <v>182</v>
      </c>
    </row>
    <row r="1398" spans="1:13">
      <c r="A1398">
        <v>1397</v>
      </c>
      <c r="B1398" s="1">
        <v>45602</v>
      </c>
      <c r="C1398" t="s">
        <v>34</v>
      </c>
      <c r="D1398">
        <v>6</v>
      </c>
      <c r="E1398">
        <v>11</v>
      </c>
      <c r="F1398">
        <v>4</v>
      </c>
      <c r="G1398">
        <v>2024</v>
      </c>
      <c r="H1398" t="s">
        <v>696</v>
      </c>
      <c r="I1398" t="s">
        <v>408</v>
      </c>
      <c r="J1398" t="s">
        <v>17</v>
      </c>
      <c r="K1398">
        <v>48</v>
      </c>
      <c r="L1398">
        <v>6</v>
      </c>
      <c r="M1398">
        <v>328</v>
      </c>
    </row>
    <row r="1399" spans="1:13">
      <c r="A1399">
        <v>1398</v>
      </c>
      <c r="B1399" s="1">
        <v>45602</v>
      </c>
      <c r="C1399" t="s">
        <v>34</v>
      </c>
      <c r="D1399">
        <v>6</v>
      </c>
      <c r="E1399">
        <v>11</v>
      </c>
      <c r="F1399">
        <v>4</v>
      </c>
      <c r="G1399">
        <v>2024</v>
      </c>
      <c r="H1399" t="s">
        <v>696</v>
      </c>
      <c r="I1399" t="s">
        <v>142</v>
      </c>
      <c r="J1399" t="s">
        <v>60</v>
      </c>
      <c r="K1399">
        <v>38</v>
      </c>
      <c r="L1399">
        <v>3</v>
      </c>
      <c r="M1399">
        <v>126</v>
      </c>
    </row>
    <row r="1400" spans="1:13">
      <c r="A1400">
        <v>1399</v>
      </c>
      <c r="B1400" s="1">
        <v>45602</v>
      </c>
      <c r="C1400" t="s">
        <v>34</v>
      </c>
      <c r="D1400">
        <v>6</v>
      </c>
      <c r="E1400">
        <v>11</v>
      </c>
      <c r="F1400">
        <v>4</v>
      </c>
      <c r="G1400">
        <v>2024</v>
      </c>
      <c r="H1400" t="s">
        <v>696</v>
      </c>
      <c r="I1400" t="s">
        <v>631</v>
      </c>
      <c r="J1400" t="s">
        <v>39</v>
      </c>
      <c r="K1400">
        <v>54</v>
      </c>
      <c r="L1400">
        <v>3</v>
      </c>
      <c r="M1400">
        <v>199</v>
      </c>
    </row>
    <row r="1401" spans="1:13">
      <c r="A1401">
        <v>1400</v>
      </c>
      <c r="B1401" s="1">
        <v>45602</v>
      </c>
      <c r="C1401" t="s">
        <v>34</v>
      </c>
      <c r="D1401">
        <v>6</v>
      </c>
      <c r="E1401">
        <v>11</v>
      </c>
      <c r="F1401">
        <v>4</v>
      </c>
      <c r="G1401">
        <v>2024</v>
      </c>
      <c r="H1401" t="s">
        <v>696</v>
      </c>
      <c r="I1401" t="s">
        <v>595</v>
      </c>
      <c r="J1401" t="s">
        <v>27</v>
      </c>
      <c r="K1401">
        <v>44</v>
      </c>
      <c r="L1401">
        <v>6</v>
      </c>
      <c r="M1401">
        <v>291</v>
      </c>
    </row>
    <row r="1402" spans="1:13">
      <c r="A1402">
        <v>1401</v>
      </c>
      <c r="B1402" s="1">
        <v>46106</v>
      </c>
      <c r="C1402" t="s">
        <v>34</v>
      </c>
      <c r="D1402">
        <v>25</v>
      </c>
      <c r="E1402">
        <v>3</v>
      </c>
      <c r="F1402">
        <v>1</v>
      </c>
      <c r="G1402">
        <v>2026</v>
      </c>
      <c r="H1402" t="s">
        <v>623</v>
      </c>
      <c r="I1402" t="s">
        <v>400</v>
      </c>
      <c r="J1402" t="s">
        <v>57</v>
      </c>
      <c r="K1402">
        <v>10</v>
      </c>
      <c r="L1402">
        <v>44</v>
      </c>
      <c r="M1402">
        <v>446</v>
      </c>
    </row>
    <row r="1403" spans="1:13">
      <c r="A1403">
        <v>1402</v>
      </c>
      <c r="B1403" s="1">
        <v>46106</v>
      </c>
      <c r="C1403" t="s">
        <v>34</v>
      </c>
      <c r="D1403">
        <v>25</v>
      </c>
      <c r="E1403">
        <v>3</v>
      </c>
      <c r="F1403">
        <v>1</v>
      </c>
      <c r="G1403">
        <v>2026</v>
      </c>
      <c r="H1403" t="s">
        <v>623</v>
      </c>
      <c r="I1403" t="s">
        <v>618</v>
      </c>
      <c r="J1403" t="s">
        <v>100</v>
      </c>
      <c r="K1403">
        <v>32</v>
      </c>
      <c r="L1403">
        <v>4</v>
      </c>
      <c r="M1403">
        <v>137</v>
      </c>
    </row>
    <row r="1404" spans="1:13">
      <c r="A1404">
        <v>1403</v>
      </c>
      <c r="B1404" s="1">
        <v>46106</v>
      </c>
      <c r="C1404" t="s">
        <v>34</v>
      </c>
      <c r="D1404">
        <v>25</v>
      </c>
      <c r="E1404">
        <v>3</v>
      </c>
      <c r="F1404">
        <v>1</v>
      </c>
      <c r="G1404">
        <v>2026</v>
      </c>
      <c r="H1404" t="s">
        <v>623</v>
      </c>
      <c r="I1404" t="s">
        <v>461</v>
      </c>
      <c r="J1404" t="s">
        <v>60</v>
      </c>
      <c r="K1404">
        <v>40</v>
      </c>
      <c r="L1404">
        <v>10</v>
      </c>
      <c r="M1404">
        <v>408</v>
      </c>
    </row>
    <row r="1405" spans="1:13">
      <c r="A1405">
        <v>1404</v>
      </c>
      <c r="B1405" s="1">
        <v>46106</v>
      </c>
      <c r="C1405" t="s">
        <v>34</v>
      </c>
      <c r="D1405">
        <v>25</v>
      </c>
      <c r="E1405">
        <v>3</v>
      </c>
      <c r="F1405">
        <v>1</v>
      </c>
      <c r="G1405">
        <v>2026</v>
      </c>
      <c r="H1405" t="s">
        <v>623</v>
      </c>
      <c r="I1405" t="s">
        <v>698</v>
      </c>
      <c r="J1405" t="s">
        <v>69</v>
      </c>
      <c r="K1405">
        <v>11</v>
      </c>
      <c r="L1405">
        <v>18</v>
      </c>
      <c r="M1405">
        <v>202</v>
      </c>
    </row>
    <row r="1406" spans="1:13">
      <c r="A1406">
        <v>1405</v>
      </c>
      <c r="B1406" s="1">
        <v>46106</v>
      </c>
      <c r="C1406" t="s">
        <v>34</v>
      </c>
      <c r="D1406">
        <v>25</v>
      </c>
      <c r="E1406">
        <v>3</v>
      </c>
      <c r="F1406">
        <v>1</v>
      </c>
      <c r="G1406">
        <v>2026</v>
      </c>
      <c r="H1406" t="s">
        <v>623</v>
      </c>
      <c r="I1406" t="s">
        <v>75</v>
      </c>
      <c r="J1406" t="s">
        <v>27</v>
      </c>
      <c r="K1406">
        <v>14</v>
      </c>
      <c r="L1406">
        <v>12</v>
      </c>
      <c r="M1406">
        <v>169</v>
      </c>
    </row>
    <row r="1407" spans="1:13">
      <c r="A1407">
        <v>1406</v>
      </c>
      <c r="B1407" s="1">
        <v>46106</v>
      </c>
      <c r="C1407" t="s">
        <v>34</v>
      </c>
      <c r="D1407">
        <v>25</v>
      </c>
      <c r="E1407">
        <v>3</v>
      </c>
      <c r="F1407">
        <v>1</v>
      </c>
      <c r="G1407">
        <v>2026</v>
      </c>
      <c r="H1407" t="s">
        <v>623</v>
      </c>
      <c r="I1407" t="s">
        <v>316</v>
      </c>
      <c r="J1407" t="s">
        <v>97</v>
      </c>
      <c r="K1407">
        <v>49</v>
      </c>
      <c r="L1407">
        <v>1</v>
      </c>
      <c r="M1407">
        <v>86</v>
      </c>
    </row>
    <row r="1408" spans="1:13">
      <c r="A1408">
        <v>1407</v>
      </c>
      <c r="B1408" s="1">
        <v>46106</v>
      </c>
      <c r="C1408" t="s">
        <v>34</v>
      </c>
      <c r="D1408">
        <v>25</v>
      </c>
      <c r="E1408">
        <v>3</v>
      </c>
      <c r="F1408">
        <v>1</v>
      </c>
      <c r="G1408">
        <v>2026</v>
      </c>
      <c r="H1408" t="s">
        <v>623</v>
      </c>
      <c r="I1408" t="s">
        <v>699</v>
      </c>
      <c r="J1408" t="s">
        <v>100</v>
      </c>
      <c r="K1408">
        <v>37</v>
      </c>
      <c r="L1408">
        <v>7</v>
      </c>
      <c r="M1408">
        <v>283</v>
      </c>
    </row>
    <row r="1409" spans="1:13">
      <c r="A1409">
        <v>1408</v>
      </c>
      <c r="B1409" s="1">
        <v>45725</v>
      </c>
      <c r="C1409" t="s">
        <v>28</v>
      </c>
      <c r="D1409">
        <v>9</v>
      </c>
      <c r="E1409">
        <v>3</v>
      </c>
      <c r="F1409">
        <v>1</v>
      </c>
      <c r="G1409">
        <v>2025</v>
      </c>
      <c r="H1409" t="s">
        <v>513</v>
      </c>
      <c r="I1409" t="s">
        <v>503</v>
      </c>
      <c r="J1409" t="s">
        <v>43</v>
      </c>
      <c r="K1409">
        <v>10</v>
      </c>
      <c r="L1409">
        <v>23</v>
      </c>
      <c r="M1409">
        <v>238</v>
      </c>
    </row>
    <row r="1410" spans="1:13">
      <c r="A1410">
        <v>1409</v>
      </c>
      <c r="B1410" s="1">
        <v>45725</v>
      </c>
      <c r="C1410" t="s">
        <v>28</v>
      </c>
      <c r="D1410">
        <v>9</v>
      </c>
      <c r="E1410">
        <v>3</v>
      </c>
      <c r="F1410">
        <v>1</v>
      </c>
      <c r="G1410">
        <v>2025</v>
      </c>
      <c r="H1410" t="s">
        <v>513</v>
      </c>
      <c r="I1410" t="s">
        <v>36</v>
      </c>
      <c r="J1410" t="s">
        <v>37</v>
      </c>
      <c r="K1410">
        <v>45</v>
      </c>
      <c r="L1410">
        <v>6</v>
      </c>
      <c r="M1410">
        <v>277</v>
      </c>
    </row>
    <row r="1411" spans="1:13">
      <c r="A1411">
        <v>1410</v>
      </c>
      <c r="B1411" s="1">
        <v>45725</v>
      </c>
      <c r="C1411" t="s">
        <v>28</v>
      </c>
      <c r="D1411">
        <v>9</v>
      </c>
      <c r="E1411">
        <v>3</v>
      </c>
      <c r="F1411">
        <v>1</v>
      </c>
      <c r="G1411">
        <v>2025</v>
      </c>
      <c r="H1411" t="s">
        <v>513</v>
      </c>
      <c r="I1411" t="s">
        <v>123</v>
      </c>
      <c r="J1411" t="s">
        <v>43</v>
      </c>
      <c r="K1411">
        <v>50</v>
      </c>
      <c r="L1411">
        <v>3</v>
      </c>
      <c r="M1411">
        <v>173</v>
      </c>
    </row>
    <row r="1412" spans="1:13">
      <c r="A1412">
        <v>1411</v>
      </c>
      <c r="B1412" s="1">
        <v>45725</v>
      </c>
      <c r="C1412" t="s">
        <v>28</v>
      </c>
      <c r="D1412">
        <v>9</v>
      </c>
      <c r="E1412">
        <v>3</v>
      </c>
      <c r="F1412">
        <v>1</v>
      </c>
      <c r="G1412">
        <v>2025</v>
      </c>
      <c r="H1412" t="s">
        <v>513</v>
      </c>
      <c r="I1412" t="s">
        <v>493</v>
      </c>
      <c r="J1412" t="s">
        <v>46</v>
      </c>
      <c r="K1412">
        <v>28</v>
      </c>
      <c r="L1412">
        <v>5</v>
      </c>
      <c r="M1412">
        <v>154</v>
      </c>
    </row>
    <row r="1413" spans="1:13">
      <c r="A1413">
        <v>1412</v>
      </c>
      <c r="B1413" s="1">
        <v>45725</v>
      </c>
      <c r="C1413" t="s">
        <v>28</v>
      </c>
      <c r="D1413">
        <v>9</v>
      </c>
      <c r="E1413">
        <v>3</v>
      </c>
      <c r="F1413">
        <v>1</v>
      </c>
      <c r="G1413">
        <v>2025</v>
      </c>
      <c r="H1413" t="s">
        <v>513</v>
      </c>
      <c r="I1413" t="s">
        <v>490</v>
      </c>
      <c r="J1413" t="s">
        <v>43</v>
      </c>
      <c r="K1413">
        <v>25</v>
      </c>
      <c r="L1413">
        <v>7</v>
      </c>
      <c r="M1413">
        <v>180</v>
      </c>
    </row>
    <row r="1414" spans="1:13">
      <c r="A1414">
        <v>1413</v>
      </c>
      <c r="B1414" s="1">
        <v>46243</v>
      </c>
      <c r="C1414" t="s">
        <v>28</v>
      </c>
      <c r="D1414">
        <v>9</v>
      </c>
      <c r="E1414">
        <v>8</v>
      </c>
      <c r="F1414">
        <v>3</v>
      </c>
      <c r="G1414">
        <v>2026</v>
      </c>
      <c r="H1414" t="s">
        <v>113</v>
      </c>
      <c r="I1414" t="s">
        <v>700</v>
      </c>
      <c r="J1414" t="s">
        <v>37</v>
      </c>
      <c r="K1414">
        <v>23</v>
      </c>
      <c r="L1414">
        <v>9</v>
      </c>
      <c r="M1414">
        <v>208</v>
      </c>
    </row>
    <row r="1415" spans="1:13">
      <c r="A1415">
        <v>1414</v>
      </c>
      <c r="B1415" s="1">
        <v>46243</v>
      </c>
      <c r="C1415" t="s">
        <v>28</v>
      </c>
      <c r="D1415">
        <v>9</v>
      </c>
      <c r="E1415">
        <v>8</v>
      </c>
      <c r="F1415">
        <v>3</v>
      </c>
      <c r="G1415">
        <v>2026</v>
      </c>
      <c r="H1415" t="s">
        <v>113</v>
      </c>
      <c r="I1415" t="s">
        <v>701</v>
      </c>
      <c r="J1415" t="s">
        <v>51</v>
      </c>
      <c r="K1415">
        <v>24</v>
      </c>
      <c r="L1415">
        <v>8</v>
      </c>
      <c r="M1415">
        <v>199</v>
      </c>
    </row>
    <row r="1416" spans="1:13">
      <c r="A1416">
        <v>1415</v>
      </c>
      <c r="B1416" s="1">
        <v>46243</v>
      </c>
      <c r="C1416" t="s">
        <v>28</v>
      </c>
      <c r="D1416">
        <v>9</v>
      </c>
      <c r="E1416">
        <v>8</v>
      </c>
      <c r="F1416">
        <v>3</v>
      </c>
      <c r="G1416">
        <v>2026</v>
      </c>
      <c r="H1416" t="s">
        <v>113</v>
      </c>
      <c r="I1416" t="s">
        <v>416</v>
      </c>
      <c r="J1416" t="s">
        <v>57</v>
      </c>
      <c r="K1416">
        <v>52</v>
      </c>
      <c r="L1416">
        <v>9</v>
      </c>
      <c r="M1416">
        <v>471</v>
      </c>
    </row>
    <row r="1417" spans="1:13">
      <c r="A1417">
        <v>1416</v>
      </c>
      <c r="B1417" s="1">
        <v>46243</v>
      </c>
      <c r="C1417" t="s">
        <v>28</v>
      </c>
      <c r="D1417">
        <v>9</v>
      </c>
      <c r="E1417">
        <v>8</v>
      </c>
      <c r="F1417">
        <v>3</v>
      </c>
      <c r="G1417">
        <v>2026</v>
      </c>
      <c r="H1417" t="s">
        <v>113</v>
      </c>
      <c r="I1417" t="s">
        <v>648</v>
      </c>
      <c r="J1417" t="s">
        <v>57</v>
      </c>
      <c r="K1417">
        <v>54</v>
      </c>
      <c r="L1417">
        <v>3</v>
      </c>
      <c r="M1417">
        <v>202</v>
      </c>
    </row>
    <row r="1418" spans="1:13">
      <c r="A1418">
        <v>1417</v>
      </c>
      <c r="B1418" s="1">
        <v>46243</v>
      </c>
      <c r="C1418" t="s">
        <v>28</v>
      </c>
      <c r="D1418">
        <v>9</v>
      </c>
      <c r="E1418">
        <v>8</v>
      </c>
      <c r="F1418">
        <v>3</v>
      </c>
      <c r="G1418">
        <v>2026</v>
      </c>
      <c r="H1418" t="s">
        <v>113</v>
      </c>
      <c r="I1418" t="s">
        <v>624</v>
      </c>
      <c r="J1418" t="s">
        <v>60</v>
      </c>
      <c r="K1418">
        <v>24</v>
      </c>
      <c r="L1418">
        <v>14</v>
      </c>
      <c r="M1418">
        <v>354</v>
      </c>
    </row>
    <row r="1419" spans="1:13">
      <c r="A1419">
        <v>1418</v>
      </c>
      <c r="B1419" s="1">
        <v>46243</v>
      </c>
      <c r="C1419" t="s">
        <v>28</v>
      </c>
      <c r="D1419">
        <v>9</v>
      </c>
      <c r="E1419">
        <v>8</v>
      </c>
      <c r="F1419">
        <v>3</v>
      </c>
      <c r="G1419">
        <v>2026</v>
      </c>
      <c r="H1419" t="s">
        <v>113</v>
      </c>
      <c r="I1419" t="s">
        <v>560</v>
      </c>
      <c r="J1419" t="s">
        <v>122</v>
      </c>
      <c r="K1419">
        <v>17</v>
      </c>
      <c r="L1419">
        <v>10</v>
      </c>
      <c r="M1419">
        <v>171</v>
      </c>
    </row>
    <row r="1420" spans="1:13">
      <c r="A1420">
        <v>1419</v>
      </c>
      <c r="B1420" s="1">
        <v>46243</v>
      </c>
      <c r="C1420" t="s">
        <v>28</v>
      </c>
      <c r="D1420">
        <v>9</v>
      </c>
      <c r="E1420">
        <v>8</v>
      </c>
      <c r="F1420">
        <v>3</v>
      </c>
      <c r="G1420">
        <v>2026</v>
      </c>
      <c r="H1420" t="s">
        <v>113</v>
      </c>
      <c r="I1420" t="s">
        <v>553</v>
      </c>
      <c r="J1420" t="s">
        <v>100</v>
      </c>
      <c r="K1420">
        <v>35</v>
      </c>
      <c r="L1420">
        <v>2</v>
      </c>
      <c r="M1420">
        <v>85</v>
      </c>
    </row>
    <row r="1421" spans="1:13">
      <c r="A1421">
        <v>1420</v>
      </c>
      <c r="B1421" s="1">
        <v>45753</v>
      </c>
      <c r="C1421" t="s">
        <v>28</v>
      </c>
      <c r="D1421">
        <v>6</v>
      </c>
      <c r="E1421">
        <v>4</v>
      </c>
      <c r="F1421">
        <v>2</v>
      </c>
      <c r="G1421">
        <v>2025</v>
      </c>
      <c r="H1421" t="s">
        <v>169</v>
      </c>
      <c r="I1421" t="s">
        <v>491</v>
      </c>
      <c r="J1421" t="s">
        <v>25</v>
      </c>
      <c r="K1421">
        <v>56</v>
      </c>
      <c r="L1421">
        <v>3</v>
      </c>
      <c r="M1421">
        <v>198</v>
      </c>
    </row>
    <row r="1422" spans="1:13">
      <c r="A1422">
        <v>1421</v>
      </c>
      <c r="B1422" s="1">
        <v>45753</v>
      </c>
      <c r="C1422" t="s">
        <v>28</v>
      </c>
      <c r="D1422">
        <v>6</v>
      </c>
      <c r="E1422">
        <v>4</v>
      </c>
      <c r="F1422">
        <v>2</v>
      </c>
      <c r="G1422">
        <v>2025</v>
      </c>
      <c r="H1422" t="s">
        <v>169</v>
      </c>
      <c r="I1422" t="s">
        <v>226</v>
      </c>
      <c r="J1422" t="s">
        <v>97</v>
      </c>
      <c r="K1422">
        <v>23</v>
      </c>
      <c r="L1422">
        <v>11</v>
      </c>
      <c r="M1422">
        <v>253</v>
      </c>
    </row>
    <row r="1423" spans="1:13">
      <c r="A1423">
        <v>1422</v>
      </c>
      <c r="B1423" s="1">
        <v>45753</v>
      </c>
      <c r="C1423" t="s">
        <v>28</v>
      </c>
      <c r="D1423">
        <v>6</v>
      </c>
      <c r="E1423">
        <v>4</v>
      </c>
      <c r="F1423">
        <v>2</v>
      </c>
      <c r="G1423">
        <v>2025</v>
      </c>
      <c r="H1423" t="s">
        <v>169</v>
      </c>
      <c r="I1423" t="s">
        <v>672</v>
      </c>
      <c r="J1423" t="s">
        <v>55</v>
      </c>
      <c r="K1423">
        <v>37</v>
      </c>
      <c r="L1423">
        <v>3</v>
      </c>
      <c r="M1423">
        <v>146</v>
      </c>
    </row>
    <row r="1424" spans="1:13">
      <c r="A1424">
        <v>1423</v>
      </c>
      <c r="B1424" s="1">
        <v>45753</v>
      </c>
      <c r="C1424" t="s">
        <v>28</v>
      </c>
      <c r="D1424">
        <v>6</v>
      </c>
      <c r="E1424">
        <v>4</v>
      </c>
      <c r="F1424">
        <v>2</v>
      </c>
      <c r="G1424">
        <v>2025</v>
      </c>
      <c r="H1424" t="s">
        <v>169</v>
      </c>
      <c r="I1424" t="s">
        <v>702</v>
      </c>
      <c r="J1424" t="s">
        <v>27</v>
      </c>
      <c r="K1424">
        <v>58</v>
      </c>
      <c r="L1424">
        <v>3</v>
      </c>
      <c r="M1424">
        <v>207</v>
      </c>
    </row>
    <row r="1425" spans="1:13">
      <c r="A1425">
        <v>1424</v>
      </c>
      <c r="B1425" s="1">
        <v>45753</v>
      </c>
      <c r="C1425" t="s">
        <v>28</v>
      </c>
      <c r="D1425">
        <v>6</v>
      </c>
      <c r="E1425">
        <v>4</v>
      </c>
      <c r="F1425">
        <v>2</v>
      </c>
      <c r="G1425">
        <v>2025</v>
      </c>
      <c r="H1425" t="s">
        <v>169</v>
      </c>
      <c r="I1425" t="s">
        <v>291</v>
      </c>
      <c r="J1425" t="s">
        <v>51</v>
      </c>
      <c r="K1425">
        <v>54</v>
      </c>
      <c r="L1425">
        <v>4</v>
      </c>
      <c r="M1425">
        <v>253</v>
      </c>
    </row>
    <row r="1426" spans="1:13">
      <c r="A1426">
        <v>1425</v>
      </c>
      <c r="B1426" s="1">
        <v>45753</v>
      </c>
      <c r="C1426" t="s">
        <v>28</v>
      </c>
      <c r="D1426">
        <v>6</v>
      </c>
      <c r="E1426">
        <v>4</v>
      </c>
      <c r="F1426">
        <v>2</v>
      </c>
      <c r="G1426">
        <v>2025</v>
      </c>
      <c r="H1426" t="s">
        <v>169</v>
      </c>
      <c r="I1426" t="s">
        <v>56</v>
      </c>
      <c r="J1426" t="s">
        <v>57</v>
      </c>
      <c r="K1426">
        <v>21</v>
      </c>
      <c r="L1426">
        <v>16</v>
      </c>
      <c r="M1426">
        <v>342</v>
      </c>
    </row>
    <row r="1427" spans="1:13">
      <c r="A1427">
        <v>1426</v>
      </c>
      <c r="B1427" s="1">
        <v>45753</v>
      </c>
      <c r="C1427" t="s">
        <v>28</v>
      </c>
      <c r="D1427">
        <v>6</v>
      </c>
      <c r="E1427">
        <v>4</v>
      </c>
      <c r="F1427">
        <v>2</v>
      </c>
      <c r="G1427">
        <v>2025</v>
      </c>
      <c r="H1427" t="s">
        <v>169</v>
      </c>
      <c r="I1427" t="s">
        <v>198</v>
      </c>
      <c r="J1427" t="s">
        <v>43</v>
      </c>
      <c r="K1427">
        <v>45</v>
      </c>
      <c r="L1427">
        <v>3</v>
      </c>
      <c r="M1427">
        <v>154</v>
      </c>
    </row>
    <row r="1428" spans="1:13">
      <c r="A1428">
        <v>1427</v>
      </c>
      <c r="B1428" s="1">
        <v>45753</v>
      </c>
      <c r="C1428" t="s">
        <v>28</v>
      </c>
      <c r="D1428">
        <v>6</v>
      </c>
      <c r="E1428">
        <v>4</v>
      </c>
      <c r="F1428">
        <v>2</v>
      </c>
      <c r="G1428">
        <v>2025</v>
      </c>
      <c r="H1428" t="s">
        <v>169</v>
      </c>
      <c r="I1428" t="s">
        <v>290</v>
      </c>
      <c r="J1428" t="s">
        <v>17</v>
      </c>
      <c r="K1428">
        <v>32</v>
      </c>
      <c r="L1428">
        <v>7</v>
      </c>
      <c r="M1428">
        <v>227</v>
      </c>
    </row>
    <row r="1429" spans="1:13">
      <c r="A1429">
        <v>1428</v>
      </c>
      <c r="B1429" s="1">
        <v>45675</v>
      </c>
      <c r="C1429" t="s">
        <v>14</v>
      </c>
      <c r="D1429">
        <v>18</v>
      </c>
      <c r="E1429">
        <v>1</v>
      </c>
      <c r="F1429">
        <v>1</v>
      </c>
      <c r="G1429">
        <v>2025</v>
      </c>
      <c r="H1429" t="s">
        <v>106</v>
      </c>
      <c r="I1429" t="s">
        <v>121</v>
      </c>
      <c r="J1429" t="s">
        <v>122</v>
      </c>
      <c r="K1429">
        <v>20</v>
      </c>
      <c r="L1429">
        <v>4</v>
      </c>
      <c r="M1429">
        <v>98</v>
      </c>
    </row>
    <row r="1430" spans="1:13">
      <c r="A1430">
        <v>1429</v>
      </c>
      <c r="B1430" s="1">
        <v>45675</v>
      </c>
      <c r="C1430" t="s">
        <v>14</v>
      </c>
      <c r="D1430">
        <v>18</v>
      </c>
      <c r="E1430">
        <v>1</v>
      </c>
      <c r="F1430">
        <v>1</v>
      </c>
      <c r="G1430">
        <v>2025</v>
      </c>
      <c r="H1430" t="s">
        <v>106</v>
      </c>
      <c r="I1430" t="s">
        <v>324</v>
      </c>
      <c r="J1430" t="s">
        <v>17</v>
      </c>
      <c r="K1430">
        <v>55</v>
      </c>
      <c r="L1430">
        <v>5</v>
      </c>
      <c r="M1430">
        <v>287</v>
      </c>
    </row>
    <row r="1431" spans="1:13">
      <c r="A1431">
        <v>1430</v>
      </c>
      <c r="B1431" s="1">
        <v>46181</v>
      </c>
      <c r="C1431" t="s">
        <v>93</v>
      </c>
      <c r="D1431">
        <v>8</v>
      </c>
      <c r="E1431">
        <v>6</v>
      </c>
      <c r="F1431">
        <v>2</v>
      </c>
      <c r="G1431">
        <v>2026</v>
      </c>
      <c r="H1431" t="s">
        <v>249</v>
      </c>
      <c r="I1431" t="s">
        <v>174</v>
      </c>
      <c r="J1431" t="s">
        <v>122</v>
      </c>
      <c r="K1431">
        <v>37</v>
      </c>
      <c r="L1431">
        <v>6</v>
      </c>
      <c r="M1431">
        <v>241</v>
      </c>
    </row>
    <row r="1432" spans="1:13">
      <c r="A1432">
        <v>1431</v>
      </c>
      <c r="B1432" s="1">
        <v>46181</v>
      </c>
      <c r="C1432" t="s">
        <v>93</v>
      </c>
      <c r="D1432">
        <v>8</v>
      </c>
      <c r="E1432">
        <v>6</v>
      </c>
      <c r="F1432">
        <v>2</v>
      </c>
      <c r="G1432">
        <v>2026</v>
      </c>
      <c r="H1432" t="s">
        <v>249</v>
      </c>
      <c r="I1432" t="s">
        <v>507</v>
      </c>
      <c r="J1432" t="s">
        <v>55</v>
      </c>
      <c r="K1432">
        <v>26</v>
      </c>
      <c r="L1432">
        <v>7</v>
      </c>
      <c r="M1432">
        <v>194</v>
      </c>
    </row>
    <row r="1433" spans="1:13">
      <c r="A1433">
        <v>1432</v>
      </c>
      <c r="B1433" s="1">
        <v>46181</v>
      </c>
      <c r="C1433" t="s">
        <v>93</v>
      </c>
      <c r="D1433">
        <v>8</v>
      </c>
      <c r="E1433">
        <v>6</v>
      </c>
      <c r="F1433">
        <v>2</v>
      </c>
      <c r="G1433">
        <v>2026</v>
      </c>
      <c r="H1433" t="s">
        <v>249</v>
      </c>
      <c r="I1433" t="s">
        <v>462</v>
      </c>
      <c r="J1433" t="s">
        <v>100</v>
      </c>
      <c r="K1433">
        <v>60</v>
      </c>
      <c r="L1433">
        <v>3</v>
      </c>
      <c r="M1433">
        <v>196</v>
      </c>
    </row>
    <row r="1434" spans="1:13">
      <c r="A1434">
        <v>1433</v>
      </c>
      <c r="B1434" s="1">
        <v>46181</v>
      </c>
      <c r="C1434" t="s">
        <v>93</v>
      </c>
      <c r="D1434">
        <v>8</v>
      </c>
      <c r="E1434">
        <v>6</v>
      </c>
      <c r="F1434">
        <v>2</v>
      </c>
      <c r="G1434">
        <v>2026</v>
      </c>
      <c r="H1434" t="s">
        <v>249</v>
      </c>
      <c r="I1434" t="s">
        <v>87</v>
      </c>
      <c r="J1434" t="s">
        <v>39</v>
      </c>
      <c r="K1434">
        <v>27</v>
      </c>
      <c r="L1434">
        <v>9</v>
      </c>
      <c r="M1434">
        <v>254</v>
      </c>
    </row>
    <row r="1435" spans="1:13">
      <c r="A1435">
        <v>1434</v>
      </c>
      <c r="B1435" s="1">
        <v>46181</v>
      </c>
      <c r="C1435" t="s">
        <v>93</v>
      </c>
      <c r="D1435">
        <v>8</v>
      </c>
      <c r="E1435">
        <v>6</v>
      </c>
      <c r="F1435">
        <v>2</v>
      </c>
      <c r="G1435">
        <v>2026</v>
      </c>
      <c r="H1435" t="s">
        <v>249</v>
      </c>
      <c r="I1435" t="s">
        <v>115</v>
      </c>
      <c r="J1435" t="s">
        <v>55</v>
      </c>
      <c r="K1435">
        <v>55</v>
      </c>
      <c r="L1435">
        <v>5</v>
      </c>
      <c r="M1435">
        <v>303</v>
      </c>
    </row>
    <row r="1436" spans="1:13">
      <c r="A1436">
        <v>1435</v>
      </c>
      <c r="B1436" s="1">
        <v>46181</v>
      </c>
      <c r="C1436" t="s">
        <v>93</v>
      </c>
      <c r="D1436">
        <v>8</v>
      </c>
      <c r="E1436">
        <v>6</v>
      </c>
      <c r="F1436">
        <v>2</v>
      </c>
      <c r="G1436">
        <v>2026</v>
      </c>
      <c r="H1436" t="s">
        <v>249</v>
      </c>
      <c r="I1436" t="s">
        <v>261</v>
      </c>
      <c r="J1436" t="s">
        <v>31</v>
      </c>
      <c r="K1436">
        <v>32</v>
      </c>
      <c r="L1436">
        <v>8</v>
      </c>
      <c r="M1436">
        <v>272</v>
      </c>
    </row>
    <row r="1437" spans="1:13">
      <c r="A1437">
        <v>1436</v>
      </c>
      <c r="B1437" s="1">
        <v>46181</v>
      </c>
      <c r="C1437" t="s">
        <v>93</v>
      </c>
      <c r="D1437">
        <v>8</v>
      </c>
      <c r="E1437">
        <v>6</v>
      </c>
      <c r="F1437">
        <v>2</v>
      </c>
      <c r="G1437">
        <v>2026</v>
      </c>
      <c r="H1437" t="s">
        <v>249</v>
      </c>
      <c r="I1437" t="s">
        <v>630</v>
      </c>
      <c r="J1437" t="s">
        <v>69</v>
      </c>
      <c r="K1437">
        <v>41</v>
      </c>
      <c r="L1437">
        <v>1</v>
      </c>
      <c r="M1437">
        <v>78</v>
      </c>
    </row>
    <row r="1438" spans="1:13">
      <c r="A1438">
        <v>1437</v>
      </c>
      <c r="B1438" s="1">
        <v>46181</v>
      </c>
      <c r="C1438" t="s">
        <v>93</v>
      </c>
      <c r="D1438">
        <v>8</v>
      </c>
      <c r="E1438">
        <v>6</v>
      </c>
      <c r="F1438">
        <v>2</v>
      </c>
      <c r="G1438">
        <v>2026</v>
      </c>
      <c r="H1438" t="s">
        <v>249</v>
      </c>
      <c r="I1438" t="s">
        <v>394</v>
      </c>
      <c r="J1438" t="s">
        <v>122</v>
      </c>
      <c r="K1438">
        <v>24</v>
      </c>
      <c r="L1438">
        <v>2</v>
      </c>
      <c r="M1438">
        <v>58</v>
      </c>
    </row>
    <row r="1439" spans="1:13">
      <c r="A1439">
        <v>1438</v>
      </c>
      <c r="B1439" s="1">
        <v>46181</v>
      </c>
      <c r="C1439" t="s">
        <v>93</v>
      </c>
      <c r="D1439">
        <v>8</v>
      </c>
      <c r="E1439">
        <v>6</v>
      </c>
      <c r="F1439">
        <v>2</v>
      </c>
      <c r="G1439">
        <v>2026</v>
      </c>
      <c r="H1439" t="s">
        <v>249</v>
      </c>
      <c r="I1439" t="s">
        <v>703</v>
      </c>
      <c r="J1439" t="s">
        <v>60</v>
      </c>
      <c r="K1439">
        <v>41</v>
      </c>
      <c r="L1439">
        <v>4</v>
      </c>
      <c r="M1439">
        <v>174</v>
      </c>
    </row>
    <row r="1440" spans="1:13">
      <c r="A1440">
        <v>1439</v>
      </c>
      <c r="B1440" s="1">
        <v>46181</v>
      </c>
      <c r="C1440" t="s">
        <v>93</v>
      </c>
      <c r="D1440">
        <v>8</v>
      </c>
      <c r="E1440">
        <v>6</v>
      </c>
      <c r="F1440">
        <v>2</v>
      </c>
      <c r="G1440">
        <v>2026</v>
      </c>
      <c r="H1440" t="s">
        <v>249</v>
      </c>
      <c r="I1440" t="s">
        <v>429</v>
      </c>
      <c r="J1440" t="s">
        <v>19</v>
      </c>
      <c r="K1440">
        <v>30</v>
      </c>
      <c r="L1440">
        <v>7</v>
      </c>
      <c r="M1440">
        <v>215</v>
      </c>
    </row>
    <row r="1441" spans="1:13">
      <c r="A1441">
        <v>1440</v>
      </c>
      <c r="B1441" s="1">
        <v>46181</v>
      </c>
      <c r="C1441" t="s">
        <v>93</v>
      </c>
      <c r="D1441">
        <v>8</v>
      </c>
      <c r="E1441">
        <v>6</v>
      </c>
      <c r="F1441">
        <v>2</v>
      </c>
      <c r="G1441">
        <v>2026</v>
      </c>
      <c r="H1441" t="s">
        <v>249</v>
      </c>
      <c r="I1441" t="s">
        <v>198</v>
      </c>
      <c r="J1441" t="s">
        <v>43</v>
      </c>
      <c r="K1441">
        <v>49</v>
      </c>
      <c r="L1441">
        <v>3</v>
      </c>
      <c r="M1441">
        <v>150</v>
      </c>
    </row>
    <row r="1442" spans="1:13">
      <c r="A1442">
        <v>1441</v>
      </c>
      <c r="B1442" s="1">
        <v>46181</v>
      </c>
      <c r="C1442" t="s">
        <v>93</v>
      </c>
      <c r="D1442">
        <v>8</v>
      </c>
      <c r="E1442">
        <v>6</v>
      </c>
      <c r="F1442">
        <v>2</v>
      </c>
      <c r="G1442">
        <v>2026</v>
      </c>
      <c r="H1442" t="s">
        <v>249</v>
      </c>
      <c r="I1442" t="s">
        <v>704</v>
      </c>
      <c r="J1442" t="s">
        <v>51</v>
      </c>
      <c r="K1442">
        <v>23</v>
      </c>
      <c r="L1442">
        <v>14</v>
      </c>
      <c r="M1442">
        <v>326</v>
      </c>
    </row>
    <row r="1443" spans="1:13">
      <c r="A1443">
        <v>1442</v>
      </c>
      <c r="B1443" s="1">
        <v>46262</v>
      </c>
      <c r="C1443" t="s">
        <v>79</v>
      </c>
      <c r="D1443">
        <v>28</v>
      </c>
      <c r="E1443">
        <v>8</v>
      </c>
      <c r="F1443">
        <v>3</v>
      </c>
      <c r="G1443">
        <v>2026</v>
      </c>
      <c r="H1443" t="s">
        <v>94</v>
      </c>
      <c r="I1443" t="s">
        <v>339</v>
      </c>
      <c r="J1443" t="s">
        <v>19</v>
      </c>
      <c r="K1443">
        <v>47</v>
      </c>
      <c r="L1443">
        <v>5</v>
      </c>
      <c r="M1443">
        <v>249</v>
      </c>
    </row>
    <row r="1444" spans="1:13">
      <c r="A1444">
        <v>1443</v>
      </c>
      <c r="B1444" s="1">
        <v>46262</v>
      </c>
      <c r="C1444" t="s">
        <v>79</v>
      </c>
      <c r="D1444">
        <v>28</v>
      </c>
      <c r="E1444">
        <v>8</v>
      </c>
      <c r="F1444">
        <v>3</v>
      </c>
      <c r="G1444">
        <v>2026</v>
      </c>
      <c r="H1444" t="s">
        <v>94</v>
      </c>
      <c r="I1444" t="s">
        <v>705</v>
      </c>
      <c r="J1444" t="s">
        <v>60</v>
      </c>
      <c r="K1444">
        <v>44</v>
      </c>
      <c r="L1444">
        <v>6</v>
      </c>
      <c r="M1444">
        <v>276</v>
      </c>
    </row>
    <row r="1445" spans="1:13">
      <c r="A1445">
        <v>1444</v>
      </c>
      <c r="B1445" s="1">
        <v>46262</v>
      </c>
      <c r="C1445" t="s">
        <v>79</v>
      </c>
      <c r="D1445">
        <v>28</v>
      </c>
      <c r="E1445">
        <v>8</v>
      </c>
      <c r="F1445">
        <v>3</v>
      </c>
      <c r="G1445">
        <v>2026</v>
      </c>
      <c r="H1445" t="s">
        <v>94</v>
      </c>
      <c r="I1445" t="s">
        <v>484</v>
      </c>
      <c r="J1445" t="s">
        <v>25</v>
      </c>
      <c r="K1445">
        <v>49</v>
      </c>
      <c r="L1445">
        <v>2</v>
      </c>
      <c r="M1445">
        <v>119</v>
      </c>
    </row>
    <row r="1446" spans="1:13">
      <c r="A1446">
        <v>1445</v>
      </c>
      <c r="B1446" s="1">
        <v>46262</v>
      </c>
      <c r="C1446" t="s">
        <v>79</v>
      </c>
      <c r="D1446">
        <v>28</v>
      </c>
      <c r="E1446">
        <v>8</v>
      </c>
      <c r="F1446">
        <v>3</v>
      </c>
      <c r="G1446">
        <v>2026</v>
      </c>
      <c r="H1446" t="s">
        <v>94</v>
      </c>
      <c r="I1446" t="s">
        <v>586</v>
      </c>
      <c r="J1446" t="s">
        <v>43</v>
      </c>
      <c r="K1446">
        <v>35</v>
      </c>
      <c r="L1446">
        <v>9</v>
      </c>
      <c r="M1446">
        <v>332</v>
      </c>
    </row>
    <row r="1447" spans="1:13">
      <c r="A1447">
        <v>1446</v>
      </c>
      <c r="B1447" s="1">
        <v>46262</v>
      </c>
      <c r="C1447" t="s">
        <v>79</v>
      </c>
      <c r="D1447">
        <v>28</v>
      </c>
      <c r="E1447">
        <v>8</v>
      </c>
      <c r="F1447">
        <v>3</v>
      </c>
      <c r="G1447">
        <v>2026</v>
      </c>
      <c r="H1447" t="s">
        <v>94</v>
      </c>
      <c r="I1447" t="s">
        <v>141</v>
      </c>
      <c r="J1447" t="s">
        <v>46</v>
      </c>
      <c r="K1447">
        <v>53</v>
      </c>
      <c r="L1447">
        <v>1</v>
      </c>
      <c r="M1447">
        <v>79</v>
      </c>
    </row>
    <row r="1448" spans="1:13">
      <c r="A1448">
        <v>1447</v>
      </c>
      <c r="B1448" s="1">
        <v>46262</v>
      </c>
      <c r="C1448" t="s">
        <v>79</v>
      </c>
      <c r="D1448">
        <v>28</v>
      </c>
      <c r="E1448">
        <v>8</v>
      </c>
      <c r="F1448">
        <v>3</v>
      </c>
      <c r="G1448">
        <v>2026</v>
      </c>
      <c r="H1448" t="s">
        <v>94</v>
      </c>
      <c r="I1448" t="s">
        <v>355</v>
      </c>
      <c r="J1448" t="s">
        <v>39</v>
      </c>
      <c r="K1448">
        <v>44</v>
      </c>
      <c r="L1448">
        <v>4</v>
      </c>
      <c r="M1448">
        <v>188</v>
      </c>
    </row>
    <row r="1449" spans="1:13">
      <c r="A1449">
        <v>1448</v>
      </c>
      <c r="B1449" s="1">
        <v>46262</v>
      </c>
      <c r="C1449" t="s">
        <v>79</v>
      </c>
      <c r="D1449">
        <v>28</v>
      </c>
      <c r="E1449">
        <v>8</v>
      </c>
      <c r="F1449">
        <v>3</v>
      </c>
      <c r="G1449">
        <v>2026</v>
      </c>
      <c r="H1449" t="s">
        <v>94</v>
      </c>
      <c r="I1449" t="s">
        <v>700</v>
      </c>
      <c r="J1449" t="s">
        <v>37</v>
      </c>
      <c r="K1449">
        <v>26</v>
      </c>
      <c r="L1449">
        <v>9</v>
      </c>
      <c r="M1449">
        <v>236</v>
      </c>
    </row>
    <row r="1450" spans="1:13">
      <c r="A1450">
        <v>1449</v>
      </c>
      <c r="B1450" s="1">
        <v>46262</v>
      </c>
      <c r="C1450" t="s">
        <v>79</v>
      </c>
      <c r="D1450">
        <v>28</v>
      </c>
      <c r="E1450">
        <v>8</v>
      </c>
      <c r="F1450">
        <v>3</v>
      </c>
      <c r="G1450">
        <v>2026</v>
      </c>
      <c r="H1450" t="s">
        <v>94</v>
      </c>
      <c r="I1450" t="s">
        <v>427</v>
      </c>
      <c r="J1450" t="s">
        <v>21</v>
      </c>
      <c r="K1450">
        <v>59</v>
      </c>
      <c r="L1450">
        <v>4</v>
      </c>
      <c r="M1450">
        <v>259</v>
      </c>
    </row>
    <row r="1451" spans="1:13">
      <c r="A1451">
        <v>1450</v>
      </c>
      <c r="B1451" s="1">
        <v>45569</v>
      </c>
      <c r="C1451" t="s">
        <v>79</v>
      </c>
      <c r="D1451">
        <v>4</v>
      </c>
      <c r="E1451">
        <v>10</v>
      </c>
      <c r="F1451">
        <v>4</v>
      </c>
      <c r="G1451">
        <v>2024</v>
      </c>
      <c r="H1451" t="s">
        <v>451</v>
      </c>
      <c r="I1451" t="s">
        <v>561</v>
      </c>
      <c r="J1451" t="s">
        <v>17</v>
      </c>
      <c r="K1451">
        <v>30</v>
      </c>
      <c r="L1451">
        <v>15</v>
      </c>
      <c r="M1451">
        <v>462</v>
      </c>
    </row>
    <row r="1452" spans="1:13">
      <c r="A1452">
        <v>1451</v>
      </c>
      <c r="B1452" s="1">
        <v>45569</v>
      </c>
      <c r="C1452" t="s">
        <v>79</v>
      </c>
      <c r="D1452">
        <v>4</v>
      </c>
      <c r="E1452">
        <v>10</v>
      </c>
      <c r="F1452">
        <v>4</v>
      </c>
      <c r="G1452">
        <v>2024</v>
      </c>
      <c r="H1452" t="s">
        <v>451</v>
      </c>
      <c r="I1452" t="s">
        <v>448</v>
      </c>
      <c r="J1452" t="s">
        <v>55</v>
      </c>
      <c r="K1452">
        <v>50</v>
      </c>
      <c r="L1452">
        <v>7</v>
      </c>
      <c r="M1452">
        <v>364</v>
      </c>
    </row>
    <row r="1453" spans="1:13">
      <c r="A1453">
        <v>1452</v>
      </c>
      <c r="B1453" s="1">
        <v>45569</v>
      </c>
      <c r="C1453" t="s">
        <v>79</v>
      </c>
      <c r="D1453">
        <v>4</v>
      </c>
      <c r="E1453">
        <v>10</v>
      </c>
      <c r="F1453">
        <v>4</v>
      </c>
      <c r="G1453">
        <v>2024</v>
      </c>
      <c r="H1453" t="s">
        <v>451</v>
      </c>
      <c r="I1453" t="s">
        <v>110</v>
      </c>
      <c r="J1453" t="s">
        <v>51</v>
      </c>
      <c r="K1453">
        <v>15</v>
      </c>
      <c r="L1453">
        <v>8</v>
      </c>
      <c r="M1453">
        <v>128</v>
      </c>
    </row>
    <row r="1454" spans="1:13">
      <c r="A1454">
        <v>1453</v>
      </c>
      <c r="B1454" s="1">
        <v>45569</v>
      </c>
      <c r="C1454" t="s">
        <v>79</v>
      </c>
      <c r="D1454">
        <v>4</v>
      </c>
      <c r="E1454">
        <v>10</v>
      </c>
      <c r="F1454">
        <v>4</v>
      </c>
      <c r="G1454">
        <v>2024</v>
      </c>
      <c r="H1454" t="s">
        <v>451</v>
      </c>
      <c r="I1454" t="s">
        <v>408</v>
      </c>
      <c r="J1454" t="s">
        <v>17</v>
      </c>
      <c r="K1454">
        <v>58</v>
      </c>
      <c r="L1454">
        <v>5</v>
      </c>
      <c r="M1454">
        <v>307</v>
      </c>
    </row>
    <row r="1455" spans="1:13">
      <c r="A1455">
        <v>1454</v>
      </c>
      <c r="B1455" s="1">
        <v>45569</v>
      </c>
      <c r="C1455" t="s">
        <v>79</v>
      </c>
      <c r="D1455">
        <v>4</v>
      </c>
      <c r="E1455">
        <v>10</v>
      </c>
      <c r="F1455">
        <v>4</v>
      </c>
      <c r="G1455">
        <v>2024</v>
      </c>
      <c r="H1455" t="s">
        <v>451</v>
      </c>
      <c r="I1455" t="s">
        <v>63</v>
      </c>
      <c r="J1455" t="s">
        <v>25</v>
      </c>
      <c r="K1455">
        <v>20</v>
      </c>
      <c r="L1455">
        <v>8</v>
      </c>
      <c r="M1455">
        <v>177</v>
      </c>
    </row>
    <row r="1456" spans="1:13">
      <c r="A1456">
        <v>1455</v>
      </c>
      <c r="B1456" s="1">
        <v>45569</v>
      </c>
      <c r="C1456" t="s">
        <v>79</v>
      </c>
      <c r="D1456">
        <v>4</v>
      </c>
      <c r="E1456">
        <v>10</v>
      </c>
      <c r="F1456">
        <v>4</v>
      </c>
      <c r="G1456">
        <v>2024</v>
      </c>
      <c r="H1456" t="s">
        <v>451</v>
      </c>
      <c r="I1456" t="s">
        <v>465</v>
      </c>
      <c r="J1456" t="s">
        <v>31</v>
      </c>
      <c r="K1456">
        <v>23</v>
      </c>
      <c r="L1456">
        <v>2</v>
      </c>
      <c r="M1456">
        <v>53</v>
      </c>
    </row>
    <row r="1457" spans="1:13">
      <c r="A1457">
        <v>1456</v>
      </c>
      <c r="B1457" s="1">
        <v>45569</v>
      </c>
      <c r="C1457" t="s">
        <v>79</v>
      </c>
      <c r="D1457">
        <v>4</v>
      </c>
      <c r="E1457">
        <v>10</v>
      </c>
      <c r="F1457">
        <v>4</v>
      </c>
      <c r="G1457">
        <v>2024</v>
      </c>
      <c r="H1457" t="s">
        <v>451</v>
      </c>
      <c r="I1457" t="s">
        <v>18</v>
      </c>
      <c r="J1457" t="s">
        <v>19</v>
      </c>
      <c r="K1457">
        <v>33</v>
      </c>
      <c r="L1457">
        <v>2</v>
      </c>
      <c r="M1457">
        <v>72</v>
      </c>
    </row>
    <row r="1458" spans="1:13">
      <c r="A1458">
        <v>1457</v>
      </c>
      <c r="B1458" s="1">
        <v>45569</v>
      </c>
      <c r="C1458" t="s">
        <v>79</v>
      </c>
      <c r="D1458">
        <v>4</v>
      </c>
      <c r="E1458">
        <v>10</v>
      </c>
      <c r="F1458">
        <v>4</v>
      </c>
      <c r="G1458">
        <v>2024</v>
      </c>
      <c r="H1458" t="s">
        <v>451</v>
      </c>
      <c r="I1458" t="s">
        <v>253</v>
      </c>
      <c r="J1458" t="s">
        <v>23</v>
      </c>
      <c r="K1458">
        <v>56</v>
      </c>
      <c r="L1458">
        <v>2</v>
      </c>
      <c r="M1458">
        <v>132</v>
      </c>
    </row>
    <row r="1459" spans="1:13">
      <c r="A1459">
        <v>1458</v>
      </c>
      <c r="B1459" s="1">
        <v>45569</v>
      </c>
      <c r="C1459" t="s">
        <v>79</v>
      </c>
      <c r="D1459">
        <v>4</v>
      </c>
      <c r="E1459">
        <v>10</v>
      </c>
      <c r="F1459">
        <v>4</v>
      </c>
      <c r="G1459">
        <v>2024</v>
      </c>
      <c r="H1459" t="s">
        <v>451</v>
      </c>
      <c r="I1459" t="s">
        <v>325</v>
      </c>
      <c r="J1459" t="s">
        <v>55</v>
      </c>
      <c r="K1459">
        <v>30</v>
      </c>
      <c r="L1459">
        <v>12</v>
      </c>
      <c r="M1459">
        <v>373</v>
      </c>
    </row>
    <row r="1460" spans="1:13">
      <c r="A1460">
        <v>1459</v>
      </c>
      <c r="B1460" s="1">
        <v>45569</v>
      </c>
      <c r="C1460" t="s">
        <v>79</v>
      </c>
      <c r="D1460">
        <v>4</v>
      </c>
      <c r="E1460">
        <v>10</v>
      </c>
      <c r="F1460">
        <v>4</v>
      </c>
      <c r="G1460">
        <v>2024</v>
      </c>
      <c r="H1460" t="s">
        <v>451</v>
      </c>
      <c r="I1460" t="s">
        <v>489</v>
      </c>
      <c r="J1460" t="s">
        <v>51</v>
      </c>
      <c r="K1460">
        <v>40</v>
      </c>
      <c r="L1460">
        <v>6</v>
      </c>
      <c r="M1460">
        <v>270</v>
      </c>
    </row>
    <row r="1461" spans="1:13">
      <c r="A1461">
        <v>1460</v>
      </c>
      <c r="B1461" s="1">
        <v>46036</v>
      </c>
      <c r="C1461" t="s">
        <v>34</v>
      </c>
      <c r="D1461">
        <v>14</v>
      </c>
      <c r="E1461">
        <v>1</v>
      </c>
      <c r="F1461">
        <v>1</v>
      </c>
      <c r="G1461">
        <v>2026</v>
      </c>
      <c r="H1461" t="s">
        <v>353</v>
      </c>
      <c r="I1461" t="s">
        <v>663</v>
      </c>
      <c r="J1461" t="s">
        <v>27</v>
      </c>
      <c r="K1461">
        <v>53</v>
      </c>
      <c r="L1461">
        <v>1</v>
      </c>
      <c r="M1461">
        <v>92</v>
      </c>
    </row>
    <row r="1462" spans="1:13">
      <c r="A1462">
        <v>1461</v>
      </c>
      <c r="B1462" s="1">
        <v>45845</v>
      </c>
      <c r="C1462" t="s">
        <v>93</v>
      </c>
      <c r="D1462">
        <v>7</v>
      </c>
      <c r="E1462">
        <v>7</v>
      </c>
      <c r="F1462">
        <v>3</v>
      </c>
      <c r="G1462">
        <v>2025</v>
      </c>
      <c r="H1462" t="s">
        <v>517</v>
      </c>
      <c r="I1462" t="s">
        <v>509</v>
      </c>
      <c r="J1462" t="s">
        <v>19</v>
      </c>
      <c r="K1462">
        <v>60</v>
      </c>
      <c r="L1462">
        <v>3</v>
      </c>
      <c r="M1462">
        <v>186</v>
      </c>
    </row>
    <row r="1463" spans="1:13">
      <c r="A1463">
        <v>1462</v>
      </c>
      <c r="B1463" s="1">
        <v>45845</v>
      </c>
      <c r="C1463" t="s">
        <v>93</v>
      </c>
      <c r="D1463">
        <v>7</v>
      </c>
      <c r="E1463">
        <v>7</v>
      </c>
      <c r="F1463">
        <v>3</v>
      </c>
      <c r="G1463">
        <v>2025</v>
      </c>
      <c r="H1463" t="s">
        <v>517</v>
      </c>
      <c r="I1463" t="s">
        <v>368</v>
      </c>
      <c r="J1463" t="s">
        <v>31</v>
      </c>
      <c r="K1463">
        <v>59</v>
      </c>
      <c r="L1463">
        <v>5</v>
      </c>
      <c r="M1463">
        <v>351</v>
      </c>
    </row>
    <row r="1464" spans="1:13">
      <c r="A1464">
        <v>1463</v>
      </c>
      <c r="B1464" s="1">
        <v>45845</v>
      </c>
      <c r="C1464" t="s">
        <v>93</v>
      </c>
      <c r="D1464">
        <v>7</v>
      </c>
      <c r="E1464">
        <v>7</v>
      </c>
      <c r="F1464">
        <v>3</v>
      </c>
      <c r="G1464">
        <v>2025</v>
      </c>
      <c r="H1464" t="s">
        <v>517</v>
      </c>
      <c r="I1464" t="s">
        <v>441</v>
      </c>
      <c r="J1464" t="s">
        <v>37</v>
      </c>
      <c r="K1464">
        <v>42</v>
      </c>
      <c r="L1464">
        <v>7</v>
      </c>
      <c r="M1464">
        <v>304</v>
      </c>
    </row>
    <row r="1465" spans="1:13">
      <c r="A1465">
        <v>1464</v>
      </c>
      <c r="B1465" s="1">
        <v>45845</v>
      </c>
      <c r="C1465" t="s">
        <v>93</v>
      </c>
      <c r="D1465">
        <v>7</v>
      </c>
      <c r="E1465">
        <v>7</v>
      </c>
      <c r="F1465">
        <v>3</v>
      </c>
      <c r="G1465">
        <v>2025</v>
      </c>
      <c r="H1465" t="s">
        <v>517</v>
      </c>
      <c r="I1465" t="s">
        <v>533</v>
      </c>
      <c r="J1465" t="s">
        <v>122</v>
      </c>
      <c r="K1465">
        <v>14</v>
      </c>
      <c r="L1465">
        <v>18</v>
      </c>
      <c r="M1465">
        <v>261</v>
      </c>
    </row>
    <row r="1466" spans="1:13">
      <c r="A1466">
        <v>1465</v>
      </c>
      <c r="B1466" s="1">
        <v>45845</v>
      </c>
      <c r="C1466" t="s">
        <v>93</v>
      </c>
      <c r="D1466">
        <v>7</v>
      </c>
      <c r="E1466">
        <v>7</v>
      </c>
      <c r="F1466">
        <v>3</v>
      </c>
      <c r="G1466">
        <v>2025</v>
      </c>
      <c r="H1466" t="s">
        <v>517</v>
      </c>
      <c r="I1466" t="s">
        <v>552</v>
      </c>
      <c r="J1466" t="s">
        <v>31</v>
      </c>
      <c r="K1466">
        <v>30</v>
      </c>
      <c r="L1466">
        <v>7</v>
      </c>
      <c r="M1466">
        <v>233</v>
      </c>
    </row>
    <row r="1467" spans="1:13">
      <c r="A1467">
        <v>1466</v>
      </c>
      <c r="B1467" s="1">
        <v>45845</v>
      </c>
      <c r="C1467" t="s">
        <v>93</v>
      </c>
      <c r="D1467">
        <v>7</v>
      </c>
      <c r="E1467">
        <v>7</v>
      </c>
      <c r="F1467">
        <v>3</v>
      </c>
      <c r="G1467">
        <v>2025</v>
      </c>
      <c r="H1467" t="s">
        <v>517</v>
      </c>
      <c r="I1467" t="s">
        <v>325</v>
      </c>
      <c r="J1467" t="s">
        <v>55</v>
      </c>
      <c r="K1467">
        <v>54</v>
      </c>
      <c r="L1467">
        <v>6</v>
      </c>
      <c r="M1467">
        <v>365</v>
      </c>
    </row>
    <row r="1468" spans="1:13">
      <c r="A1468">
        <v>1467</v>
      </c>
      <c r="B1468" s="1">
        <v>46225</v>
      </c>
      <c r="C1468" t="s">
        <v>34</v>
      </c>
      <c r="D1468">
        <v>22</v>
      </c>
      <c r="E1468">
        <v>7</v>
      </c>
      <c r="F1468">
        <v>3</v>
      </c>
      <c r="G1468">
        <v>2026</v>
      </c>
      <c r="H1468" t="s">
        <v>464</v>
      </c>
      <c r="I1468" t="s">
        <v>454</v>
      </c>
      <c r="J1468" t="s">
        <v>23</v>
      </c>
      <c r="K1468">
        <v>60</v>
      </c>
      <c r="L1468">
        <v>6</v>
      </c>
      <c r="M1468">
        <v>383</v>
      </c>
    </row>
    <row r="1469" spans="1:13">
      <c r="A1469">
        <v>1468</v>
      </c>
      <c r="B1469" s="1">
        <v>46225</v>
      </c>
      <c r="C1469" t="s">
        <v>34</v>
      </c>
      <c r="D1469">
        <v>22</v>
      </c>
      <c r="E1469">
        <v>7</v>
      </c>
      <c r="F1469">
        <v>3</v>
      </c>
      <c r="G1469">
        <v>2026</v>
      </c>
      <c r="H1469" t="s">
        <v>464</v>
      </c>
      <c r="I1469" t="s">
        <v>92</v>
      </c>
      <c r="J1469" t="s">
        <v>51</v>
      </c>
      <c r="K1469">
        <v>11</v>
      </c>
      <c r="L1469">
        <v>11</v>
      </c>
      <c r="M1469">
        <v>124</v>
      </c>
    </row>
    <row r="1470" spans="1:13">
      <c r="A1470">
        <v>1469</v>
      </c>
      <c r="B1470" s="1">
        <v>46225</v>
      </c>
      <c r="C1470" t="s">
        <v>34</v>
      </c>
      <c r="D1470">
        <v>22</v>
      </c>
      <c r="E1470">
        <v>7</v>
      </c>
      <c r="F1470">
        <v>3</v>
      </c>
      <c r="G1470">
        <v>2026</v>
      </c>
      <c r="H1470" t="s">
        <v>464</v>
      </c>
      <c r="I1470" t="s">
        <v>117</v>
      </c>
      <c r="J1470" t="s">
        <v>55</v>
      </c>
      <c r="K1470">
        <v>49</v>
      </c>
      <c r="L1470">
        <v>6</v>
      </c>
      <c r="M1470">
        <v>308</v>
      </c>
    </row>
    <row r="1471" spans="1:13">
      <c r="A1471">
        <v>1470</v>
      </c>
      <c r="B1471" s="1">
        <v>46225</v>
      </c>
      <c r="C1471" t="s">
        <v>34</v>
      </c>
      <c r="D1471">
        <v>22</v>
      </c>
      <c r="E1471">
        <v>7</v>
      </c>
      <c r="F1471">
        <v>3</v>
      </c>
      <c r="G1471">
        <v>2026</v>
      </c>
      <c r="H1471" t="s">
        <v>464</v>
      </c>
      <c r="I1471" t="s">
        <v>631</v>
      </c>
      <c r="J1471" t="s">
        <v>39</v>
      </c>
      <c r="K1471">
        <v>44</v>
      </c>
      <c r="L1471">
        <v>4</v>
      </c>
      <c r="M1471">
        <v>214</v>
      </c>
    </row>
    <row r="1472" spans="1:13">
      <c r="A1472">
        <v>1471</v>
      </c>
      <c r="B1472" s="1">
        <v>46225</v>
      </c>
      <c r="C1472" t="s">
        <v>34</v>
      </c>
      <c r="D1472">
        <v>22</v>
      </c>
      <c r="E1472">
        <v>7</v>
      </c>
      <c r="F1472">
        <v>3</v>
      </c>
      <c r="G1472">
        <v>2026</v>
      </c>
      <c r="H1472" t="s">
        <v>464</v>
      </c>
      <c r="I1472" t="s">
        <v>383</v>
      </c>
      <c r="J1472" t="s">
        <v>39</v>
      </c>
      <c r="K1472">
        <v>28</v>
      </c>
      <c r="L1472">
        <v>14</v>
      </c>
      <c r="M1472">
        <v>412</v>
      </c>
    </row>
    <row r="1473" spans="1:13">
      <c r="A1473">
        <v>1472</v>
      </c>
      <c r="B1473" s="1">
        <v>46225</v>
      </c>
      <c r="C1473" t="s">
        <v>34</v>
      </c>
      <c r="D1473">
        <v>22</v>
      </c>
      <c r="E1473">
        <v>7</v>
      </c>
      <c r="F1473">
        <v>3</v>
      </c>
      <c r="G1473">
        <v>2026</v>
      </c>
      <c r="H1473" t="s">
        <v>464</v>
      </c>
      <c r="I1473" t="s">
        <v>706</v>
      </c>
      <c r="J1473" t="s">
        <v>39</v>
      </c>
      <c r="K1473">
        <v>49</v>
      </c>
      <c r="L1473">
        <v>4</v>
      </c>
      <c r="M1473">
        <v>243</v>
      </c>
    </row>
    <row r="1474" spans="1:13">
      <c r="A1474">
        <v>1473</v>
      </c>
      <c r="B1474" s="1">
        <v>46225</v>
      </c>
      <c r="C1474" t="s">
        <v>34</v>
      </c>
      <c r="D1474">
        <v>22</v>
      </c>
      <c r="E1474">
        <v>7</v>
      </c>
      <c r="F1474">
        <v>3</v>
      </c>
      <c r="G1474">
        <v>2026</v>
      </c>
      <c r="H1474" t="s">
        <v>464</v>
      </c>
      <c r="I1474" t="s">
        <v>560</v>
      </c>
      <c r="J1474" t="s">
        <v>122</v>
      </c>
      <c r="K1474">
        <v>25</v>
      </c>
      <c r="L1474">
        <v>7</v>
      </c>
      <c r="M1474">
        <v>175</v>
      </c>
    </row>
    <row r="1475" spans="1:13">
      <c r="A1475">
        <v>1474</v>
      </c>
      <c r="B1475" s="1">
        <v>46225</v>
      </c>
      <c r="C1475" t="s">
        <v>34</v>
      </c>
      <c r="D1475">
        <v>22</v>
      </c>
      <c r="E1475">
        <v>7</v>
      </c>
      <c r="F1475">
        <v>3</v>
      </c>
      <c r="G1475">
        <v>2026</v>
      </c>
      <c r="H1475" t="s">
        <v>464</v>
      </c>
      <c r="I1475" t="s">
        <v>284</v>
      </c>
      <c r="J1475" t="s">
        <v>97</v>
      </c>
      <c r="K1475">
        <v>26</v>
      </c>
      <c r="L1475">
        <v>9</v>
      </c>
      <c r="M1475">
        <v>245</v>
      </c>
    </row>
    <row r="1476" spans="1:13">
      <c r="A1476">
        <v>1475</v>
      </c>
      <c r="B1476" s="1">
        <v>46225</v>
      </c>
      <c r="C1476" t="s">
        <v>34</v>
      </c>
      <c r="D1476">
        <v>22</v>
      </c>
      <c r="E1476">
        <v>7</v>
      </c>
      <c r="F1476">
        <v>3</v>
      </c>
      <c r="G1476">
        <v>2026</v>
      </c>
      <c r="H1476" t="s">
        <v>464</v>
      </c>
      <c r="I1476" t="s">
        <v>58</v>
      </c>
      <c r="J1476" t="s">
        <v>25</v>
      </c>
      <c r="K1476">
        <v>60</v>
      </c>
      <c r="L1476">
        <v>2</v>
      </c>
      <c r="M1476">
        <v>172</v>
      </c>
    </row>
    <row r="1477" spans="1:13">
      <c r="A1477">
        <v>1476</v>
      </c>
      <c r="B1477" s="1">
        <v>45752</v>
      </c>
      <c r="C1477" t="s">
        <v>14</v>
      </c>
      <c r="D1477">
        <v>5</v>
      </c>
      <c r="E1477">
        <v>4</v>
      </c>
      <c r="F1477">
        <v>2</v>
      </c>
      <c r="G1477">
        <v>2025</v>
      </c>
      <c r="H1477" t="s">
        <v>405</v>
      </c>
      <c r="I1477" t="s">
        <v>411</v>
      </c>
      <c r="J1477" t="s">
        <v>82</v>
      </c>
      <c r="K1477">
        <v>13</v>
      </c>
      <c r="L1477">
        <v>4</v>
      </c>
      <c r="M1477">
        <v>61</v>
      </c>
    </row>
    <row r="1478" spans="1:13">
      <c r="A1478">
        <v>1477</v>
      </c>
      <c r="B1478" s="1">
        <v>45752</v>
      </c>
      <c r="C1478" t="s">
        <v>14</v>
      </c>
      <c r="D1478">
        <v>5</v>
      </c>
      <c r="E1478">
        <v>4</v>
      </c>
      <c r="F1478">
        <v>2</v>
      </c>
      <c r="G1478">
        <v>2025</v>
      </c>
      <c r="H1478" t="s">
        <v>405</v>
      </c>
      <c r="I1478" t="s">
        <v>324</v>
      </c>
      <c r="J1478" t="s">
        <v>17</v>
      </c>
      <c r="K1478">
        <v>12</v>
      </c>
      <c r="L1478">
        <v>26</v>
      </c>
      <c r="M1478">
        <v>318</v>
      </c>
    </row>
    <row r="1479" spans="1:13">
      <c r="A1479">
        <v>1478</v>
      </c>
      <c r="B1479" s="1">
        <v>45752</v>
      </c>
      <c r="C1479" t="s">
        <v>14</v>
      </c>
      <c r="D1479">
        <v>5</v>
      </c>
      <c r="E1479">
        <v>4</v>
      </c>
      <c r="F1479">
        <v>2</v>
      </c>
      <c r="G1479">
        <v>2025</v>
      </c>
      <c r="H1479" t="s">
        <v>405</v>
      </c>
      <c r="I1479" t="s">
        <v>627</v>
      </c>
      <c r="J1479" t="s">
        <v>51</v>
      </c>
      <c r="K1479">
        <v>60</v>
      </c>
      <c r="L1479">
        <v>4</v>
      </c>
      <c r="M1479">
        <v>282</v>
      </c>
    </row>
    <row r="1480" spans="1:13">
      <c r="A1480">
        <v>1479</v>
      </c>
      <c r="B1480" s="1">
        <v>46066</v>
      </c>
      <c r="C1480" t="s">
        <v>79</v>
      </c>
      <c r="D1480">
        <v>13</v>
      </c>
      <c r="E1480">
        <v>2</v>
      </c>
      <c r="F1480">
        <v>1</v>
      </c>
      <c r="G1480">
        <v>2026</v>
      </c>
      <c r="H1480" t="s">
        <v>694</v>
      </c>
      <c r="I1480" t="s">
        <v>153</v>
      </c>
      <c r="J1480" t="s">
        <v>37</v>
      </c>
      <c r="K1480">
        <v>22</v>
      </c>
      <c r="L1480">
        <v>15</v>
      </c>
      <c r="M1480">
        <v>345</v>
      </c>
    </row>
    <row r="1481" spans="1:13">
      <c r="A1481">
        <v>1480</v>
      </c>
      <c r="B1481" s="1">
        <v>46066</v>
      </c>
      <c r="C1481" t="s">
        <v>79</v>
      </c>
      <c r="D1481">
        <v>13</v>
      </c>
      <c r="E1481">
        <v>2</v>
      </c>
      <c r="F1481">
        <v>1</v>
      </c>
      <c r="G1481">
        <v>2026</v>
      </c>
      <c r="H1481" t="s">
        <v>694</v>
      </c>
      <c r="I1481" t="s">
        <v>589</v>
      </c>
      <c r="J1481" t="s">
        <v>46</v>
      </c>
      <c r="K1481">
        <v>25</v>
      </c>
      <c r="L1481">
        <v>10</v>
      </c>
      <c r="M1481">
        <v>261</v>
      </c>
    </row>
    <row r="1482" spans="1:13">
      <c r="A1482">
        <v>1481</v>
      </c>
      <c r="B1482" s="1">
        <v>46066</v>
      </c>
      <c r="C1482" t="s">
        <v>79</v>
      </c>
      <c r="D1482">
        <v>13</v>
      </c>
      <c r="E1482">
        <v>2</v>
      </c>
      <c r="F1482">
        <v>1</v>
      </c>
      <c r="G1482">
        <v>2026</v>
      </c>
      <c r="H1482" t="s">
        <v>694</v>
      </c>
      <c r="I1482" t="s">
        <v>109</v>
      </c>
      <c r="J1482" t="s">
        <v>46</v>
      </c>
      <c r="K1482">
        <v>14</v>
      </c>
      <c r="L1482">
        <v>6</v>
      </c>
      <c r="M1482">
        <v>95</v>
      </c>
    </row>
    <row r="1483" spans="1:13">
      <c r="A1483">
        <v>1482</v>
      </c>
      <c r="B1483" s="1">
        <v>46066</v>
      </c>
      <c r="C1483" t="s">
        <v>79</v>
      </c>
      <c r="D1483">
        <v>13</v>
      </c>
      <c r="E1483">
        <v>2</v>
      </c>
      <c r="F1483">
        <v>1</v>
      </c>
      <c r="G1483">
        <v>2026</v>
      </c>
      <c r="H1483" t="s">
        <v>694</v>
      </c>
      <c r="I1483" t="s">
        <v>143</v>
      </c>
      <c r="J1483" t="s">
        <v>69</v>
      </c>
      <c r="K1483">
        <v>54</v>
      </c>
      <c r="L1483">
        <v>4</v>
      </c>
      <c r="M1483">
        <v>258</v>
      </c>
    </row>
    <row r="1484" spans="1:13">
      <c r="A1484">
        <v>1483</v>
      </c>
      <c r="B1484" s="1">
        <v>46066</v>
      </c>
      <c r="C1484" t="s">
        <v>79</v>
      </c>
      <c r="D1484">
        <v>13</v>
      </c>
      <c r="E1484">
        <v>2</v>
      </c>
      <c r="F1484">
        <v>1</v>
      </c>
      <c r="G1484">
        <v>2026</v>
      </c>
      <c r="H1484" t="s">
        <v>694</v>
      </c>
      <c r="I1484" t="s">
        <v>463</v>
      </c>
      <c r="J1484" t="s">
        <v>43</v>
      </c>
      <c r="K1484">
        <v>45</v>
      </c>
      <c r="L1484">
        <v>7</v>
      </c>
      <c r="M1484">
        <v>336</v>
      </c>
    </row>
    <row r="1485" spans="1:13">
      <c r="A1485">
        <v>1484</v>
      </c>
      <c r="B1485" s="1">
        <v>46066</v>
      </c>
      <c r="C1485" t="s">
        <v>79</v>
      </c>
      <c r="D1485">
        <v>13</v>
      </c>
      <c r="E1485">
        <v>2</v>
      </c>
      <c r="F1485">
        <v>1</v>
      </c>
      <c r="G1485">
        <v>2026</v>
      </c>
      <c r="H1485" t="s">
        <v>694</v>
      </c>
      <c r="I1485" t="s">
        <v>428</v>
      </c>
      <c r="J1485" t="s">
        <v>31</v>
      </c>
      <c r="K1485">
        <v>31</v>
      </c>
      <c r="L1485">
        <v>14</v>
      </c>
      <c r="M1485">
        <v>440</v>
      </c>
    </row>
    <row r="1486" spans="1:13">
      <c r="A1486">
        <v>1485</v>
      </c>
      <c r="B1486" s="1">
        <v>46066</v>
      </c>
      <c r="C1486" t="s">
        <v>79</v>
      </c>
      <c r="D1486">
        <v>13</v>
      </c>
      <c r="E1486">
        <v>2</v>
      </c>
      <c r="F1486">
        <v>1</v>
      </c>
      <c r="G1486">
        <v>2026</v>
      </c>
      <c r="H1486" t="s">
        <v>694</v>
      </c>
      <c r="I1486" t="s">
        <v>425</v>
      </c>
      <c r="J1486" t="s">
        <v>51</v>
      </c>
      <c r="K1486">
        <v>12</v>
      </c>
      <c r="L1486">
        <v>26</v>
      </c>
      <c r="M1486">
        <v>322</v>
      </c>
    </row>
    <row r="1487" spans="1:13">
      <c r="A1487">
        <v>1486</v>
      </c>
      <c r="B1487" s="1">
        <v>46066</v>
      </c>
      <c r="C1487" t="s">
        <v>79</v>
      </c>
      <c r="D1487">
        <v>13</v>
      </c>
      <c r="E1487">
        <v>2</v>
      </c>
      <c r="F1487">
        <v>1</v>
      </c>
      <c r="G1487">
        <v>2026</v>
      </c>
      <c r="H1487" t="s">
        <v>694</v>
      </c>
      <c r="I1487" t="s">
        <v>621</v>
      </c>
      <c r="J1487" t="s">
        <v>19</v>
      </c>
      <c r="K1487">
        <v>27</v>
      </c>
      <c r="L1487">
        <v>14</v>
      </c>
      <c r="M1487">
        <v>383</v>
      </c>
    </row>
    <row r="1488" spans="1:13">
      <c r="A1488">
        <v>1487</v>
      </c>
      <c r="B1488" s="1">
        <v>46066</v>
      </c>
      <c r="C1488" t="s">
        <v>79</v>
      </c>
      <c r="D1488">
        <v>13</v>
      </c>
      <c r="E1488">
        <v>2</v>
      </c>
      <c r="F1488">
        <v>1</v>
      </c>
      <c r="G1488">
        <v>2026</v>
      </c>
      <c r="H1488" t="s">
        <v>694</v>
      </c>
      <c r="I1488" t="s">
        <v>412</v>
      </c>
      <c r="J1488" t="s">
        <v>27</v>
      </c>
      <c r="K1488">
        <v>60</v>
      </c>
      <c r="L1488">
        <v>2</v>
      </c>
      <c r="M1488">
        <v>179</v>
      </c>
    </row>
    <row r="1489" spans="1:13">
      <c r="A1489">
        <v>1488</v>
      </c>
      <c r="B1489" s="1">
        <v>46125</v>
      </c>
      <c r="C1489" t="s">
        <v>93</v>
      </c>
      <c r="D1489">
        <v>13</v>
      </c>
      <c r="E1489">
        <v>4</v>
      </c>
      <c r="F1489">
        <v>2</v>
      </c>
      <c r="G1489">
        <v>2026</v>
      </c>
      <c r="H1489" t="s">
        <v>196</v>
      </c>
      <c r="I1489" t="s">
        <v>26</v>
      </c>
      <c r="J1489" t="s">
        <v>27</v>
      </c>
      <c r="K1489">
        <v>36</v>
      </c>
      <c r="L1489">
        <v>7</v>
      </c>
      <c r="M1489">
        <v>272</v>
      </c>
    </row>
    <row r="1490" spans="1:13">
      <c r="A1490">
        <v>1489</v>
      </c>
      <c r="B1490" s="1">
        <v>46125</v>
      </c>
      <c r="C1490" t="s">
        <v>93</v>
      </c>
      <c r="D1490">
        <v>13</v>
      </c>
      <c r="E1490">
        <v>4</v>
      </c>
      <c r="F1490">
        <v>2</v>
      </c>
      <c r="G1490">
        <v>2026</v>
      </c>
      <c r="H1490" t="s">
        <v>196</v>
      </c>
      <c r="I1490" t="s">
        <v>665</v>
      </c>
      <c r="J1490" t="s">
        <v>17</v>
      </c>
      <c r="K1490">
        <v>27</v>
      </c>
      <c r="L1490">
        <v>5</v>
      </c>
      <c r="M1490">
        <v>141</v>
      </c>
    </row>
    <row r="1491" spans="1:13">
      <c r="A1491">
        <v>1490</v>
      </c>
      <c r="B1491" s="1">
        <v>46125</v>
      </c>
      <c r="C1491" t="s">
        <v>93</v>
      </c>
      <c r="D1491">
        <v>13</v>
      </c>
      <c r="E1491">
        <v>4</v>
      </c>
      <c r="F1491">
        <v>2</v>
      </c>
      <c r="G1491">
        <v>2026</v>
      </c>
      <c r="H1491" t="s">
        <v>196</v>
      </c>
      <c r="I1491" t="s">
        <v>686</v>
      </c>
      <c r="J1491" t="s">
        <v>82</v>
      </c>
      <c r="K1491">
        <v>31</v>
      </c>
      <c r="L1491">
        <v>11</v>
      </c>
      <c r="M1491">
        <v>368</v>
      </c>
    </row>
    <row r="1492" spans="1:13">
      <c r="A1492">
        <v>1491</v>
      </c>
      <c r="B1492" s="1">
        <v>46125</v>
      </c>
      <c r="C1492" t="s">
        <v>93</v>
      </c>
      <c r="D1492">
        <v>13</v>
      </c>
      <c r="E1492">
        <v>4</v>
      </c>
      <c r="F1492">
        <v>2</v>
      </c>
      <c r="G1492">
        <v>2026</v>
      </c>
      <c r="H1492" t="s">
        <v>196</v>
      </c>
      <c r="I1492" t="s">
        <v>238</v>
      </c>
      <c r="J1492" t="s">
        <v>97</v>
      </c>
      <c r="K1492">
        <v>43</v>
      </c>
      <c r="L1492">
        <v>6</v>
      </c>
      <c r="M1492">
        <v>261</v>
      </c>
    </row>
    <row r="1493" spans="1:13">
      <c r="A1493">
        <v>1492</v>
      </c>
      <c r="B1493" s="1">
        <v>46125</v>
      </c>
      <c r="C1493" t="s">
        <v>93</v>
      </c>
      <c r="D1493">
        <v>13</v>
      </c>
      <c r="E1493">
        <v>4</v>
      </c>
      <c r="F1493">
        <v>2</v>
      </c>
      <c r="G1493">
        <v>2026</v>
      </c>
      <c r="H1493" t="s">
        <v>196</v>
      </c>
      <c r="I1493" t="s">
        <v>320</v>
      </c>
      <c r="J1493" t="s">
        <v>21</v>
      </c>
      <c r="K1493">
        <v>17</v>
      </c>
      <c r="L1493">
        <v>27</v>
      </c>
      <c r="M1493">
        <v>461</v>
      </c>
    </row>
    <row r="1494" spans="1:13">
      <c r="A1494">
        <v>1493</v>
      </c>
      <c r="B1494" s="1">
        <v>46125</v>
      </c>
      <c r="C1494" t="s">
        <v>93</v>
      </c>
      <c r="D1494">
        <v>13</v>
      </c>
      <c r="E1494">
        <v>4</v>
      </c>
      <c r="F1494">
        <v>2</v>
      </c>
      <c r="G1494">
        <v>2026</v>
      </c>
      <c r="H1494" t="s">
        <v>196</v>
      </c>
      <c r="I1494" t="s">
        <v>66</v>
      </c>
      <c r="J1494" t="s">
        <v>46</v>
      </c>
      <c r="K1494">
        <v>32</v>
      </c>
      <c r="L1494">
        <v>9</v>
      </c>
      <c r="M1494">
        <v>315</v>
      </c>
    </row>
    <row r="1495" spans="1:13">
      <c r="A1495">
        <v>1494</v>
      </c>
      <c r="B1495" s="1">
        <v>46125</v>
      </c>
      <c r="C1495" t="s">
        <v>93</v>
      </c>
      <c r="D1495">
        <v>13</v>
      </c>
      <c r="E1495">
        <v>4</v>
      </c>
      <c r="F1495">
        <v>2</v>
      </c>
      <c r="G1495">
        <v>2026</v>
      </c>
      <c r="H1495" t="s">
        <v>196</v>
      </c>
      <c r="I1495" t="s">
        <v>707</v>
      </c>
      <c r="J1495" t="s">
        <v>23</v>
      </c>
      <c r="K1495">
        <v>33</v>
      </c>
      <c r="L1495">
        <v>10</v>
      </c>
      <c r="M1495">
        <v>338</v>
      </c>
    </row>
    <row r="1496" spans="1:13">
      <c r="A1496">
        <v>1495</v>
      </c>
      <c r="B1496" s="1">
        <v>45682</v>
      </c>
      <c r="C1496" t="s">
        <v>14</v>
      </c>
      <c r="D1496">
        <v>25</v>
      </c>
      <c r="E1496">
        <v>1</v>
      </c>
      <c r="F1496">
        <v>1</v>
      </c>
      <c r="G1496">
        <v>2025</v>
      </c>
      <c r="H1496" t="s">
        <v>264</v>
      </c>
      <c r="I1496" t="s">
        <v>81</v>
      </c>
      <c r="J1496" t="s">
        <v>82</v>
      </c>
      <c r="K1496">
        <v>40</v>
      </c>
      <c r="L1496">
        <v>1</v>
      </c>
      <c r="M1496">
        <v>54</v>
      </c>
    </row>
    <row r="1497" spans="1:13">
      <c r="A1497">
        <v>1496</v>
      </c>
      <c r="B1497" s="1">
        <v>45682</v>
      </c>
      <c r="C1497" t="s">
        <v>14</v>
      </c>
      <c r="D1497">
        <v>25</v>
      </c>
      <c r="E1497">
        <v>1</v>
      </c>
      <c r="F1497">
        <v>1</v>
      </c>
      <c r="G1497">
        <v>2025</v>
      </c>
      <c r="H1497" t="s">
        <v>264</v>
      </c>
      <c r="I1497" t="s">
        <v>486</v>
      </c>
      <c r="J1497" t="s">
        <v>100</v>
      </c>
      <c r="K1497">
        <v>24</v>
      </c>
      <c r="L1497">
        <v>13</v>
      </c>
      <c r="M1497">
        <v>330</v>
      </c>
    </row>
    <row r="1498" spans="1:13">
      <c r="A1498">
        <v>1497</v>
      </c>
      <c r="B1498" s="1">
        <v>45682</v>
      </c>
      <c r="C1498" t="s">
        <v>14</v>
      </c>
      <c r="D1498">
        <v>25</v>
      </c>
      <c r="E1498">
        <v>1</v>
      </c>
      <c r="F1498">
        <v>1</v>
      </c>
      <c r="G1498">
        <v>2025</v>
      </c>
      <c r="H1498" t="s">
        <v>264</v>
      </c>
      <c r="I1498" t="s">
        <v>695</v>
      </c>
      <c r="J1498" t="s">
        <v>19</v>
      </c>
      <c r="K1498">
        <v>41</v>
      </c>
      <c r="L1498">
        <v>2</v>
      </c>
      <c r="M1498">
        <v>104</v>
      </c>
    </row>
    <row r="1499" spans="1:13">
      <c r="A1499">
        <v>1498</v>
      </c>
      <c r="B1499" s="1">
        <v>45682</v>
      </c>
      <c r="C1499" t="s">
        <v>14</v>
      </c>
      <c r="D1499">
        <v>25</v>
      </c>
      <c r="E1499">
        <v>1</v>
      </c>
      <c r="F1499">
        <v>1</v>
      </c>
      <c r="G1499">
        <v>2025</v>
      </c>
      <c r="H1499" t="s">
        <v>264</v>
      </c>
      <c r="I1499" t="s">
        <v>224</v>
      </c>
      <c r="J1499" t="s">
        <v>39</v>
      </c>
      <c r="K1499">
        <v>20</v>
      </c>
      <c r="L1499">
        <v>6</v>
      </c>
      <c r="M1499">
        <v>133</v>
      </c>
    </row>
    <row r="1500" spans="1:13">
      <c r="A1500">
        <v>1499</v>
      </c>
      <c r="B1500" s="1">
        <v>45682</v>
      </c>
      <c r="C1500" t="s">
        <v>14</v>
      </c>
      <c r="D1500">
        <v>25</v>
      </c>
      <c r="E1500">
        <v>1</v>
      </c>
      <c r="F1500">
        <v>1</v>
      </c>
      <c r="G1500">
        <v>2025</v>
      </c>
      <c r="H1500" t="s">
        <v>264</v>
      </c>
      <c r="I1500" t="s">
        <v>26</v>
      </c>
      <c r="J1500" t="s">
        <v>27</v>
      </c>
      <c r="K1500">
        <v>36</v>
      </c>
      <c r="L1500">
        <v>8</v>
      </c>
      <c r="M1500">
        <v>289</v>
      </c>
    </row>
    <row r="1501" spans="1:13">
      <c r="A1501">
        <v>1500</v>
      </c>
      <c r="B1501" s="1">
        <v>45682</v>
      </c>
      <c r="C1501" t="s">
        <v>14</v>
      </c>
      <c r="D1501">
        <v>25</v>
      </c>
      <c r="E1501">
        <v>1</v>
      </c>
      <c r="F1501">
        <v>1</v>
      </c>
      <c r="G1501">
        <v>2025</v>
      </c>
      <c r="H1501" t="s">
        <v>264</v>
      </c>
      <c r="I1501" t="s">
        <v>54</v>
      </c>
      <c r="J1501" t="s">
        <v>55</v>
      </c>
      <c r="K1501">
        <v>33</v>
      </c>
      <c r="L1501">
        <v>7</v>
      </c>
      <c r="M1501">
        <v>254</v>
      </c>
    </row>
    <row r="1502" spans="1:13">
      <c r="A1502">
        <v>1501</v>
      </c>
      <c r="B1502" s="1">
        <v>45815</v>
      </c>
      <c r="C1502" t="s">
        <v>14</v>
      </c>
      <c r="D1502">
        <v>7</v>
      </c>
      <c r="E1502">
        <v>6</v>
      </c>
      <c r="F1502">
        <v>2</v>
      </c>
      <c r="G1502">
        <v>2025</v>
      </c>
      <c r="H1502" t="s">
        <v>708</v>
      </c>
      <c r="I1502" t="s">
        <v>709</v>
      </c>
      <c r="J1502" t="s">
        <v>25</v>
      </c>
      <c r="K1502">
        <v>10</v>
      </c>
      <c r="L1502">
        <v>26</v>
      </c>
      <c r="M1502">
        <v>265</v>
      </c>
    </row>
    <row r="1503" spans="1:13">
      <c r="A1503">
        <v>1502</v>
      </c>
      <c r="B1503" s="1">
        <v>45815</v>
      </c>
      <c r="C1503" t="s">
        <v>14</v>
      </c>
      <c r="D1503">
        <v>7</v>
      </c>
      <c r="E1503">
        <v>6</v>
      </c>
      <c r="F1503">
        <v>2</v>
      </c>
      <c r="G1503">
        <v>2025</v>
      </c>
      <c r="H1503" t="s">
        <v>708</v>
      </c>
      <c r="I1503" t="s">
        <v>341</v>
      </c>
      <c r="J1503" t="s">
        <v>21</v>
      </c>
      <c r="K1503">
        <v>15</v>
      </c>
      <c r="L1503">
        <v>12</v>
      </c>
      <c r="M1503">
        <v>183</v>
      </c>
    </row>
    <row r="1504" spans="1:13">
      <c r="A1504">
        <v>1503</v>
      </c>
      <c r="B1504" s="1">
        <v>45815</v>
      </c>
      <c r="C1504" t="s">
        <v>14</v>
      </c>
      <c r="D1504">
        <v>7</v>
      </c>
      <c r="E1504">
        <v>6</v>
      </c>
      <c r="F1504">
        <v>2</v>
      </c>
      <c r="G1504">
        <v>2025</v>
      </c>
      <c r="H1504" t="s">
        <v>708</v>
      </c>
      <c r="I1504" t="s">
        <v>625</v>
      </c>
      <c r="J1504" t="s">
        <v>43</v>
      </c>
      <c r="K1504">
        <v>27</v>
      </c>
      <c r="L1504">
        <v>14</v>
      </c>
      <c r="M1504">
        <v>386</v>
      </c>
    </row>
    <row r="1505" spans="1:13">
      <c r="A1505">
        <v>1504</v>
      </c>
      <c r="B1505" s="1">
        <v>45815</v>
      </c>
      <c r="C1505" t="s">
        <v>14</v>
      </c>
      <c r="D1505">
        <v>7</v>
      </c>
      <c r="E1505">
        <v>6</v>
      </c>
      <c r="F1505">
        <v>2</v>
      </c>
      <c r="G1505">
        <v>2025</v>
      </c>
      <c r="H1505" t="s">
        <v>708</v>
      </c>
      <c r="I1505" t="s">
        <v>685</v>
      </c>
      <c r="J1505" t="s">
        <v>69</v>
      </c>
      <c r="K1505">
        <v>40</v>
      </c>
      <c r="L1505">
        <v>5</v>
      </c>
      <c r="M1505">
        <v>232</v>
      </c>
    </row>
    <row r="1506" spans="1:13">
      <c r="A1506">
        <v>1505</v>
      </c>
      <c r="B1506" s="1">
        <v>45668</v>
      </c>
      <c r="C1506" t="s">
        <v>14</v>
      </c>
      <c r="D1506">
        <v>11</v>
      </c>
      <c r="E1506">
        <v>1</v>
      </c>
      <c r="F1506">
        <v>1</v>
      </c>
      <c r="G1506">
        <v>2025</v>
      </c>
      <c r="H1506" t="s">
        <v>328</v>
      </c>
      <c r="I1506" t="s">
        <v>413</v>
      </c>
      <c r="J1506" t="s">
        <v>57</v>
      </c>
      <c r="K1506">
        <v>41</v>
      </c>
      <c r="L1506">
        <v>6</v>
      </c>
      <c r="M1506">
        <v>246</v>
      </c>
    </row>
    <row r="1507" spans="1:13">
      <c r="A1507">
        <v>1506</v>
      </c>
      <c r="B1507" s="1">
        <v>45668</v>
      </c>
      <c r="C1507" t="s">
        <v>14</v>
      </c>
      <c r="D1507">
        <v>11</v>
      </c>
      <c r="E1507">
        <v>1</v>
      </c>
      <c r="F1507">
        <v>1</v>
      </c>
      <c r="G1507">
        <v>2025</v>
      </c>
      <c r="H1507" t="s">
        <v>328</v>
      </c>
      <c r="I1507" t="s">
        <v>330</v>
      </c>
      <c r="J1507" t="s">
        <v>60</v>
      </c>
      <c r="K1507">
        <v>34</v>
      </c>
      <c r="L1507">
        <v>9</v>
      </c>
      <c r="M1507">
        <v>327</v>
      </c>
    </row>
    <row r="1508" spans="1:13">
      <c r="A1508">
        <v>1507</v>
      </c>
      <c r="B1508" s="1">
        <v>46116</v>
      </c>
      <c r="C1508" t="s">
        <v>14</v>
      </c>
      <c r="D1508">
        <v>4</v>
      </c>
      <c r="E1508">
        <v>4</v>
      </c>
      <c r="F1508">
        <v>2</v>
      </c>
      <c r="G1508">
        <v>2026</v>
      </c>
      <c r="H1508" t="s">
        <v>106</v>
      </c>
      <c r="I1508" t="s">
        <v>284</v>
      </c>
      <c r="J1508" t="s">
        <v>97</v>
      </c>
      <c r="K1508">
        <v>16</v>
      </c>
      <c r="L1508">
        <v>13</v>
      </c>
      <c r="M1508">
        <v>223</v>
      </c>
    </row>
    <row r="1509" spans="1:13">
      <c r="A1509">
        <v>1508</v>
      </c>
      <c r="B1509" s="1">
        <v>46116</v>
      </c>
      <c r="C1509" t="s">
        <v>14</v>
      </c>
      <c r="D1509">
        <v>4</v>
      </c>
      <c r="E1509">
        <v>4</v>
      </c>
      <c r="F1509">
        <v>2</v>
      </c>
      <c r="G1509">
        <v>2026</v>
      </c>
      <c r="H1509" t="s">
        <v>106</v>
      </c>
      <c r="I1509" t="s">
        <v>652</v>
      </c>
      <c r="J1509" t="s">
        <v>37</v>
      </c>
      <c r="K1509">
        <v>32</v>
      </c>
      <c r="L1509">
        <v>6</v>
      </c>
      <c r="M1509">
        <v>202</v>
      </c>
    </row>
    <row r="1510" spans="1:13">
      <c r="A1510">
        <v>1509</v>
      </c>
      <c r="B1510" s="1">
        <v>46116</v>
      </c>
      <c r="C1510" t="s">
        <v>14</v>
      </c>
      <c r="D1510">
        <v>4</v>
      </c>
      <c r="E1510">
        <v>4</v>
      </c>
      <c r="F1510">
        <v>2</v>
      </c>
      <c r="G1510">
        <v>2026</v>
      </c>
      <c r="H1510" t="s">
        <v>106</v>
      </c>
      <c r="I1510" t="s">
        <v>178</v>
      </c>
      <c r="J1510" t="s">
        <v>122</v>
      </c>
      <c r="K1510">
        <v>46</v>
      </c>
      <c r="L1510">
        <v>6</v>
      </c>
      <c r="M1510">
        <v>281</v>
      </c>
    </row>
    <row r="1511" spans="1:13">
      <c r="A1511">
        <v>1510</v>
      </c>
      <c r="B1511" s="1">
        <v>46116</v>
      </c>
      <c r="C1511" t="s">
        <v>14</v>
      </c>
      <c r="D1511">
        <v>4</v>
      </c>
      <c r="E1511">
        <v>4</v>
      </c>
      <c r="F1511">
        <v>2</v>
      </c>
      <c r="G1511">
        <v>2026</v>
      </c>
      <c r="H1511" t="s">
        <v>106</v>
      </c>
      <c r="I1511" t="s">
        <v>501</v>
      </c>
      <c r="J1511" t="s">
        <v>25</v>
      </c>
      <c r="K1511">
        <v>47</v>
      </c>
      <c r="L1511">
        <v>6</v>
      </c>
      <c r="M1511">
        <v>298</v>
      </c>
    </row>
    <row r="1512" spans="1:13">
      <c r="A1512">
        <v>1511</v>
      </c>
      <c r="B1512" s="1">
        <v>46116</v>
      </c>
      <c r="C1512" t="s">
        <v>14</v>
      </c>
      <c r="D1512">
        <v>4</v>
      </c>
      <c r="E1512">
        <v>4</v>
      </c>
      <c r="F1512">
        <v>2</v>
      </c>
      <c r="G1512">
        <v>2026</v>
      </c>
      <c r="H1512" t="s">
        <v>106</v>
      </c>
      <c r="I1512" t="s">
        <v>664</v>
      </c>
      <c r="J1512" t="s">
        <v>23</v>
      </c>
      <c r="K1512">
        <v>42</v>
      </c>
      <c r="L1512">
        <v>3</v>
      </c>
      <c r="M1512">
        <v>154</v>
      </c>
    </row>
    <row r="1513" spans="1:13">
      <c r="A1513">
        <v>1512</v>
      </c>
      <c r="B1513" s="1">
        <v>46116</v>
      </c>
      <c r="C1513" t="s">
        <v>14</v>
      </c>
      <c r="D1513">
        <v>4</v>
      </c>
      <c r="E1513">
        <v>4</v>
      </c>
      <c r="F1513">
        <v>2</v>
      </c>
      <c r="G1513">
        <v>2026</v>
      </c>
      <c r="H1513" t="s">
        <v>106</v>
      </c>
      <c r="I1513" t="s">
        <v>484</v>
      </c>
      <c r="J1513" t="s">
        <v>25</v>
      </c>
      <c r="K1513">
        <v>32</v>
      </c>
      <c r="L1513">
        <v>4</v>
      </c>
      <c r="M1513">
        <v>131</v>
      </c>
    </row>
    <row r="1514" spans="1:13">
      <c r="A1514">
        <v>1513</v>
      </c>
      <c r="B1514" s="1">
        <v>46116</v>
      </c>
      <c r="C1514" t="s">
        <v>14</v>
      </c>
      <c r="D1514">
        <v>4</v>
      </c>
      <c r="E1514">
        <v>4</v>
      </c>
      <c r="F1514">
        <v>2</v>
      </c>
      <c r="G1514">
        <v>2026</v>
      </c>
      <c r="H1514" t="s">
        <v>106</v>
      </c>
      <c r="I1514" t="s">
        <v>598</v>
      </c>
      <c r="J1514" t="s">
        <v>31</v>
      </c>
      <c r="K1514">
        <v>29</v>
      </c>
      <c r="L1514">
        <v>5</v>
      </c>
      <c r="M1514">
        <v>160</v>
      </c>
    </row>
    <row r="1515" spans="1:13">
      <c r="A1515">
        <v>1514</v>
      </c>
      <c r="B1515" s="1">
        <v>46116</v>
      </c>
      <c r="C1515" t="s">
        <v>14</v>
      </c>
      <c r="D1515">
        <v>4</v>
      </c>
      <c r="E1515">
        <v>4</v>
      </c>
      <c r="F1515">
        <v>2</v>
      </c>
      <c r="G1515">
        <v>2026</v>
      </c>
      <c r="H1515" t="s">
        <v>106</v>
      </c>
      <c r="I1515" t="s">
        <v>663</v>
      </c>
      <c r="J1515" t="s">
        <v>27</v>
      </c>
      <c r="K1515">
        <v>27</v>
      </c>
      <c r="L1515">
        <v>3</v>
      </c>
      <c r="M1515">
        <v>101</v>
      </c>
    </row>
    <row r="1516" spans="1:13">
      <c r="A1516">
        <v>1515</v>
      </c>
      <c r="B1516" s="1">
        <v>46116</v>
      </c>
      <c r="C1516" t="s">
        <v>14</v>
      </c>
      <c r="D1516">
        <v>4</v>
      </c>
      <c r="E1516">
        <v>4</v>
      </c>
      <c r="F1516">
        <v>2</v>
      </c>
      <c r="G1516">
        <v>2026</v>
      </c>
      <c r="H1516" t="s">
        <v>106</v>
      </c>
      <c r="I1516" t="s">
        <v>147</v>
      </c>
      <c r="J1516" t="s">
        <v>27</v>
      </c>
      <c r="K1516">
        <v>43</v>
      </c>
      <c r="L1516">
        <v>6</v>
      </c>
      <c r="M1516">
        <v>294</v>
      </c>
    </row>
    <row r="1517" spans="1:13">
      <c r="A1517">
        <v>1516</v>
      </c>
      <c r="B1517" s="1">
        <v>45923</v>
      </c>
      <c r="C1517" t="s">
        <v>48</v>
      </c>
      <c r="D1517">
        <v>23</v>
      </c>
      <c r="E1517">
        <v>9</v>
      </c>
      <c r="F1517">
        <v>3</v>
      </c>
      <c r="G1517">
        <v>2025</v>
      </c>
      <c r="H1517" t="s">
        <v>373</v>
      </c>
      <c r="I1517" t="s">
        <v>566</v>
      </c>
      <c r="J1517" t="s">
        <v>69</v>
      </c>
      <c r="K1517">
        <v>36</v>
      </c>
      <c r="L1517">
        <v>9</v>
      </c>
      <c r="M1517">
        <v>349</v>
      </c>
    </row>
    <row r="1518" spans="1:13">
      <c r="A1518">
        <v>1517</v>
      </c>
      <c r="B1518" s="1">
        <v>45923</v>
      </c>
      <c r="C1518" t="s">
        <v>48</v>
      </c>
      <c r="D1518">
        <v>23</v>
      </c>
      <c r="E1518">
        <v>9</v>
      </c>
      <c r="F1518">
        <v>3</v>
      </c>
      <c r="G1518">
        <v>2025</v>
      </c>
      <c r="H1518" t="s">
        <v>373</v>
      </c>
      <c r="I1518" t="s">
        <v>559</v>
      </c>
      <c r="J1518" t="s">
        <v>97</v>
      </c>
      <c r="K1518">
        <v>59</v>
      </c>
      <c r="L1518">
        <v>2</v>
      </c>
      <c r="M1518">
        <v>132</v>
      </c>
    </row>
    <row r="1519" spans="1:13">
      <c r="A1519">
        <v>1518</v>
      </c>
      <c r="B1519" s="1">
        <v>45923</v>
      </c>
      <c r="C1519" t="s">
        <v>48</v>
      </c>
      <c r="D1519">
        <v>23</v>
      </c>
      <c r="E1519">
        <v>9</v>
      </c>
      <c r="F1519">
        <v>3</v>
      </c>
      <c r="G1519">
        <v>2025</v>
      </c>
      <c r="H1519" t="s">
        <v>373</v>
      </c>
      <c r="I1519" t="s">
        <v>195</v>
      </c>
      <c r="J1519" t="s">
        <v>31</v>
      </c>
      <c r="K1519">
        <v>24</v>
      </c>
      <c r="L1519">
        <v>11</v>
      </c>
      <c r="M1519">
        <v>275</v>
      </c>
    </row>
    <row r="1520" spans="1:13">
      <c r="A1520">
        <v>1519</v>
      </c>
      <c r="B1520" s="1">
        <v>45923</v>
      </c>
      <c r="C1520" t="s">
        <v>48</v>
      </c>
      <c r="D1520">
        <v>23</v>
      </c>
      <c r="E1520">
        <v>9</v>
      </c>
      <c r="F1520">
        <v>3</v>
      </c>
      <c r="G1520">
        <v>2025</v>
      </c>
      <c r="H1520" t="s">
        <v>373</v>
      </c>
      <c r="I1520" t="s">
        <v>372</v>
      </c>
      <c r="J1520" t="s">
        <v>23</v>
      </c>
      <c r="K1520">
        <v>49</v>
      </c>
      <c r="L1520">
        <v>3</v>
      </c>
      <c r="M1520">
        <v>176</v>
      </c>
    </row>
    <row r="1521" spans="1:13">
      <c r="A1521">
        <v>1520</v>
      </c>
      <c r="B1521" s="1">
        <v>45923</v>
      </c>
      <c r="C1521" t="s">
        <v>48</v>
      </c>
      <c r="D1521">
        <v>23</v>
      </c>
      <c r="E1521">
        <v>9</v>
      </c>
      <c r="F1521">
        <v>3</v>
      </c>
      <c r="G1521">
        <v>2025</v>
      </c>
      <c r="H1521" t="s">
        <v>373</v>
      </c>
      <c r="I1521" t="s">
        <v>710</v>
      </c>
      <c r="J1521" t="s">
        <v>69</v>
      </c>
      <c r="K1521">
        <v>49</v>
      </c>
      <c r="L1521">
        <v>7</v>
      </c>
      <c r="M1521">
        <v>384</v>
      </c>
    </row>
    <row r="1522" spans="1:13">
      <c r="A1522">
        <v>1521</v>
      </c>
      <c r="B1522" s="1">
        <v>45918</v>
      </c>
      <c r="C1522" t="s">
        <v>105</v>
      </c>
      <c r="D1522">
        <v>18</v>
      </c>
      <c r="E1522">
        <v>9</v>
      </c>
      <c r="F1522">
        <v>3</v>
      </c>
      <c r="G1522">
        <v>2025</v>
      </c>
      <c r="H1522" t="s">
        <v>691</v>
      </c>
      <c r="I1522" t="s">
        <v>271</v>
      </c>
      <c r="J1522" t="s">
        <v>25</v>
      </c>
      <c r="K1522">
        <v>47</v>
      </c>
      <c r="L1522">
        <v>5</v>
      </c>
      <c r="M1522">
        <v>278</v>
      </c>
    </row>
    <row r="1523" spans="1:13">
      <c r="A1523">
        <v>1522</v>
      </c>
      <c r="B1523" s="1">
        <v>45918</v>
      </c>
      <c r="C1523" t="s">
        <v>105</v>
      </c>
      <c r="D1523">
        <v>18</v>
      </c>
      <c r="E1523">
        <v>9</v>
      </c>
      <c r="F1523">
        <v>3</v>
      </c>
      <c r="G1523">
        <v>2025</v>
      </c>
      <c r="H1523" t="s">
        <v>691</v>
      </c>
      <c r="I1523" t="s">
        <v>89</v>
      </c>
      <c r="J1523" t="s">
        <v>69</v>
      </c>
      <c r="K1523">
        <v>42</v>
      </c>
      <c r="L1523">
        <v>9</v>
      </c>
      <c r="M1523">
        <v>401</v>
      </c>
    </row>
    <row r="1524" spans="1:13">
      <c r="A1524">
        <v>1523</v>
      </c>
      <c r="B1524" s="1">
        <v>45918</v>
      </c>
      <c r="C1524" t="s">
        <v>105</v>
      </c>
      <c r="D1524">
        <v>18</v>
      </c>
      <c r="E1524">
        <v>9</v>
      </c>
      <c r="F1524">
        <v>3</v>
      </c>
      <c r="G1524">
        <v>2025</v>
      </c>
      <c r="H1524" t="s">
        <v>691</v>
      </c>
      <c r="I1524" t="s">
        <v>508</v>
      </c>
      <c r="J1524" t="s">
        <v>43</v>
      </c>
      <c r="K1524">
        <v>34</v>
      </c>
      <c r="L1524">
        <v>3</v>
      </c>
      <c r="M1524">
        <v>110</v>
      </c>
    </row>
    <row r="1525" spans="1:13">
      <c r="A1525">
        <v>1524</v>
      </c>
      <c r="B1525" s="1">
        <v>45918</v>
      </c>
      <c r="C1525" t="s">
        <v>105</v>
      </c>
      <c r="D1525">
        <v>18</v>
      </c>
      <c r="E1525">
        <v>9</v>
      </c>
      <c r="F1525">
        <v>3</v>
      </c>
      <c r="G1525">
        <v>2025</v>
      </c>
      <c r="H1525" t="s">
        <v>691</v>
      </c>
      <c r="I1525" t="s">
        <v>164</v>
      </c>
      <c r="J1525" t="s">
        <v>46</v>
      </c>
      <c r="K1525">
        <v>21</v>
      </c>
      <c r="L1525">
        <v>13</v>
      </c>
      <c r="M1525">
        <v>275</v>
      </c>
    </row>
    <row r="1526" spans="1:13">
      <c r="A1526">
        <v>1525</v>
      </c>
      <c r="B1526" s="1">
        <v>45918</v>
      </c>
      <c r="C1526" t="s">
        <v>105</v>
      </c>
      <c r="D1526">
        <v>18</v>
      </c>
      <c r="E1526">
        <v>9</v>
      </c>
      <c r="F1526">
        <v>3</v>
      </c>
      <c r="G1526">
        <v>2025</v>
      </c>
      <c r="H1526" t="s">
        <v>691</v>
      </c>
      <c r="I1526" t="s">
        <v>711</v>
      </c>
      <c r="J1526" t="s">
        <v>122</v>
      </c>
      <c r="K1526">
        <v>33</v>
      </c>
      <c r="L1526">
        <v>8</v>
      </c>
      <c r="M1526">
        <v>284</v>
      </c>
    </row>
    <row r="1527" spans="1:13">
      <c r="A1527">
        <v>1526</v>
      </c>
      <c r="B1527" s="1">
        <v>45918</v>
      </c>
      <c r="C1527" t="s">
        <v>105</v>
      </c>
      <c r="D1527">
        <v>18</v>
      </c>
      <c r="E1527">
        <v>9</v>
      </c>
      <c r="F1527">
        <v>3</v>
      </c>
      <c r="G1527">
        <v>2025</v>
      </c>
      <c r="H1527" t="s">
        <v>691</v>
      </c>
      <c r="I1527" t="s">
        <v>516</v>
      </c>
      <c r="J1527" t="s">
        <v>31</v>
      </c>
      <c r="K1527">
        <v>13</v>
      </c>
      <c r="L1527">
        <v>13</v>
      </c>
      <c r="M1527">
        <v>169</v>
      </c>
    </row>
    <row r="1528" spans="1:13">
      <c r="A1528">
        <v>1527</v>
      </c>
      <c r="B1528" s="1">
        <v>45918</v>
      </c>
      <c r="C1528" t="s">
        <v>105</v>
      </c>
      <c r="D1528">
        <v>18</v>
      </c>
      <c r="E1528">
        <v>9</v>
      </c>
      <c r="F1528">
        <v>3</v>
      </c>
      <c r="G1528">
        <v>2025</v>
      </c>
      <c r="H1528" t="s">
        <v>691</v>
      </c>
      <c r="I1528" t="s">
        <v>329</v>
      </c>
      <c r="J1528" t="s">
        <v>82</v>
      </c>
      <c r="K1528">
        <v>47</v>
      </c>
      <c r="L1528">
        <v>2</v>
      </c>
      <c r="M1528">
        <v>106</v>
      </c>
    </row>
    <row r="1529" spans="1:13">
      <c r="A1529">
        <v>1528</v>
      </c>
      <c r="B1529" s="1">
        <v>45918</v>
      </c>
      <c r="C1529" t="s">
        <v>105</v>
      </c>
      <c r="D1529">
        <v>18</v>
      </c>
      <c r="E1529">
        <v>9</v>
      </c>
      <c r="F1529">
        <v>3</v>
      </c>
      <c r="G1529">
        <v>2025</v>
      </c>
      <c r="H1529" t="s">
        <v>691</v>
      </c>
      <c r="I1529" t="s">
        <v>461</v>
      </c>
      <c r="J1529" t="s">
        <v>60</v>
      </c>
      <c r="K1529">
        <v>17</v>
      </c>
      <c r="L1529">
        <v>22</v>
      </c>
      <c r="M1529">
        <v>390</v>
      </c>
    </row>
    <row r="1530" spans="1:13">
      <c r="A1530">
        <v>1529</v>
      </c>
      <c r="B1530" s="1">
        <v>45918</v>
      </c>
      <c r="C1530" t="s">
        <v>105</v>
      </c>
      <c r="D1530">
        <v>18</v>
      </c>
      <c r="E1530">
        <v>9</v>
      </c>
      <c r="F1530">
        <v>3</v>
      </c>
      <c r="G1530">
        <v>2025</v>
      </c>
      <c r="H1530" t="s">
        <v>691</v>
      </c>
      <c r="I1530" t="s">
        <v>496</v>
      </c>
      <c r="J1530" t="s">
        <v>17</v>
      </c>
      <c r="K1530">
        <v>15</v>
      </c>
      <c r="L1530">
        <v>17</v>
      </c>
      <c r="M1530">
        <v>255</v>
      </c>
    </row>
    <row r="1531" spans="1:13">
      <c r="A1531">
        <v>1530</v>
      </c>
      <c r="B1531" s="1">
        <v>45918</v>
      </c>
      <c r="C1531" t="s">
        <v>105</v>
      </c>
      <c r="D1531">
        <v>18</v>
      </c>
      <c r="E1531">
        <v>9</v>
      </c>
      <c r="F1531">
        <v>3</v>
      </c>
      <c r="G1531">
        <v>2025</v>
      </c>
      <c r="H1531" t="s">
        <v>691</v>
      </c>
      <c r="I1531" t="s">
        <v>303</v>
      </c>
      <c r="J1531" t="s">
        <v>19</v>
      </c>
      <c r="K1531">
        <v>39</v>
      </c>
      <c r="L1531">
        <v>9</v>
      </c>
      <c r="M1531">
        <v>355</v>
      </c>
    </row>
    <row r="1532" spans="1:13">
      <c r="A1532">
        <v>1531</v>
      </c>
      <c r="B1532" s="1">
        <v>45918</v>
      </c>
      <c r="C1532" t="s">
        <v>105</v>
      </c>
      <c r="D1532">
        <v>18</v>
      </c>
      <c r="E1532">
        <v>9</v>
      </c>
      <c r="F1532">
        <v>3</v>
      </c>
      <c r="G1532">
        <v>2025</v>
      </c>
      <c r="H1532" t="s">
        <v>691</v>
      </c>
      <c r="I1532" t="s">
        <v>381</v>
      </c>
      <c r="J1532" t="s">
        <v>27</v>
      </c>
      <c r="K1532">
        <v>56</v>
      </c>
      <c r="L1532">
        <v>3</v>
      </c>
      <c r="M1532">
        <v>213</v>
      </c>
    </row>
    <row r="1533" spans="1:13">
      <c r="A1533">
        <v>1532</v>
      </c>
      <c r="B1533" s="1">
        <v>46254</v>
      </c>
      <c r="C1533" t="s">
        <v>105</v>
      </c>
      <c r="D1533">
        <v>20</v>
      </c>
      <c r="E1533">
        <v>8</v>
      </c>
      <c r="F1533">
        <v>3</v>
      </c>
      <c r="G1533">
        <v>2026</v>
      </c>
      <c r="H1533" t="s">
        <v>414</v>
      </c>
      <c r="I1533" t="s">
        <v>323</v>
      </c>
      <c r="J1533" t="s">
        <v>100</v>
      </c>
      <c r="K1533">
        <v>29</v>
      </c>
      <c r="L1533">
        <v>15</v>
      </c>
      <c r="M1533">
        <v>445</v>
      </c>
    </row>
    <row r="1534" spans="1:13">
      <c r="A1534">
        <v>1533</v>
      </c>
      <c r="B1534" s="1">
        <v>46254</v>
      </c>
      <c r="C1534" t="s">
        <v>105</v>
      </c>
      <c r="D1534">
        <v>20</v>
      </c>
      <c r="E1534">
        <v>8</v>
      </c>
      <c r="F1534">
        <v>3</v>
      </c>
      <c r="G1534">
        <v>2026</v>
      </c>
      <c r="H1534" t="s">
        <v>414</v>
      </c>
      <c r="I1534" t="s">
        <v>518</v>
      </c>
      <c r="J1534" t="s">
        <v>17</v>
      </c>
      <c r="K1534">
        <v>55</v>
      </c>
      <c r="L1534">
        <v>2</v>
      </c>
      <c r="M1534">
        <v>156</v>
      </c>
    </row>
    <row r="1535" spans="1:13">
      <c r="A1535">
        <v>1534</v>
      </c>
      <c r="B1535" s="1">
        <v>46254</v>
      </c>
      <c r="C1535" t="s">
        <v>105</v>
      </c>
      <c r="D1535">
        <v>20</v>
      </c>
      <c r="E1535">
        <v>8</v>
      </c>
      <c r="F1535">
        <v>3</v>
      </c>
      <c r="G1535">
        <v>2026</v>
      </c>
      <c r="H1535" t="s">
        <v>414</v>
      </c>
      <c r="I1535" t="s">
        <v>683</v>
      </c>
      <c r="J1535" t="s">
        <v>55</v>
      </c>
      <c r="K1535">
        <v>17</v>
      </c>
      <c r="L1535">
        <v>13</v>
      </c>
      <c r="M1535">
        <v>227</v>
      </c>
    </row>
    <row r="1536" spans="1:13">
      <c r="A1536">
        <v>1535</v>
      </c>
      <c r="B1536" s="1">
        <v>46254</v>
      </c>
      <c r="C1536" t="s">
        <v>105</v>
      </c>
      <c r="D1536">
        <v>20</v>
      </c>
      <c r="E1536">
        <v>8</v>
      </c>
      <c r="F1536">
        <v>3</v>
      </c>
      <c r="G1536">
        <v>2026</v>
      </c>
      <c r="H1536" t="s">
        <v>414</v>
      </c>
      <c r="I1536" t="s">
        <v>712</v>
      </c>
      <c r="J1536" t="s">
        <v>60</v>
      </c>
      <c r="K1536">
        <v>52</v>
      </c>
      <c r="L1536">
        <v>5</v>
      </c>
      <c r="M1536">
        <v>306</v>
      </c>
    </row>
    <row r="1537" spans="1:13">
      <c r="A1537">
        <v>1536</v>
      </c>
      <c r="B1537" s="1">
        <v>46254</v>
      </c>
      <c r="C1537" t="s">
        <v>105</v>
      </c>
      <c r="D1537">
        <v>20</v>
      </c>
      <c r="E1537">
        <v>8</v>
      </c>
      <c r="F1537">
        <v>3</v>
      </c>
      <c r="G1537">
        <v>2026</v>
      </c>
      <c r="H1537" t="s">
        <v>414</v>
      </c>
      <c r="I1537" t="s">
        <v>200</v>
      </c>
      <c r="J1537" t="s">
        <v>17</v>
      </c>
      <c r="K1537">
        <v>14</v>
      </c>
      <c r="L1537">
        <v>13</v>
      </c>
      <c r="M1537">
        <v>194</v>
      </c>
    </row>
    <row r="1538" spans="1:13">
      <c r="A1538">
        <v>1537</v>
      </c>
      <c r="B1538" s="1">
        <v>46254</v>
      </c>
      <c r="C1538" t="s">
        <v>105</v>
      </c>
      <c r="D1538">
        <v>20</v>
      </c>
      <c r="E1538">
        <v>8</v>
      </c>
      <c r="F1538">
        <v>3</v>
      </c>
      <c r="G1538">
        <v>2026</v>
      </c>
      <c r="H1538" t="s">
        <v>414</v>
      </c>
      <c r="I1538" t="s">
        <v>343</v>
      </c>
      <c r="J1538" t="s">
        <v>46</v>
      </c>
      <c r="K1538">
        <v>39</v>
      </c>
      <c r="L1538">
        <v>8</v>
      </c>
      <c r="M1538">
        <v>333</v>
      </c>
    </row>
    <row r="1539" spans="1:13">
      <c r="A1539">
        <v>1538</v>
      </c>
      <c r="B1539" s="1">
        <v>46040</v>
      </c>
      <c r="C1539" t="s">
        <v>28</v>
      </c>
      <c r="D1539">
        <v>18</v>
      </c>
      <c r="E1539">
        <v>1</v>
      </c>
      <c r="F1539">
        <v>1</v>
      </c>
      <c r="G1539">
        <v>2026</v>
      </c>
      <c r="H1539" t="s">
        <v>713</v>
      </c>
      <c r="I1539" t="s">
        <v>678</v>
      </c>
      <c r="J1539" t="s">
        <v>100</v>
      </c>
      <c r="K1539">
        <v>40</v>
      </c>
      <c r="L1539">
        <v>6</v>
      </c>
      <c r="M1539">
        <v>268</v>
      </c>
    </row>
    <row r="1540" spans="1:13">
      <c r="A1540">
        <v>1539</v>
      </c>
      <c r="B1540" s="1">
        <v>46040</v>
      </c>
      <c r="C1540" t="s">
        <v>28</v>
      </c>
      <c r="D1540">
        <v>18</v>
      </c>
      <c r="E1540">
        <v>1</v>
      </c>
      <c r="F1540">
        <v>1</v>
      </c>
      <c r="G1540">
        <v>2026</v>
      </c>
      <c r="H1540" t="s">
        <v>713</v>
      </c>
      <c r="I1540" t="s">
        <v>596</v>
      </c>
      <c r="J1540" t="s">
        <v>39</v>
      </c>
      <c r="K1540">
        <v>31</v>
      </c>
      <c r="L1540">
        <v>8</v>
      </c>
      <c r="M1540">
        <v>254</v>
      </c>
    </row>
    <row r="1541" spans="1:13">
      <c r="A1541">
        <v>1540</v>
      </c>
      <c r="B1541" s="1">
        <v>46040</v>
      </c>
      <c r="C1541" t="s">
        <v>28</v>
      </c>
      <c r="D1541">
        <v>18</v>
      </c>
      <c r="E1541">
        <v>1</v>
      </c>
      <c r="F1541">
        <v>1</v>
      </c>
      <c r="G1541">
        <v>2026</v>
      </c>
      <c r="H1541" t="s">
        <v>713</v>
      </c>
      <c r="I1541" t="s">
        <v>175</v>
      </c>
      <c r="J1541" t="s">
        <v>21</v>
      </c>
      <c r="K1541">
        <v>30</v>
      </c>
      <c r="L1541">
        <v>10</v>
      </c>
      <c r="M1541">
        <v>306</v>
      </c>
    </row>
    <row r="1542" spans="1:13">
      <c r="A1542">
        <v>1541</v>
      </c>
      <c r="B1542" s="1">
        <v>46040</v>
      </c>
      <c r="C1542" t="s">
        <v>28</v>
      </c>
      <c r="D1542">
        <v>18</v>
      </c>
      <c r="E1542">
        <v>1</v>
      </c>
      <c r="F1542">
        <v>1</v>
      </c>
      <c r="G1542">
        <v>2026</v>
      </c>
      <c r="H1542" t="s">
        <v>713</v>
      </c>
      <c r="I1542" t="s">
        <v>157</v>
      </c>
      <c r="J1542" t="s">
        <v>19</v>
      </c>
      <c r="K1542">
        <v>60</v>
      </c>
      <c r="L1542">
        <v>7</v>
      </c>
      <c r="M1542">
        <v>437</v>
      </c>
    </row>
    <row r="1543" spans="1:13">
      <c r="A1543">
        <v>1542</v>
      </c>
      <c r="B1543" s="1">
        <v>46040</v>
      </c>
      <c r="C1543" t="s">
        <v>28</v>
      </c>
      <c r="D1543">
        <v>18</v>
      </c>
      <c r="E1543">
        <v>1</v>
      </c>
      <c r="F1543">
        <v>1</v>
      </c>
      <c r="G1543">
        <v>2026</v>
      </c>
      <c r="H1543" t="s">
        <v>713</v>
      </c>
      <c r="I1543" t="s">
        <v>267</v>
      </c>
      <c r="J1543" t="s">
        <v>25</v>
      </c>
      <c r="K1543">
        <v>51</v>
      </c>
      <c r="L1543">
        <v>6</v>
      </c>
      <c r="M1543">
        <v>328</v>
      </c>
    </row>
    <row r="1544" spans="1:13">
      <c r="A1544">
        <v>1543</v>
      </c>
      <c r="B1544" s="1">
        <v>46040</v>
      </c>
      <c r="C1544" t="s">
        <v>28</v>
      </c>
      <c r="D1544">
        <v>18</v>
      </c>
      <c r="E1544">
        <v>1</v>
      </c>
      <c r="F1544">
        <v>1</v>
      </c>
      <c r="G1544">
        <v>2026</v>
      </c>
      <c r="H1544" t="s">
        <v>713</v>
      </c>
      <c r="I1544" t="s">
        <v>462</v>
      </c>
      <c r="J1544" t="s">
        <v>100</v>
      </c>
      <c r="K1544">
        <v>13</v>
      </c>
      <c r="L1544">
        <v>15</v>
      </c>
      <c r="M1544">
        <v>204</v>
      </c>
    </row>
    <row r="1545" spans="1:13">
      <c r="A1545">
        <v>1544</v>
      </c>
      <c r="B1545" s="1">
        <v>46040</v>
      </c>
      <c r="C1545" t="s">
        <v>28</v>
      </c>
      <c r="D1545">
        <v>18</v>
      </c>
      <c r="E1545">
        <v>1</v>
      </c>
      <c r="F1545">
        <v>1</v>
      </c>
      <c r="G1545">
        <v>2026</v>
      </c>
      <c r="H1545" t="s">
        <v>713</v>
      </c>
      <c r="I1545" t="s">
        <v>527</v>
      </c>
      <c r="J1545" t="s">
        <v>27</v>
      </c>
      <c r="K1545">
        <v>40</v>
      </c>
      <c r="L1545">
        <v>6</v>
      </c>
      <c r="M1545">
        <v>277</v>
      </c>
    </row>
    <row r="1546" spans="1:13">
      <c r="A1546">
        <v>1545</v>
      </c>
      <c r="B1546" s="1">
        <v>46040</v>
      </c>
      <c r="C1546" t="s">
        <v>28</v>
      </c>
      <c r="D1546">
        <v>18</v>
      </c>
      <c r="E1546">
        <v>1</v>
      </c>
      <c r="F1546">
        <v>1</v>
      </c>
      <c r="G1546">
        <v>2026</v>
      </c>
      <c r="H1546" t="s">
        <v>713</v>
      </c>
      <c r="I1546" t="s">
        <v>539</v>
      </c>
      <c r="J1546" t="s">
        <v>69</v>
      </c>
      <c r="K1546">
        <v>14</v>
      </c>
      <c r="L1546">
        <v>15</v>
      </c>
      <c r="M1546">
        <v>211</v>
      </c>
    </row>
    <row r="1547" spans="1:13">
      <c r="A1547">
        <v>1546</v>
      </c>
      <c r="B1547" s="1">
        <v>46040</v>
      </c>
      <c r="C1547" t="s">
        <v>28</v>
      </c>
      <c r="D1547">
        <v>18</v>
      </c>
      <c r="E1547">
        <v>1</v>
      </c>
      <c r="F1547">
        <v>1</v>
      </c>
      <c r="G1547">
        <v>2026</v>
      </c>
      <c r="H1547" t="s">
        <v>713</v>
      </c>
      <c r="I1547" t="s">
        <v>71</v>
      </c>
      <c r="J1547" t="s">
        <v>23</v>
      </c>
      <c r="K1547">
        <v>44</v>
      </c>
      <c r="L1547">
        <v>4</v>
      </c>
      <c r="M1547">
        <v>201</v>
      </c>
    </row>
    <row r="1548" spans="1:13">
      <c r="A1548">
        <v>1547</v>
      </c>
      <c r="B1548" s="1">
        <v>45754</v>
      </c>
      <c r="C1548" t="s">
        <v>93</v>
      </c>
      <c r="D1548">
        <v>7</v>
      </c>
      <c r="E1548">
        <v>4</v>
      </c>
      <c r="F1548">
        <v>2</v>
      </c>
      <c r="G1548">
        <v>2025</v>
      </c>
      <c r="H1548" t="s">
        <v>714</v>
      </c>
      <c r="I1548" t="s">
        <v>715</v>
      </c>
      <c r="J1548" t="s">
        <v>55</v>
      </c>
      <c r="K1548">
        <v>31</v>
      </c>
      <c r="L1548">
        <v>7</v>
      </c>
      <c r="M1548">
        <v>246</v>
      </c>
    </row>
    <row r="1549" spans="1:13">
      <c r="A1549">
        <v>1548</v>
      </c>
      <c r="B1549" s="1">
        <v>45754</v>
      </c>
      <c r="C1549" t="s">
        <v>93</v>
      </c>
      <c r="D1549">
        <v>7</v>
      </c>
      <c r="E1549">
        <v>4</v>
      </c>
      <c r="F1549">
        <v>2</v>
      </c>
      <c r="G1549">
        <v>2025</v>
      </c>
      <c r="H1549" t="s">
        <v>714</v>
      </c>
      <c r="I1549" t="s">
        <v>538</v>
      </c>
      <c r="J1549" t="s">
        <v>43</v>
      </c>
      <c r="K1549">
        <v>43</v>
      </c>
      <c r="L1549">
        <v>8</v>
      </c>
      <c r="M1549">
        <v>370</v>
      </c>
    </row>
    <row r="1550" spans="1:13">
      <c r="A1550">
        <v>1549</v>
      </c>
      <c r="B1550" s="1">
        <v>45754</v>
      </c>
      <c r="C1550" t="s">
        <v>93</v>
      </c>
      <c r="D1550">
        <v>7</v>
      </c>
      <c r="E1550">
        <v>4</v>
      </c>
      <c r="F1550">
        <v>2</v>
      </c>
      <c r="G1550">
        <v>2025</v>
      </c>
      <c r="H1550" t="s">
        <v>714</v>
      </c>
      <c r="I1550" t="s">
        <v>716</v>
      </c>
      <c r="J1550" t="s">
        <v>19</v>
      </c>
      <c r="K1550">
        <v>15</v>
      </c>
      <c r="L1550">
        <v>20</v>
      </c>
      <c r="M1550">
        <v>302</v>
      </c>
    </row>
    <row r="1551" spans="1:13">
      <c r="A1551">
        <v>1550</v>
      </c>
      <c r="B1551" s="1">
        <v>45754</v>
      </c>
      <c r="C1551" t="s">
        <v>93</v>
      </c>
      <c r="D1551">
        <v>7</v>
      </c>
      <c r="E1551">
        <v>4</v>
      </c>
      <c r="F1551">
        <v>2</v>
      </c>
      <c r="G1551">
        <v>2025</v>
      </c>
      <c r="H1551" t="s">
        <v>714</v>
      </c>
      <c r="I1551" t="s">
        <v>75</v>
      </c>
      <c r="J1551" t="s">
        <v>27</v>
      </c>
      <c r="K1551">
        <v>33</v>
      </c>
      <c r="L1551">
        <v>5</v>
      </c>
      <c r="M1551">
        <v>166</v>
      </c>
    </row>
    <row r="1552" spans="1:13">
      <c r="A1552">
        <v>1551</v>
      </c>
      <c r="B1552" s="1">
        <v>45754</v>
      </c>
      <c r="C1552" t="s">
        <v>93</v>
      </c>
      <c r="D1552">
        <v>7</v>
      </c>
      <c r="E1552">
        <v>4</v>
      </c>
      <c r="F1552">
        <v>2</v>
      </c>
      <c r="G1552">
        <v>2025</v>
      </c>
      <c r="H1552" t="s">
        <v>714</v>
      </c>
      <c r="I1552" t="s">
        <v>717</v>
      </c>
      <c r="J1552" t="s">
        <v>17</v>
      </c>
      <c r="K1552">
        <v>31</v>
      </c>
      <c r="L1552">
        <v>3</v>
      </c>
      <c r="M1552">
        <v>117</v>
      </c>
    </row>
    <row r="1553" spans="1:13">
      <c r="A1553">
        <v>1552</v>
      </c>
      <c r="B1553" s="1">
        <v>45754</v>
      </c>
      <c r="C1553" t="s">
        <v>93</v>
      </c>
      <c r="D1553">
        <v>7</v>
      </c>
      <c r="E1553">
        <v>4</v>
      </c>
      <c r="F1553">
        <v>2</v>
      </c>
      <c r="G1553">
        <v>2025</v>
      </c>
      <c r="H1553" t="s">
        <v>714</v>
      </c>
      <c r="I1553" t="s">
        <v>374</v>
      </c>
      <c r="J1553" t="s">
        <v>19</v>
      </c>
      <c r="K1553">
        <v>29</v>
      </c>
      <c r="L1553">
        <v>12</v>
      </c>
      <c r="M1553">
        <v>357</v>
      </c>
    </row>
    <row r="1554" spans="1:13">
      <c r="A1554">
        <v>1553</v>
      </c>
      <c r="B1554" s="1">
        <v>45754</v>
      </c>
      <c r="C1554" t="s">
        <v>93</v>
      </c>
      <c r="D1554">
        <v>7</v>
      </c>
      <c r="E1554">
        <v>4</v>
      </c>
      <c r="F1554">
        <v>2</v>
      </c>
      <c r="G1554">
        <v>2025</v>
      </c>
      <c r="H1554" t="s">
        <v>714</v>
      </c>
      <c r="I1554" t="s">
        <v>482</v>
      </c>
      <c r="J1554" t="s">
        <v>82</v>
      </c>
      <c r="K1554">
        <v>37</v>
      </c>
      <c r="L1554">
        <v>7</v>
      </c>
      <c r="M1554">
        <v>291</v>
      </c>
    </row>
    <row r="1555" spans="1:13">
      <c r="A1555">
        <v>1554</v>
      </c>
      <c r="B1555" s="1">
        <v>45754</v>
      </c>
      <c r="C1555" t="s">
        <v>93</v>
      </c>
      <c r="D1555">
        <v>7</v>
      </c>
      <c r="E1555">
        <v>4</v>
      </c>
      <c r="F1555">
        <v>2</v>
      </c>
      <c r="G1555">
        <v>2025</v>
      </c>
      <c r="H1555" t="s">
        <v>714</v>
      </c>
      <c r="I1555" t="s">
        <v>551</v>
      </c>
      <c r="J1555" t="s">
        <v>122</v>
      </c>
      <c r="K1555">
        <v>11</v>
      </c>
      <c r="L1555">
        <v>19</v>
      </c>
      <c r="M1555">
        <v>213</v>
      </c>
    </row>
    <row r="1556" spans="1:13">
      <c r="A1556">
        <v>1555</v>
      </c>
      <c r="B1556" s="1">
        <v>45754</v>
      </c>
      <c r="C1556" t="s">
        <v>93</v>
      </c>
      <c r="D1556">
        <v>7</v>
      </c>
      <c r="E1556">
        <v>4</v>
      </c>
      <c r="F1556">
        <v>2</v>
      </c>
      <c r="G1556">
        <v>2025</v>
      </c>
      <c r="H1556" t="s">
        <v>714</v>
      </c>
      <c r="I1556" t="s">
        <v>643</v>
      </c>
      <c r="J1556" t="s">
        <v>37</v>
      </c>
      <c r="K1556">
        <v>53</v>
      </c>
      <c r="L1556">
        <v>4</v>
      </c>
      <c r="M1556">
        <v>252</v>
      </c>
    </row>
    <row r="1557" spans="1:13">
      <c r="A1557">
        <v>1556</v>
      </c>
      <c r="B1557" s="1">
        <v>45754</v>
      </c>
      <c r="C1557" t="s">
        <v>93</v>
      </c>
      <c r="D1557">
        <v>7</v>
      </c>
      <c r="E1557">
        <v>4</v>
      </c>
      <c r="F1557">
        <v>2</v>
      </c>
      <c r="G1557">
        <v>2025</v>
      </c>
      <c r="H1557" t="s">
        <v>714</v>
      </c>
      <c r="I1557" t="s">
        <v>329</v>
      </c>
      <c r="J1557" t="s">
        <v>82</v>
      </c>
      <c r="K1557">
        <v>56</v>
      </c>
      <c r="L1557">
        <v>1</v>
      </c>
      <c r="M1557">
        <v>97</v>
      </c>
    </row>
    <row r="1558" spans="1:13">
      <c r="A1558">
        <v>1557</v>
      </c>
      <c r="B1558" s="1">
        <v>46060</v>
      </c>
      <c r="C1558" t="s">
        <v>14</v>
      </c>
      <c r="D1558">
        <v>7</v>
      </c>
      <c r="E1558">
        <v>2</v>
      </c>
      <c r="F1558">
        <v>1</v>
      </c>
      <c r="G1558">
        <v>2026</v>
      </c>
      <c r="H1558" t="s">
        <v>392</v>
      </c>
      <c r="I1558" t="s">
        <v>516</v>
      </c>
      <c r="J1558" t="s">
        <v>31</v>
      </c>
      <c r="K1558">
        <v>59</v>
      </c>
      <c r="L1558">
        <v>2</v>
      </c>
      <c r="M1558">
        <v>167</v>
      </c>
    </row>
    <row r="1559" spans="1:13">
      <c r="A1559">
        <v>1558</v>
      </c>
      <c r="B1559" s="1">
        <v>46060</v>
      </c>
      <c r="C1559" t="s">
        <v>14</v>
      </c>
      <c r="D1559">
        <v>7</v>
      </c>
      <c r="E1559">
        <v>2</v>
      </c>
      <c r="F1559">
        <v>1</v>
      </c>
      <c r="G1559">
        <v>2026</v>
      </c>
      <c r="H1559" t="s">
        <v>392</v>
      </c>
      <c r="I1559" t="s">
        <v>40</v>
      </c>
      <c r="J1559" t="s">
        <v>37</v>
      </c>
      <c r="K1559">
        <v>51</v>
      </c>
      <c r="L1559">
        <v>3</v>
      </c>
      <c r="M1559">
        <v>203</v>
      </c>
    </row>
    <row r="1560" spans="1:13">
      <c r="A1560">
        <v>1559</v>
      </c>
      <c r="B1560" s="1">
        <v>46060</v>
      </c>
      <c r="C1560" t="s">
        <v>14</v>
      </c>
      <c r="D1560">
        <v>7</v>
      </c>
      <c r="E1560">
        <v>2</v>
      </c>
      <c r="F1560">
        <v>1</v>
      </c>
      <c r="G1560">
        <v>2026</v>
      </c>
      <c r="H1560" t="s">
        <v>392</v>
      </c>
      <c r="I1560" t="s">
        <v>475</v>
      </c>
      <c r="J1560" t="s">
        <v>27</v>
      </c>
      <c r="K1560">
        <v>49</v>
      </c>
      <c r="L1560">
        <v>6</v>
      </c>
      <c r="M1560">
        <v>328</v>
      </c>
    </row>
    <row r="1561" spans="1:13">
      <c r="A1561">
        <v>1560</v>
      </c>
      <c r="B1561" s="1">
        <v>46060</v>
      </c>
      <c r="C1561" t="s">
        <v>14</v>
      </c>
      <c r="D1561">
        <v>7</v>
      </c>
      <c r="E1561">
        <v>2</v>
      </c>
      <c r="F1561">
        <v>1</v>
      </c>
      <c r="G1561">
        <v>2026</v>
      </c>
      <c r="H1561" t="s">
        <v>392</v>
      </c>
      <c r="I1561" t="s">
        <v>336</v>
      </c>
      <c r="J1561" t="s">
        <v>82</v>
      </c>
      <c r="K1561">
        <v>50</v>
      </c>
      <c r="L1561">
        <v>5</v>
      </c>
      <c r="M1561">
        <v>295</v>
      </c>
    </row>
    <row r="1562" spans="1:13">
      <c r="A1562">
        <v>1561</v>
      </c>
      <c r="B1562" s="1">
        <v>46060</v>
      </c>
      <c r="C1562" t="s">
        <v>14</v>
      </c>
      <c r="D1562">
        <v>7</v>
      </c>
      <c r="E1562">
        <v>2</v>
      </c>
      <c r="F1562">
        <v>1</v>
      </c>
      <c r="G1562">
        <v>2026</v>
      </c>
      <c r="H1562" t="s">
        <v>392</v>
      </c>
      <c r="I1562" t="s">
        <v>102</v>
      </c>
      <c r="J1562" t="s">
        <v>51</v>
      </c>
      <c r="K1562">
        <v>11</v>
      </c>
      <c r="L1562">
        <v>18</v>
      </c>
      <c r="M1562">
        <v>199</v>
      </c>
    </row>
    <row r="1563" spans="1:13">
      <c r="A1563">
        <v>1562</v>
      </c>
      <c r="B1563" s="1">
        <v>46060</v>
      </c>
      <c r="C1563" t="s">
        <v>14</v>
      </c>
      <c r="D1563">
        <v>7</v>
      </c>
      <c r="E1563">
        <v>2</v>
      </c>
      <c r="F1563">
        <v>1</v>
      </c>
      <c r="G1563">
        <v>2026</v>
      </c>
      <c r="H1563" t="s">
        <v>392</v>
      </c>
      <c r="I1563" t="s">
        <v>492</v>
      </c>
      <c r="J1563" t="s">
        <v>21</v>
      </c>
      <c r="K1563">
        <v>22</v>
      </c>
      <c r="L1563">
        <v>9</v>
      </c>
      <c r="M1563">
        <v>207</v>
      </c>
    </row>
    <row r="1564" spans="1:13">
      <c r="A1564">
        <v>1563</v>
      </c>
      <c r="B1564" s="1">
        <v>46108</v>
      </c>
      <c r="C1564" t="s">
        <v>79</v>
      </c>
      <c r="D1564">
        <v>27</v>
      </c>
      <c r="E1564">
        <v>3</v>
      </c>
      <c r="F1564">
        <v>1</v>
      </c>
      <c r="G1564">
        <v>2026</v>
      </c>
      <c r="H1564" t="s">
        <v>125</v>
      </c>
      <c r="I1564" t="s">
        <v>425</v>
      </c>
      <c r="J1564" t="s">
        <v>51</v>
      </c>
      <c r="K1564">
        <v>36</v>
      </c>
      <c r="L1564">
        <v>8</v>
      </c>
      <c r="M1564">
        <v>313</v>
      </c>
    </row>
    <row r="1565" spans="1:13">
      <c r="A1565">
        <v>1564</v>
      </c>
      <c r="B1565" s="1">
        <v>46108</v>
      </c>
      <c r="C1565" t="s">
        <v>79</v>
      </c>
      <c r="D1565">
        <v>27</v>
      </c>
      <c r="E1565">
        <v>3</v>
      </c>
      <c r="F1565">
        <v>1</v>
      </c>
      <c r="G1565">
        <v>2026</v>
      </c>
      <c r="H1565" t="s">
        <v>125</v>
      </c>
      <c r="I1565" t="s">
        <v>650</v>
      </c>
      <c r="J1565" t="s">
        <v>37</v>
      </c>
      <c r="K1565">
        <v>45</v>
      </c>
      <c r="L1565">
        <v>8</v>
      </c>
      <c r="M1565">
        <v>391</v>
      </c>
    </row>
    <row r="1566" spans="1:13">
      <c r="A1566">
        <v>1565</v>
      </c>
      <c r="B1566" s="1">
        <v>46108</v>
      </c>
      <c r="C1566" t="s">
        <v>79</v>
      </c>
      <c r="D1566">
        <v>27</v>
      </c>
      <c r="E1566">
        <v>3</v>
      </c>
      <c r="F1566">
        <v>1</v>
      </c>
      <c r="G1566">
        <v>2026</v>
      </c>
      <c r="H1566" t="s">
        <v>125</v>
      </c>
      <c r="I1566" t="s">
        <v>707</v>
      </c>
      <c r="J1566" t="s">
        <v>23</v>
      </c>
      <c r="K1566">
        <v>20</v>
      </c>
      <c r="L1566">
        <v>17</v>
      </c>
      <c r="M1566">
        <v>350</v>
      </c>
    </row>
    <row r="1567" spans="1:13">
      <c r="A1567">
        <v>1566</v>
      </c>
      <c r="B1567" s="1">
        <v>46108</v>
      </c>
      <c r="C1567" t="s">
        <v>79</v>
      </c>
      <c r="D1567">
        <v>27</v>
      </c>
      <c r="E1567">
        <v>3</v>
      </c>
      <c r="F1567">
        <v>1</v>
      </c>
      <c r="G1567">
        <v>2026</v>
      </c>
      <c r="H1567" t="s">
        <v>125</v>
      </c>
      <c r="I1567" t="s">
        <v>718</v>
      </c>
      <c r="J1567" t="s">
        <v>21</v>
      </c>
      <c r="K1567">
        <v>25</v>
      </c>
      <c r="L1567">
        <v>17</v>
      </c>
      <c r="M1567">
        <v>443</v>
      </c>
    </row>
    <row r="1568" spans="1:13">
      <c r="A1568">
        <v>1567</v>
      </c>
      <c r="B1568" s="1">
        <v>46108</v>
      </c>
      <c r="C1568" t="s">
        <v>79</v>
      </c>
      <c r="D1568">
        <v>27</v>
      </c>
      <c r="E1568">
        <v>3</v>
      </c>
      <c r="F1568">
        <v>1</v>
      </c>
      <c r="G1568">
        <v>2026</v>
      </c>
      <c r="H1568" t="s">
        <v>125</v>
      </c>
      <c r="I1568" t="s">
        <v>123</v>
      </c>
      <c r="J1568" t="s">
        <v>43</v>
      </c>
      <c r="K1568">
        <v>17</v>
      </c>
      <c r="L1568">
        <v>8</v>
      </c>
      <c r="M1568">
        <v>152</v>
      </c>
    </row>
    <row r="1569" spans="1:13">
      <c r="A1569">
        <v>1568</v>
      </c>
      <c r="B1569" s="1">
        <v>45567</v>
      </c>
      <c r="C1569" t="s">
        <v>34</v>
      </c>
      <c r="D1569">
        <v>2</v>
      </c>
      <c r="E1569">
        <v>10</v>
      </c>
      <c r="F1569">
        <v>4</v>
      </c>
      <c r="G1569">
        <v>2024</v>
      </c>
      <c r="H1569" t="s">
        <v>264</v>
      </c>
      <c r="I1569" t="s">
        <v>424</v>
      </c>
      <c r="J1569" t="s">
        <v>69</v>
      </c>
      <c r="K1569">
        <v>17</v>
      </c>
      <c r="L1569">
        <v>10</v>
      </c>
      <c r="M1569">
        <v>178</v>
      </c>
    </row>
    <row r="1570" spans="1:13">
      <c r="A1570">
        <v>1569</v>
      </c>
      <c r="B1570" s="1">
        <v>45567</v>
      </c>
      <c r="C1570" t="s">
        <v>34</v>
      </c>
      <c r="D1570">
        <v>2</v>
      </c>
      <c r="E1570">
        <v>10</v>
      </c>
      <c r="F1570">
        <v>4</v>
      </c>
      <c r="G1570">
        <v>2024</v>
      </c>
      <c r="H1570" t="s">
        <v>264</v>
      </c>
      <c r="I1570" t="s">
        <v>108</v>
      </c>
      <c r="J1570" t="s">
        <v>51</v>
      </c>
      <c r="K1570">
        <v>12</v>
      </c>
      <c r="L1570">
        <v>18</v>
      </c>
      <c r="M1570">
        <v>223</v>
      </c>
    </row>
    <row r="1571" spans="1:13">
      <c r="A1571">
        <v>1570</v>
      </c>
      <c r="B1571" s="1">
        <v>46135</v>
      </c>
      <c r="C1571" t="s">
        <v>105</v>
      </c>
      <c r="D1571">
        <v>23</v>
      </c>
      <c r="E1571">
        <v>4</v>
      </c>
      <c r="F1571">
        <v>2</v>
      </c>
      <c r="G1571">
        <v>2026</v>
      </c>
      <c r="H1571" t="s">
        <v>259</v>
      </c>
      <c r="I1571" t="s">
        <v>357</v>
      </c>
      <c r="J1571" t="s">
        <v>39</v>
      </c>
      <c r="K1571">
        <v>19</v>
      </c>
      <c r="L1571">
        <v>13</v>
      </c>
      <c r="M1571">
        <v>247</v>
      </c>
    </row>
    <row r="1572" spans="1:13">
      <c r="A1572">
        <v>1571</v>
      </c>
      <c r="B1572" s="1">
        <v>46135</v>
      </c>
      <c r="C1572" t="s">
        <v>105</v>
      </c>
      <c r="D1572">
        <v>23</v>
      </c>
      <c r="E1572">
        <v>4</v>
      </c>
      <c r="F1572">
        <v>2</v>
      </c>
      <c r="G1572">
        <v>2026</v>
      </c>
      <c r="H1572" t="s">
        <v>259</v>
      </c>
      <c r="I1572" t="s">
        <v>206</v>
      </c>
      <c r="J1572" t="s">
        <v>82</v>
      </c>
      <c r="K1572">
        <v>18</v>
      </c>
      <c r="L1572">
        <v>5</v>
      </c>
      <c r="M1572">
        <v>100</v>
      </c>
    </row>
    <row r="1573" spans="1:13">
      <c r="A1573">
        <v>1572</v>
      </c>
      <c r="B1573" s="1">
        <v>46135</v>
      </c>
      <c r="C1573" t="s">
        <v>105</v>
      </c>
      <c r="D1573">
        <v>23</v>
      </c>
      <c r="E1573">
        <v>4</v>
      </c>
      <c r="F1573">
        <v>2</v>
      </c>
      <c r="G1573">
        <v>2026</v>
      </c>
      <c r="H1573" t="s">
        <v>259</v>
      </c>
      <c r="I1573" t="s">
        <v>258</v>
      </c>
      <c r="J1573" t="s">
        <v>57</v>
      </c>
      <c r="K1573">
        <v>13</v>
      </c>
      <c r="L1573">
        <v>23</v>
      </c>
      <c r="M1573">
        <v>309</v>
      </c>
    </row>
    <row r="1574" spans="1:13">
      <c r="A1574">
        <v>1573</v>
      </c>
      <c r="B1574" s="1">
        <v>46135</v>
      </c>
      <c r="C1574" t="s">
        <v>105</v>
      </c>
      <c r="D1574">
        <v>23</v>
      </c>
      <c r="E1574">
        <v>4</v>
      </c>
      <c r="F1574">
        <v>2</v>
      </c>
      <c r="G1574">
        <v>2026</v>
      </c>
      <c r="H1574" t="s">
        <v>259</v>
      </c>
      <c r="I1574" t="s">
        <v>75</v>
      </c>
      <c r="J1574" t="s">
        <v>27</v>
      </c>
      <c r="K1574">
        <v>45</v>
      </c>
      <c r="L1574">
        <v>3</v>
      </c>
      <c r="M1574">
        <v>161</v>
      </c>
    </row>
    <row r="1575" spans="1:13">
      <c r="A1575">
        <v>1574</v>
      </c>
      <c r="B1575" s="1">
        <v>45909</v>
      </c>
      <c r="C1575" t="s">
        <v>48</v>
      </c>
      <c r="D1575">
        <v>9</v>
      </c>
      <c r="E1575">
        <v>9</v>
      </c>
      <c r="F1575">
        <v>3</v>
      </c>
      <c r="G1575">
        <v>2025</v>
      </c>
      <c r="H1575" t="s">
        <v>264</v>
      </c>
      <c r="I1575" t="s">
        <v>189</v>
      </c>
      <c r="J1575" t="s">
        <v>43</v>
      </c>
      <c r="K1575">
        <v>31</v>
      </c>
      <c r="L1575">
        <v>11</v>
      </c>
      <c r="M1575">
        <v>351</v>
      </c>
    </row>
    <row r="1576" spans="1:13">
      <c r="A1576">
        <v>1575</v>
      </c>
      <c r="B1576" s="1">
        <v>45909</v>
      </c>
      <c r="C1576" t="s">
        <v>48</v>
      </c>
      <c r="D1576">
        <v>9</v>
      </c>
      <c r="E1576">
        <v>9</v>
      </c>
      <c r="F1576">
        <v>3</v>
      </c>
      <c r="G1576">
        <v>2025</v>
      </c>
      <c r="H1576" t="s">
        <v>264</v>
      </c>
      <c r="I1576" t="s">
        <v>59</v>
      </c>
      <c r="J1576" t="s">
        <v>60</v>
      </c>
      <c r="K1576">
        <v>22</v>
      </c>
      <c r="L1576">
        <v>6</v>
      </c>
      <c r="M1576">
        <v>148</v>
      </c>
    </row>
    <row r="1577" spans="1:13">
      <c r="A1577">
        <v>1576</v>
      </c>
      <c r="B1577" s="1">
        <v>45909</v>
      </c>
      <c r="C1577" t="s">
        <v>48</v>
      </c>
      <c r="D1577">
        <v>9</v>
      </c>
      <c r="E1577">
        <v>9</v>
      </c>
      <c r="F1577">
        <v>3</v>
      </c>
      <c r="G1577">
        <v>2025</v>
      </c>
      <c r="H1577" t="s">
        <v>264</v>
      </c>
      <c r="I1577" t="s">
        <v>700</v>
      </c>
      <c r="J1577" t="s">
        <v>37</v>
      </c>
      <c r="K1577">
        <v>52</v>
      </c>
      <c r="L1577">
        <v>4</v>
      </c>
      <c r="M1577">
        <v>230</v>
      </c>
    </row>
    <row r="1578" spans="1:13">
      <c r="A1578">
        <v>1577</v>
      </c>
      <c r="B1578" s="1">
        <v>45909</v>
      </c>
      <c r="C1578" t="s">
        <v>48</v>
      </c>
      <c r="D1578">
        <v>9</v>
      </c>
      <c r="E1578">
        <v>9</v>
      </c>
      <c r="F1578">
        <v>3</v>
      </c>
      <c r="G1578">
        <v>2025</v>
      </c>
      <c r="H1578" t="s">
        <v>264</v>
      </c>
      <c r="I1578" t="s">
        <v>667</v>
      </c>
      <c r="J1578" t="s">
        <v>51</v>
      </c>
      <c r="K1578">
        <v>28</v>
      </c>
      <c r="L1578">
        <v>8</v>
      </c>
      <c r="M1578">
        <v>247</v>
      </c>
    </row>
    <row r="1579" spans="1:13">
      <c r="A1579">
        <v>1578</v>
      </c>
      <c r="B1579" s="1">
        <v>45909</v>
      </c>
      <c r="C1579" t="s">
        <v>48</v>
      </c>
      <c r="D1579">
        <v>9</v>
      </c>
      <c r="E1579">
        <v>9</v>
      </c>
      <c r="F1579">
        <v>3</v>
      </c>
      <c r="G1579">
        <v>2025</v>
      </c>
      <c r="H1579" t="s">
        <v>264</v>
      </c>
      <c r="I1579" t="s">
        <v>232</v>
      </c>
      <c r="J1579" t="s">
        <v>97</v>
      </c>
      <c r="K1579">
        <v>36</v>
      </c>
      <c r="L1579">
        <v>7</v>
      </c>
      <c r="M1579">
        <v>264</v>
      </c>
    </row>
    <row r="1580" spans="1:13">
      <c r="A1580">
        <v>1579</v>
      </c>
      <c r="B1580" s="1">
        <v>45909</v>
      </c>
      <c r="C1580" t="s">
        <v>48</v>
      </c>
      <c r="D1580">
        <v>9</v>
      </c>
      <c r="E1580">
        <v>9</v>
      </c>
      <c r="F1580">
        <v>3</v>
      </c>
      <c r="G1580">
        <v>2025</v>
      </c>
      <c r="H1580" t="s">
        <v>264</v>
      </c>
      <c r="I1580" t="s">
        <v>24</v>
      </c>
      <c r="J1580" t="s">
        <v>25</v>
      </c>
      <c r="K1580">
        <v>21</v>
      </c>
      <c r="L1580">
        <v>20</v>
      </c>
      <c r="M1580">
        <v>432</v>
      </c>
    </row>
    <row r="1581" spans="1:13">
      <c r="A1581">
        <v>1580</v>
      </c>
      <c r="B1581" s="1">
        <v>45909</v>
      </c>
      <c r="C1581" t="s">
        <v>48</v>
      </c>
      <c r="D1581">
        <v>9</v>
      </c>
      <c r="E1581">
        <v>9</v>
      </c>
      <c r="F1581">
        <v>3</v>
      </c>
      <c r="G1581">
        <v>2025</v>
      </c>
      <c r="H1581" t="s">
        <v>264</v>
      </c>
      <c r="I1581" t="s">
        <v>281</v>
      </c>
      <c r="J1581" t="s">
        <v>51</v>
      </c>
      <c r="K1581">
        <v>35</v>
      </c>
      <c r="L1581">
        <v>6</v>
      </c>
      <c r="M1581">
        <v>237</v>
      </c>
    </row>
    <row r="1582" spans="1:13">
      <c r="A1582">
        <v>1581</v>
      </c>
      <c r="B1582" s="1">
        <v>45909</v>
      </c>
      <c r="C1582" t="s">
        <v>48</v>
      </c>
      <c r="D1582">
        <v>9</v>
      </c>
      <c r="E1582">
        <v>9</v>
      </c>
      <c r="F1582">
        <v>3</v>
      </c>
      <c r="G1582">
        <v>2025</v>
      </c>
      <c r="H1582" t="s">
        <v>264</v>
      </c>
      <c r="I1582" t="s">
        <v>634</v>
      </c>
      <c r="J1582" t="s">
        <v>46</v>
      </c>
      <c r="K1582">
        <v>41</v>
      </c>
      <c r="L1582">
        <v>9</v>
      </c>
      <c r="M1582">
        <v>391</v>
      </c>
    </row>
    <row r="1583" spans="1:13">
      <c r="A1583">
        <v>1582</v>
      </c>
      <c r="B1583" s="1">
        <v>45909</v>
      </c>
      <c r="C1583" t="s">
        <v>48</v>
      </c>
      <c r="D1583">
        <v>9</v>
      </c>
      <c r="E1583">
        <v>9</v>
      </c>
      <c r="F1583">
        <v>3</v>
      </c>
      <c r="G1583">
        <v>2025</v>
      </c>
      <c r="H1583" t="s">
        <v>264</v>
      </c>
      <c r="I1583" t="s">
        <v>99</v>
      </c>
      <c r="J1583" t="s">
        <v>100</v>
      </c>
      <c r="K1583">
        <v>53</v>
      </c>
      <c r="L1583">
        <v>5</v>
      </c>
      <c r="M1583">
        <v>287</v>
      </c>
    </row>
    <row r="1584" spans="1:13">
      <c r="A1584">
        <v>1583</v>
      </c>
      <c r="B1584" s="1">
        <v>45909</v>
      </c>
      <c r="C1584" t="s">
        <v>48</v>
      </c>
      <c r="D1584">
        <v>9</v>
      </c>
      <c r="E1584">
        <v>9</v>
      </c>
      <c r="F1584">
        <v>3</v>
      </c>
      <c r="G1584">
        <v>2025</v>
      </c>
      <c r="H1584" t="s">
        <v>264</v>
      </c>
      <c r="I1584" t="s">
        <v>384</v>
      </c>
      <c r="J1584" t="s">
        <v>37</v>
      </c>
      <c r="K1584">
        <v>22</v>
      </c>
      <c r="L1584">
        <v>16</v>
      </c>
      <c r="M1584">
        <v>368</v>
      </c>
    </row>
    <row r="1585" spans="1:13">
      <c r="A1585">
        <v>1584</v>
      </c>
      <c r="B1585" s="1">
        <v>45909</v>
      </c>
      <c r="C1585" t="s">
        <v>48</v>
      </c>
      <c r="D1585">
        <v>9</v>
      </c>
      <c r="E1585">
        <v>9</v>
      </c>
      <c r="F1585">
        <v>3</v>
      </c>
      <c r="G1585">
        <v>2025</v>
      </c>
      <c r="H1585" t="s">
        <v>264</v>
      </c>
      <c r="I1585" t="s">
        <v>339</v>
      </c>
      <c r="J1585" t="s">
        <v>19</v>
      </c>
      <c r="K1585">
        <v>51</v>
      </c>
      <c r="L1585">
        <v>4</v>
      </c>
      <c r="M1585">
        <v>223</v>
      </c>
    </row>
    <row r="1586" spans="1:13">
      <c r="A1586">
        <v>1585</v>
      </c>
      <c r="B1586" s="1">
        <v>45998</v>
      </c>
      <c r="C1586" t="s">
        <v>28</v>
      </c>
      <c r="D1586">
        <v>7</v>
      </c>
      <c r="E1586">
        <v>12</v>
      </c>
      <c r="F1586">
        <v>4</v>
      </c>
      <c r="G1586">
        <v>2025</v>
      </c>
      <c r="H1586" t="s">
        <v>719</v>
      </c>
      <c r="I1586" t="s">
        <v>144</v>
      </c>
      <c r="J1586" t="s">
        <v>97</v>
      </c>
      <c r="K1586">
        <v>31</v>
      </c>
      <c r="L1586">
        <v>6</v>
      </c>
      <c r="M1586">
        <v>200</v>
      </c>
    </row>
    <row r="1587" spans="1:13">
      <c r="A1587">
        <v>1586</v>
      </c>
      <c r="B1587" s="1">
        <v>45998</v>
      </c>
      <c r="C1587" t="s">
        <v>28</v>
      </c>
      <c r="D1587">
        <v>7</v>
      </c>
      <c r="E1587">
        <v>12</v>
      </c>
      <c r="F1587">
        <v>4</v>
      </c>
      <c r="G1587">
        <v>2025</v>
      </c>
      <c r="H1587" t="s">
        <v>719</v>
      </c>
      <c r="I1587" t="s">
        <v>596</v>
      </c>
      <c r="J1587" t="s">
        <v>39</v>
      </c>
      <c r="K1587">
        <v>27</v>
      </c>
      <c r="L1587">
        <v>10</v>
      </c>
      <c r="M1587">
        <v>295</v>
      </c>
    </row>
    <row r="1588" spans="1:13">
      <c r="A1588">
        <v>1587</v>
      </c>
      <c r="B1588" s="1">
        <v>45998</v>
      </c>
      <c r="C1588" t="s">
        <v>28</v>
      </c>
      <c r="D1588">
        <v>7</v>
      </c>
      <c r="E1588">
        <v>12</v>
      </c>
      <c r="F1588">
        <v>4</v>
      </c>
      <c r="G1588">
        <v>2025</v>
      </c>
      <c r="H1588" t="s">
        <v>719</v>
      </c>
      <c r="I1588" t="s">
        <v>720</v>
      </c>
      <c r="J1588" t="s">
        <v>100</v>
      </c>
      <c r="K1588">
        <v>51</v>
      </c>
      <c r="L1588">
        <v>5</v>
      </c>
      <c r="M1588">
        <v>293</v>
      </c>
    </row>
    <row r="1589" spans="1:13">
      <c r="A1589">
        <v>1588</v>
      </c>
      <c r="B1589" s="1">
        <v>45998</v>
      </c>
      <c r="C1589" t="s">
        <v>28</v>
      </c>
      <c r="D1589">
        <v>7</v>
      </c>
      <c r="E1589">
        <v>12</v>
      </c>
      <c r="F1589">
        <v>4</v>
      </c>
      <c r="G1589">
        <v>2025</v>
      </c>
      <c r="H1589" t="s">
        <v>719</v>
      </c>
      <c r="I1589" t="s">
        <v>613</v>
      </c>
      <c r="J1589" t="s">
        <v>21</v>
      </c>
      <c r="K1589">
        <v>47</v>
      </c>
      <c r="L1589">
        <v>5</v>
      </c>
      <c r="M1589">
        <v>259</v>
      </c>
    </row>
    <row r="1590" spans="1:13">
      <c r="A1590">
        <v>1589</v>
      </c>
      <c r="B1590" s="1">
        <v>46120</v>
      </c>
      <c r="C1590" t="s">
        <v>34</v>
      </c>
      <c r="D1590">
        <v>8</v>
      </c>
      <c r="E1590">
        <v>4</v>
      </c>
      <c r="F1590">
        <v>2</v>
      </c>
      <c r="G1590">
        <v>2026</v>
      </c>
      <c r="H1590" t="s">
        <v>136</v>
      </c>
      <c r="I1590" t="s">
        <v>511</v>
      </c>
      <c r="J1590" t="s">
        <v>27</v>
      </c>
      <c r="K1590">
        <v>19</v>
      </c>
      <c r="L1590">
        <v>2</v>
      </c>
      <c r="M1590">
        <v>55</v>
      </c>
    </row>
    <row r="1591" spans="1:13">
      <c r="A1591">
        <v>1590</v>
      </c>
      <c r="B1591" s="1">
        <v>46120</v>
      </c>
      <c r="C1591" t="s">
        <v>34</v>
      </c>
      <c r="D1591">
        <v>8</v>
      </c>
      <c r="E1591">
        <v>4</v>
      </c>
      <c r="F1591">
        <v>2</v>
      </c>
      <c r="G1591">
        <v>2026</v>
      </c>
      <c r="H1591" t="s">
        <v>136</v>
      </c>
      <c r="I1591" t="s">
        <v>400</v>
      </c>
      <c r="J1591" t="s">
        <v>57</v>
      </c>
      <c r="K1591">
        <v>29</v>
      </c>
      <c r="L1591">
        <v>16</v>
      </c>
      <c r="M1591">
        <v>474</v>
      </c>
    </row>
    <row r="1592" spans="1:13">
      <c r="A1592">
        <v>1591</v>
      </c>
      <c r="B1592" s="1">
        <v>46120</v>
      </c>
      <c r="C1592" t="s">
        <v>34</v>
      </c>
      <c r="D1592">
        <v>8</v>
      </c>
      <c r="E1592">
        <v>4</v>
      </c>
      <c r="F1592">
        <v>2</v>
      </c>
      <c r="G1592">
        <v>2026</v>
      </c>
      <c r="H1592" t="s">
        <v>136</v>
      </c>
      <c r="I1592" t="s">
        <v>552</v>
      </c>
      <c r="J1592" t="s">
        <v>31</v>
      </c>
      <c r="K1592">
        <v>57</v>
      </c>
      <c r="L1592">
        <v>4</v>
      </c>
      <c r="M1592">
        <v>228</v>
      </c>
    </row>
    <row r="1593" spans="1:13">
      <c r="A1593">
        <v>1592</v>
      </c>
      <c r="B1593" s="1">
        <v>46120</v>
      </c>
      <c r="C1593" t="s">
        <v>34</v>
      </c>
      <c r="D1593">
        <v>8</v>
      </c>
      <c r="E1593">
        <v>4</v>
      </c>
      <c r="F1593">
        <v>2</v>
      </c>
      <c r="G1593">
        <v>2026</v>
      </c>
      <c r="H1593" t="s">
        <v>136</v>
      </c>
      <c r="I1593" t="s">
        <v>643</v>
      </c>
      <c r="J1593" t="s">
        <v>37</v>
      </c>
      <c r="K1593">
        <v>22</v>
      </c>
      <c r="L1593">
        <v>9</v>
      </c>
      <c r="M1593">
        <v>211</v>
      </c>
    </row>
    <row r="1594" spans="1:13">
      <c r="A1594">
        <v>1593</v>
      </c>
      <c r="B1594" s="1">
        <v>45553</v>
      </c>
      <c r="C1594" t="s">
        <v>34</v>
      </c>
      <c r="D1594">
        <v>18</v>
      </c>
      <c r="E1594">
        <v>9</v>
      </c>
      <c r="F1594">
        <v>3</v>
      </c>
      <c r="G1594">
        <v>2024</v>
      </c>
      <c r="H1594" t="s">
        <v>392</v>
      </c>
      <c r="I1594" t="s">
        <v>407</v>
      </c>
      <c r="J1594" t="s">
        <v>21</v>
      </c>
      <c r="K1594">
        <v>34</v>
      </c>
      <c r="L1594">
        <v>9</v>
      </c>
      <c r="M1594">
        <v>327</v>
      </c>
    </row>
    <row r="1595" spans="1:13">
      <c r="A1595">
        <v>1594</v>
      </c>
      <c r="B1595" s="1">
        <v>45553</v>
      </c>
      <c r="C1595" t="s">
        <v>34</v>
      </c>
      <c r="D1595">
        <v>18</v>
      </c>
      <c r="E1595">
        <v>9</v>
      </c>
      <c r="F1595">
        <v>3</v>
      </c>
      <c r="G1595">
        <v>2024</v>
      </c>
      <c r="H1595" t="s">
        <v>392</v>
      </c>
      <c r="I1595" t="s">
        <v>239</v>
      </c>
      <c r="J1595" t="s">
        <v>23</v>
      </c>
      <c r="K1595">
        <v>15</v>
      </c>
      <c r="L1595">
        <v>25</v>
      </c>
      <c r="M1595">
        <v>388</v>
      </c>
    </row>
    <row r="1596" spans="1:13">
      <c r="A1596">
        <v>1595</v>
      </c>
      <c r="B1596" s="1">
        <v>45553</v>
      </c>
      <c r="C1596" t="s">
        <v>34</v>
      </c>
      <c r="D1596">
        <v>18</v>
      </c>
      <c r="E1596">
        <v>9</v>
      </c>
      <c r="F1596">
        <v>3</v>
      </c>
      <c r="G1596">
        <v>2024</v>
      </c>
      <c r="H1596" t="s">
        <v>392</v>
      </c>
      <c r="I1596" t="s">
        <v>308</v>
      </c>
      <c r="J1596" t="s">
        <v>19</v>
      </c>
      <c r="K1596">
        <v>37</v>
      </c>
      <c r="L1596">
        <v>7</v>
      </c>
      <c r="M1596">
        <v>281</v>
      </c>
    </row>
    <row r="1597" spans="1:13">
      <c r="A1597">
        <v>1596</v>
      </c>
      <c r="B1597" s="1">
        <v>45553</v>
      </c>
      <c r="C1597" t="s">
        <v>34</v>
      </c>
      <c r="D1597">
        <v>18</v>
      </c>
      <c r="E1597">
        <v>9</v>
      </c>
      <c r="F1597">
        <v>3</v>
      </c>
      <c r="G1597">
        <v>2024</v>
      </c>
      <c r="H1597" t="s">
        <v>392</v>
      </c>
      <c r="I1597" t="s">
        <v>184</v>
      </c>
      <c r="J1597" t="s">
        <v>31</v>
      </c>
      <c r="K1597">
        <v>31</v>
      </c>
      <c r="L1597">
        <v>11</v>
      </c>
      <c r="M1597">
        <v>364</v>
      </c>
    </row>
    <row r="1598" spans="1:13">
      <c r="A1598">
        <v>1597</v>
      </c>
      <c r="B1598" s="1">
        <v>45553</v>
      </c>
      <c r="C1598" t="s">
        <v>34</v>
      </c>
      <c r="D1598">
        <v>18</v>
      </c>
      <c r="E1598">
        <v>9</v>
      </c>
      <c r="F1598">
        <v>3</v>
      </c>
      <c r="G1598">
        <v>2024</v>
      </c>
      <c r="H1598" t="s">
        <v>392</v>
      </c>
      <c r="I1598" t="s">
        <v>247</v>
      </c>
      <c r="J1598" t="s">
        <v>55</v>
      </c>
      <c r="K1598">
        <v>59</v>
      </c>
      <c r="L1598">
        <v>4</v>
      </c>
      <c r="M1598">
        <v>252</v>
      </c>
    </row>
    <row r="1599" spans="1:13">
      <c r="A1599">
        <v>1598</v>
      </c>
      <c r="B1599" s="1">
        <v>45960</v>
      </c>
      <c r="C1599" t="s">
        <v>105</v>
      </c>
      <c r="D1599">
        <v>30</v>
      </c>
      <c r="E1599">
        <v>10</v>
      </c>
      <c r="F1599">
        <v>4</v>
      </c>
      <c r="G1599">
        <v>2025</v>
      </c>
      <c r="H1599" t="s">
        <v>319</v>
      </c>
      <c r="I1599" t="s">
        <v>652</v>
      </c>
      <c r="J1599" t="s">
        <v>37</v>
      </c>
      <c r="K1599">
        <v>27</v>
      </c>
      <c r="L1599">
        <v>7</v>
      </c>
      <c r="M1599">
        <v>196</v>
      </c>
    </row>
    <row r="1600" spans="1:13">
      <c r="A1600">
        <v>1599</v>
      </c>
      <c r="B1600" s="1">
        <v>45960</v>
      </c>
      <c r="C1600" t="s">
        <v>105</v>
      </c>
      <c r="D1600">
        <v>30</v>
      </c>
      <c r="E1600">
        <v>10</v>
      </c>
      <c r="F1600">
        <v>4</v>
      </c>
      <c r="G1600">
        <v>2025</v>
      </c>
      <c r="H1600" t="s">
        <v>319</v>
      </c>
      <c r="I1600" t="s">
        <v>359</v>
      </c>
      <c r="J1600" t="s">
        <v>23</v>
      </c>
      <c r="K1600">
        <v>57</v>
      </c>
      <c r="L1600">
        <v>7</v>
      </c>
      <c r="M1600">
        <v>439</v>
      </c>
    </row>
    <row r="1601" spans="1:13">
      <c r="A1601">
        <v>1600</v>
      </c>
      <c r="B1601" s="1">
        <v>45960</v>
      </c>
      <c r="C1601" t="s">
        <v>105</v>
      </c>
      <c r="D1601">
        <v>30</v>
      </c>
      <c r="E1601">
        <v>10</v>
      </c>
      <c r="F1601">
        <v>4</v>
      </c>
      <c r="G1601">
        <v>2025</v>
      </c>
      <c r="H1601" t="s">
        <v>319</v>
      </c>
      <c r="I1601" t="s">
        <v>133</v>
      </c>
      <c r="J1601" t="s">
        <v>97</v>
      </c>
      <c r="K1601">
        <v>14</v>
      </c>
      <c r="L1601">
        <v>26</v>
      </c>
      <c r="M1601">
        <v>369</v>
      </c>
    </row>
    <row r="1602" spans="1:13">
      <c r="A1602">
        <v>1601</v>
      </c>
      <c r="B1602" s="1">
        <v>45960</v>
      </c>
      <c r="C1602" t="s">
        <v>105</v>
      </c>
      <c r="D1602">
        <v>30</v>
      </c>
      <c r="E1602">
        <v>10</v>
      </c>
      <c r="F1602">
        <v>4</v>
      </c>
      <c r="G1602">
        <v>2025</v>
      </c>
      <c r="H1602" t="s">
        <v>319</v>
      </c>
      <c r="I1602" t="s">
        <v>435</v>
      </c>
      <c r="J1602" t="s">
        <v>51</v>
      </c>
      <c r="K1602">
        <v>42</v>
      </c>
      <c r="L1602">
        <v>6</v>
      </c>
      <c r="M1602">
        <v>284</v>
      </c>
    </row>
    <row r="1603" spans="1:13">
      <c r="A1603">
        <v>1602</v>
      </c>
      <c r="B1603" s="1">
        <v>45960</v>
      </c>
      <c r="C1603" t="s">
        <v>105</v>
      </c>
      <c r="D1603">
        <v>30</v>
      </c>
      <c r="E1603">
        <v>10</v>
      </c>
      <c r="F1603">
        <v>4</v>
      </c>
      <c r="G1603">
        <v>2025</v>
      </c>
      <c r="H1603" t="s">
        <v>319</v>
      </c>
      <c r="I1603" t="s">
        <v>594</v>
      </c>
      <c r="J1603" t="s">
        <v>43</v>
      </c>
      <c r="K1603">
        <v>53</v>
      </c>
      <c r="L1603">
        <v>4</v>
      </c>
      <c r="M1603">
        <v>213</v>
      </c>
    </row>
    <row r="1604" spans="1:13">
      <c r="A1604">
        <v>1603</v>
      </c>
      <c r="B1604" s="1">
        <v>45960</v>
      </c>
      <c r="C1604" t="s">
        <v>105</v>
      </c>
      <c r="D1604">
        <v>30</v>
      </c>
      <c r="E1604">
        <v>10</v>
      </c>
      <c r="F1604">
        <v>4</v>
      </c>
      <c r="G1604">
        <v>2025</v>
      </c>
      <c r="H1604" t="s">
        <v>319</v>
      </c>
      <c r="I1604" t="s">
        <v>650</v>
      </c>
      <c r="J1604" t="s">
        <v>37</v>
      </c>
      <c r="K1604">
        <v>55</v>
      </c>
      <c r="L1604">
        <v>6</v>
      </c>
      <c r="M1604">
        <v>331</v>
      </c>
    </row>
    <row r="1605" spans="1:13">
      <c r="A1605">
        <v>1604</v>
      </c>
      <c r="B1605" s="1">
        <v>45960</v>
      </c>
      <c r="C1605" t="s">
        <v>105</v>
      </c>
      <c r="D1605">
        <v>30</v>
      </c>
      <c r="E1605">
        <v>10</v>
      </c>
      <c r="F1605">
        <v>4</v>
      </c>
      <c r="G1605">
        <v>2025</v>
      </c>
      <c r="H1605" t="s">
        <v>319</v>
      </c>
      <c r="I1605" t="s">
        <v>658</v>
      </c>
      <c r="J1605" t="s">
        <v>69</v>
      </c>
      <c r="K1605">
        <v>21</v>
      </c>
      <c r="L1605">
        <v>6</v>
      </c>
      <c r="M1605">
        <v>126</v>
      </c>
    </row>
    <row r="1606" spans="1:13">
      <c r="A1606">
        <v>1605</v>
      </c>
      <c r="B1606" s="1">
        <v>45960</v>
      </c>
      <c r="C1606" t="s">
        <v>105</v>
      </c>
      <c r="D1606">
        <v>30</v>
      </c>
      <c r="E1606">
        <v>10</v>
      </c>
      <c r="F1606">
        <v>4</v>
      </c>
      <c r="G1606">
        <v>2025</v>
      </c>
      <c r="H1606" t="s">
        <v>319</v>
      </c>
      <c r="I1606" t="s">
        <v>629</v>
      </c>
      <c r="J1606" t="s">
        <v>43</v>
      </c>
      <c r="K1606">
        <v>49</v>
      </c>
      <c r="L1606">
        <v>6</v>
      </c>
      <c r="M1606">
        <v>304</v>
      </c>
    </row>
    <row r="1607" spans="1:13">
      <c r="A1607">
        <v>1606</v>
      </c>
      <c r="B1607" s="1">
        <v>45960</v>
      </c>
      <c r="C1607" t="s">
        <v>105</v>
      </c>
      <c r="D1607">
        <v>30</v>
      </c>
      <c r="E1607">
        <v>10</v>
      </c>
      <c r="F1607">
        <v>4</v>
      </c>
      <c r="G1607">
        <v>2025</v>
      </c>
      <c r="H1607" t="s">
        <v>319</v>
      </c>
      <c r="I1607" t="s">
        <v>556</v>
      </c>
      <c r="J1607" t="s">
        <v>55</v>
      </c>
      <c r="K1607">
        <v>28</v>
      </c>
      <c r="L1607">
        <v>8</v>
      </c>
      <c r="M1607">
        <v>224</v>
      </c>
    </row>
    <row r="1608" spans="1:13">
      <c r="A1608">
        <v>1607</v>
      </c>
      <c r="B1608" s="1">
        <v>45960</v>
      </c>
      <c r="C1608" t="s">
        <v>105</v>
      </c>
      <c r="D1608">
        <v>30</v>
      </c>
      <c r="E1608">
        <v>10</v>
      </c>
      <c r="F1608">
        <v>4</v>
      </c>
      <c r="G1608">
        <v>2025</v>
      </c>
      <c r="H1608" t="s">
        <v>319</v>
      </c>
      <c r="I1608" t="s">
        <v>574</v>
      </c>
      <c r="J1608" t="s">
        <v>19</v>
      </c>
      <c r="K1608">
        <v>31</v>
      </c>
      <c r="L1608">
        <v>12</v>
      </c>
      <c r="M1608">
        <v>393</v>
      </c>
    </row>
    <row r="1609" spans="1:13">
      <c r="A1609">
        <v>1608</v>
      </c>
      <c r="B1609" s="1">
        <v>45960</v>
      </c>
      <c r="C1609" t="s">
        <v>105</v>
      </c>
      <c r="D1609">
        <v>30</v>
      </c>
      <c r="E1609">
        <v>10</v>
      </c>
      <c r="F1609">
        <v>4</v>
      </c>
      <c r="G1609">
        <v>2025</v>
      </c>
      <c r="H1609" t="s">
        <v>319</v>
      </c>
      <c r="I1609" t="s">
        <v>645</v>
      </c>
      <c r="J1609" t="s">
        <v>51</v>
      </c>
      <c r="K1609">
        <v>44</v>
      </c>
      <c r="L1609">
        <v>4</v>
      </c>
      <c r="M1609">
        <v>200</v>
      </c>
    </row>
    <row r="1610" spans="1:13">
      <c r="A1610">
        <v>1609</v>
      </c>
      <c r="B1610" s="1">
        <v>45675</v>
      </c>
      <c r="C1610" t="s">
        <v>14</v>
      </c>
      <c r="D1610">
        <v>18</v>
      </c>
      <c r="E1610">
        <v>1</v>
      </c>
      <c r="F1610">
        <v>1</v>
      </c>
      <c r="G1610">
        <v>2025</v>
      </c>
      <c r="H1610" t="s">
        <v>721</v>
      </c>
      <c r="I1610" t="s">
        <v>381</v>
      </c>
      <c r="J1610" t="s">
        <v>27</v>
      </c>
      <c r="K1610">
        <v>28</v>
      </c>
      <c r="L1610">
        <v>7</v>
      </c>
      <c r="M1610">
        <v>218</v>
      </c>
    </row>
    <row r="1611" spans="1:13">
      <c r="A1611">
        <v>1610</v>
      </c>
      <c r="B1611" s="1">
        <v>45955</v>
      </c>
      <c r="C1611" t="s">
        <v>14</v>
      </c>
      <c r="D1611">
        <v>25</v>
      </c>
      <c r="E1611">
        <v>10</v>
      </c>
      <c r="F1611">
        <v>4</v>
      </c>
      <c r="G1611">
        <v>2025</v>
      </c>
      <c r="H1611" t="s">
        <v>691</v>
      </c>
      <c r="I1611" t="s">
        <v>672</v>
      </c>
      <c r="J1611" t="s">
        <v>55</v>
      </c>
      <c r="K1611">
        <v>54</v>
      </c>
      <c r="L1611">
        <v>2</v>
      </c>
      <c r="M1611">
        <v>137</v>
      </c>
    </row>
    <row r="1612" spans="1:13">
      <c r="A1612">
        <v>1611</v>
      </c>
      <c r="B1612" s="1">
        <v>45955</v>
      </c>
      <c r="C1612" t="s">
        <v>14</v>
      </c>
      <c r="D1612">
        <v>25</v>
      </c>
      <c r="E1612">
        <v>10</v>
      </c>
      <c r="F1612">
        <v>4</v>
      </c>
      <c r="G1612">
        <v>2025</v>
      </c>
      <c r="H1612" t="s">
        <v>691</v>
      </c>
      <c r="I1612" t="s">
        <v>305</v>
      </c>
      <c r="J1612" t="s">
        <v>55</v>
      </c>
      <c r="K1612">
        <v>47</v>
      </c>
      <c r="L1612">
        <v>7</v>
      </c>
      <c r="M1612">
        <v>345</v>
      </c>
    </row>
    <row r="1613" spans="1:13">
      <c r="A1613">
        <v>1612</v>
      </c>
      <c r="B1613" s="1">
        <v>45955</v>
      </c>
      <c r="C1613" t="s">
        <v>14</v>
      </c>
      <c r="D1613">
        <v>25</v>
      </c>
      <c r="E1613">
        <v>10</v>
      </c>
      <c r="F1613">
        <v>4</v>
      </c>
      <c r="G1613">
        <v>2025</v>
      </c>
      <c r="H1613" t="s">
        <v>691</v>
      </c>
      <c r="I1613" t="s">
        <v>525</v>
      </c>
      <c r="J1613" t="s">
        <v>17</v>
      </c>
      <c r="K1613">
        <v>28</v>
      </c>
      <c r="L1613">
        <v>4</v>
      </c>
      <c r="M1613">
        <v>124</v>
      </c>
    </row>
    <row r="1614" spans="1:13">
      <c r="A1614">
        <v>1613</v>
      </c>
      <c r="B1614" s="1">
        <v>45955</v>
      </c>
      <c r="C1614" t="s">
        <v>14</v>
      </c>
      <c r="D1614">
        <v>25</v>
      </c>
      <c r="E1614">
        <v>10</v>
      </c>
      <c r="F1614">
        <v>4</v>
      </c>
      <c r="G1614">
        <v>2025</v>
      </c>
      <c r="H1614" t="s">
        <v>691</v>
      </c>
      <c r="I1614" t="s">
        <v>722</v>
      </c>
      <c r="J1614" t="s">
        <v>37</v>
      </c>
      <c r="K1614">
        <v>31</v>
      </c>
      <c r="L1614">
        <v>8</v>
      </c>
      <c r="M1614">
        <v>255</v>
      </c>
    </row>
    <row r="1615" spans="1:13">
      <c r="A1615">
        <v>1614</v>
      </c>
      <c r="B1615" s="1">
        <v>45955</v>
      </c>
      <c r="C1615" t="s">
        <v>14</v>
      </c>
      <c r="D1615">
        <v>25</v>
      </c>
      <c r="E1615">
        <v>10</v>
      </c>
      <c r="F1615">
        <v>4</v>
      </c>
      <c r="G1615">
        <v>2025</v>
      </c>
      <c r="H1615" t="s">
        <v>691</v>
      </c>
      <c r="I1615" t="s">
        <v>168</v>
      </c>
      <c r="J1615" t="s">
        <v>46</v>
      </c>
      <c r="K1615">
        <v>27</v>
      </c>
      <c r="L1615">
        <v>16</v>
      </c>
      <c r="M1615">
        <v>457</v>
      </c>
    </row>
    <row r="1616" spans="1:13">
      <c r="A1616">
        <v>1615</v>
      </c>
      <c r="B1616" s="1">
        <v>46050</v>
      </c>
      <c r="C1616" t="s">
        <v>34</v>
      </c>
      <c r="D1616">
        <v>28</v>
      </c>
      <c r="E1616">
        <v>1</v>
      </c>
      <c r="F1616">
        <v>1</v>
      </c>
      <c r="G1616">
        <v>2026</v>
      </c>
      <c r="H1616" t="s">
        <v>572</v>
      </c>
      <c r="I1616" t="s">
        <v>723</v>
      </c>
      <c r="J1616" t="s">
        <v>46</v>
      </c>
      <c r="K1616">
        <v>45</v>
      </c>
      <c r="L1616">
        <v>6</v>
      </c>
      <c r="M1616">
        <v>302</v>
      </c>
    </row>
    <row r="1617" spans="1:13">
      <c r="A1617">
        <v>1616</v>
      </c>
      <c r="B1617" s="1">
        <v>46050</v>
      </c>
      <c r="C1617" t="s">
        <v>34</v>
      </c>
      <c r="D1617">
        <v>28</v>
      </c>
      <c r="E1617">
        <v>1</v>
      </c>
      <c r="F1617">
        <v>1</v>
      </c>
      <c r="G1617">
        <v>2026</v>
      </c>
      <c r="H1617" t="s">
        <v>572</v>
      </c>
      <c r="I1617" t="s">
        <v>711</v>
      </c>
      <c r="J1617" t="s">
        <v>122</v>
      </c>
      <c r="K1617">
        <v>43</v>
      </c>
      <c r="L1617">
        <v>6</v>
      </c>
      <c r="M1617">
        <v>293</v>
      </c>
    </row>
    <row r="1618" spans="1:13">
      <c r="A1618">
        <v>1617</v>
      </c>
      <c r="B1618" s="1">
        <v>46050</v>
      </c>
      <c r="C1618" t="s">
        <v>34</v>
      </c>
      <c r="D1618">
        <v>28</v>
      </c>
      <c r="E1618">
        <v>1</v>
      </c>
      <c r="F1618">
        <v>1</v>
      </c>
      <c r="G1618">
        <v>2026</v>
      </c>
      <c r="H1618" t="s">
        <v>572</v>
      </c>
      <c r="I1618" t="s">
        <v>315</v>
      </c>
      <c r="J1618" t="s">
        <v>27</v>
      </c>
      <c r="K1618">
        <v>60</v>
      </c>
      <c r="L1618">
        <v>7</v>
      </c>
      <c r="M1618">
        <v>432</v>
      </c>
    </row>
    <row r="1619" spans="1:13">
      <c r="A1619">
        <v>1618</v>
      </c>
      <c r="B1619" s="1">
        <v>45954</v>
      </c>
      <c r="C1619" t="s">
        <v>79</v>
      </c>
      <c r="D1619">
        <v>24</v>
      </c>
      <c r="E1619">
        <v>10</v>
      </c>
      <c r="F1619">
        <v>4</v>
      </c>
      <c r="G1619">
        <v>2025</v>
      </c>
      <c r="H1619" t="s">
        <v>49</v>
      </c>
      <c r="I1619" t="s">
        <v>479</v>
      </c>
      <c r="J1619" t="s">
        <v>17</v>
      </c>
      <c r="K1619">
        <v>32</v>
      </c>
      <c r="L1619">
        <v>11</v>
      </c>
      <c r="M1619">
        <v>355</v>
      </c>
    </row>
    <row r="1620" spans="1:13">
      <c r="A1620">
        <v>1619</v>
      </c>
      <c r="B1620" s="1">
        <v>45954</v>
      </c>
      <c r="C1620" t="s">
        <v>79</v>
      </c>
      <c r="D1620">
        <v>24</v>
      </c>
      <c r="E1620">
        <v>10</v>
      </c>
      <c r="F1620">
        <v>4</v>
      </c>
      <c r="G1620">
        <v>2025</v>
      </c>
      <c r="H1620" t="s">
        <v>49</v>
      </c>
      <c r="I1620" t="s">
        <v>257</v>
      </c>
      <c r="J1620" t="s">
        <v>57</v>
      </c>
      <c r="K1620">
        <v>41</v>
      </c>
      <c r="L1620">
        <v>5</v>
      </c>
      <c r="M1620">
        <v>240</v>
      </c>
    </row>
    <row r="1621" spans="1:13">
      <c r="A1621">
        <v>1620</v>
      </c>
      <c r="B1621" s="1">
        <v>45929</v>
      </c>
      <c r="C1621" t="s">
        <v>93</v>
      </c>
      <c r="D1621">
        <v>29</v>
      </c>
      <c r="E1621">
        <v>9</v>
      </c>
      <c r="F1621">
        <v>3</v>
      </c>
      <c r="G1621">
        <v>2025</v>
      </c>
      <c r="H1621" t="s">
        <v>196</v>
      </c>
      <c r="I1621" t="s">
        <v>539</v>
      </c>
      <c r="J1621" t="s">
        <v>69</v>
      </c>
      <c r="K1621">
        <v>50</v>
      </c>
      <c r="L1621">
        <v>4</v>
      </c>
      <c r="M1621">
        <v>242</v>
      </c>
    </row>
    <row r="1622" spans="1:13">
      <c r="A1622">
        <v>1621</v>
      </c>
      <c r="B1622" s="1">
        <v>45929</v>
      </c>
      <c r="C1622" t="s">
        <v>93</v>
      </c>
      <c r="D1622">
        <v>29</v>
      </c>
      <c r="E1622">
        <v>9</v>
      </c>
      <c r="F1622">
        <v>3</v>
      </c>
      <c r="G1622">
        <v>2025</v>
      </c>
      <c r="H1622" t="s">
        <v>196</v>
      </c>
      <c r="I1622" t="s">
        <v>287</v>
      </c>
      <c r="J1622" t="s">
        <v>46</v>
      </c>
      <c r="K1622">
        <v>31</v>
      </c>
      <c r="L1622">
        <v>9</v>
      </c>
      <c r="M1622">
        <v>290</v>
      </c>
    </row>
    <row r="1623" spans="1:13">
      <c r="A1623">
        <v>1622</v>
      </c>
      <c r="B1623" s="1">
        <v>45929</v>
      </c>
      <c r="C1623" t="s">
        <v>93</v>
      </c>
      <c r="D1623">
        <v>29</v>
      </c>
      <c r="E1623">
        <v>9</v>
      </c>
      <c r="F1623">
        <v>3</v>
      </c>
      <c r="G1623">
        <v>2025</v>
      </c>
      <c r="H1623" t="s">
        <v>196</v>
      </c>
      <c r="I1623" t="s">
        <v>426</v>
      </c>
      <c r="J1623" t="s">
        <v>37</v>
      </c>
      <c r="K1623">
        <v>36</v>
      </c>
      <c r="L1623">
        <v>12</v>
      </c>
      <c r="M1623">
        <v>446</v>
      </c>
    </row>
    <row r="1624" spans="1:13">
      <c r="A1624">
        <v>1623</v>
      </c>
      <c r="B1624" s="1">
        <v>45929</v>
      </c>
      <c r="C1624" t="s">
        <v>93</v>
      </c>
      <c r="D1624">
        <v>29</v>
      </c>
      <c r="E1624">
        <v>9</v>
      </c>
      <c r="F1624">
        <v>3</v>
      </c>
      <c r="G1624">
        <v>2025</v>
      </c>
      <c r="H1624" t="s">
        <v>196</v>
      </c>
      <c r="I1624" t="s">
        <v>669</v>
      </c>
      <c r="J1624" t="s">
        <v>97</v>
      </c>
      <c r="K1624">
        <v>27</v>
      </c>
      <c r="L1624">
        <v>5</v>
      </c>
      <c r="M1624">
        <v>138</v>
      </c>
    </row>
    <row r="1625" spans="1:13">
      <c r="A1625">
        <v>1624</v>
      </c>
      <c r="B1625" s="1">
        <v>45929</v>
      </c>
      <c r="C1625" t="s">
        <v>93</v>
      </c>
      <c r="D1625">
        <v>29</v>
      </c>
      <c r="E1625">
        <v>9</v>
      </c>
      <c r="F1625">
        <v>3</v>
      </c>
      <c r="G1625">
        <v>2025</v>
      </c>
      <c r="H1625" t="s">
        <v>196</v>
      </c>
      <c r="I1625" t="s">
        <v>559</v>
      </c>
      <c r="J1625" t="s">
        <v>97</v>
      </c>
      <c r="K1625">
        <v>47</v>
      </c>
      <c r="L1625">
        <v>2</v>
      </c>
      <c r="M1625">
        <v>129</v>
      </c>
    </row>
    <row r="1626" spans="1:13">
      <c r="A1626">
        <v>1625</v>
      </c>
      <c r="B1626" s="1">
        <v>45929</v>
      </c>
      <c r="C1626" t="s">
        <v>93</v>
      </c>
      <c r="D1626">
        <v>29</v>
      </c>
      <c r="E1626">
        <v>9</v>
      </c>
      <c r="F1626">
        <v>3</v>
      </c>
      <c r="G1626">
        <v>2025</v>
      </c>
      <c r="H1626" t="s">
        <v>196</v>
      </c>
      <c r="I1626" t="s">
        <v>346</v>
      </c>
      <c r="J1626" t="s">
        <v>23</v>
      </c>
      <c r="K1626">
        <v>38</v>
      </c>
      <c r="L1626">
        <v>3</v>
      </c>
      <c r="M1626">
        <v>138</v>
      </c>
    </row>
    <row r="1627" spans="1:13">
      <c r="A1627">
        <v>1626</v>
      </c>
      <c r="B1627" s="1">
        <v>45929</v>
      </c>
      <c r="C1627" t="s">
        <v>93</v>
      </c>
      <c r="D1627">
        <v>29</v>
      </c>
      <c r="E1627">
        <v>9</v>
      </c>
      <c r="F1627">
        <v>3</v>
      </c>
      <c r="G1627">
        <v>2025</v>
      </c>
      <c r="H1627" t="s">
        <v>196</v>
      </c>
      <c r="I1627" t="s">
        <v>707</v>
      </c>
      <c r="J1627" t="s">
        <v>23</v>
      </c>
      <c r="K1627">
        <v>10</v>
      </c>
      <c r="L1627">
        <v>33</v>
      </c>
      <c r="M1627">
        <v>330</v>
      </c>
    </row>
    <row r="1628" spans="1:13">
      <c r="A1628">
        <v>1627</v>
      </c>
      <c r="B1628" s="1">
        <v>45929</v>
      </c>
      <c r="C1628" t="s">
        <v>93</v>
      </c>
      <c r="D1628">
        <v>29</v>
      </c>
      <c r="E1628">
        <v>9</v>
      </c>
      <c r="F1628">
        <v>3</v>
      </c>
      <c r="G1628">
        <v>2025</v>
      </c>
      <c r="H1628" t="s">
        <v>196</v>
      </c>
      <c r="I1628" t="s">
        <v>626</v>
      </c>
      <c r="J1628" t="s">
        <v>17</v>
      </c>
      <c r="K1628">
        <v>34</v>
      </c>
      <c r="L1628">
        <v>13</v>
      </c>
      <c r="M1628">
        <v>458</v>
      </c>
    </row>
    <row r="1629" spans="1:13">
      <c r="A1629">
        <v>1628</v>
      </c>
      <c r="B1629" s="1">
        <v>45929</v>
      </c>
      <c r="C1629" t="s">
        <v>93</v>
      </c>
      <c r="D1629">
        <v>29</v>
      </c>
      <c r="E1629">
        <v>9</v>
      </c>
      <c r="F1629">
        <v>3</v>
      </c>
      <c r="G1629">
        <v>2025</v>
      </c>
      <c r="H1629" t="s">
        <v>196</v>
      </c>
      <c r="I1629" t="s">
        <v>690</v>
      </c>
      <c r="J1629" t="s">
        <v>46</v>
      </c>
      <c r="K1629">
        <v>33</v>
      </c>
      <c r="L1629">
        <v>6</v>
      </c>
      <c r="M1629">
        <v>227</v>
      </c>
    </row>
    <row r="1630" spans="1:13">
      <c r="A1630">
        <v>1629</v>
      </c>
      <c r="B1630" s="1">
        <v>45929</v>
      </c>
      <c r="C1630" t="s">
        <v>93</v>
      </c>
      <c r="D1630">
        <v>29</v>
      </c>
      <c r="E1630">
        <v>9</v>
      </c>
      <c r="F1630">
        <v>3</v>
      </c>
      <c r="G1630">
        <v>2025</v>
      </c>
      <c r="H1630" t="s">
        <v>196</v>
      </c>
      <c r="I1630" t="s">
        <v>705</v>
      </c>
      <c r="J1630" t="s">
        <v>60</v>
      </c>
      <c r="K1630">
        <v>56</v>
      </c>
      <c r="L1630">
        <v>4</v>
      </c>
      <c r="M1630">
        <v>258</v>
      </c>
    </row>
    <row r="1631" spans="1:13">
      <c r="A1631">
        <v>1630</v>
      </c>
      <c r="B1631" s="1">
        <v>45900</v>
      </c>
      <c r="C1631" t="s">
        <v>28</v>
      </c>
      <c r="D1631">
        <v>31</v>
      </c>
      <c r="E1631">
        <v>8</v>
      </c>
      <c r="F1631">
        <v>3</v>
      </c>
      <c r="G1631">
        <v>2025</v>
      </c>
      <c r="H1631" t="s">
        <v>713</v>
      </c>
      <c r="I1631" t="s">
        <v>463</v>
      </c>
      <c r="J1631" t="s">
        <v>43</v>
      </c>
      <c r="K1631">
        <v>12</v>
      </c>
      <c r="L1631">
        <v>29</v>
      </c>
      <c r="M1631">
        <v>348</v>
      </c>
    </row>
    <row r="1632" spans="1:13">
      <c r="A1632">
        <v>1631</v>
      </c>
      <c r="B1632" s="1">
        <v>45900</v>
      </c>
      <c r="C1632" t="s">
        <v>28</v>
      </c>
      <c r="D1632">
        <v>31</v>
      </c>
      <c r="E1632">
        <v>8</v>
      </c>
      <c r="F1632">
        <v>3</v>
      </c>
      <c r="G1632">
        <v>2025</v>
      </c>
      <c r="H1632" t="s">
        <v>713</v>
      </c>
      <c r="I1632" t="s">
        <v>150</v>
      </c>
      <c r="J1632" t="s">
        <v>60</v>
      </c>
      <c r="K1632">
        <v>23</v>
      </c>
      <c r="L1632">
        <v>10</v>
      </c>
      <c r="M1632">
        <v>239</v>
      </c>
    </row>
    <row r="1633" spans="1:13">
      <c r="A1633">
        <v>1632</v>
      </c>
      <c r="B1633" s="1">
        <v>45900</v>
      </c>
      <c r="C1633" t="s">
        <v>28</v>
      </c>
      <c r="D1633">
        <v>31</v>
      </c>
      <c r="E1633">
        <v>8</v>
      </c>
      <c r="F1633">
        <v>3</v>
      </c>
      <c r="G1633">
        <v>2025</v>
      </c>
      <c r="H1633" t="s">
        <v>713</v>
      </c>
      <c r="I1633" t="s">
        <v>176</v>
      </c>
      <c r="J1633" t="s">
        <v>21</v>
      </c>
      <c r="K1633">
        <v>29</v>
      </c>
      <c r="L1633">
        <v>11</v>
      </c>
      <c r="M1633">
        <v>332</v>
      </c>
    </row>
    <row r="1634" spans="1:13">
      <c r="A1634">
        <v>1633</v>
      </c>
      <c r="B1634" s="1">
        <v>45900</v>
      </c>
      <c r="C1634" t="s">
        <v>28</v>
      </c>
      <c r="D1634">
        <v>31</v>
      </c>
      <c r="E1634">
        <v>8</v>
      </c>
      <c r="F1634">
        <v>3</v>
      </c>
      <c r="G1634">
        <v>2025</v>
      </c>
      <c r="H1634" t="s">
        <v>713</v>
      </c>
      <c r="I1634" t="s">
        <v>404</v>
      </c>
      <c r="J1634" t="s">
        <v>37</v>
      </c>
      <c r="K1634">
        <v>21</v>
      </c>
      <c r="L1634">
        <v>12</v>
      </c>
      <c r="M1634">
        <v>271</v>
      </c>
    </row>
    <row r="1635" spans="1:13">
      <c r="A1635">
        <v>1634</v>
      </c>
      <c r="B1635" s="1">
        <v>45900</v>
      </c>
      <c r="C1635" t="s">
        <v>28</v>
      </c>
      <c r="D1635">
        <v>31</v>
      </c>
      <c r="E1635">
        <v>8</v>
      </c>
      <c r="F1635">
        <v>3</v>
      </c>
      <c r="G1635">
        <v>2025</v>
      </c>
      <c r="H1635" t="s">
        <v>713</v>
      </c>
      <c r="I1635" t="s">
        <v>128</v>
      </c>
      <c r="J1635" t="s">
        <v>55</v>
      </c>
      <c r="K1635">
        <v>31</v>
      </c>
      <c r="L1635">
        <v>2</v>
      </c>
      <c r="M1635">
        <v>73</v>
      </c>
    </row>
    <row r="1636" spans="1:13">
      <c r="A1636">
        <v>1635</v>
      </c>
      <c r="B1636" s="1">
        <v>45900</v>
      </c>
      <c r="C1636" t="s">
        <v>28</v>
      </c>
      <c r="D1636">
        <v>31</v>
      </c>
      <c r="E1636">
        <v>8</v>
      </c>
      <c r="F1636">
        <v>3</v>
      </c>
      <c r="G1636">
        <v>2025</v>
      </c>
      <c r="H1636" t="s">
        <v>713</v>
      </c>
      <c r="I1636" t="s">
        <v>472</v>
      </c>
      <c r="J1636" t="s">
        <v>122</v>
      </c>
      <c r="K1636">
        <v>39</v>
      </c>
      <c r="L1636">
        <v>1</v>
      </c>
      <c r="M1636">
        <v>69</v>
      </c>
    </row>
    <row r="1637" spans="1:13">
      <c r="A1637">
        <v>1636</v>
      </c>
      <c r="B1637" s="1">
        <v>45900</v>
      </c>
      <c r="C1637" t="s">
        <v>28</v>
      </c>
      <c r="D1637">
        <v>31</v>
      </c>
      <c r="E1637">
        <v>8</v>
      </c>
      <c r="F1637">
        <v>3</v>
      </c>
      <c r="G1637">
        <v>2025</v>
      </c>
      <c r="H1637" t="s">
        <v>713</v>
      </c>
      <c r="I1637" t="s">
        <v>390</v>
      </c>
      <c r="J1637" t="s">
        <v>82</v>
      </c>
      <c r="K1637">
        <v>19</v>
      </c>
      <c r="L1637">
        <v>6</v>
      </c>
      <c r="M1637">
        <v>132</v>
      </c>
    </row>
    <row r="1638" spans="1:13">
      <c r="A1638">
        <v>1637</v>
      </c>
      <c r="B1638" s="1">
        <v>45900</v>
      </c>
      <c r="C1638" t="s">
        <v>28</v>
      </c>
      <c r="D1638">
        <v>31</v>
      </c>
      <c r="E1638">
        <v>8</v>
      </c>
      <c r="F1638">
        <v>3</v>
      </c>
      <c r="G1638">
        <v>2025</v>
      </c>
      <c r="H1638" t="s">
        <v>713</v>
      </c>
      <c r="I1638" t="s">
        <v>247</v>
      </c>
      <c r="J1638" t="s">
        <v>55</v>
      </c>
      <c r="K1638">
        <v>43</v>
      </c>
      <c r="L1638">
        <v>5</v>
      </c>
      <c r="M1638">
        <v>246</v>
      </c>
    </row>
    <row r="1639" spans="1:13">
      <c r="A1639">
        <v>1638</v>
      </c>
      <c r="B1639" s="1">
        <v>45900</v>
      </c>
      <c r="C1639" t="s">
        <v>28</v>
      </c>
      <c r="D1639">
        <v>31</v>
      </c>
      <c r="E1639">
        <v>8</v>
      </c>
      <c r="F1639">
        <v>3</v>
      </c>
      <c r="G1639">
        <v>2025</v>
      </c>
      <c r="H1639" t="s">
        <v>713</v>
      </c>
      <c r="I1639" t="s">
        <v>454</v>
      </c>
      <c r="J1639" t="s">
        <v>23</v>
      </c>
      <c r="K1639">
        <v>44</v>
      </c>
      <c r="L1639">
        <v>7</v>
      </c>
      <c r="M1639">
        <v>342</v>
      </c>
    </row>
    <row r="1640" spans="1:13">
      <c r="A1640">
        <v>1639</v>
      </c>
      <c r="B1640" s="1">
        <v>45900</v>
      </c>
      <c r="C1640" t="s">
        <v>28</v>
      </c>
      <c r="D1640">
        <v>31</v>
      </c>
      <c r="E1640">
        <v>8</v>
      </c>
      <c r="F1640">
        <v>3</v>
      </c>
      <c r="G1640">
        <v>2025</v>
      </c>
      <c r="H1640" t="s">
        <v>713</v>
      </c>
      <c r="I1640" t="s">
        <v>705</v>
      </c>
      <c r="J1640" t="s">
        <v>60</v>
      </c>
      <c r="K1640">
        <v>59</v>
      </c>
      <c r="L1640">
        <v>4</v>
      </c>
      <c r="M1640">
        <v>241</v>
      </c>
    </row>
    <row r="1641" spans="1:13">
      <c r="A1641">
        <v>1640</v>
      </c>
      <c r="B1641" s="1">
        <v>45900</v>
      </c>
      <c r="C1641" t="s">
        <v>28</v>
      </c>
      <c r="D1641">
        <v>31</v>
      </c>
      <c r="E1641">
        <v>8</v>
      </c>
      <c r="F1641">
        <v>3</v>
      </c>
      <c r="G1641">
        <v>2025</v>
      </c>
      <c r="H1641" t="s">
        <v>713</v>
      </c>
      <c r="I1641" t="s">
        <v>103</v>
      </c>
      <c r="J1641" t="s">
        <v>46</v>
      </c>
      <c r="K1641">
        <v>18</v>
      </c>
      <c r="L1641">
        <v>23</v>
      </c>
      <c r="M1641">
        <v>419</v>
      </c>
    </row>
    <row r="1642" spans="1:13">
      <c r="A1642">
        <v>1641</v>
      </c>
      <c r="B1642" s="1">
        <v>45900</v>
      </c>
      <c r="C1642" t="s">
        <v>28</v>
      </c>
      <c r="D1642">
        <v>31</v>
      </c>
      <c r="E1642">
        <v>8</v>
      </c>
      <c r="F1642">
        <v>3</v>
      </c>
      <c r="G1642">
        <v>2025</v>
      </c>
      <c r="H1642" t="s">
        <v>713</v>
      </c>
      <c r="I1642" t="s">
        <v>107</v>
      </c>
      <c r="J1642" t="s">
        <v>17</v>
      </c>
      <c r="K1642">
        <v>36</v>
      </c>
      <c r="L1642">
        <v>5</v>
      </c>
      <c r="M1642">
        <v>180</v>
      </c>
    </row>
    <row r="1643" spans="1:13">
      <c r="A1643">
        <v>1642</v>
      </c>
      <c r="B1643" s="1">
        <v>45713</v>
      </c>
      <c r="C1643" t="s">
        <v>48</v>
      </c>
      <c r="D1643">
        <v>25</v>
      </c>
      <c r="E1643">
        <v>2</v>
      </c>
      <c r="F1643">
        <v>1</v>
      </c>
      <c r="G1643">
        <v>2025</v>
      </c>
      <c r="H1643" t="s">
        <v>478</v>
      </c>
      <c r="I1643" t="s">
        <v>484</v>
      </c>
      <c r="J1643" t="s">
        <v>25</v>
      </c>
      <c r="K1643">
        <v>11</v>
      </c>
      <c r="L1643">
        <v>10</v>
      </c>
      <c r="M1643">
        <v>117</v>
      </c>
    </row>
    <row r="1644" spans="1:13">
      <c r="A1644">
        <v>1643</v>
      </c>
      <c r="B1644" s="1">
        <v>45713</v>
      </c>
      <c r="C1644" t="s">
        <v>48</v>
      </c>
      <c r="D1644">
        <v>25</v>
      </c>
      <c r="E1644">
        <v>2</v>
      </c>
      <c r="F1644">
        <v>1</v>
      </c>
      <c r="G1644">
        <v>2025</v>
      </c>
      <c r="H1644" t="s">
        <v>478</v>
      </c>
      <c r="I1644" t="s">
        <v>724</v>
      </c>
      <c r="J1644" t="s">
        <v>55</v>
      </c>
      <c r="K1644">
        <v>31</v>
      </c>
      <c r="L1644">
        <v>7</v>
      </c>
      <c r="M1644">
        <v>234</v>
      </c>
    </row>
    <row r="1645" spans="1:13">
      <c r="A1645">
        <v>1644</v>
      </c>
      <c r="B1645" s="1">
        <v>46225</v>
      </c>
      <c r="C1645" t="s">
        <v>34</v>
      </c>
      <c r="D1645">
        <v>22</v>
      </c>
      <c r="E1645">
        <v>7</v>
      </c>
      <c r="F1645">
        <v>3</v>
      </c>
      <c r="G1645">
        <v>2026</v>
      </c>
      <c r="H1645" t="s">
        <v>639</v>
      </c>
      <c r="I1645" t="s">
        <v>598</v>
      </c>
      <c r="J1645" t="s">
        <v>31</v>
      </c>
      <c r="K1645">
        <v>13</v>
      </c>
      <c r="L1645">
        <v>11</v>
      </c>
      <c r="M1645">
        <v>150</v>
      </c>
    </row>
    <row r="1646" spans="1:13">
      <c r="A1646">
        <v>1645</v>
      </c>
      <c r="B1646" s="1">
        <v>46225</v>
      </c>
      <c r="C1646" t="s">
        <v>34</v>
      </c>
      <c r="D1646">
        <v>22</v>
      </c>
      <c r="E1646">
        <v>7</v>
      </c>
      <c r="F1646">
        <v>3</v>
      </c>
      <c r="G1646">
        <v>2026</v>
      </c>
      <c r="H1646" t="s">
        <v>639</v>
      </c>
      <c r="I1646" t="s">
        <v>480</v>
      </c>
      <c r="J1646" t="s">
        <v>57</v>
      </c>
      <c r="K1646">
        <v>50</v>
      </c>
      <c r="L1646">
        <v>3</v>
      </c>
      <c r="M1646">
        <v>186</v>
      </c>
    </row>
    <row r="1647" spans="1:13">
      <c r="A1647">
        <v>1646</v>
      </c>
      <c r="B1647" s="1">
        <v>46225</v>
      </c>
      <c r="C1647" t="s">
        <v>34</v>
      </c>
      <c r="D1647">
        <v>22</v>
      </c>
      <c r="E1647">
        <v>7</v>
      </c>
      <c r="F1647">
        <v>3</v>
      </c>
      <c r="G1647">
        <v>2026</v>
      </c>
      <c r="H1647" t="s">
        <v>639</v>
      </c>
      <c r="I1647" t="s">
        <v>407</v>
      </c>
      <c r="J1647" t="s">
        <v>21</v>
      </c>
      <c r="K1647">
        <v>48</v>
      </c>
      <c r="L1647">
        <v>7</v>
      </c>
      <c r="M1647">
        <v>347</v>
      </c>
    </row>
    <row r="1648" spans="1:13">
      <c r="A1648">
        <v>1647</v>
      </c>
      <c r="B1648" s="1">
        <v>45710</v>
      </c>
      <c r="C1648" t="s">
        <v>14</v>
      </c>
      <c r="D1648">
        <v>22</v>
      </c>
      <c r="E1648">
        <v>2</v>
      </c>
      <c r="F1648">
        <v>1</v>
      </c>
      <c r="G1648">
        <v>2025</v>
      </c>
      <c r="H1648" t="s">
        <v>725</v>
      </c>
      <c r="I1648" t="s">
        <v>661</v>
      </c>
      <c r="J1648" t="s">
        <v>122</v>
      </c>
      <c r="K1648">
        <v>57</v>
      </c>
      <c r="L1648">
        <v>4</v>
      </c>
      <c r="M1648">
        <v>240</v>
      </c>
    </row>
    <row r="1649" spans="1:13">
      <c r="A1649">
        <v>1648</v>
      </c>
      <c r="B1649" s="1">
        <v>45710</v>
      </c>
      <c r="C1649" t="s">
        <v>14</v>
      </c>
      <c r="D1649">
        <v>22</v>
      </c>
      <c r="E1649">
        <v>2</v>
      </c>
      <c r="F1649">
        <v>1</v>
      </c>
      <c r="G1649">
        <v>2025</v>
      </c>
      <c r="H1649" t="s">
        <v>725</v>
      </c>
      <c r="I1649" t="s">
        <v>726</v>
      </c>
      <c r="J1649" t="s">
        <v>100</v>
      </c>
      <c r="K1649">
        <v>24</v>
      </c>
      <c r="L1649">
        <v>8</v>
      </c>
      <c r="M1649">
        <v>211</v>
      </c>
    </row>
    <row r="1650" spans="1:13">
      <c r="A1650">
        <v>1649</v>
      </c>
      <c r="B1650" s="1">
        <v>45710</v>
      </c>
      <c r="C1650" t="s">
        <v>14</v>
      </c>
      <c r="D1650">
        <v>22</v>
      </c>
      <c r="E1650">
        <v>2</v>
      </c>
      <c r="F1650">
        <v>1</v>
      </c>
      <c r="G1650">
        <v>2025</v>
      </c>
      <c r="H1650" t="s">
        <v>725</v>
      </c>
      <c r="I1650" t="s">
        <v>254</v>
      </c>
      <c r="J1650" t="s">
        <v>51</v>
      </c>
      <c r="K1650">
        <v>34</v>
      </c>
      <c r="L1650">
        <v>8</v>
      </c>
      <c r="M1650">
        <v>301</v>
      </c>
    </row>
    <row r="1651" spans="1:13">
      <c r="A1651">
        <v>1650</v>
      </c>
      <c r="B1651" s="1">
        <v>46260</v>
      </c>
      <c r="C1651" t="s">
        <v>34</v>
      </c>
      <c r="D1651">
        <v>26</v>
      </c>
      <c r="E1651">
        <v>8</v>
      </c>
      <c r="F1651">
        <v>3</v>
      </c>
      <c r="G1651">
        <v>2026</v>
      </c>
      <c r="H1651" t="s">
        <v>485</v>
      </c>
      <c r="I1651" t="s">
        <v>314</v>
      </c>
      <c r="J1651" t="s">
        <v>100</v>
      </c>
      <c r="K1651">
        <v>47</v>
      </c>
      <c r="L1651">
        <v>4</v>
      </c>
      <c r="M1651">
        <v>228</v>
      </c>
    </row>
    <row r="1652" spans="1:13">
      <c r="A1652">
        <v>1651</v>
      </c>
      <c r="B1652" s="1">
        <v>46260</v>
      </c>
      <c r="C1652" t="s">
        <v>34</v>
      </c>
      <c r="D1652">
        <v>26</v>
      </c>
      <c r="E1652">
        <v>8</v>
      </c>
      <c r="F1652">
        <v>3</v>
      </c>
      <c r="G1652">
        <v>2026</v>
      </c>
      <c r="H1652" t="s">
        <v>485</v>
      </c>
      <c r="I1652" t="s">
        <v>727</v>
      </c>
      <c r="J1652" t="s">
        <v>97</v>
      </c>
      <c r="K1652">
        <v>49</v>
      </c>
      <c r="L1652">
        <v>5</v>
      </c>
      <c r="M1652">
        <v>269</v>
      </c>
    </row>
    <row r="1653" spans="1:13">
      <c r="A1653">
        <v>1652</v>
      </c>
      <c r="B1653" s="1">
        <v>46260</v>
      </c>
      <c r="C1653" t="s">
        <v>34</v>
      </c>
      <c r="D1653">
        <v>26</v>
      </c>
      <c r="E1653">
        <v>8</v>
      </c>
      <c r="F1653">
        <v>3</v>
      </c>
      <c r="G1653">
        <v>2026</v>
      </c>
      <c r="H1653" t="s">
        <v>485</v>
      </c>
      <c r="I1653" t="s">
        <v>558</v>
      </c>
      <c r="J1653" t="s">
        <v>43</v>
      </c>
      <c r="K1653">
        <v>53</v>
      </c>
      <c r="L1653">
        <v>3</v>
      </c>
      <c r="M1653">
        <v>200</v>
      </c>
    </row>
    <row r="1654" spans="1:13">
      <c r="A1654">
        <v>1653</v>
      </c>
      <c r="B1654" s="1">
        <v>46260</v>
      </c>
      <c r="C1654" t="s">
        <v>34</v>
      </c>
      <c r="D1654">
        <v>26</v>
      </c>
      <c r="E1654">
        <v>8</v>
      </c>
      <c r="F1654">
        <v>3</v>
      </c>
      <c r="G1654">
        <v>2026</v>
      </c>
      <c r="H1654" t="s">
        <v>485</v>
      </c>
      <c r="I1654" t="s">
        <v>673</v>
      </c>
      <c r="J1654" t="s">
        <v>100</v>
      </c>
      <c r="K1654">
        <v>42</v>
      </c>
      <c r="L1654">
        <v>3</v>
      </c>
      <c r="M1654">
        <v>167</v>
      </c>
    </row>
    <row r="1655" spans="1:13">
      <c r="A1655">
        <v>1654</v>
      </c>
      <c r="B1655" s="1">
        <v>46260</v>
      </c>
      <c r="C1655" t="s">
        <v>34</v>
      </c>
      <c r="D1655">
        <v>26</v>
      </c>
      <c r="E1655">
        <v>8</v>
      </c>
      <c r="F1655">
        <v>3</v>
      </c>
      <c r="G1655">
        <v>2026</v>
      </c>
      <c r="H1655" t="s">
        <v>485</v>
      </c>
      <c r="I1655" t="s">
        <v>428</v>
      </c>
      <c r="J1655" t="s">
        <v>31</v>
      </c>
      <c r="K1655">
        <v>53</v>
      </c>
      <c r="L1655">
        <v>7</v>
      </c>
      <c r="M1655">
        <v>411</v>
      </c>
    </row>
    <row r="1656" spans="1:13">
      <c r="A1656">
        <v>1655</v>
      </c>
      <c r="B1656" s="1">
        <v>46260</v>
      </c>
      <c r="C1656" t="s">
        <v>34</v>
      </c>
      <c r="D1656">
        <v>26</v>
      </c>
      <c r="E1656">
        <v>8</v>
      </c>
      <c r="F1656">
        <v>3</v>
      </c>
      <c r="G1656">
        <v>2026</v>
      </c>
      <c r="H1656" t="s">
        <v>485</v>
      </c>
      <c r="I1656" t="s">
        <v>728</v>
      </c>
      <c r="J1656" t="s">
        <v>46</v>
      </c>
      <c r="K1656">
        <v>55</v>
      </c>
      <c r="L1656">
        <v>3</v>
      </c>
      <c r="M1656">
        <v>206</v>
      </c>
    </row>
    <row r="1657" spans="1:13">
      <c r="A1657">
        <v>1656</v>
      </c>
      <c r="B1657" s="1">
        <v>46260</v>
      </c>
      <c r="C1657" t="s">
        <v>34</v>
      </c>
      <c r="D1657">
        <v>26</v>
      </c>
      <c r="E1657">
        <v>8</v>
      </c>
      <c r="F1657">
        <v>3</v>
      </c>
      <c r="G1657">
        <v>2026</v>
      </c>
      <c r="H1657" t="s">
        <v>485</v>
      </c>
      <c r="I1657" t="s">
        <v>670</v>
      </c>
      <c r="J1657" t="s">
        <v>57</v>
      </c>
      <c r="K1657">
        <v>60</v>
      </c>
      <c r="L1657">
        <v>5</v>
      </c>
      <c r="M1657">
        <v>307</v>
      </c>
    </row>
    <row r="1658" spans="1:13">
      <c r="A1658">
        <v>1657</v>
      </c>
      <c r="B1658" s="1">
        <v>46260</v>
      </c>
      <c r="C1658" t="s">
        <v>34</v>
      </c>
      <c r="D1658">
        <v>26</v>
      </c>
      <c r="E1658">
        <v>8</v>
      </c>
      <c r="F1658">
        <v>3</v>
      </c>
      <c r="G1658">
        <v>2026</v>
      </c>
      <c r="H1658" t="s">
        <v>485</v>
      </c>
      <c r="I1658" t="s">
        <v>361</v>
      </c>
      <c r="J1658" t="s">
        <v>37</v>
      </c>
      <c r="K1658">
        <v>31</v>
      </c>
      <c r="L1658">
        <v>9</v>
      </c>
      <c r="M1658">
        <v>291</v>
      </c>
    </row>
    <row r="1659" spans="1:13">
      <c r="A1659">
        <v>1658</v>
      </c>
      <c r="B1659" s="1">
        <v>46260</v>
      </c>
      <c r="C1659" t="s">
        <v>34</v>
      </c>
      <c r="D1659">
        <v>26</v>
      </c>
      <c r="E1659">
        <v>8</v>
      </c>
      <c r="F1659">
        <v>3</v>
      </c>
      <c r="G1659">
        <v>2026</v>
      </c>
      <c r="H1659" t="s">
        <v>485</v>
      </c>
      <c r="I1659" t="s">
        <v>77</v>
      </c>
      <c r="J1659" t="s">
        <v>17</v>
      </c>
      <c r="K1659">
        <v>18</v>
      </c>
      <c r="L1659">
        <v>18</v>
      </c>
      <c r="M1659">
        <v>328</v>
      </c>
    </row>
    <row r="1660" spans="1:13">
      <c r="A1660">
        <v>1659</v>
      </c>
      <c r="B1660" s="1">
        <v>46260</v>
      </c>
      <c r="C1660" t="s">
        <v>34</v>
      </c>
      <c r="D1660">
        <v>26</v>
      </c>
      <c r="E1660">
        <v>8</v>
      </c>
      <c r="F1660">
        <v>3</v>
      </c>
      <c r="G1660">
        <v>2026</v>
      </c>
      <c r="H1660" t="s">
        <v>485</v>
      </c>
      <c r="I1660" t="s">
        <v>268</v>
      </c>
      <c r="J1660" t="s">
        <v>97</v>
      </c>
      <c r="K1660">
        <v>55</v>
      </c>
      <c r="L1660">
        <v>5</v>
      </c>
      <c r="M1660">
        <v>290</v>
      </c>
    </row>
    <row r="1661" spans="1:13">
      <c r="A1661">
        <v>1660</v>
      </c>
      <c r="B1661" s="1">
        <v>45588</v>
      </c>
      <c r="C1661" t="s">
        <v>34</v>
      </c>
      <c r="D1661">
        <v>23</v>
      </c>
      <c r="E1661">
        <v>10</v>
      </c>
      <c r="F1661">
        <v>4</v>
      </c>
      <c r="G1661">
        <v>2024</v>
      </c>
      <c r="H1661" t="s">
        <v>729</v>
      </c>
      <c r="I1661" t="s">
        <v>176</v>
      </c>
      <c r="J1661" t="s">
        <v>21</v>
      </c>
      <c r="K1661">
        <v>11</v>
      </c>
      <c r="L1661">
        <v>30</v>
      </c>
      <c r="M1661">
        <v>332</v>
      </c>
    </row>
    <row r="1662" spans="1:13">
      <c r="A1662">
        <v>1661</v>
      </c>
      <c r="B1662" s="1">
        <v>46232</v>
      </c>
      <c r="C1662" t="s">
        <v>34</v>
      </c>
      <c r="D1662">
        <v>29</v>
      </c>
      <c r="E1662">
        <v>7</v>
      </c>
      <c r="F1662">
        <v>3</v>
      </c>
      <c r="G1662">
        <v>2026</v>
      </c>
      <c r="H1662" t="s">
        <v>334</v>
      </c>
      <c r="I1662" t="s">
        <v>63</v>
      </c>
      <c r="J1662" t="s">
        <v>25</v>
      </c>
      <c r="K1662">
        <v>58</v>
      </c>
      <c r="L1662">
        <v>3</v>
      </c>
      <c r="M1662">
        <v>203</v>
      </c>
    </row>
    <row r="1663" spans="1:13">
      <c r="A1663">
        <v>1662</v>
      </c>
      <c r="B1663" s="1">
        <v>46232</v>
      </c>
      <c r="C1663" t="s">
        <v>34</v>
      </c>
      <c r="D1663">
        <v>29</v>
      </c>
      <c r="E1663">
        <v>7</v>
      </c>
      <c r="F1663">
        <v>3</v>
      </c>
      <c r="G1663">
        <v>2026</v>
      </c>
      <c r="H1663" t="s">
        <v>334</v>
      </c>
      <c r="I1663" t="s">
        <v>507</v>
      </c>
      <c r="J1663" t="s">
        <v>55</v>
      </c>
      <c r="K1663">
        <v>12</v>
      </c>
      <c r="L1663">
        <v>18</v>
      </c>
      <c r="M1663">
        <v>218</v>
      </c>
    </row>
    <row r="1664" spans="1:13">
      <c r="A1664">
        <v>1663</v>
      </c>
      <c r="B1664" s="1">
        <v>46232</v>
      </c>
      <c r="C1664" t="s">
        <v>34</v>
      </c>
      <c r="D1664">
        <v>29</v>
      </c>
      <c r="E1664">
        <v>7</v>
      </c>
      <c r="F1664">
        <v>3</v>
      </c>
      <c r="G1664">
        <v>2026</v>
      </c>
      <c r="H1664" t="s">
        <v>334</v>
      </c>
      <c r="I1664" t="s">
        <v>565</v>
      </c>
      <c r="J1664" t="s">
        <v>17</v>
      </c>
      <c r="K1664">
        <v>33</v>
      </c>
      <c r="L1664">
        <v>2</v>
      </c>
      <c r="M1664">
        <v>95</v>
      </c>
    </row>
    <row r="1665" spans="1:13">
      <c r="A1665">
        <v>1664</v>
      </c>
      <c r="B1665" s="1">
        <v>46232</v>
      </c>
      <c r="C1665" t="s">
        <v>34</v>
      </c>
      <c r="D1665">
        <v>29</v>
      </c>
      <c r="E1665">
        <v>7</v>
      </c>
      <c r="F1665">
        <v>3</v>
      </c>
      <c r="G1665">
        <v>2026</v>
      </c>
      <c r="H1665" t="s">
        <v>334</v>
      </c>
      <c r="I1665" t="s">
        <v>321</v>
      </c>
      <c r="J1665" t="s">
        <v>17</v>
      </c>
      <c r="K1665">
        <v>32</v>
      </c>
      <c r="L1665">
        <v>10</v>
      </c>
      <c r="M1665">
        <v>342</v>
      </c>
    </row>
    <row r="1666" spans="1:13">
      <c r="A1666">
        <v>1665</v>
      </c>
      <c r="B1666" s="1">
        <v>46232</v>
      </c>
      <c r="C1666" t="s">
        <v>34</v>
      </c>
      <c r="D1666">
        <v>29</v>
      </c>
      <c r="E1666">
        <v>7</v>
      </c>
      <c r="F1666">
        <v>3</v>
      </c>
      <c r="G1666">
        <v>2026</v>
      </c>
      <c r="H1666" t="s">
        <v>334</v>
      </c>
      <c r="I1666" t="s">
        <v>434</v>
      </c>
      <c r="J1666" t="s">
        <v>57</v>
      </c>
      <c r="K1666">
        <v>26</v>
      </c>
      <c r="L1666">
        <v>3</v>
      </c>
      <c r="M1666">
        <v>100</v>
      </c>
    </row>
    <row r="1667" spans="1:13">
      <c r="A1667">
        <v>1666</v>
      </c>
      <c r="B1667" s="1">
        <v>46232</v>
      </c>
      <c r="C1667" t="s">
        <v>34</v>
      </c>
      <c r="D1667">
        <v>29</v>
      </c>
      <c r="E1667">
        <v>7</v>
      </c>
      <c r="F1667">
        <v>3</v>
      </c>
      <c r="G1667">
        <v>2026</v>
      </c>
      <c r="H1667" t="s">
        <v>334</v>
      </c>
      <c r="I1667" t="s">
        <v>143</v>
      </c>
      <c r="J1667" t="s">
        <v>69</v>
      </c>
      <c r="K1667">
        <v>44</v>
      </c>
      <c r="L1667">
        <v>6</v>
      </c>
      <c r="M1667">
        <v>268</v>
      </c>
    </row>
    <row r="1668" spans="1:13">
      <c r="A1668">
        <v>1667</v>
      </c>
      <c r="B1668" s="1">
        <v>46232</v>
      </c>
      <c r="C1668" t="s">
        <v>34</v>
      </c>
      <c r="D1668">
        <v>29</v>
      </c>
      <c r="E1668">
        <v>7</v>
      </c>
      <c r="F1668">
        <v>3</v>
      </c>
      <c r="G1668">
        <v>2026</v>
      </c>
      <c r="H1668" t="s">
        <v>334</v>
      </c>
      <c r="I1668" t="s">
        <v>216</v>
      </c>
      <c r="J1668" t="s">
        <v>100</v>
      </c>
      <c r="K1668">
        <v>26</v>
      </c>
      <c r="L1668">
        <v>8</v>
      </c>
      <c r="M1668">
        <v>230</v>
      </c>
    </row>
    <row r="1669" spans="1:13">
      <c r="A1669">
        <v>1668</v>
      </c>
      <c r="B1669" s="1">
        <v>46232</v>
      </c>
      <c r="C1669" t="s">
        <v>34</v>
      </c>
      <c r="D1669">
        <v>29</v>
      </c>
      <c r="E1669">
        <v>7</v>
      </c>
      <c r="F1669">
        <v>3</v>
      </c>
      <c r="G1669">
        <v>2026</v>
      </c>
      <c r="H1669" t="s">
        <v>334</v>
      </c>
      <c r="I1669" t="s">
        <v>730</v>
      </c>
      <c r="J1669" t="s">
        <v>51</v>
      </c>
      <c r="K1669">
        <v>40</v>
      </c>
      <c r="L1669">
        <v>10</v>
      </c>
      <c r="M1669">
        <v>419</v>
      </c>
    </row>
    <row r="1670" spans="1:13">
      <c r="A1670">
        <v>1669</v>
      </c>
      <c r="B1670" s="1">
        <v>45846</v>
      </c>
      <c r="C1670" t="s">
        <v>48</v>
      </c>
      <c r="D1670">
        <v>8</v>
      </c>
      <c r="E1670">
        <v>7</v>
      </c>
      <c r="F1670">
        <v>3</v>
      </c>
      <c r="G1670">
        <v>2025</v>
      </c>
      <c r="H1670" t="s">
        <v>623</v>
      </c>
      <c r="I1670" t="s">
        <v>153</v>
      </c>
      <c r="J1670" t="s">
        <v>37</v>
      </c>
      <c r="K1670">
        <v>60</v>
      </c>
      <c r="L1670">
        <v>5</v>
      </c>
      <c r="M1670">
        <v>343</v>
      </c>
    </row>
    <row r="1671" spans="1:13">
      <c r="A1671">
        <v>1670</v>
      </c>
      <c r="B1671" s="1">
        <v>45846</v>
      </c>
      <c r="C1671" t="s">
        <v>48</v>
      </c>
      <c r="D1671">
        <v>8</v>
      </c>
      <c r="E1671">
        <v>7</v>
      </c>
      <c r="F1671">
        <v>3</v>
      </c>
      <c r="G1671">
        <v>2025</v>
      </c>
      <c r="H1671" t="s">
        <v>623</v>
      </c>
      <c r="I1671" t="s">
        <v>520</v>
      </c>
      <c r="J1671" t="s">
        <v>122</v>
      </c>
      <c r="K1671">
        <v>12</v>
      </c>
      <c r="L1671">
        <v>30</v>
      </c>
      <c r="M1671">
        <v>371</v>
      </c>
    </row>
    <row r="1672" spans="1:13">
      <c r="A1672">
        <v>1671</v>
      </c>
      <c r="B1672" s="1">
        <v>45846</v>
      </c>
      <c r="C1672" t="s">
        <v>48</v>
      </c>
      <c r="D1672">
        <v>8</v>
      </c>
      <c r="E1672">
        <v>7</v>
      </c>
      <c r="F1672">
        <v>3</v>
      </c>
      <c r="G1672">
        <v>2025</v>
      </c>
      <c r="H1672" t="s">
        <v>623</v>
      </c>
      <c r="I1672" t="s">
        <v>625</v>
      </c>
      <c r="J1672" t="s">
        <v>43</v>
      </c>
      <c r="K1672">
        <v>52</v>
      </c>
      <c r="L1672">
        <v>6</v>
      </c>
      <c r="M1672">
        <v>357</v>
      </c>
    </row>
    <row r="1673" spans="1:13">
      <c r="A1673">
        <v>1672</v>
      </c>
      <c r="B1673" s="1">
        <v>45846</v>
      </c>
      <c r="C1673" t="s">
        <v>48</v>
      </c>
      <c r="D1673">
        <v>8</v>
      </c>
      <c r="E1673">
        <v>7</v>
      </c>
      <c r="F1673">
        <v>3</v>
      </c>
      <c r="G1673">
        <v>2025</v>
      </c>
      <c r="H1673" t="s">
        <v>623</v>
      </c>
      <c r="I1673" t="s">
        <v>444</v>
      </c>
      <c r="J1673" t="s">
        <v>37</v>
      </c>
      <c r="K1673">
        <v>27</v>
      </c>
      <c r="L1673">
        <v>11</v>
      </c>
      <c r="M1673">
        <v>316</v>
      </c>
    </row>
    <row r="1674" spans="1:13">
      <c r="A1674">
        <v>1673</v>
      </c>
      <c r="B1674" s="1">
        <v>45846</v>
      </c>
      <c r="C1674" t="s">
        <v>48</v>
      </c>
      <c r="D1674">
        <v>8</v>
      </c>
      <c r="E1674">
        <v>7</v>
      </c>
      <c r="F1674">
        <v>3</v>
      </c>
      <c r="G1674">
        <v>2025</v>
      </c>
      <c r="H1674" t="s">
        <v>623</v>
      </c>
      <c r="I1674" t="s">
        <v>731</v>
      </c>
      <c r="J1674" t="s">
        <v>21</v>
      </c>
      <c r="K1674">
        <v>50</v>
      </c>
      <c r="L1674">
        <v>4</v>
      </c>
      <c r="M1674">
        <v>208</v>
      </c>
    </row>
    <row r="1675" spans="1:13">
      <c r="A1675">
        <v>1674</v>
      </c>
      <c r="B1675" s="1">
        <v>45846</v>
      </c>
      <c r="C1675" t="s">
        <v>48</v>
      </c>
      <c r="D1675">
        <v>8</v>
      </c>
      <c r="E1675">
        <v>7</v>
      </c>
      <c r="F1675">
        <v>3</v>
      </c>
      <c r="G1675">
        <v>2025</v>
      </c>
      <c r="H1675" t="s">
        <v>623</v>
      </c>
      <c r="I1675" t="s">
        <v>217</v>
      </c>
      <c r="J1675" t="s">
        <v>60</v>
      </c>
      <c r="K1675">
        <v>48</v>
      </c>
      <c r="L1675">
        <v>6</v>
      </c>
      <c r="M1675">
        <v>294</v>
      </c>
    </row>
    <row r="1676" spans="1:13">
      <c r="A1676">
        <v>1675</v>
      </c>
      <c r="B1676" s="1">
        <v>45846</v>
      </c>
      <c r="C1676" t="s">
        <v>48</v>
      </c>
      <c r="D1676">
        <v>8</v>
      </c>
      <c r="E1676">
        <v>7</v>
      </c>
      <c r="F1676">
        <v>3</v>
      </c>
      <c r="G1676">
        <v>2025</v>
      </c>
      <c r="H1676" t="s">
        <v>623</v>
      </c>
      <c r="I1676" t="s">
        <v>214</v>
      </c>
      <c r="J1676" t="s">
        <v>69</v>
      </c>
      <c r="K1676">
        <v>43</v>
      </c>
      <c r="L1676">
        <v>5</v>
      </c>
      <c r="M1676">
        <v>240</v>
      </c>
    </row>
    <row r="1677" spans="1:13">
      <c r="A1677">
        <v>1676</v>
      </c>
      <c r="B1677" s="1">
        <v>45767</v>
      </c>
      <c r="C1677" t="s">
        <v>28</v>
      </c>
      <c r="D1677">
        <v>20</v>
      </c>
      <c r="E1677">
        <v>4</v>
      </c>
      <c r="F1677">
        <v>2</v>
      </c>
      <c r="G1677">
        <v>2025</v>
      </c>
      <c r="H1677" t="s">
        <v>80</v>
      </c>
      <c r="I1677" t="s">
        <v>320</v>
      </c>
      <c r="J1677" t="s">
        <v>21</v>
      </c>
      <c r="K1677">
        <v>27</v>
      </c>
      <c r="L1677">
        <v>17</v>
      </c>
      <c r="M1677">
        <v>464</v>
      </c>
    </row>
    <row r="1678" spans="1:13">
      <c r="A1678">
        <v>1677</v>
      </c>
      <c r="B1678" s="1">
        <v>45767</v>
      </c>
      <c r="C1678" t="s">
        <v>28</v>
      </c>
      <c r="D1678">
        <v>20</v>
      </c>
      <c r="E1678">
        <v>4</v>
      </c>
      <c r="F1678">
        <v>2</v>
      </c>
      <c r="G1678">
        <v>2025</v>
      </c>
      <c r="H1678" t="s">
        <v>80</v>
      </c>
      <c r="I1678" t="s">
        <v>236</v>
      </c>
      <c r="J1678" t="s">
        <v>60</v>
      </c>
      <c r="K1678">
        <v>23</v>
      </c>
      <c r="L1678">
        <v>12</v>
      </c>
      <c r="M1678">
        <v>290</v>
      </c>
    </row>
    <row r="1679" spans="1:13">
      <c r="A1679">
        <v>1678</v>
      </c>
      <c r="B1679" s="1">
        <v>45767</v>
      </c>
      <c r="C1679" t="s">
        <v>28</v>
      </c>
      <c r="D1679">
        <v>20</v>
      </c>
      <c r="E1679">
        <v>4</v>
      </c>
      <c r="F1679">
        <v>2</v>
      </c>
      <c r="G1679">
        <v>2025</v>
      </c>
      <c r="H1679" t="s">
        <v>80</v>
      </c>
      <c r="I1679" t="s">
        <v>709</v>
      </c>
      <c r="J1679" t="s">
        <v>25</v>
      </c>
      <c r="K1679">
        <v>36</v>
      </c>
      <c r="L1679">
        <v>7</v>
      </c>
      <c r="M1679">
        <v>279</v>
      </c>
    </row>
    <row r="1680" spans="1:13">
      <c r="A1680">
        <v>1679</v>
      </c>
      <c r="B1680" s="1">
        <v>45767</v>
      </c>
      <c r="C1680" t="s">
        <v>28</v>
      </c>
      <c r="D1680">
        <v>20</v>
      </c>
      <c r="E1680">
        <v>4</v>
      </c>
      <c r="F1680">
        <v>2</v>
      </c>
      <c r="G1680">
        <v>2025</v>
      </c>
      <c r="H1680" t="s">
        <v>80</v>
      </c>
      <c r="I1680" t="s">
        <v>615</v>
      </c>
      <c r="J1680" t="s">
        <v>100</v>
      </c>
      <c r="K1680">
        <v>48</v>
      </c>
      <c r="L1680">
        <v>2</v>
      </c>
      <c r="M1680">
        <v>138</v>
      </c>
    </row>
    <row r="1681" spans="1:13">
      <c r="A1681">
        <v>1680</v>
      </c>
      <c r="B1681" s="1">
        <v>45767</v>
      </c>
      <c r="C1681" t="s">
        <v>28</v>
      </c>
      <c r="D1681">
        <v>20</v>
      </c>
      <c r="E1681">
        <v>4</v>
      </c>
      <c r="F1681">
        <v>2</v>
      </c>
      <c r="G1681">
        <v>2025</v>
      </c>
      <c r="H1681" t="s">
        <v>80</v>
      </c>
      <c r="I1681" t="s">
        <v>584</v>
      </c>
      <c r="J1681" t="s">
        <v>19</v>
      </c>
      <c r="K1681">
        <v>47</v>
      </c>
      <c r="L1681">
        <v>5</v>
      </c>
      <c r="M1681">
        <v>279</v>
      </c>
    </row>
    <row r="1682" spans="1:13">
      <c r="A1682">
        <v>1681</v>
      </c>
      <c r="B1682" s="1">
        <v>45767</v>
      </c>
      <c r="C1682" t="s">
        <v>28</v>
      </c>
      <c r="D1682">
        <v>20</v>
      </c>
      <c r="E1682">
        <v>4</v>
      </c>
      <c r="F1682">
        <v>2</v>
      </c>
      <c r="G1682">
        <v>2025</v>
      </c>
      <c r="H1682" t="s">
        <v>80</v>
      </c>
      <c r="I1682" t="s">
        <v>493</v>
      </c>
      <c r="J1682" t="s">
        <v>46</v>
      </c>
      <c r="K1682">
        <v>41</v>
      </c>
      <c r="L1682">
        <v>4</v>
      </c>
      <c r="M1682">
        <v>166</v>
      </c>
    </row>
    <row r="1683" spans="1:13">
      <c r="A1683">
        <v>1682</v>
      </c>
      <c r="B1683" s="1">
        <v>45767</v>
      </c>
      <c r="C1683" t="s">
        <v>28</v>
      </c>
      <c r="D1683">
        <v>20</v>
      </c>
      <c r="E1683">
        <v>4</v>
      </c>
      <c r="F1683">
        <v>2</v>
      </c>
      <c r="G1683">
        <v>2025</v>
      </c>
      <c r="H1683" t="s">
        <v>80</v>
      </c>
      <c r="I1683" t="s">
        <v>143</v>
      </c>
      <c r="J1683" t="s">
        <v>69</v>
      </c>
      <c r="K1683">
        <v>29</v>
      </c>
      <c r="L1683">
        <v>9</v>
      </c>
      <c r="M1683">
        <v>266</v>
      </c>
    </row>
    <row r="1684" spans="1:13">
      <c r="A1684">
        <v>1683</v>
      </c>
      <c r="B1684" s="1">
        <v>45767</v>
      </c>
      <c r="C1684" t="s">
        <v>28</v>
      </c>
      <c r="D1684">
        <v>20</v>
      </c>
      <c r="E1684">
        <v>4</v>
      </c>
      <c r="F1684">
        <v>2</v>
      </c>
      <c r="G1684">
        <v>2025</v>
      </c>
      <c r="H1684" t="s">
        <v>80</v>
      </c>
      <c r="I1684" t="s">
        <v>583</v>
      </c>
      <c r="J1684" t="s">
        <v>19</v>
      </c>
      <c r="K1684">
        <v>44</v>
      </c>
      <c r="L1684">
        <v>3</v>
      </c>
      <c r="M1684">
        <v>150</v>
      </c>
    </row>
    <row r="1685" spans="1:13">
      <c r="A1685">
        <v>1684</v>
      </c>
      <c r="B1685" s="1">
        <v>45767</v>
      </c>
      <c r="C1685" t="s">
        <v>28</v>
      </c>
      <c r="D1685">
        <v>20</v>
      </c>
      <c r="E1685">
        <v>4</v>
      </c>
      <c r="F1685">
        <v>2</v>
      </c>
      <c r="G1685">
        <v>2025</v>
      </c>
      <c r="H1685" t="s">
        <v>80</v>
      </c>
      <c r="I1685" t="s">
        <v>648</v>
      </c>
      <c r="J1685" t="s">
        <v>57</v>
      </c>
      <c r="K1685">
        <v>20</v>
      </c>
      <c r="L1685">
        <v>10</v>
      </c>
      <c r="M1685">
        <v>203</v>
      </c>
    </row>
    <row r="1686" spans="1:13">
      <c r="A1686">
        <v>1685</v>
      </c>
      <c r="B1686" s="1">
        <v>45767</v>
      </c>
      <c r="C1686" t="s">
        <v>28</v>
      </c>
      <c r="D1686">
        <v>20</v>
      </c>
      <c r="E1686">
        <v>4</v>
      </c>
      <c r="F1686">
        <v>2</v>
      </c>
      <c r="G1686">
        <v>2025</v>
      </c>
      <c r="H1686" t="s">
        <v>80</v>
      </c>
      <c r="I1686" t="s">
        <v>390</v>
      </c>
      <c r="J1686" t="s">
        <v>82</v>
      </c>
      <c r="K1686">
        <v>48</v>
      </c>
      <c r="L1686">
        <v>2</v>
      </c>
      <c r="M1686">
        <v>122</v>
      </c>
    </row>
    <row r="1687" spans="1:13">
      <c r="A1687">
        <v>1686</v>
      </c>
      <c r="B1687" s="1">
        <v>45767</v>
      </c>
      <c r="C1687" t="s">
        <v>28</v>
      </c>
      <c r="D1687">
        <v>20</v>
      </c>
      <c r="E1687">
        <v>4</v>
      </c>
      <c r="F1687">
        <v>2</v>
      </c>
      <c r="G1687">
        <v>2025</v>
      </c>
      <c r="H1687" t="s">
        <v>80</v>
      </c>
      <c r="I1687" t="s">
        <v>481</v>
      </c>
      <c r="J1687" t="s">
        <v>69</v>
      </c>
      <c r="K1687">
        <v>58</v>
      </c>
      <c r="L1687">
        <v>4</v>
      </c>
      <c r="M1687">
        <v>237</v>
      </c>
    </row>
    <row r="1688" spans="1:13">
      <c r="A1688">
        <v>1687</v>
      </c>
      <c r="B1688" s="1">
        <v>45860</v>
      </c>
      <c r="C1688" t="s">
        <v>48</v>
      </c>
      <c r="D1688">
        <v>22</v>
      </c>
      <c r="E1688">
        <v>7</v>
      </c>
      <c r="F1688">
        <v>3</v>
      </c>
      <c r="G1688">
        <v>2025</v>
      </c>
      <c r="H1688" t="s">
        <v>562</v>
      </c>
      <c r="I1688" t="s">
        <v>281</v>
      </c>
      <c r="J1688" t="s">
        <v>51</v>
      </c>
      <c r="K1688">
        <v>26</v>
      </c>
      <c r="L1688">
        <v>9</v>
      </c>
      <c r="M1688">
        <v>250</v>
      </c>
    </row>
    <row r="1689" spans="1:13">
      <c r="A1689">
        <v>1688</v>
      </c>
      <c r="B1689" s="1">
        <v>45860</v>
      </c>
      <c r="C1689" t="s">
        <v>48</v>
      </c>
      <c r="D1689">
        <v>22</v>
      </c>
      <c r="E1689">
        <v>7</v>
      </c>
      <c r="F1689">
        <v>3</v>
      </c>
      <c r="G1689">
        <v>2025</v>
      </c>
      <c r="H1689" t="s">
        <v>562</v>
      </c>
      <c r="I1689" t="s">
        <v>569</v>
      </c>
      <c r="J1689" t="s">
        <v>43</v>
      </c>
      <c r="K1689">
        <v>31</v>
      </c>
      <c r="L1689">
        <v>7</v>
      </c>
      <c r="M1689">
        <v>242</v>
      </c>
    </row>
    <row r="1690" spans="1:13">
      <c r="A1690">
        <v>1689</v>
      </c>
      <c r="B1690" s="1">
        <v>45860</v>
      </c>
      <c r="C1690" t="s">
        <v>48</v>
      </c>
      <c r="D1690">
        <v>22</v>
      </c>
      <c r="E1690">
        <v>7</v>
      </c>
      <c r="F1690">
        <v>3</v>
      </c>
      <c r="G1690">
        <v>2025</v>
      </c>
      <c r="H1690" t="s">
        <v>562</v>
      </c>
      <c r="I1690" t="s">
        <v>401</v>
      </c>
      <c r="J1690" t="s">
        <v>31</v>
      </c>
      <c r="K1690">
        <v>33</v>
      </c>
      <c r="L1690">
        <v>12</v>
      </c>
      <c r="M1690">
        <v>416</v>
      </c>
    </row>
    <row r="1691" spans="1:13">
      <c r="A1691">
        <v>1690</v>
      </c>
      <c r="B1691" s="1">
        <v>45860</v>
      </c>
      <c r="C1691" t="s">
        <v>48</v>
      </c>
      <c r="D1691">
        <v>22</v>
      </c>
      <c r="E1691">
        <v>7</v>
      </c>
      <c r="F1691">
        <v>3</v>
      </c>
      <c r="G1691">
        <v>2025</v>
      </c>
      <c r="H1691" t="s">
        <v>562</v>
      </c>
      <c r="I1691" t="s">
        <v>483</v>
      </c>
      <c r="J1691" t="s">
        <v>100</v>
      </c>
      <c r="K1691">
        <v>32</v>
      </c>
      <c r="L1691">
        <v>15</v>
      </c>
      <c r="M1691">
        <v>485</v>
      </c>
    </row>
    <row r="1692" spans="1:13">
      <c r="A1692">
        <v>1691</v>
      </c>
      <c r="B1692" s="1">
        <v>45860</v>
      </c>
      <c r="C1692" t="s">
        <v>48</v>
      </c>
      <c r="D1692">
        <v>22</v>
      </c>
      <c r="E1692">
        <v>7</v>
      </c>
      <c r="F1692">
        <v>3</v>
      </c>
      <c r="G1692">
        <v>2025</v>
      </c>
      <c r="H1692" t="s">
        <v>562</v>
      </c>
      <c r="I1692" t="s">
        <v>395</v>
      </c>
      <c r="J1692" t="s">
        <v>19</v>
      </c>
      <c r="K1692">
        <v>23</v>
      </c>
      <c r="L1692">
        <v>17</v>
      </c>
      <c r="M1692">
        <v>413</v>
      </c>
    </row>
    <row r="1693" spans="1:13">
      <c r="A1693">
        <v>1692</v>
      </c>
      <c r="B1693" s="1">
        <v>45860</v>
      </c>
      <c r="C1693" t="s">
        <v>48</v>
      </c>
      <c r="D1693">
        <v>22</v>
      </c>
      <c r="E1693">
        <v>7</v>
      </c>
      <c r="F1693">
        <v>3</v>
      </c>
      <c r="G1693">
        <v>2025</v>
      </c>
      <c r="H1693" t="s">
        <v>562</v>
      </c>
      <c r="I1693" t="s">
        <v>67</v>
      </c>
      <c r="J1693" t="s">
        <v>31</v>
      </c>
      <c r="K1693">
        <v>45</v>
      </c>
      <c r="L1693">
        <v>4</v>
      </c>
      <c r="M1693">
        <v>203</v>
      </c>
    </row>
    <row r="1694" spans="1:13">
      <c r="A1694">
        <v>1693</v>
      </c>
      <c r="B1694" s="1">
        <v>45860</v>
      </c>
      <c r="C1694" t="s">
        <v>48</v>
      </c>
      <c r="D1694">
        <v>22</v>
      </c>
      <c r="E1694">
        <v>7</v>
      </c>
      <c r="F1694">
        <v>3</v>
      </c>
      <c r="G1694">
        <v>2025</v>
      </c>
      <c r="H1694" t="s">
        <v>562</v>
      </c>
      <c r="I1694" t="s">
        <v>676</v>
      </c>
      <c r="J1694" t="s">
        <v>69</v>
      </c>
      <c r="K1694">
        <v>46</v>
      </c>
      <c r="L1694">
        <v>6</v>
      </c>
      <c r="M1694">
        <v>298</v>
      </c>
    </row>
    <row r="1695" spans="1:13">
      <c r="A1695">
        <v>1694</v>
      </c>
      <c r="B1695" s="1">
        <v>45860</v>
      </c>
      <c r="C1695" t="s">
        <v>48</v>
      </c>
      <c r="D1695">
        <v>22</v>
      </c>
      <c r="E1695">
        <v>7</v>
      </c>
      <c r="F1695">
        <v>3</v>
      </c>
      <c r="G1695">
        <v>2025</v>
      </c>
      <c r="H1695" t="s">
        <v>562</v>
      </c>
      <c r="I1695" t="s">
        <v>433</v>
      </c>
      <c r="J1695" t="s">
        <v>100</v>
      </c>
      <c r="K1695">
        <v>45</v>
      </c>
      <c r="L1695">
        <v>7</v>
      </c>
      <c r="M1695">
        <v>340</v>
      </c>
    </row>
    <row r="1696" spans="1:13">
      <c r="A1696">
        <v>1695</v>
      </c>
      <c r="B1696" s="1">
        <v>45860</v>
      </c>
      <c r="C1696" t="s">
        <v>48</v>
      </c>
      <c r="D1696">
        <v>22</v>
      </c>
      <c r="E1696">
        <v>7</v>
      </c>
      <c r="F1696">
        <v>3</v>
      </c>
      <c r="G1696">
        <v>2025</v>
      </c>
      <c r="H1696" t="s">
        <v>562</v>
      </c>
      <c r="I1696" t="s">
        <v>397</v>
      </c>
      <c r="J1696" t="s">
        <v>31</v>
      </c>
      <c r="K1696">
        <v>22</v>
      </c>
      <c r="L1696">
        <v>16</v>
      </c>
      <c r="M1696">
        <v>366</v>
      </c>
    </row>
    <row r="1697" spans="1:13">
      <c r="A1697">
        <v>1696</v>
      </c>
      <c r="B1697" s="1">
        <v>45766</v>
      </c>
      <c r="C1697" t="s">
        <v>14</v>
      </c>
      <c r="D1697">
        <v>19</v>
      </c>
      <c r="E1697">
        <v>4</v>
      </c>
      <c r="F1697">
        <v>2</v>
      </c>
      <c r="G1697">
        <v>2025</v>
      </c>
      <c r="H1697" t="s">
        <v>49</v>
      </c>
      <c r="I1697" t="s">
        <v>594</v>
      </c>
      <c r="J1697" t="s">
        <v>43</v>
      </c>
      <c r="K1697">
        <v>35</v>
      </c>
      <c r="L1697">
        <v>5</v>
      </c>
      <c r="M1697">
        <v>193</v>
      </c>
    </row>
    <row r="1698" spans="1:13">
      <c r="A1698">
        <v>1697</v>
      </c>
      <c r="B1698" s="1">
        <v>45766</v>
      </c>
      <c r="C1698" t="s">
        <v>14</v>
      </c>
      <c r="D1698">
        <v>19</v>
      </c>
      <c r="E1698">
        <v>4</v>
      </c>
      <c r="F1698">
        <v>2</v>
      </c>
      <c r="G1698">
        <v>2025</v>
      </c>
      <c r="H1698" t="s">
        <v>49</v>
      </c>
      <c r="I1698" t="s">
        <v>166</v>
      </c>
      <c r="J1698" t="s">
        <v>23</v>
      </c>
      <c r="K1698">
        <v>59</v>
      </c>
      <c r="L1698">
        <v>3</v>
      </c>
      <c r="M1698">
        <v>213</v>
      </c>
    </row>
    <row r="1699" spans="1:13">
      <c r="A1699">
        <v>1698</v>
      </c>
      <c r="B1699" s="1">
        <v>45766</v>
      </c>
      <c r="C1699" t="s">
        <v>14</v>
      </c>
      <c r="D1699">
        <v>19</v>
      </c>
      <c r="E1699">
        <v>4</v>
      </c>
      <c r="F1699">
        <v>2</v>
      </c>
      <c r="G1699">
        <v>2025</v>
      </c>
      <c r="H1699" t="s">
        <v>49</v>
      </c>
      <c r="I1699" t="s">
        <v>53</v>
      </c>
      <c r="J1699" t="s">
        <v>43</v>
      </c>
      <c r="K1699">
        <v>25</v>
      </c>
      <c r="L1699">
        <v>8</v>
      </c>
      <c r="M1699">
        <v>203</v>
      </c>
    </row>
    <row r="1700" spans="1:13">
      <c r="A1700">
        <v>1699</v>
      </c>
      <c r="B1700" s="1">
        <v>45766</v>
      </c>
      <c r="C1700" t="s">
        <v>14</v>
      </c>
      <c r="D1700">
        <v>19</v>
      </c>
      <c r="E1700">
        <v>4</v>
      </c>
      <c r="F1700">
        <v>2</v>
      </c>
      <c r="G1700">
        <v>2025</v>
      </c>
      <c r="H1700" t="s">
        <v>49</v>
      </c>
      <c r="I1700" t="s">
        <v>723</v>
      </c>
      <c r="J1700" t="s">
        <v>46</v>
      </c>
      <c r="K1700">
        <v>52</v>
      </c>
      <c r="L1700">
        <v>5</v>
      </c>
      <c r="M1700">
        <v>298</v>
      </c>
    </row>
    <row r="1701" spans="1:13">
      <c r="A1701">
        <v>1700</v>
      </c>
      <c r="B1701" s="1">
        <v>45897</v>
      </c>
      <c r="C1701" t="s">
        <v>105</v>
      </c>
      <c r="D1701">
        <v>28</v>
      </c>
      <c r="E1701">
        <v>8</v>
      </c>
      <c r="F1701">
        <v>3</v>
      </c>
      <c r="G1701">
        <v>2025</v>
      </c>
      <c r="H1701" t="s">
        <v>136</v>
      </c>
      <c r="I1701" t="s">
        <v>178</v>
      </c>
      <c r="J1701" t="s">
        <v>122</v>
      </c>
      <c r="K1701">
        <v>24</v>
      </c>
      <c r="L1701">
        <v>13</v>
      </c>
      <c r="M1701">
        <v>315</v>
      </c>
    </row>
    <row r="1702" spans="1:13">
      <c r="A1702">
        <v>1701</v>
      </c>
      <c r="B1702" s="1">
        <v>45897</v>
      </c>
      <c r="C1702" t="s">
        <v>105</v>
      </c>
      <c r="D1702">
        <v>28</v>
      </c>
      <c r="E1702">
        <v>8</v>
      </c>
      <c r="F1702">
        <v>3</v>
      </c>
      <c r="G1702">
        <v>2025</v>
      </c>
      <c r="H1702" t="s">
        <v>136</v>
      </c>
      <c r="I1702" t="s">
        <v>291</v>
      </c>
      <c r="J1702" t="s">
        <v>51</v>
      </c>
      <c r="K1702">
        <v>33</v>
      </c>
      <c r="L1702">
        <v>8</v>
      </c>
      <c r="M1702">
        <v>264</v>
      </c>
    </row>
    <row r="1703" spans="1:13">
      <c r="A1703">
        <v>1702</v>
      </c>
      <c r="B1703" s="1">
        <v>45897</v>
      </c>
      <c r="C1703" t="s">
        <v>105</v>
      </c>
      <c r="D1703">
        <v>28</v>
      </c>
      <c r="E1703">
        <v>8</v>
      </c>
      <c r="F1703">
        <v>3</v>
      </c>
      <c r="G1703">
        <v>2025</v>
      </c>
      <c r="H1703" t="s">
        <v>136</v>
      </c>
      <c r="I1703" t="s">
        <v>220</v>
      </c>
      <c r="J1703" t="s">
        <v>97</v>
      </c>
      <c r="K1703">
        <v>29</v>
      </c>
      <c r="L1703">
        <v>11</v>
      </c>
      <c r="M1703">
        <v>332</v>
      </c>
    </row>
    <row r="1704" spans="1:13">
      <c r="A1704">
        <v>1703</v>
      </c>
      <c r="B1704" s="1">
        <v>45897</v>
      </c>
      <c r="C1704" t="s">
        <v>105</v>
      </c>
      <c r="D1704">
        <v>28</v>
      </c>
      <c r="E1704">
        <v>8</v>
      </c>
      <c r="F1704">
        <v>3</v>
      </c>
      <c r="G1704">
        <v>2025</v>
      </c>
      <c r="H1704" t="s">
        <v>136</v>
      </c>
      <c r="I1704" t="s">
        <v>233</v>
      </c>
      <c r="J1704" t="s">
        <v>122</v>
      </c>
      <c r="K1704">
        <v>30</v>
      </c>
      <c r="L1704">
        <v>6</v>
      </c>
      <c r="M1704">
        <v>190</v>
      </c>
    </row>
    <row r="1705" spans="1:13">
      <c r="A1705">
        <v>1704</v>
      </c>
      <c r="B1705" s="1">
        <v>45897</v>
      </c>
      <c r="C1705" t="s">
        <v>105</v>
      </c>
      <c r="D1705">
        <v>28</v>
      </c>
      <c r="E1705">
        <v>8</v>
      </c>
      <c r="F1705">
        <v>3</v>
      </c>
      <c r="G1705">
        <v>2025</v>
      </c>
      <c r="H1705" t="s">
        <v>136</v>
      </c>
      <c r="I1705" t="s">
        <v>41</v>
      </c>
      <c r="J1705" t="s">
        <v>39</v>
      </c>
      <c r="K1705">
        <v>43</v>
      </c>
      <c r="L1705">
        <v>7</v>
      </c>
      <c r="M1705">
        <v>304</v>
      </c>
    </row>
    <row r="1706" spans="1:13">
      <c r="A1706">
        <v>1705</v>
      </c>
      <c r="B1706" s="1">
        <v>45897</v>
      </c>
      <c r="C1706" t="s">
        <v>105</v>
      </c>
      <c r="D1706">
        <v>28</v>
      </c>
      <c r="E1706">
        <v>8</v>
      </c>
      <c r="F1706">
        <v>3</v>
      </c>
      <c r="G1706">
        <v>2025</v>
      </c>
      <c r="H1706" t="s">
        <v>136</v>
      </c>
      <c r="I1706" t="s">
        <v>76</v>
      </c>
      <c r="J1706" t="s">
        <v>69</v>
      </c>
      <c r="K1706">
        <v>19</v>
      </c>
      <c r="L1706">
        <v>17</v>
      </c>
      <c r="M1706">
        <v>326</v>
      </c>
    </row>
    <row r="1707" spans="1:13">
      <c r="A1707">
        <v>1706</v>
      </c>
      <c r="B1707" s="1">
        <v>45897</v>
      </c>
      <c r="C1707" t="s">
        <v>105</v>
      </c>
      <c r="D1707">
        <v>28</v>
      </c>
      <c r="E1707">
        <v>8</v>
      </c>
      <c r="F1707">
        <v>3</v>
      </c>
      <c r="G1707">
        <v>2025</v>
      </c>
      <c r="H1707" t="s">
        <v>136</v>
      </c>
      <c r="I1707" t="s">
        <v>516</v>
      </c>
      <c r="J1707" t="s">
        <v>31</v>
      </c>
      <c r="K1707">
        <v>39</v>
      </c>
      <c r="L1707">
        <v>3</v>
      </c>
      <c r="M1707">
        <v>154</v>
      </c>
    </row>
    <row r="1708" spans="1:13">
      <c r="A1708">
        <v>1707</v>
      </c>
      <c r="B1708" s="1">
        <v>45897</v>
      </c>
      <c r="C1708" t="s">
        <v>105</v>
      </c>
      <c r="D1708">
        <v>28</v>
      </c>
      <c r="E1708">
        <v>8</v>
      </c>
      <c r="F1708">
        <v>3</v>
      </c>
      <c r="G1708">
        <v>2025</v>
      </c>
      <c r="H1708" t="s">
        <v>136</v>
      </c>
      <c r="I1708" t="s">
        <v>583</v>
      </c>
      <c r="J1708" t="s">
        <v>19</v>
      </c>
      <c r="K1708">
        <v>33</v>
      </c>
      <c r="L1708">
        <v>4</v>
      </c>
      <c r="M1708">
        <v>141</v>
      </c>
    </row>
    <row r="1709" spans="1:13">
      <c r="A1709">
        <v>1708</v>
      </c>
      <c r="B1709" s="1">
        <v>45897</v>
      </c>
      <c r="C1709" t="s">
        <v>105</v>
      </c>
      <c r="D1709">
        <v>28</v>
      </c>
      <c r="E1709">
        <v>8</v>
      </c>
      <c r="F1709">
        <v>3</v>
      </c>
      <c r="G1709">
        <v>2025</v>
      </c>
      <c r="H1709" t="s">
        <v>136</v>
      </c>
      <c r="I1709" t="s">
        <v>612</v>
      </c>
      <c r="J1709" t="s">
        <v>97</v>
      </c>
      <c r="K1709">
        <v>11</v>
      </c>
      <c r="L1709">
        <v>25</v>
      </c>
      <c r="M1709">
        <v>275</v>
      </c>
    </row>
    <row r="1710" spans="1:13">
      <c r="A1710">
        <v>1709</v>
      </c>
      <c r="B1710" s="1">
        <v>45897</v>
      </c>
      <c r="C1710" t="s">
        <v>105</v>
      </c>
      <c r="D1710">
        <v>28</v>
      </c>
      <c r="E1710">
        <v>8</v>
      </c>
      <c r="F1710">
        <v>3</v>
      </c>
      <c r="G1710">
        <v>2025</v>
      </c>
      <c r="H1710" t="s">
        <v>136</v>
      </c>
      <c r="I1710" t="s">
        <v>520</v>
      </c>
      <c r="J1710" t="s">
        <v>122</v>
      </c>
      <c r="K1710">
        <v>12</v>
      </c>
      <c r="L1710">
        <v>33</v>
      </c>
      <c r="M1710">
        <v>407</v>
      </c>
    </row>
    <row r="1711" spans="1:13">
      <c r="A1711">
        <v>1710</v>
      </c>
      <c r="B1711" s="1">
        <v>45897</v>
      </c>
      <c r="C1711" t="s">
        <v>105</v>
      </c>
      <c r="D1711">
        <v>28</v>
      </c>
      <c r="E1711">
        <v>8</v>
      </c>
      <c r="F1711">
        <v>3</v>
      </c>
      <c r="G1711">
        <v>2025</v>
      </c>
      <c r="H1711" t="s">
        <v>136</v>
      </c>
      <c r="I1711" t="s">
        <v>549</v>
      </c>
      <c r="J1711" t="s">
        <v>82</v>
      </c>
      <c r="K1711">
        <v>28</v>
      </c>
      <c r="L1711">
        <v>7</v>
      </c>
      <c r="M1711">
        <v>221</v>
      </c>
    </row>
    <row r="1712" spans="1:13">
      <c r="A1712">
        <v>1711</v>
      </c>
      <c r="B1712" s="1">
        <v>46016</v>
      </c>
      <c r="C1712" t="s">
        <v>105</v>
      </c>
      <c r="D1712">
        <v>25</v>
      </c>
      <c r="E1712">
        <v>12</v>
      </c>
      <c r="F1712">
        <v>4</v>
      </c>
      <c r="G1712">
        <v>2025</v>
      </c>
      <c r="H1712" t="s">
        <v>478</v>
      </c>
      <c r="I1712" t="s">
        <v>273</v>
      </c>
      <c r="J1712" t="s">
        <v>100</v>
      </c>
      <c r="K1712">
        <v>50</v>
      </c>
      <c r="L1712">
        <v>4</v>
      </c>
      <c r="M1712">
        <v>221</v>
      </c>
    </row>
    <row r="1713" spans="1:13">
      <c r="A1713">
        <v>1712</v>
      </c>
      <c r="B1713" s="1">
        <v>46016</v>
      </c>
      <c r="C1713" t="s">
        <v>105</v>
      </c>
      <c r="D1713">
        <v>25</v>
      </c>
      <c r="E1713">
        <v>12</v>
      </c>
      <c r="F1713">
        <v>4</v>
      </c>
      <c r="G1713">
        <v>2025</v>
      </c>
      <c r="H1713" t="s">
        <v>478</v>
      </c>
      <c r="I1713" t="s">
        <v>182</v>
      </c>
      <c r="J1713" t="s">
        <v>39</v>
      </c>
      <c r="K1713">
        <v>53</v>
      </c>
      <c r="L1713">
        <v>3</v>
      </c>
      <c r="M1713">
        <v>175</v>
      </c>
    </row>
    <row r="1714" spans="1:13">
      <c r="A1714">
        <v>1713</v>
      </c>
      <c r="B1714" s="1">
        <v>45882</v>
      </c>
      <c r="C1714" t="s">
        <v>34</v>
      </c>
      <c r="D1714">
        <v>13</v>
      </c>
      <c r="E1714">
        <v>8</v>
      </c>
      <c r="F1714">
        <v>3</v>
      </c>
      <c r="G1714">
        <v>2025</v>
      </c>
      <c r="H1714" t="s">
        <v>345</v>
      </c>
      <c r="I1714" t="s">
        <v>665</v>
      </c>
      <c r="J1714" t="s">
        <v>17</v>
      </c>
      <c r="K1714">
        <v>57</v>
      </c>
      <c r="L1714">
        <v>2</v>
      </c>
      <c r="M1714">
        <v>124</v>
      </c>
    </row>
    <row r="1715" spans="1:13">
      <c r="A1715">
        <v>1714</v>
      </c>
      <c r="B1715" s="1">
        <v>45882</v>
      </c>
      <c r="C1715" t="s">
        <v>34</v>
      </c>
      <c r="D1715">
        <v>13</v>
      </c>
      <c r="E1715">
        <v>8</v>
      </c>
      <c r="F1715">
        <v>3</v>
      </c>
      <c r="G1715">
        <v>2025</v>
      </c>
      <c r="H1715" t="s">
        <v>345</v>
      </c>
      <c r="I1715" t="s">
        <v>361</v>
      </c>
      <c r="J1715" t="s">
        <v>37</v>
      </c>
      <c r="K1715">
        <v>46</v>
      </c>
      <c r="L1715">
        <v>6</v>
      </c>
      <c r="M1715">
        <v>283</v>
      </c>
    </row>
    <row r="1716" spans="1:13">
      <c r="A1716">
        <v>1715</v>
      </c>
      <c r="B1716" s="1">
        <v>45882</v>
      </c>
      <c r="C1716" t="s">
        <v>34</v>
      </c>
      <c r="D1716">
        <v>13</v>
      </c>
      <c r="E1716">
        <v>8</v>
      </c>
      <c r="F1716">
        <v>3</v>
      </c>
      <c r="G1716">
        <v>2025</v>
      </c>
      <c r="H1716" t="s">
        <v>345</v>
      </c>
      <c r="I1716" t="s">
        <v>325</v>
      </c>
      <c r="J1716" t="s">
        <v>55</v>
      </c>
      <c r="K1716">
        <v>48</v>
      </c>
      <c r="L1716">
        <v>7</v>
      </c>
      <c r="M1716">
        <v>349</v>
      </c>
    </row>
    <row r="1717" spans="1:13">
      <c r="A1717">
        <v>1716</v>
      </c>
      <c r="B1717" s="1">
        <v>45882</v>
      </c>
      <c r="C1717" t="s">
        <v>34</v>
      </c>
      <c r="D1717">
        <v>13</v>
      </c>
      <c r="E1717">
        <v>8</v>
      </c>
      <c r="F1717">
        <v>3</v>
      </c>
      <c r="G1717">
        <v>2025</v>
      </c>
      <c r="H1717" t="s">
        <v>345</v>
      </c>
      <c r="I1717" t="s">
        <v>338</v>
      </c>
      <c r="J1717" t="s">
        <v>82</v>
      </c>
      <c r="K1717">
        <v>44</v>
      </c>
      <c r="L1717">
        <v>2</v>
      </c>
      <c r="M1717">
        <v>123</v>
      </c>
    </row>
    <row r="1718" spans="1:13">
      <c r="A1718">
        <v>1717</v>
      </c>
      <c r="B1718" s="1">
        <v>45882</v>
      </c>
      <c r="C1718" t="s">
        <v>34</v>
      </c>
      <c r="D1718">
        <v>13</v>
      </c>
      <c r="E1718">
        <v>8</v>
      </c>
      <c r="F1718">
        <v>3</v>
      </c>
      <c r="G1718">
        <v>2025</v>
      </c>
      <c r="H1718" t="s">
        <v>345</v>
      </c>
      <c r="I1718" t="s">
        <v>469</v>
      </c>
      <c r="J1718" t="s">
        <v>46</v>
      </c>
      <c r="K1718">
        <v>25</v>
      </c>
      <c r="L1718">
        <v>9</v>
      </c>
      <c r="M1718">
        <v>238</v>
      </c>
    </row>
    <row r="1719" spans="1:13">
      <c r="A1719">
        <v>1718</v>
      </c>
      <c r="B1719" s="1">
        <v>45882</v>
      </c>
      <c r="C1719" t="s">
        <v>34</v>
      </c>
      <c r="D1719">
        <v>13</v>
      </c>
      <c r="E1719">
        <v>8</v>
      </c>
      <c r="F1719">
        <v>3</v>
      </c>
      <c r="G1719">
        <v>2025</v>
      </c>
      <c r="H1719" t="s">
        <v>345</v>
      </c>
      <c r="I1719" t="s">
        <v>282</v>
      </c>
      <c r="J1719" t="s">
        <v>21</v>
      </c>
      <c r="K1719">
        <v>40</v>
      </c>
      <c r="L1719">
        <v>8</v>
      </c>
      <c r="M1719">
        <v>332</v>
      </c>
    </row>
    <row r="1720" spans="1:13">
      <c r="A1720">
        <v>1719</v>
      </c>
      <c r="B1720" s="1">
        <v>45882</v>
      </c>
      <c r="C1720" t="s">
        <v>34</v>
      </c>
      <c r="D1720">
        <v>13</v>
      </c>
      <c r="E1720">
        <v>8</v>
      </c>
      <c r="F1720">
        <v>3</v>
      </c>
      <c r="G1720">
        <v>2025</v>
      </c>
      <c r="H1720" t="s">
        <v>345</v>
      </c>
      <c r="I1720" t="s">
        <v>33</v>
      </c>
      <c r="J1720" t="s">
        <v>19</v>
      </c>
      <c r="K1720">
        <v>33</v>
      </c>
      <c r="L1720">
        <v>7</v>
      </c>
      <c r="M1720">
        <v>234</v>
      </c>
    </row>
    <row r="1721" spans="1:13">
      <c r="A1721">
        <v>1720</v>
      </c>
      <c r="B1721" s="1">
        <v>45882</v>
      </c>
      <c r="C1721" t="s">
        <v>34</v>
      </c>
      <c r="D1721">
        <v>13</v>
      </c>
      <c r="E1721">
        <v>8</v>
      </c>
      <c r="F1721">
        <v>3</v>
      </c>
      <c r="G1721">
        <v>2025</v>
      </c>
      <c r="H1721" t="s">
        <v>345</v>
      </c>
      <c r="I1721" t="s">
        <v>634</v>
      </c>
      <c r="J1721" t="s">
        <v>46</v>
      </c>
      <c r="K1721">
        <v>59</v>
      </c>
      <c r="L1721">
        <v>6</v>
      </c>
      <c r="M1721">
        <v>376</v>
      </c>
    </row>
    <row r="1722" spans="1:13">
      <c r="A1722">
        <v>1721</v>
      </c>
      <c r="B1722" s="1">
        <v>45882</v>
      </c>
      <c r="C1722" t="s">
        <v>34</v>
      </c>
      <c r="D1722">
        <v>13</v>
      </c>
      <c r="E1722">
        <v>8</v>
      </c>
      <c r="F1722">
        <v>3</v>
      </c>
      <c r="G1722">
        <v>2025</v>
      </c>
      <c r="H1722" t="s">
        <v>345</v>
      </c>
      <c r="I1722" t="s">
        <v>672</v>
      </c>
      <c r="J1722" t="s">
        <v>55</v>
      </c>
      <c r="K1722">
        <v>35</v>
      </c>
      <c r="L1722">
        <v>4</v>
      </c>
      <c r="M1722">
        <v>142</v>
      </c>
    </row>
    <row r="1723" spans="1:13">
      <c r="A1723">
        <v>1722</v>
      </c>
      <c r="B1723" s="1">
        <v>45882</v>
      </c>
      <c r="C1723" t="s">
        <v>34</v>
      </c>
      <c r="D1723">
        <v>13</v>
      </c>
      <c r="E1723">
        <v>8</v>
      </c>
      <c r="F1723">
        <v>3</v>
      </c>
      <c r="G1723">
        <v>2025</v>
      </c>
      <c r="H1723" t="s">
        <v>345</v>
      </c>
      <c r="I1723" t="s">
        <v>194</v>
      </c>
      <c r="J1723" t="s">
        <v>39</v>
      </c>
      <c r="K1723">
        <v>60</v>
      </c>
      <c r="L1723">
        <v>4</v>
      </c>
      <c r="M1723">
        <v>275</v>
      </c>
    </row>
    <row r="1724" spans="1:13">
      <c r="A1724">
        <v>1723</v>
      </c>
      <c r="B1724" s="1">
        <v>45713</v>
      </c>
      <c r="C1724" t="s">
        <v>48</v>
      </c>
      <c r="D1724">
        <v>25</v>
      </c>
      <c r="E1724">
        <v>2</v>
      </c>
      <c r="F1724">
        <v>1</v>
      </c>
      <c r="G1724">
        <v>2025</v>
      </c>
      <c r="H1724" t="s">
        <v>421</v>
      </c>
      <c r="I1724" t="s">
        <v>176</v>
      </c>
      <c r="J1724" t="s">
        <v>21</v>
      </c>
      <c r="K1724">
        <v>59</v>
      </c>
      <c r="L1724">
        <v>5</v>
      </c>
      <c r="M1724">
        <v>349</v>
      </c>
    </row>
    <row r="1725" spans="1:13">
      <c r="A1725">
        <v>1724</v>
      </c>
      <c r="B1725" s="1">
        <v>45713</v>
      </c>
      <c r="C1725" t="s">
        <v>48</v>
      </c>
      <c r="D1725">
        <v>25</v>
      </c>
      <c r="E1725">
        <v>2</v>
      </c>
      <c r="F1725">
        <v>1</v>
      </c>
      <c r="G1725">
        <v>2025</v>
      </c>
      <c r="H1725" t="s">
        <v>421</v>
      </c>
      <c r="I1725" t="s">
        <v>461</v>
      </c>
      <c r="J1725" t="s">
        <v>60</v>
      </c>
      <c r="K1725">
        <v>16</v>
      </c>
      <c r="L1725">
        <v>25</v>
      </c>
      <c r="M1725">
        <v>403</v>
      </c>
    </row>
    <row r="1726" spans="1:13">
      <c r="A1726">
        <v>1725</v>
      </c>
      <c r="B1726" s="1">
        <v>45713</v>
      </c>
      <c r="C1726" t="s">
        <v>48</v>
      </c>
      <c r="D1726">
        <v>25</v>
      </c>
      <c r="E1726">
        <v>2</v>
      </c>
      <c r="F1726">
        <v>1</v>
      </c>
      <c r="G1726">
        <v>2025</v>
      </c>
      <c r="H1726" t="s">
        <v>421</v>
      </c>
      <c r="I1726" t="s">
        <v>507</v>
      </c>
      <c r="J1726" t="s">
        <v>55</v>
      </c>
      <c r="K1726">
        <v>37</v>
      </c>
      <c r="L1726">
        <v>5</v>
      </c>
      <c r="M1726">
        <v>205</v>
      </c>
    </row>
    <row r="1727" spans="1:13">
      <c r="A1727">
        <v>1726</v>
      </c>
      <c r="B1727" s="1">
        <v>45713</v>
      </c>
      <c r="C1727" t="s">
        <v>48</v>
      </c>
      <c r="D1727">
        <v>25</v>
      </c>
      <c r="E1727">
        <v>2</v>
      </c>
      <c r="F1727">
        <v>1</v>
      </c>
      <c r="G1727">
        <v>2025</v>
      </c>
      <c r="H1727" t="s">
        <v>421</v>
      </c>
      <c r="I1727" t="s">
        <v>91</v>
      </c>
      <c r="J1727" t="s">
        <v>55</v>
      </c>
      <c r="K1727">
        <v>27</v>
      </c>
      <c r="L1727">
        <v>11</v>
      </c>
      <c r="M1727">
        <v>313</v>
      </c>
    </row>
    <row r="1728" spans="1:13">
      <c r="A1728">
        <v>1727</v>
      </c>
      <c r="B1728" s="1">
        <v>45713</v>
      </c>
      <c r="C1728" t="s">
        <v>48</v>
      </c>
      <c r="D1728">
        <v>25</v>
      </c>
      <c r="E1728">
        <v>2</v>
      </c>
      <c r="F1728">
        <v>1</v>
      </c>
      <c r="G1728">
        <v>2025</v>
      </c>
      <c r="H1728" t="s">
        <v>421</v>
      </c>
      <c r="I1728" t="s">
        <v>508</v>
      </c>
      <c r="J1728" t="s">
        <v>43</v>
      </c>
      <c r="K1728">
        <v>58</v>
      </c>
      <c r="L1728">
        <v>2</v>
      </c>
      <c r="M1728">
        <v>123</v>
      </c>
    </row>
    <row r="1729" spans="1:13">
      <c r="A1729">
        <v>1728</v>
      </c>
      <c r="B1729" s="1">
        <v>45713</v>
      </c>
      <c r="C1729" t="s">
        <v>48</v>
      </c>
      <c r="D1729">
        <v>25</v>
      </c>
      <c r="E1729">
        <v>2</v>
      </c>
      <c r="F1729">
        <v>1</v>
      </c>
      <c r="G1729">
        <v>2025</v>
      </c>
      <c r="H1729" t="s">
        <v>421</v>
      </c>
      <c r="I1729" t="s">
        <v>616</v>
      </c>
      <c r="J1729" t="s">
        <v>37</v>
      </c>
      <c r="K1729">
        <v>20</v>
      </c>
      <c r="L1729">
        <v>6</v>
      </c>
      <c r="M1729">
        <v>121</v>
      </c>
    </row>
    <row r="1730" spans="1:13">
      <c r="A1730">
        <v>1729</v>
      </c>
      <c r="B1730" s="1">
        <v>45996</v>
      </c>
      <c r="C1730" t="s">
        <v>79</v>
      </c>
      <c r="D1730">
        <v>5</v>
      </c>
      <c r="E1730">
        <v>12</v>
      </c>
      <c r="F1730">
        <v>4</v>
      </c>
      <c r="G1730">
        <v>2025</v>
      </c>
      <c r="H1730" t="s">
        <v>732</v>
      </c>
      <c r="I1730" t="s">
        <v>191</v>
      </c>
      <c r="J1730" t="s">
        <v>60</v>
      </c>
      <c r="K1730">
        <v>24</v>
      </c>
      <c r="L1730">
        <v>10</v>
      </c>
      <c r="M1730">
        <v>242</v>
      </c>
    </row>
    <row r="1731" spans="1:13">
      <c r="A1731">
        <v>1730</v>
      </c>
      <c r="B1731" s="1">
        <v>45996</v>
      </c>
      <c r="C1731" t="s">
        <v>79</v>
      </c>
      <c r="D1731">
        <v>5</v>
      </c>
      <c r="E1731">
        <v>12</v>
      </c>
      <c r="F1731">
        <v>4</v>
      </c>
      <c r="G1731">
        <v>2025</v>
      </c>
      <c r="H1731" t="s">
        <v>732</v>
      </c>
      <c r="I1731" t="s">
        <v>257</v>
      </c>
      <c r="J1731" t="s">
        <v>57</v>
      </c>
      <c r="K1731">
        <v>60</v>
      </c>
      <c r="L1731">
        <v>3</v>
      </c>
      <c r="M1731">
        <v>225</v>
      </c>
    </row>
    <row r="1732" spans="1:13">
      <c r="A1732">
        <v>1731</v>
      </c>
      <c r="B1732" s="1">
        <v>45659</v>
      </c>
      <c r="C1732" t="s">
        <v>105</v>
      </c>
      <c r="D1732">
        <v>2</v>
      </c>
      <c r="E1732">
        <v>1</v>
      </c>
      <c r="F1732">
        <v>1</v>
      </c>
      <c r="G1732">
        <v>2025</v>
      </c>
      <c r="H1732" t="s">
        <v>464</v>
      </c>
      <c r="I1732" t="s">
        <v>649</v>
      </c>
      <c r="J1732" t="s">
        <v>23</v>
      </c>
      <c r="K1732">
        <v>31</v>
      </c>
      <c r="L1732">
        <v>7</v>
      </c>
      <c r="M1732">
        <v>233</v>
      </c>
    </row>
    <row r="1733" spans="1:13">
      <c r="A1733">
        <v>1732</v>
      </c>
      <c r="B1733" s="1">
        <v>45659</v>
      </c>
      <c r="C1733" t="s">
        <v>105</v>
      </c>
      <c r="D1733">
        <v>2</v>
      </c>
      <c r="E1733">
        <v>1</v>
      </c>
      <c r="F1733">
        <v>1</v>
      </c>
      <c r="G1733">
        <v>2025</v>
      </c>
      <c r="H1733" t="s">
        <v>464</v>
      </c>
      <c r="I1733" t="s">
        <v>480</v>
      </c>
      <c r="J1733" t="s">
        <v>57</v>
      </c>
      <c r="K1733">
        <v>21</v>
      </c>
      <c r="L1733">
        <v>9</v>
      </c>
      <c r="M1733">
        <v>190</v>
      </c>
    </row>
    <row r="1734" spans="1:13">
      <c r="A1734">
        <v>1733</v>
      </c>
      <c r="B1734" s="1">
        <v>45659</v>
      </c>
      <c r="C1734" t="s">
        <v>105</v>
      </c>
      <c r="D1734">
        <v>2</v>
      </c>
      <c r="E1734">
        <v>1</v>
      </c>
      <c r="F1734">
        <v>1</v>
      </c>
      <c r="G1734">
        <v>2025</v>
      </c>
      <c r="H1734" t="s">
        <v>464</v>
      </c>
      <c r="I1734" t="s">
        <v>90</v>
      </c>
      <c r="J1734" t="s">
        <v>23</v>
      </c>
      <c r="K1734">
        <v>38</v>
      </c>
      <c r="L1734">
        <v>5</v>
      </c>
      <c r="M1734">
        <v>220</v>
      </c>
    </row>
    <row r="1735" spans="1:13">
      <c r="A1735">
        <v>1734</v>
      </c>
      <c r="B1735" s="1">
        <v>45659</v>
      </c>
      <c r="C1735" t="s">
        <v>105</v>
      </c>
      <c r="D1735">
        <v>2</v>
      </c>
      <c r="E1735">
        <v>1</v>
      </c>
      <c r="F1735">
        <v>1</v>
      </c>
      <c r="G1735">
        <v>2025</v>
      </c>
      <c r="H1735" t="s">
        <v>464</v>
      </c>
      <c r="I1735" t="s">
        <v>209</v>
      </c>
      <c r="J1735" t="s">
        <v>25</v>
      </c>
      <c r="K1735">
        <v>60</v>
      </c>
      <c r="L1735">
        <v>2</v>
      </c>
      <c r="M1735">
        <v>173</v>
      </c>
    </row>
    <row r="1736" spans="1:13">
      <c r="A1736">
        <v>1735</v>
      </c>
      <c r="B1736" s="1">
        <v>45659</v>
      </c>
      <c r="C1736" t="s">
        <v>105</v>
      </c>
      <c r="D1736">
        <v>2</v>
      </c>
      <c r="E1736">
        <v>1</v>
      </c>
      <c r="F1736">
        <v>1</v>
      </c>
      <c r="G1736">
        <v>2025</v>
      </c>
      <c r="H1736" t="s">
        <v>464</v>
      </c>
      <c r="I1736" t="s">
        <v>293</v>
      </c>
      <c r="J1736" t="s">
        <v>100</v>
      </c>
      <c r="K1736">
        <v>20</v>
      </c>
      <c r="L1736">
        <v>21</v>
      </c>
      <c r="M1736">
        <v>439</v>
      </c>
    </row>
    <row r="1737" spans="1:13">
      <c r="A1737">
        <v>1736</v>
      </c>
      <c r="B1737" s="1">
        <v>45659</v>
      </c>
      <c r="C1737" t="s">
        <v>105</v>
      </c>
      <c r="D1737">
        <v>2</v>
      </c>
      <c r="E1737">
        <v>1</v>
      </c>
      <c r="F1737">
        <v>1</v>
      </c>
      <c r="G1737">
        <v>2025</v>
      </c>
      <c r="H1737" t="s">
        <v>464</v>
      </c>
      <c r="I1737" t="s">
        <v>710</v>
      </c>
      <c r="J1737" t="s">
        <v>69</v>
      </c>
      <c r="K1737">
        <v>47</v>
      </c>
      <c r="L1737">
        <v>8</v>
      </c>
      <c r="M1737">
        <v>388</v>
      </c>
    </row>
    <row r="1738" spans="1:13">
      <c r="A1738">
        <v>1737</v>
      </c>
      <c r="B1738" s="1">
        <v>45659</v>
      </c>
      <c r="C1738" t="s">
        <v>105</v>
      </c>
      <c r="D1738">
        <v>2</v>
      </c>
      <c r="E1738">
        <v>1</v>
      </c>
      <c r="F1738">
        <v>1</v>
      </c>
      <c r="G1738">
        <v>2025</v>
      </c>
      <c r="H1738" t="s">
        <v>464</v>
      </c>
      <c r="I1738" t="s">
        <v>516</v>
      </c>
      <c r="J1738" t="s">
        <v>31</v>
      </c>
      <c r="K1738">
        <v>38</v>
      </c>
      <c r="L1738">
        <v>3</v>
      </c>
      <c r="M1738">
        <v>150</v>
      </c>
    </row>
    <row r="1739" spans="1:13">
      <c r="A1739">
        <v>1738</v>
      </c>
      <c r="B1739" s="1">
        <v>45761</v>
      </c>
      <c r="C1739" t="s">
        <v>93</v>
      </c>
      <c r="D1739">
        <v>14</v>
      </c>
      <c r="E1739">
        <v>4</v>
      </c>
      <c r="F1739">
        <v>2</v>
      </c>
      <c r="G1739">
        <v>2025</v>
      </c>
      <c r="H1739" t="s">
        <v>580</v>
      </c>
      <c r="I1739" t="s">
        <v>189</v>
      </c>
      <c r="J1739" t="s">
        <v>43</v>
      </c>
      <c r="K1739">
        <v>22</v>
      </c>
      <c r="L1739">
        <v>14</v>
      </c>
      <c r="M1739">
        <v>323</v>
      </c>
    </row>
    <row r="1740" spans="1:13">
      <c r="A1740">
        <v>1739</v>
      </c>
      <c r="B1740" s="1">
        <v>45761</v>
      </c>
      <c r="C1740" t="s">
        <v>93</v>
      </c>
      <c r="D1740">
        <v>14</v>
      </c>
      <c r="E1740">
        <v>4</v>
      </c>
      <c r="F1740">
        <v>2</v>
      </c>
      <c r="G1740">
        <v>2025</v>
      </c>
      <c r="H1740" t="s">
        <v>580</v>
      </c>
      <c r="I1740" t="s">
        <v>682</v>
      </c>
      <c r="J1740" t="s">
        <v>23</v>
      </c>
      <c r="K1740">
        <v>33</v>
      </c>
      <c r="L1740">
        <v>8</v>
      </c>
      <c r="M1740">
        <v>271</v>
      </c>
    </row>
    <row r="1741" spans="1:13">
      <c r="A1741">
        <v>1740</v>
      </c>
      <c r="B1741" s="1">
        <v>45761</v>
      </c>
      <c r="C1741" t="s">
        <v>93</v>
      </c>
      <c r="D1741">
        <v>14</v>
      </c>
      <c r="E1741">
        <v>4</v>
      </c>
      <c r="F1741">
        <v>2</v>
      </c>
      <c r="G1741">
        <v>2025</v>
      </c>
      <c r="H1741" t="s">
        <v>580</v>
      </c>
      <c r="I1741" t="s">
        <v>514</v>
      </c>
      <c r="J1741" t="s">
        <v>23</v>
      </c>
      <c r="K1741">
        <v>39</v>
      </c>
      <c r="L1741">
        <v>5</v>
      </c>
      <c r="M1741">
        <v>228</v>
      </c>
    </row>
    <row r="1742" spans="1:13">
      <c r="A1742">
        <v>1741</v>
      </c>
      <c r="B1742" s="1">
        <v>45761</v>
      </c>
      <c r="C1742" t="s">
        <v>93</v>
      </c>
      <c r="D1742">
        <v>14</v>
      </c>
      <c r="E1742">
        <v>4</v>
      </c>
      <c r="F1742">
        <v>2</v>
      </c>
      <c r="G1742">
        <v>2025</v>
      </c>
      <c r="H1742" t="s">
        <v>580</v>
      </c>
      <c r="I1742" t="s">
        <v>170</v>
      </c>
      <c r="J1742" t="s">
        <v>82</v>
      </c>
      <c r="K1742">
        <v>17</v>
      </c>
      <c r="L1742">
        <v>10</v>
      </c>
      <c r="M1742">
        <v>186</v>
      </c>
    </row>
    <row r="1743" spans="1:13">
      <c r="A1743">
        <v>1742</v>
      </c>
      <c r="B1743" s="1">
        <v>45799</v>
      </c>
      <c r="C1743" t="s">
        <v>105</v>
      </c>
      <c r="D1743">
        <v>22</v>
      </c>
      <c r="E1743">
        <v>5</v>
      </c>
      <c r="F1743">
        <v>2</v>
      </c>
      <c r="G1743">
        <v>2025</v>
      </c>
      <c r="H1743" t="s">
        <v>88</v>
      </c>
      <c r="I1743" t="s">
        <v>33</v>
      </c>
      <c r="J1743" t="s">
        <v>19</v>
      </c>
      <c r="K1743">
        <v>39</v>
      </c>
      <c r="L1743">
        <v>6</v>
      </c>
      <c r="M1743">
        <v>256</v>
      </c>
    </row>
    <row r="1744" spans="1:13">
      <c r="A1744">
        <v>1743</v>
      </c>
      <c r="B1744" s="1">
        <v>45799</v>
      </c>
      <c r="C1744" t="s">
        <v>105</v>
      </c>
      <c r="D1744">
        <v>22</v>
      </c>
      <c r="E1744">
        <v>5</v>
      </c>
      <c r="F1744">
        <v>2</v>
      </c>
      <c r="G1744">
        <v>2025</v>
      </c>
      <c r="H1744" t="s">
        <v>88</v>
      </c>
      <c r="I1744" t="s">
        <v>733</v>
      </c>
      <c r="J1744" t="s">
        <v>51</v>
      </c>
      <c r="K1744">
        <v>28</v>
      </c>
      <c r="L1744">
        <v>7</v>
      </c>
      <c r="M1744">
        <v>210</v>
      </c>
    </row>
    <row r="1745" spans="1:13">
      <c r="A1745">
        <v>1744</v>
      </c>
      <c r="B1745" s="1">
        <v>45799</v>
      </c>
      <c r="C1745" t="s">
        <v>105</v>
      </c>
      <c r="D1745">
        <v>22</v>
      </c>
      <c r="E1745">
        <v>5</v>
      </c>
      <c r="F1745">
        <v>2</v>
      </c>
      <c r="G1745">
        <v>2025</v>
      </c>
      <c r="H1745" t="s">
        <v>88</v>
      </c>
      <c r="I1745" t="s">
        <v>229</v>
      </c>
      <c r="J1745" t="s">
        <v>97</v>
      </c>
      <c r="K1745">
        <v>11</v>
      </c>
      <c r="L1745">
        <v>25</v>
      </c>
      <c r="M1745">
        <v>278</v>
      </c>
    </row>
    <row r="1746" spans="1:13">
      <c r="A1746">
        <v>1745</v>
      </c>
      <c r="B1746" s="1">
        <v>45799</v>
      </c>
      <c r="C1746" t="s">
        <v>105</v>
      </c>
      <c r="D1746">
        <v>22</v>
      </c>
      <c r="E1746">
        <v>5</v>
      </c>
      <c r="F1746">
        <v>2</v>
      </c>
      <c r="G1746">
        <v>2025</v>
      </c>
      <c r="H1746" t="s">
        <v>88</v>
      </c>
      <c r="I1746" t="s">
        <v>293</v>
      </c>
      <c r="J1746" t="s">
        <v>100</v>
      </c>
      <c r="K1746">
        <v>38</v>
      </c>
      <c r="L1746">
        <v>12</v>
      </c>
      <c r="M1746">
        <v>463</v>
      </c>
    </row>
    <row r="1747" spans="1:13">
      <c r="A1747">
        <v>1746</v>
      </c>
      <c r="B1747" s="1">
        <v>45799</v>
      </c>
      <c r="C1747" t="s">
        <v>105</v>
      </c>
      <c r="D1747">
        <v>22</v>
      </c>
      <c r="E1747">
        <v>5</v>
      </c>
      <c r="F1747">
        <v>2</v>
      </c>
      <c r="G1747">
        <v>2025</v>
      </c>
      <c r="H1747" t="s">
        <v>88</v>
      </c>
      <c r="I1747" t="s">
        <v>300</v>
      </c>
      <c r="J1747" t="s">
        <v>55</v>
      </c>
      <c r="K1747">
        <v>29</v>
      </c>
      <c r="L1747">
        <v>12</v>
      </c>
      <c r="M1747">
        <v>371</v>
      </c>
    </row>
    <row r="1748" spans="1:13">
      <c r="A1748">
        <v>1747</v>
      </c>
      <c r="B1748" s="1">
        <v>45799</v>
      </c>
      <c r="C1748" t="s">
        <v>105</v>
      </c>
      <c r="D1748">
        <v>22</v>
      </c>
      <c r="E1748">
        <v>5</v>
      </c>
      <c r="F1748">
        <v>2</v>
      </c>
      <c r="G1748">
        <v>2025</v>
      </c>
      <c r="H1748" t="s">
        <v>88</v>
      </c>
      <c r="I1748" t="s">
        <v>292</v>
      </c>
      <c r="J1748" t="s">
        <v>97</v>
      </c>
      <c r="K1748">
        <v>55</v>
      </c>
      <c r="L1748">
        <v>4</v>
      </c>
      <c r="M1748">
        <v>269</v>
      </c>
    </row>
    <row r="1749" spans="1:13">
      <c r="A1749">
        <v>1748</v>
      </c>
      <c r="B1749" s="1">
        <v>45992</v>
      </c>
      <c r="C1749" t="s">
        <v>93</v>
      </c>
      <c r="D1749">
        <v>1</v>
      </c>
      <c r="E1749">
        <v>12</v>
      </c>
      <c r="F1749">
        <v>4</v>
      </c>
      <c r="G1749">
        <v>2025</v>
      </c>
      <c r="H1749" t="s">
        <v>275</v>
      </c>
      <c r="I1749" t="s">
        <v>614</v>
      </c>
      <c r="J1749" t="s">
        <v>21</v>
      </c>
      <c r="K1749">
        <v>48</v>
      </c>
      <c r="L1749">
        <v>5</v>
      </c>
      <c r="M1749">
        <v>251</v>
      </c>
    </row>
    <row r="1750" spans="1:13">
      <c r="A1750">
        <v>1749</v>
      </c>
      <c r="B1750" s="1">
        <v>45992</v>
      </c>
      <c r="C1750" t="s">
        <v>93</v>
      </c>
      <c r="D1750">
        <v>1</v>
      </c>
      <c r="E1750">
        <v>12</v>
      </c>
      <c r="F1750">
        <v>4</v>
      </c>
      <c r="G1750">
        <v>2025</v>
      </c>
      <c r="H1750" t="s">
        <v>275</v>
      </c>
      <c r="I1750" t="s">
        <v>726</v>
      </c>
      <c r="J1750" t="s">
        <v>100</v>
      </c>
      <c r="K1750">
        <v>39</v>
      </c>
      <c r="L1750">
        <v>6</v>
      </c>
      <c r="M1750">
        <v>234</v>
      </c>
    </row>
    <row r="1751" spans="1:13">
      <c r="A1751">
        <v>1750</v>
      </c>
      <c r="B1751" s="1">
        <v>45992</v>
      </c>
      <c r="C1751" t="s">
        <v>93</v>
      </c>
      <c r="D1751">
        <v>1</v>
      </c>
      <c r="E1751">
        <v>12</v>
      </c>
      <c r="F1751">
        <v>4</v>
      </c>
      <c r="G1751">
        <v>2025</v>
      </c>
      <c r="H1751" t="s">
        <v>275</v>
      </c>
      <c r="I1751" t="s">
        <v>625</v>
      </c>
      <c r="J1751" t="s">
        <v>43</v>
      </c>
      <c r="K1751">
        <v>28</v>
      </c>
      <c r="L1751">
        <v>11</v>
      </c>
      <c r="M1751">
        <v>329</v>
      </c>
    </row>
    <row r="1752" spans="1:13">
      <c r="A1752">
        <v>1751</v>
      </c>
      <c r="B1752" s="1">
        <v>45793</v>
      </c>
      <c r="C1752" t="s">
        <v>79</v>
      </c>
      <c r="D1752">
        <v>16</v>
      </c>
      <c r="E1752">
        <v>5</v>
      </c>
      <c r="F1752">
        <v>2</v>
      </c>
      <c r="G1752">
        <v>2025</v>
      </c>
      <c r="H1752" t="s">
        <v>136</v>
      </c>
      <c r="I1752" t="s">
        <v>266</v>
      </c>
      <c r="J1752" t="s">
        <v>19</v>
      </c>
      <c r="K1752">
        <v>59</v>
      </c>
      <c r="L1752">
        <v>3</v>
      </c>
      <c r="M1752">
        <v>211</v>
      </c>
    </row>
    <row r="1753" spans="1:13">
      <c r="A1753">
        <v>1752</v>
      </c>
      <c r="B1753" s="1">
        <v>45793</v>
      </c>
      <c r="C1753" t="s">
        <v>79</v>
      </c>
      <c r="D1753">
        <v>16</v>
      </c>
      <c r="E1753">
        <v>5</v>
      </c>
      <c r="F1753">
        <v>2</v>
      </c>
      <c r="G1753">
        <v>2025</v>
      </c>
      <c r="H1753" t="s">
        <v>136</v>
      </c>
      <c r="I1753" t="s">
        <v>332</v>
      </c>
      <c r="J1753" t="s">
        <v>55</v>
      </c>
      <c r="K1753">
        <v>50</v>
      </c>
      <c r="L1753">
        <v>6</v>
      </c>
      <c r="M1753">
        <v>329</v>
      </c>
    </row>
    <row r="1754" spans="1:13">
      <c r="A1754">
        <v>1753</v>
      </c>
      <c r="B1754" s="1">
        <v>45793</v>
      </c>
      <c r="C1754" t="s">
        <v>79</v>
      </c>
      <c r="D1754">
        <v>16</v>
      </c>
      <c r="E1754">
        <v>5</v>
      </c>
      <c r="F1754">
        <v>2</v>
      </c>
      <c r="G1754">
        <v>2025</v>
      </c>
      <c r="H1754" t="s">
        <v>136</v>
      </c>
      <c r="I1754" t="s">
        <v>313</v>
      </c>
      <c r="J1754" t="s">
        <v>31</v>
      </c>
      <c r="K1754">
        <v>26</v>
      </c>
      <c r="L1754">
        <v>3</v>
      </c>
      <c r="M1754">
        <v>94</v>
      </c>
    </row>
    <row r="1755" spans="1:13">
      <c r="A1755">
        <v>1754</v>
      </c>
      <c r="B1755" s="1">
        <v>45793</v>
      </c>
      <c r="C1755" t="s">
        <v>79</v>
      </c>
      <c r="D1755">
        <v>16</v>
      </c>
      <c r="E1755">
        <v>5</v>
      </c>
      <c r="F1755">
        <v>2</v>
      </c>
      <c r="G1755">
        <v>2025</v>
      </c>
      <c r="H1755" t="s">
        <v>136</v>
      </c>
      <c r="I1755" t="s">
        <v>375</v>
      </c>
      <c r="J1755" t="s">
        <v>31</v>
      </c>
      <c r="K1755">
        <v>58</v>
      </c>
      <c r="L1755">
        <v>0</v>
      </c>
      <c r="M1755">
        <v>53</v>
      </c>
    </row>
    <row r="1756" spans="1:13">
      <c r="A1756">
        <v>1755</v>
      </c>
      <c r="B1756" s="1">
        <v>45671</v>
      </c>
      <c r="C1756" t="s">
        <v>48</v>
      </c>
      <c r="D1756">
        <v>14</v>
      </c>
      <c r="E1756">
        <v>1</v>
      </c>
      <c r="F1756">
        <v>1</v>
      </c>
      <c r="G1756">
        <v>2025</v>
      </c>
      <c r="H1756" t="s">
        <v>657</v>
      </c>
      <c r="I1756" t="s">
        <v>274</v>
      </c>
      <c r="J1756" t="s">
        <v>19</v>
      </c>
      <c r="K1756">
        <v>48</v>
      </c>
      <c r="L1756">
        <v>3</v>
      </c>
      <c r="M1756">
        <v>149</v>
      </c>
    </row>
    <row r="1757" spans="1:13">
      <c r="A1757">
        <v>1756</v>
      </c>
      <c r="B1757" s="1">
        <v>45671</v>
      </c>
      <c r="C1757" t="s">
        <v>48</v>
      </c>
      <c r="D1757">
        <v>14</v>
      </c>
      <c r="E1757">
        <v>1</v>
      </c>
      <c r="F1757">
        <v>1</v>
      </c>
      <c r="G1757">
        <v>2025</v>
      </c>
      <c r="H1757" t="s">
        <v>657</v>
      </c>
      <c r="I1757" t="s">
        <v>159</v>
      </c>
      <c r="J1757" t="s">
        <v>21</v>
      </c>
      <c r="K1757">
        <v>31</v>
      </c>
      <c r="L1757">
        <v>13</v>
      </c>
      <c r="M1757">
        <v>406</v>
      </c>
    </row>
    <row r="1758" spans="1:13">
      <c r="A1758">
        <v>1757</v>
      </c>
      <c r="B1758" s="1">
        <v>45671</v>
      </c>
      <c r="C1758" t="s">
        <v>48</v>
      </c>
      <c r="D1758">
        <v>14</v>
      </c>
      <c r="E1758">
        <v>1</v>
      </c>
      <c r="F1758">
        <v>1</v>
      </c>
      <c r="G1758">
        <v>2025</v>
      </c>
      <c r="H1758" t="s">
        <v>657</v>
      </c>
      <c r="I1758" t="s">
        <v>594</v>
      </c>
      <c r="J1758" t="s">
        <v>43</v>
      </c>
      <c r="K1758">
        <v>22</v>
      </c>
      <c r="L1758">
        <v>10</v>
      </c>
      <c r="M1758">
        <v>224</v>
      </c>
    </row>
    <row r="1759" spans="1:13">
      <c r="A1759">
        <v>1758</v>
      </c>
      <c r="B1759" s="1">
        <v>45671</v>
      </c>
      <c r="C1759" t="s">
        <v>48</v>
      </c>
      <c r="D1759">
        <v>14</v>
      </c>
      <c r="E1759">
        <v>1</v>
      </c>
      <c r="F1759">
        <v>1</v>
      </c>
      <c r="G1759">
        <v>2025</v>
      </c>
      <c r="H1759" t="s">
        <v>657</v>
      </c>
      <c r="I1759" t="s">
        <v>413</v>
      </c>
      <c r="J1759" t="s">
        <v>57</v>
      </c>
      <c r="K1759">
        <v>33</v>
      </c>
      <c r="L1759">
        <v>7</v>
      </c>
      <c r="M1759">
        <v>241</v>
      </c>
    </row>
    <row r="1760" spans="1:13">
      <c r="A1760">
        <v>1759</v>
      </c>
      <c r="B1760" s="1">
        <v>45671</v>
      </c>
      <c r="C1760" t="s">
        <v>48</v>
      </c>
      <c r="D1760">
        <v>14</v>
      </c>
      <c r="E1760">
        <v>1</v>
      </c>
      <c r="F1760">
        <v>1</v>
      </c>
      <c r="G1760">
        <v>2025</v>
      </c>
      <c r="H1760" t="s">
        <v>657</v>
      </c>
      <c r="I1760" t="s">
        <v>734</v>
      </c>
      <c r="J1760" t="s">
        <v>51</v>
      </c>
      <c r="K1760">
        <v>15</v>
      </c>
      <c r="L1760">
        <v>21</v>
      </c>
      <c r="M1760">
        <v>320</v>
      </c>
    </row>
    <row r="1761" spans="1:13">
      <c r="A1761">
        <v>1760</v>
      </c>
      <c r="B1761" s="1">
        <v>45671</v>
      </c>
      <c r="C1761" t="s">
        <v>48</v>
      </c>
      <c r="D1761">
        <v>14</v>
      </c>
      <c r="E1761">
        <v>1</v>
      </c>
      <c r="F1761">
        <v>1</v>
      </c>
      <c r="G1761">
        <v>2025</v>
      </c>
      <c r="H1761" t="s">
        <v>657</v>
      </c>
      <c r="I1761" t="s">
        <v>73</v>
      </c>
      <c r="J1761" t="s">
        <v>39</v>
      </c>
      <c r="K1761">
        <v>20</v>
      </c>
      <c r="L1761">
        <v>12</v>
      </c>
      <c r="M1761">
        <v>244</v>
      </c>
    </row>
    <row r="1762" spans="1:13">
      <c r="A1762">
        <v>1761</v>
      </c>
      <c r="B1762" s="1">
        <v>45671</v>
      </c>
      <c r="C1762" t="s">
        <v>48</v>
      </c>
      <c r="D1762">
        <v>14</v>
      </c>
      <c r="E1762">
        <v>1</v>
      </c>
      <c r="F1762">
        <v>1</v>
      </c>
      <c r="G1762">
        <v>2025</v>
      </c>
      <c r="H1762" t="s">
        <v>657</v>
      </c>
      <c r="I1762" t="s">
        <v>175</v>
      </c>
      <c r="J1762" t="s">
        <v>21</v>
      </c>
      <c r="K1762">
        <v>21</v>
      </c>
      <c r="L1762">
        <v>14</v>
      </c>
      <c r="M1762">
        <v>299</v>
      </c>
    </row>
    <row r="1763" spans="1:13">
      <c r="A1763">
        <v>1762</v>
      </c>
      <c r="B1763" s="1">
        <v>45671</v>
      </c>
      <c r="C1763" t="s">
        <v>48</v>
      </c>
      <c r="D1763">
        <v>14</v>
      </c>
      <c r="E1763">
        <v>1</v>
      </c>
      <c r="F1763">
        <v>1</v>
      </c>
      <c r="G1763">
        <v>2025</v>
      </c>
      <c r="H1763" t="s">
        <v>657</v>
      </c>
      <c r="I1763" t="s">
        <v>110</v>
      </c>
      <c r="J1763" t="s">
        <v>51</v>
      </c>
      <c r="K1763">
        <v>29</v>
      </c>
      <c r="L1763">
        <v>3</v>
      </c>
      <c r="M1763">
        <v>111</v>
      </c>
    </row>
    <row r="1764" spans="1:13">
      <c r="A1764">
        <v>1763</v>
      </c>
      <c r="B1764" s="1">
        <v>45671</v>
      </c>
      <c r="C1764" t="s">
        <v>48</v>
      </c>
      <c r="D1764">
        <v>14</v>
      </c>
      <c r="E1764">
        <v>1</v>
      </c>
      <c r="F1764">
        <v>1</v>
      </c>
      <c r="G1764">
        <v>2025</v>
      </c>
      <c r="H1764" t="s">
        <v>657</v>
      </c>
      <c r="I1764" t="s">
        <v>397</v>
      </c>
      <c r="J1764" t="s">
        <v>31</v>
      </c>
      <c r="K1764">
        <v>36</v>
      </c>
      <c r="L1764">
        <v>10</v>
      </c>
      <c r="M1764">
        <v>362</v>
      </c>
    </row>
    <row r="1765" spans="1:13">
      <c r="A1765">
        <v>1764</v>
      </c>
      <c r="B1765" s="1">
        <v>45552</v>
      </c>
      <c r="C1765" t="s">
        <v>48</v>
      </c>
      <c r="D1765">
        <v>17</v>
      </c>
      <c r="E1765">
        <v>9</v>
      </c>
      <c r="F1765">
        <v>3</v>
      </c>
      <c r="G1765">
        <v>2024</v>
      </c>
      <c r="H1765" t="s">
        <v>714</v>
      </c>
      <c r="I1765" t="s">
        <v>367</v>
      </c>
      <c r="J1765" t="s">
        <v>31</v>
      </c>
      <c r="K1765">
        <v>27</v>
      </c>
      <c r="L1765">
        <v>7</v>
      </c>
      <c r="M1765">
        <v>211</v>
      </c>
    </row>
    <row r="1766" spans="1:13">
      <c r="A1766">
        <v>1765</v>
      </c>
      <c r="B1766" s="1">
        <v>45552</v>
      </c>
      <c r="C1766" t="s">
        <v>48</v>
      </c>
      <c r="D1766">
        <v>17</v>
      </c>
      <c r="E1766">
        <v>9</v>
      </c>
      <c r="F1766">
        <v>3</v>
      </c>
      <c r="G1766">
        <v>2024</v>
      </c>
      <c r="H1766" t="s">
        <v>714</v>
      </c>
      <c r="I1766" t="s">
        <v>230</v>
      </c>
      <c r="J1766" t="s">
        <v>46</v>
      </c>
      <c r="K1766">
        <v>45</v>
      </c>
      <c r="L1766">
        <v>6</v>
      </c>
      <c r="M1766">
        <v>292</v>
      </c>
    </row>
    <row r="1767" spans="1:13">
      <c r="A1767">
        <v>1766</v>
      </c>
      <c r="B1767" s="1">
        <v>45552</v>
      </c>
      <c r="C1767" t="s">
        <v>48</v>
      </c>
      <c r="D1767">
        <v>17</v>
      </c>
      <c r="E1767">
        <v>9</v>
      </c>
      <c r="F1767">
        <v>3</v>
      </c>
      <c r="G1767">
        <v>2024</v>
      </c>
      <c r="H1767" t="s">
        <v>714</v>
      </c>
      <c r="I1767" t="s">
        <v>467</v>
      </c>
      <c r="J1767" t="s">
        <v>19</v>
      </c>
      <c r="K1767">
        <v>46</v>
      </c>
      <c r="L1767">
        <v>2</v>
      </c>
      <c r="M1767">
        <v>103</v>
      </c>
    </row>
    <row r="1768" spans="1:13">
      <c r="A1768">
        <v>1767</v>
      </c>
      <c r="B1768" s="1">
        <v>45552</v>
      </c>
      <c r="C1768" t="s">
        <v>48</v>
      </c>
      <c r="D1768">
        <v>17</v>
      </c>
      <c r="E1768">
        <v>9</v>
      </c>
      <c r="F1768">
        <v>3</v>
      </c>
      <c r="G1768">
        <v>2024</v>
      </c>
      <c r="H1768" t="s">
        <v>714</v>
      </c>
      <c r="I1768" t="s">
        <v>150</v>
      </c>
      <c r="J1768" t="s">
        <v>60</v>
      </c>
      <c r="K1768">
        <v>18</v>
      </c>
      <c r="L1768">
        <v>13</v>
      </c>
      <c r="M1768">
        <v>234</v>
      </c>
    </row>
    <row r="1769" spans="1:13">
      <c r="A1769">
        <v>1768</v>
      </c>
      <c r="B1769" s="1">
        <v>45989</v>
      </c>
      <c r="C1769" t="s">
        <v>79</v>
      </c>
      <c r="D1769">
        <v>28</v>
      </c>
      <c r="E1769">
        <v>11</v>
      </c>
      <c r="F1769">
        <v>4</v>
      </c>
      <c r="G1769">
        <v>2025</v>
      </c>
      <c r="H1769" t="s">
        <v>160</v>
      </c>
      <c r="I1769" t="s">
        <v>351</v>
      </c>
      <c r="J1769" t="s">
        <v>57</v>
      </c>
      <c r="K1769">
        <v>45</v>
      </c>
      <c r="L1769">
        <v>2</v>
      </c>
      <c r="M1769">
        <v>100</v>
      </c>
    </row>
    <row r="1770" spans="1:13">
      <c r="A1770">
        <v>1769</v>
      </c>
      <c r="B1770" s="1">
        <v>45989</v>
      </c>
      <c r="C1770" t="s">
        <v>79</v>
      </c>
      <c r="D1770">
        <v>28</v>
      </c>
      <c r="E1770">
        <v>11</v>
      </c>
      <c r="F1770">
        <v>4</v>
      </c>
      <c r="G1770">
        <v>2025</v>
      </c>
      <c r="H1770" t="s">
        <v>160</v>
      </c>
      <c r="I1770" t="s">
        <v>179</v>
      </c>
      <c r="J1770" t="s">
        <v>37</v>
      </c>
      <c r="K1770">
        <v>11</v>
      </c>
      <c r="L1770">
        <v>21</v>
      </c>
      <c r="M1770">
        <v>239</v>
      </c>
    </row>
    <row r="1771" spans="1:13">
      <c r="A1771">
        <v>1770</v>
      </c>
      <c r="B1771" s="1">
        <v>45989</v>
      </c>
      <c r="C1771" t="s">
        <v>79</v>
      </c>
      <c r="D1771">
        <v>28</v>
      </c>
      <c r="E1771">
        <v>11</v>
      </c>
      <c r="F1771">
        <v>4</v>
      </c>
      <c r="G1771">
        <v>2025</v>
      </c>
      <c r="H1771" t="s">
        <v>160</v>
      </c>
      <c r="I1771" t="s">
        <v>359</v>
      </c>
      <c r="J1771" t="s">
        <v>23</v>
      </c>
      <c r="K1771">
        <v>31</v>
      </c>
      <c r="L1771">
        <v>14</v>
      </c>
      <c r="M1771">
        <v>441</v>
      </c>
    </row>
    <row r="1772" spans="1:13">
      <c r="A1772">
        <v>1771</v>
      </c>
      <c r="B1772" s="1">
        <v>45989</v>
      </c>
      <c r="C1772" t="s">
        <v>79</v>
      </c>
      <c r="D1772">
        <v>28</v>
      </c>
      <c r="E1772">
        <v>11</v>
      </c>
      <c r="F1772">
        <v>4</v>
      </c>
      <c r="G1772">
        <v>2025</v>
      </c>
      <c r="H1772" t="s">
        <v>160</v>
      </c>
      <c r="I1772" t="s">
        <v>385</v>
      </c>
      <c r="J1772" t="s">
        <v>39</v>
      </c>
      <c r="K1772">
        <v>34</v>
      </c>
      <c r="L1772">
        <v>7</v>
      </c>
      <c r="M1772">
        <v>240</v>
      </c>
    </row>
    <row r="1773" spans="1:13">
      <c r="A1773">
        <v>1772</v>
      </c>
      <c r="B1773" s="1">
        <v>45989</v>
      </c>
      <c r="C1773" t="s">
        <v>79</v>
      </c>
      <c r="D1773">
        <v>28</v>
      </c>
      <c r="E1773">
        <v>11</v>
      </c>
      <c r="F1773">
        <v>4</v>
      </c>
      <c r="G1773">
        <v>2025</v>
      </c>
      <c r="H1773" t="s">
        <v>160</v>
      </c>
      <c r="I1773" t="s">
        <v>214</v>
      </c>
      <c r="J1773" t="s">
        <v>69</v>
      </c>
      <c r="K1773">
        <v>39</v>
      </c>
      <c r="L1773">
        <v>5</v>
      </c>
      <c r="M1773">
        <v>231</v>
      </c>
    </row>
    <row r="1774" spans="1:13">
      <c r="A1774">
        <v>1773</v>
      </c>
      <c r="B1774" s="1">
        <v>45989</v>
      </c>
      <c r="C1774" t="s">
        <v>79</v>
      </c>
      <c r="D1774">
        <v>28</v>
      </c>
      <c r="E1774">
        <v>11</v>
      </c>
      <c r="F1774">
        <v>4</v>
      </c>
      <c r="G1774">
        <v>2025</v>
      </c>
      <c r="H1774" t="s">
        <v>160</v>
      </c>
      <c r="I1774" t="s">
        <v>331</v>
      </c>
      <c r="J1774" t="s">
        <v>51</v>
      </c>
      <c r="K1774">
        <v>51</v>
      </c>
      <c r="L1774">
        <v>2</v>
      </c>
      <c r="M1774">
        <v>104</v>
      </c>
    </row>
    <row r="1775" spans="1:13">
      <c r="A1775">
        <v>1774</v>
      </c>
      <c r="B1775" s="1">
        <v>45989</v>
      </c>
      <c r="C1775" t="s">
        <v>79</v>
      </c>
      <c r="D1775">
        <v>28</v>
      </c>
      <c r="E1775">
        <v>11</v>
      </c>
      <c r="F1775">
        <v>4</v>
      </c>
      <c r="G1775">
        <v>2025</v>
      </c>
      <c r="H1775" t="s">
        <v>160</v>
      </c>
      <c r="I1775" t="s">
        <v>204</v>
      </c>
      <c r="J1775" t="s">
        <v>97</v>
      </c>
      <c r="K1775">
        <v>33</v>
      </c>
      <c r="L1775">
        <v>8</v>
      </c>
      <c r="M1775">
        <v>284</v>
      </c>
    </row>
    <row r="1776" spans="1:13">
      <c r="A1776">
        <v>1775</v>
      </c>
      <c r="B1776" s="1">
        <v>45989</v>
      </c>
      <c r="C1776" t="s">
        <v>79</v>
      </c>
      <c r="D1776">
        <v>28</v>
      </c>
      <c r="E1776">
        <v>11</v>
      </c>
      <c r="F1776">
        <v>4</v>
      </c>
      <c r="G1776">
        <v>2025</v>
      </c>
      <c r="H1776" t="s">
        <v>160</v>
      </c>
      <c r="I1776" t="s">
        <v>349</v>
      </c>
      <c r="J1776" t="s">
        <v>51</v>
      </c>
      <c r="K1776">
        <v>12</v>
      </c>
      <c r="L1776">
        <v>5</v>
      </c>
      <c r="M1776">
        <v>71</v>
      </c>
    </row>
    <row r="1777" spans="1:13">
      <c r="A1777">
        <v>1776</v>
      </c>
      <c r="B1777" s="1">
        <v>45989</v>
      </c>
      <c r="C1777" t="s">
        <v>79</v>
      </c>
      <c r="D1777">
        <v>28</v>
      </c>
      <c r="E1777">
        <v>11</v>
      </c>
      <c r="F1777">
        <v>4</v>
      </c>
      <c r="G1777">
        <v>2025</v>
      </c>
      <c r="H1777" t="s">
        <v>160</v>
      </c>
      <c r="I1777" t="s">
        <v>71</v>
      </c>
      <c r="J1777" t="s">
        <v>23</v>
      </c>
      <c r="K1777">
        <v>47</v>
      </c>
      <c r="L1777">
        <v>3</v>
      </c>
      <c r="M1777">
        <v>178</v>
      </c>
    </row>
    <row r="1778" spans="1:13">
      <c r="A1778">
        <v>1777</v>
      </c>
      <c r="B1778" s="1">
        <v>45989</v>
      </c>
      <c r="C1778" t="s">
        <v>79</v>
      </c>
      <c r="D1778">
        <v>28</v>
      </c>
      <c r="E1778">
        <v>11</v>
      </c>
      <c r="F1778">
        <v>4</v>
      </c>
      <c r="G1778">
        <v>2025</v>
      </c>
      <c r="H1778" t="s">
        <v>160</v>
      </c>
      <c r="I1778" t="s">
        <v>600</v>
      </c>
      <c r="J1778" t="s">
        <v>69</v>
      </c>
      <c r="K1778">
        <v>34</v>
      </c>
      <c r="L1778">
        <v>8</v>
      </c>
      <c r="M1778">
        <v>276</v>
      </c>
    </row>
    <row r="1779" spans="1:13">
      <c r="A1779">
        <v>1778</v>
      </c>
      <c r="B1779" s="1">
        <v>45989</v>
      </c>
      <c r="C1779" t="s">
        <v>79</v>
      </c>
      <c r="D1779">
        <v>28</v>
      </c>
      <c r="E1779">
        <v>11</v>
      </c>
      <c r="F1779">
        <v>4</v>
      </c>
      <c r="G1779">
        <v>2025</v>
      </c>
      <c r="H1779" t="s">
        <v>160</v>
      </c>
      <c r="I1779" t="s">
        <v>483</v>
      </c>
      <c r="J1779" t="s">
        <v>100</v>
      </c>
      <c r="K1779">
        <v>44</v>
      </c>
      <c r="L1779">
        <v>10</v>
      </c>
      <c r="M1779">
        <v>461</v>
      </c>
    </row>
    <row r="1780" spans="1:13">
      <c r="A1780">
        <v>1779</v>
      </c>
      <c r="B1780" s="1">
        <v>45989</v>
      </c>
      <c r="C1780" t="s">
        <v>79</v>
      </c>
      <c r="D1780">
        <v>28</v>
      </c>
      <c r="E1780">
        <v>11</v>
      </c>
      <c r="F1780">
        <v>4</v>
      </c>
      <c r="G1780">
        <v>2025</v>
      </c>
      <c r="H1780" t="s">
        <v>160</v>
      </c>
      <c r="I1780" t="s">
        <v>240</v>
      </c>
      <c r="J1780" t="s">
        <v>23</v>
      </c>
      <c r="K1780">
        <v>12</v>
      </c>
      <c r="L1780">
        <v>44</v>
      </c>
      <c r="M1780">
        <v>539</v>
      </c>
    </row>
    <row r="1781" spans="1:13">
      <c r="A1781">
        <v>1780</v>
      </c>
      <c r="B1781" s="1">
        <v>46195</v>
      </c>
      <c r="C1781" t="s">
        <v>93</v>
      </c>
      <c r="D1781">
        <v>22</v>
      </c>
      <c r="E1781">
        <v>6</v>
      </c>
      <c r="F1781">
        <v>2</v>
      </c>
      <c r="G1781">
        <v>2026</v>
      </c>
      <c r="H1781" t="s">
        <v>721</v>
      </c>
      <c r="I1781" t="s">
        <v>331</v>
      </c>
      <c r="J1781" t="s">
        <v>51</v>
      </c>
      <c r="K1781">
        <v>19</v>
      </c>
      <c r="L1781">
        <v>5</v>
      </c>
      <c r="M1781">
        <v>112</v>
      </c>
    </row>
    <row r="1782" spans="1:13">
      <c r="A1782">
        <v>1781</v>
      </c>
      <c r="B1782" s="1">
        <v>46195</v>
      </c>
      <c r="C1782" t="s">
        <v>93</v>
      </c>
      <c r="D1782">
        <v>22</v>
      </c>
      <c r="E1782">
        <v>6</v>
      </c>
      <c r="F1782">
        <v>2</v>
      </c>
      <c r="G1782">
        <v>2026</v>
      </c>
      <c r="H1782" t="s">
        <v>721</v>
      </c>
      <c r="I1782" t="s">
        <v>268</v>
      </c>
      <c r="J1782" t="s">
        <v>97</v>
      </c>
      <c r="K1782">
        <v>14</v>
      </c>
      <c r="L1782">
        <v>17</v>
      </c>
      <c r="M1782">
        <v>242</v>
      </c>
    </row>
    <row r="1783" spans="1:13">
      <c r="A1783">
        <v>1782</v>
      </c>
      <c r="B1783" s="1">
        <v>46195</v>
      </c>
      <c r="C1783" t="s">
        <v>93</v>
      </c>
      <c r="D1783">
        <v>22</v>
      </c>
      <c r="E1783">
        <v>6</v>
      </c>
      <c r="F1783">
        <v>2</v>
      </c>
      <c r="G1783">
        <v>2026</v>
      </c>
      <c r="H1783" t="s">
        <v>721</v>
      </c>
      <c r="I1783" t="s">
        <v>235</v>
      </c>
      <c r="J1783" t="s">
        <v>19</v>
      </c>
      <c r="K1783">
        <v>23</v>
      </c>
      <c r="L1783">
        <v>13</v>
      </c>
      <c r="M1783">
        <v>313</v>
      </c>
    </row>
    <row r="1784" spans="1:13">
      <c r="A1784">
        <v>1783</v>
      </c>
      <c r="B1784" s="1">
        <v>46195</v>
      </c>
      <c r="C1784" t="s">
        <v>93</v>
      </c>
      <c r="D1784">
        <v>22</v>
      </c>
      <c r="E1784">
        <v>6</v>
      </c>
      <c r="F1784">
        <v>2</v>
      </c>
      <c r="G1784">
        <v>2026</v>
      </c>
      <c r="H1784" t="s">
        <v>721</v>
      </c>
      <c r="I1784" t="s">
        <v>301</v>
      </c>
      <c r="J1784" t="s">
        <v>69</v>
      </c>
      <c r="K1784">
        <v>60</v>
      </c>
      <c r="L1784">
        <v>2</v>
      </c>
      <c r="M1784">
        <v>147</v>
      </c>
    </row>
    <row r="1785" spans="1:13">
      <c r="A1785">
        <v>1784</v>
      </c>
      <c r="B1785" s="1">
        <v>46195</v>
      </c>
      <c r="C1785" t="s">
        <v>93</v>
      </c>
      <c r="D1785">
        <v>22</v>
      </c>
      <c r="E1785">
        <v>6</v>
      </c>
      <c r="F1785">
        <v>2</v>
      </c>
      <c r="G1785">
        <v>2026</v>
      </c>
      <c r="H1785" t="s">
        <v>721</v>
      </c>
      <c r="I1785" t="s">
        <v>735</v>
      </c>
      <c r="J1785" t="s">
        <v>51</v>
      </c>
      <c r="K1785">
        <v>32</v>
      </c>
      <c r="L1785">
        <v>12</v>
      </c>
      <c r="M1785">
        <v>387</v>
      </c>
    </row>
    <row r="1786" spans="1:13">
      <c r="A1786">
        <v>1785</v>
      </c>
      <c r="B1786" s="1">
        <v>46195</v>
      </c>
      <c r="C1786" t="s">
        <v>93</v>
      </c>
      <c r="D1786">
        <v>22</v>
      </c>
      <c r="E1786">
        <v>6</v>
      </c>
      <c r="F1786">
        <v>2</v>
      </c>
      <c r="G1786">
        <v>2026</v>
      </c>
      <c r="H1786" t="s">
        <v>721</v>
      </c>
      <c r="I1786" t="s">
        <v>149</v>
      </c>
      <c r="J1786" t="s">
        <v>100</v>
      </c>
      <c r="K1786">
        <v>29</v>
      </c>
      <c r="L1786">
        <v>9</v>
      </c>
      <c r="M1786">
        <v>261</v>
      </c>
    </row>
    <row r="1787" spans="1:13">
      <c r="A1787">
        <v>1786</v>
      </c>
      <c r="B1787" s="1">
        <v>46195</v>
      </c>
      <c r="C1787" t="s">
        <v>93</v>
      </c>
      <c r="D1787">
        <v>22</v>
      </c>
      <c r="E1787">
        <v>6</v>
      </c>
      <c r="F1787">
        <v>2</v>
      </c>
      <c r="G1787">
        <v>2026</v>
      </c>
      <c r="H1787" t="s">
        <v>721</v>
      </c>
      <c r="I1787" t="s">
        <v>560</v>
      </c>
      <c r="J1787" t="s">
        <v>122</v>
      </c>
      <c r="K1787">
        <v>48</v>
      </c>
      <c r="L1787">
        <v>3</v>
      </c>
      <c r="M1787">
        <v>158</v>
      </c>
    </row>
    <row r="1788" spans="1:13">
      <c r="A1788">
        <v>1787</v>
      </c>
      <c r="B1788" s="1">
        <v>46195</v>
      </c>
      <c r="C1788" t="s">
        <v>93</v>
      </c>
      <c r="D1788">
        <v>22</v>
      </c>
      <c r="E1788">
        <v>6</v>
      </c>
      <c r="F1788">
        <v>2</v>
      </c>
      <c r="G1788">
        <v>2026</v>
      </c>
      <c r="H1788" t="s">
        <v>721</v>
      </c>
      <c r="I1788" t="s">
        <v>583</v>
      </c>
      <c r="J1788" t="s">
        <v>19</v>
      </c>
      <c r="K1788">
        <v>53</v>
      </c>
      <c r="L1788">
        <v>2</v>
      </c>
      <c r="M1788">
        <v>156</v>
      </c>
    </row>
    <row r="1789" spans="1:13">
      <c r="A1789">
        <v>1788</v>
      </c>
      <c r="B1789" s="1">
        <v>46256</v>
      </c>
      <c r="C1789" t="s">
        <v>14</v>
      </c>
      <c r="D1789">
        <v>22</v>
      </c>
      <c r="E1789">
        <v>8</v>
      </c>
      <c r="F1789">
        <v>3</v>
      </c>
      <c r="G1789">
        <v>2026</v>
      </c>
      <c r="H1789" t="s">
        <v>524</v>
      </c>
      <c r="I1789" t="s">
        <v>277</v>
      </c>
      <c r="J1789" t="s">
        <v>122</v>
      </c>
      <c r="K1789">
        <v>30</v>
      </c>
      <c r="L1789">
        <v>11</v>
      </c>
      <c r="M1789">
        <v>336</v>
      </c>
    </row>
    <row r="1790" spans="1:13">
      <c r="A1790">
        <v>1789</v>
      </c>
      <c r="B1790" s="1">
        <v>46256</v>
      </c>
      <c r="C1790" t="s">
        <v>14</v>
      </c>
      <c r="D1790">
        <v>22</v>
      </c>
      <c r="E1790">
        <v>8</v>
      </c>
      <c r="F1790">
        <v>3</v>
      </c>
      <c r="G1790">
        <v>2026</v>
      </c>
      <c r="H1790" t="s">
        <v>524</v>
      </c>
      <c r="I1790" t="s">
        <v>350</v>
      </c>
      <c r="J1790" t="s">
        <v>60</v>
      </c>
      <c r="K1790">
        <v>15</v>
      </c>
      <c r="L1790">
        <v>24</v>
      </c>
      <c r="M1790">
        <v>361</v>
      </c>
    </row>
    <row r="1791" spans="1:13">
      <c r="A1791">
        <v>1790</v>
      </c>
      <c r="B1791" s="1">
        <v>45851</v>
      </c>
      <c r="C1791" t="s">
        <v>28</v>
      </c>
      <c r="D1791">
        <v>13</v>
      </c>
      <c r="E1791">
        <v>7</v>
      </c>
      <c r="F1791">
        <v>3</v>
      </c>
      <c r="G1791">
        <v>2025</v>
      </c>
      <c r="H1791" t="s">
        <v>196</v>
      </c>
      <c r="I1791" t="s">
        <v>230</v>
      </c>
      <c r="J1791" t="s">
        <v>46</v>
      </c>
      <c r="K1791">
        <v>50</v>
      </c>
      <c r="L1791">
        <v>6</v>
      </c>
      <c r="M1791">
        <v>312</v>
      </c>
    </row>
    <row r="1792" spans="1:13">
      <c r="A1792">
        <v>1791</v>
      </c>
      <c r="B1792" s="1">
        <v>45619</v>
      </c>
      <c r="C1792" t="s">
        <v>14</v>
      </c>
      <c r="D1792">
        <v>23</v>
      </c>
      <c r="E1792">
        <v>11</v>
      </c>
      <c r="F1792">
        <v>4</v>
      </c>
      <c r="G1792">
        <v>2024</v>
      </c>
      <c r="H1792" t="s">
        <v>113</v>
      </c>
      <c r="I1792" t="s">
        <v>717</v>
      </c>
      <c r="J1792" t="s">
        <v>17</v>
      </c>
      <c r="K1792">
        <v>46</v>
      </c>
      <c r="L1792">
        <v>2</v>
      </c>
      <c r="M1792">
        <v>105</v>
      </c>
    </row>
    <row r="1793" spans="1:13">
      <c r="A1793">
        <v>1792</v>
      </c>
      <c r="B1793" s="1">
        <v>45619</v>
      </c>
      <c r="C1793" t="s">
        <v>14</v>
      </c>
      <c r="D1793">
        <v>23</v>
      </c>
      <c r="E1793">
        <v>11</v>
      </c>
      <c r="F1793">
        <v>4</v>
      </c>
      <c r="G1793">
        <v>2024</v>
      </c>
      <c r="H1793" t="s">
        <v>113</v>
      </c>
      <c r="I1793" t="s">
        <v>189</v>
      </c>
      <c r="J1793" t="s">
        <v>43</v>
      </c>
      <c r="K1793">
        <v>14</v>
      </c>
      <c r="L1793">
        <v>25</v>
      </c>
      <c r="M1793">
        <v>351</v>
      </c>
    </row>
    <row r="1794" spans="1:13">
      <c r="A1794">
        <v>1793</v>
      </c>
      <c r="B1794" s="1">
        <v>45619</v>
      </c>
      <c r="C1794" t="s">
        <v>14</v>
      </c>
      <c r="D1794">
        <v>23</v>
      </c>
      <c r="E1794">
        <v>11</v>
      </c>
      <c r="F1794">
        <v>4</v>
      </c>
      <c r="G1794">
        <v>2024</v>
      </c>
      <c r="H1794" t="s">
        <v>113</v>
      </c>
      <c r="I1794" t="s">
        <v>219</v>
      </c>
      <c r="J1794" t="s">
        <v>39</v>
      </c>
      <c r="K1794">
        <v>16</v>
      </c>
      <c r="L1794">
        <v>19</v>
      </c>
      <c r="M1794">
        <v>315</v>
      </c>
    </row>
    <row r="1795" spans="1:13">
      <c r="A1795">
        <v>1794</v>
      </c>
      <c r="B1795" s="1">
        <v>45619</v>
      </c>
      <c r="C1795" t="s">
        <v>14</v>
      </c>
      <c r="D1795">
        <v>23</v>
      </c>
      <c r="E1795">
        <v>11</v>
      </c>
      <c r="F1795">
        <v>4</v>
      </c>
      <c r="G1795">
        <v>2024</v>
      </c>
      <c r="H1795" t="s">
        <v>113</v>
      </c>
      <c r="I1795" t="s">
        <v>335</v>
      </c>
      <c r="J1795" t="s">
        <v>37</v>
      </c>
      <c r="K1795">
        <v>11</v>
      </c>
      <c r="L1795">
        <v>32</v>
      </c>
      <c r="M1795">
        <v>358</v>
      </c>
    </row>
    <row r="1796" spans="1:13">
      <c r="A1796">
        <v>1795</v>
      </c>
      <c r="B1796" s="1">
        <v>45619</v>
      </c>
      <c r="C1796" t="s">
        <v>14</v>
      </c>
      <c r="D1796">
        <v>23</v>
      </c>
      <c r="E1796">
        <v>11</v>
      </c>
      <c r="F1796">
        <v>4</v>
      </c>
      <c r="G1796">
        <v>2024</v>
      </c>
      <c r="H1796" t="s">
        <v>113</v>
      </c>
      <c r="I1796" t="s">
        <v>305</v>
      </c>
      <c r="J1796" t="s">
        <v>55</v>
      </c>
      <c r="K1796">
        <v>23</v>
      </c>
      <c r="L1796">
        <v>17</v>
      </c>
      <c r="M1796">
        <v>398</v>
      </c>
    </row>
    <row r="1797" spans="1:13">
      <c r="A1797">
        <v>1796</v>
      </c>
      <c r="B1797" s="1">
        <v>45619</v>
      </c>
      <c r="C1797" t="s">
        <v>14</v>
      </c>
      <c r="D1797">
        <v>23</v>
      </c>
      <c r="E1797">
        <v>11</v>
      </c>
      <c r="F1797">
        <v>4</v>
      </c>
      <c r="G1797">
        <v>2024</v>
      </c>
      <c r="H1797" t="s">
        <v>113</v>
      </c>
      <c r="I1797" t="s">
        <v>569</v>
      </c>
      <c r="J1797" t="s">
        <v>43</v>
      </c>
      <c r="K1797">
        <v>13</v>
      </c>
      <c r="L1797">
        <v>18</v>
      </c>
      <c r="M1797">
        <v>240</v>
      </c>
    </row>
    <row r="1798" spans="1:13">
      <c r="A1798">
        <v>1797</v>
      </c>
      <c r="B1798" s="1">
        <v>45957</v>
      </c>
      <c r="C1798" t="s">
        <v>93</v>
      </c>
      <c r="D1798">
        <v>27</v>
      </c>
      <c r="E1798">
        <v>10</v>
      </c>
      <c r="F1798">
        <v>4</v>
      </c>
      <c r="G1798">
        <v>2025</v>
      </c>
      <c r="H1798" t="s">
        <v>49</v>
      </c>
      <c r="I1798" t="s">
        <v>647</v>
      </c>
      <c r="J1798" t="s">
        <v>57</v>
      </c>
      <c r="K1798">
        <v>41</v>
      </c>
      <c r="L1798">
        <v>6</v>
      </c>
      <c r="M1798">
        <v>263</v>
      </c>
    </row>
    <row r="1799" spans="1:13">
      <c r="A1799">
        <v>1798</v>
      </c>
      <c r="B1799" s="1">
        <v>45957</v>
      </c>
      <c r="C1799" t="s">
        <v>93</v>
      </c>
      <c r="D1799">
        <v>27</v>
      </c>
      <c r="E1799">
        <v>10</v>
      </c>
      <c r="F1799">
        <v>4</v>
      </c>
      <c r="G1799">
        <v>2025</v>
      </c>
      <c r="H1799" t="s">
        <v>49</v>
      </c>
      <c r="I1799" t="s">
        <v>703</v>
      </c>
      <c r="J1799" t="s">
        <v>60</v>
      </c>
      <c r="K1799">
        <v>57</v>
      </c>
      <c r="L1799">
        <v>3</v>
      </c>
      <c r="M1799">
        <v>179</v>
      </c>
    </row>
    <row r="1800" spans="1:13">
      <c r="A1800">
        <v>1799</v>
      </c>
      <c r="B1800" s="1">
        <v>45957</v>
      </c>
      <c r="C1800" t="s">
        <v>93</v>
      </c>
      <c r="D1800">
        <v>27</v>
      </c>
      <c r="E1800">
        <v>10</v>
      </c>
      <c r="F1800">
        <v>4</v>
      </c>
      <c r="G1800">
        <v>2025</v>
      </c>
      <c r="H1800" t="s">
        <v>49</v>
      </c>
      <c r="I1800" t="s">
        <v>532</v>
      </c>
      <c r="J1800" t="s">
        <v>55</v>
      </c>
      <c r="K1800">
        <v>13</v>
      </c>
      <c r="L1800">
        <v>3</v>
      </c>
      <c r="M1800">
        <v>49</v>
      </c>
    </row>
    <row r="1801" spans="1:13">
      <c r="A1801">
        <v>1800</v>
      </c>
      <c r="B1801" s="1">
        <v>45957</v>
      </c>
      <c r="C1801" t="s">
        <v>93</v>
      </c>
      <c r="D1801">
        <v>27</v>
      </c>
      <c r="E1801">
        <v>10</v>
      </c>
      <c r="F1801">
        <v>4</v>
      </c>
      <c r="G1801">
        <v>2025</v>
      </c>
      <c r="H1801" t="s">
        <v>49</v>
      </c>
      <c r="I1801" t="s">
        <v>549</v>
      </c>
      <c r="J1801" t="s">
        <v>82</v>
      </c>
      <c r="K1801">
        <v>22</v>
      </c>
      <c r="L1801">
        <v>10</v>
      </c>
      <c r="M1801">
        <v>234</v>
      </c>
    </row>
    <row r="1802" spans="1:13">
      <c r="A1802">
        <v>1801</v>
      </c>
      <c r="B1802" s="1">
        <v>45692</v>
      </c>
      <c r="C1802" t="s">
        <v>48</v>
      </c>
      <c r="D1802">
        <v>4</v>
      </c>
      <c r="E1802">
        <v>2</v>
      </c>
      <c r="F1802">
        <v>1</v>
      </c>
      <c r="G1802">
        <v>2025</v>
      </c>
      <c r="H1802" t="s">
        <v>160</v>
      </c>
      <c r="I1802" t="s">
        <v>268</v>
      </c>
      <c r="J1802" t="s">
        <v>97</v>
      </c>
      <c r="K1802">
        <v>24</v>
      </c>
      <c r="L1802">
        <v>10</v>
      </c>
      <c r="M1802">
        <v>254</v>
      </c>
    </row>
    <row r="1803" spans="1:13">
      <c r="A1803">
        <v>1802</v>
      </c>
      <c r="B1803" s="1">
        <v>45692</v>
      </c>
      <c r="C1803" t="s">
        <v>48</v>
      </c>
      <c r="D1803">
        <v>4</v>
      </c>
      <c r="E1803">
        <v>2</v>
      </c>
      <c r="F1803">
        <v>1</v>
      </c>
      <c r="G1803">
        <v>2025</v>
      </c>
      <c r="H1803" t="s">
        <v>160</v>
      </c>
      <c r="I1803" t="s">
        <v>727</v>
      </c>
      <c r="J1803" t="s">
        <v>97</v>
      </c>
      <c r="K1803">
        <v>41</v>
      </c>
      <c r="L1803">
        <v>6</v>
      </c>
      <c r="M1803">
        <v>250</v>
      </c>
    </row>
    <row r="1804" spans="1:13">
      <c r="A1804">
        <v>1803</v>
      </c>
      <c r="B1804" s="1">
        <v>45692</v>
      </c>
      <c r="C1804" t="s">
        <v>48</v>
      </c>
      <c r="D1804">
        <v>4</v>
      </c>
      <c r="E1804">
        <v>2</v>
      </c>
      <c r="F1804">
        <v>1</v>
      </c>
      <c r="G1804">
        <v>2025</v>
      </c>
      <c r="H1804" t="s">
        <v>160</v>
      </c>
      <c r="I1804" t="s">
        <v>662</v>
      </c>
      <c r="J1804" t="s">
        <v>21</v>
      </c>
      <c r="K1804">
        <v>23</v>
      </c>
      <c r="L1804">
        <v>11</v>
      </c>
      <c r="M1804">
        <v>275</v>
      </c>
    </row>
    <row r="1805" spans="1:13">
      <c r="A1805">
        <v>1804</v>
      </c>
      <c r="B1805" s="1">
        <v>45692</v>
      </c>
      <c r="C1805" t="s">
        <v>48</v>
      </c>
      <c r="D1805">
        <v>4</v>
      </c>
      <c r="E1805">
        <v>2</v>
      </c>
      <c r="F1805">
        <v>1</v>
      </c>
      <c r="G1805">
        <v>2025</v>
      </c>
      <c r="H1805" t="s">
        <v>160</v>
      </c>
      <c r="I1805" t="s">
        <v>350</v>
      </c>
      <c r="J1805" t="s">
        <v>60</v>
      </c>
      <c r="K1805">
        <v>58</v>
      </c>
      <c r="L1805">
        <v>5</v>
      </c>
      <c r="M1805">
        <v>341</v>
      </c>
    </row>
    <row r="1806" spans="1:13">
      <c r="A1806">
        <v>1805</v>
      </c>
      <c r="B1806" s="1">
        <v>45692</v>
      </c>
      <c r="C1806" t="s">
        <v>48</v>
      </c>
      <c r="D1806">
        <v>4</v>
      </c>
      <c r="E1806">
        <v>2</v>
      </c>
      <c r="F1806">
        <v>1</v>
      </c>
      <c r="G1806">
        <v>2025</v>
      </c>
      <c r="H1806" t="s">
        <v>160</v>
      </c>
      <c r="I1806" t="s">
        <v>509</v>
      </c>
      <c r="J1806" t="s">
        <v>19</v>
      </c>
      <c r="K1806">
        <v>11</v>
      </c>
      <c r="L1806">
        <v>17</v>
      </c>
      <c r="M1806">
        <v>193</v>
      </c>
    </row>
    <row r="1807" spans="1:13">
      <c r="A1807">
        <v>1806</v>
      </c>
      <c r="B1807" s="1">
        <v>45692</v>
      </c>
      <c r="C1807" t="s">
        <v>48</v>
      </c>
      <c r="D1807">
        <v>4</v>
      </c>
      <c r="E1807">
        <v>2</v>
      </c>
      <c r="F1807">
        <v>1</v>
      </c>
      <c r="G1807">
        <v>2025</v>
      </c>
      <c r="H1807" t="s">
        <v>160</v>
      </c>
      <c r="I1807" t="s">
        <v>62</v>
      </c>
      <c r="J1807" t="s">
        <v>17</v>
      </c>
      <c r="K1807">
        <v>23</v>
      </c>
      <c r="L1807">
        <v>8</v>
      </c>
      <c r="M1807">
        <v>203</v>
      </c>
    </row>
    <row r="1808" spans="1:13">
      <c r="A1808">
        <v>1807</v>
      </c>
      <c r="B1808" s="1">
        <v>45692</v>
      </c>
      <c r="C1808" t="s">
        <v>48</v>
      </c>
      <c r="D1808">
        <v>4</v>
      </c>
      <c r="E1808">
        <v>2</v>
      </c>
      <c r="F1808">
        <v>1</v>
      </c>
      <c r="G1808">
        <v>2025</v>
      </c>
      <c r="H1808" t="s">
        <v>160</v>
      </c>
      <c r="I1808" t="s">
        <v>552</v>
      </c>
      <c r="J1808" t="s">
        <v>31</v>
      </c>
      <c r="K1808">
        <v>51</v>
      </c>
      <c r="L1808">
        <v>3</v>
      </c>
      <c r="M1808">
        <v>202</v>
      </c>
    </row>
    <row r="1809" spans="1:13">
      <c r="A1809">
        <v>1808</v>
      </c>
      <c r="B1809" s="1">
        <v>45692</v>
      </c>
      <c r="C1809" t="s">
        <v>48</v>
      </c>
      <c r="D1809">
        <v>4</v>
      </c>
      <c r="E1809">
        <v>2</v>
      </c>
      <c r="F1809">
        <v>1</v>
      </c>
      <c r="G1809">
        <v>2025</v>
      </c>
      <c r="H1809" t="s">
        <v>160</v>
      </c>
      <c r="I1809" t="s">
        <v>92</v>
      </c>
      <c r="J1809" t="s">
        <v>51</v>
      </c>
      <c r="K1809">
        <v>35</v>
      </c>
      <c r="L1809">
        <v>3</v>
      </c>
      <c r="M1809">
        <v>138</v>
      </c>
    </row>
    <row r="1810" spans="1:13">
      <c r="A1810">
        <v>1809</v>
      </c>
      <c r="B1810" s="1">
        <v>45692</v>
      </c>
      <c r="C1810" t="s">
        <v>48</v>
      </c>
      <c r="D1810">
        <v>4</v>
      </c>
      <c r="E1810">
        <v>2</v>
      </c>
      <c r="F1810">
        <v>1</v>
      </c>
      <c r="G1810">
        <v>2025</v>
      </c>
      <c r="H1810" t="s">
        <v>160</v>
      </c>
      <c r="I1810" t="s">
        <v>587</v>
      </c>
      <c r="J1810" t="s">
        <v>27</v>
      </c>
      <c r="K1810">
        <v>39</v>
      </c>
      <c r="L1810">
        <v>10</v>
      </c>
      <c r="M1810">
        <v>421</v>
      </c>
    </row>
    <row r="1811" spans="1:13">
      <c r="A1811">
        <v>1810</v>
      </c>
      <c r="B1811" s="1">
        <v>45692</v>
      </c>
      <c r="C1811" t="s">
        <v>48</v>
      </c>
      <c r="D1811">
        <v>4</v>
      </c>
      <c r="E1811">
        <v>2</v>
      </c>
      <c r="F1811">
        <v>1</v>
      </c>
      <c r="G1811">
        <v>2025</v>
      </c>
      <c r="H1811" t="s">
        <v>160</v>
      </c>
      <c r="I1811" t="s">
        <v>736</v>
      </c>
      <c r="J1811" t="s">
        <v>122</v>
      </c>
      <c r="K1811">
        <v>51</v>
      </c>
      <c r="L1811">
        <v>3</v>
      </c>
      <c r="M1811">
        <v>173</v>
      </c>
    </row>
    <row r="1812" spans="1:13">
      <c r="A1812">
        <v>1811</v>
      </c>
      <c r="B1812" s="1">
        <v>45692</v>
      </c>
      <c r="C1812" t="s">
        <v>48</v>
      </c>
      <c r="D1812">
        <v>4</v>
      </c>
      <c r="E1812">
        <v>2</v>
      </c>
      <c r="F1812">
        <v>1</v>
      </c>
      <c r="G1812">
        <v>2025</v>
      </c>
      <c r="H1812" t="s">
        <v>160</v>
      </c>
      <c r="I1812" t="s">
        <v>175</v>
      </c>
      <c r="J1812" t="s">
        <v>21</v>
      </c>
      <c r="K1812">
        <v>59</v>
      </c>
      <c r="L1812">
        <v>5</v>
      </c>
      <c r="M1812">
        <v>315</v>
      </c>
    </row>
    <row r="1813" spans="1:13">
      <c r="A1813">
        <v>1812</v>
      </c>
      <c r="B1813" s="1">
        <v>45692</v>
      </c>
      <c r="C1813" t="s">
        <v>48</v>
      </c>
      <c r="D1813">
        <v>4</v>
      </c>
      <c r="E1813">
        <v>2</v>
      </c>
      <c r="F1813">
        <v>1</v>
      </c>
      <c r="G1813">
        <v>2025</v>
      </c>
      <c r="H1813" t="s">
        <v>160</v>
      </c>
      <c r="I1813" t="s">
        <v>490</v>
      </c>
      <c r="J1813" t="s">
        <v>43</v>
      </c>
      <c r="K1813">
        <v>43</v>
      </c>
      <c r="L1813">
        <v>4</v>
      </c>
      <c r="M1813">
        <v>202</v>
      </c>
    </row>
    <row r="1814" spans="1:13">
      <c r="A1814">
        <v>1813</v>
      </c>
      <c r="B1814" s="1">
        <v>45949</v>
      </c>
      <c r="C1814" t="s">
        <v>28</v>
      </c>
      <c r="D1814">
        <v>19</v>
      </c>
      <c r="E1814">
        <v>10</v>
      </c>
      <c r="F1814">
        <v>4</v>
      </c>
      <c r="G1814">
        <v>2025</v>
      </c>
      <c r="H1814" t="s">
        <v>526</v>
      </c>
      <c r="I1814" t="s">
        <v>727</v>
      </c>
      <c r="J1814" t="s">
        <v>97</v>
      </c>
      <c r="K1814">
        <v>22</v>
      </c>
      <c r="L1814">
        <v>12</v>
      </c>
      <c r="M1814">
        <v>265</v>
      </c>
    </row>
    <row r="1815" spans="1:13">
      <c r="A1815">
        <v>1814</v>
      </c>
      <c r="B1815" s="1">
        <v>45949</v>
      </c>
      <c r="C1815" t="s">
        <v>28</v>
      </c>
      <c r="D1815">
        <v>19</v>
      </c>
      <c r="E1815">
        <v>10</v>
      </c>
      <c r="F1815">
        <v>4</v>
      </c>
      <c r="G1815">
        <v>2025</v>
      </c>
      <c r="H1815" t="s">
        <v>526</v>
      </c>
      <c r="I1815" t="s">
        <v>281</v>
      </c>
      <c r="J1815" t="s">
        <v>51</v>
      </c>
      <c r="K1815">
        <v>42</v>
      </c>
      <c r="L1815">
        <v>5</v>
      </c>
      <c r="M1815">
        <v>220</v>
      </c>
    </row>
    <row r="1816" spans="1:13">
      <c r="A1816">
        <v>1815</v>
      </c>
      <c r="B1816" s="1">
        <v>45949</v>
      </c>
      <c r="C1816" t="s">
        <v>28</v>
      </c>
      <c r="D1816">
        <v>19</v>
      </c>
      <c r="E1816">
        <v>10</v>
      </c>
      <c r="F1816">
        <v>4</v>
      </c>
      <c r="G1816">
        <v>2025</v>
      </c>
      <c r="H1816" t="s">
        <v>526</v>
      </c>
      <c r="I1816" t="s">
        <v>509</v>
      </c>
      <c r="J1816" t="s">
        <v>19</v>
      </c>
      <c r="K1816">
        <v>43</v>
      </c>
      <c r="L1816">
        <v>4</v>
      </c>
      <c r="M1816">
        <v>174</v>
      </c>
    </row>
    <row r="1817" spans="1:13">
      <c r="A1817">
        <v>1816</v>
      </c>
      <c r="B1817" s="1">
        <v>45949</v>
      </c>
      <c r="C1817" t="s">
        <v>28</v>
      </c>
      <c r="D1817">
        <v>19</v>
      </c>
      <c r="E1817">
        <v>10</v>
      </c>
      <c r="F1817">
        <v>4</v>
      </c>
      <c r="G1817">
        <v>2025</v>
      </c>
      <c r="H1817" t="s">
        <v>526</v>
      </c>
      <c r="I1817" t="s">
        <v>521</v>
      </c>
      <c r="J1817" t="s">
        <v>17</v>
      </c>
      <c r="K1817">
        <v>24</v>
      </c>
      <c r="L1817">
        <v>5</v>
      </c>
      <c r="M1817">
        <v>128</v>
      </c>
    </row>
    <row r="1818" spans="1:13">
      <c r="A1818">
        <v>1817</v>
      </c>
      <c r="B1818" s="1">
        <v>45949</v>
      </c>
      <c r="C1818" t="s">
        <v>28</v>
      </c>
      <c r="D1818">
        <v>19</v>
      </c>
      <c r="E1818">
        <v>10</v>
      </c>
      <c r="F1818">
        <v>4</v>
      </c>
      <c r="G1818">
        <v>2025</v>
      </c>
      <c r="H1818" t="s">
        <v>526</v>
      </c>
      <c r="I1818" t="s">
        <v>130</v>
      </c>
      <c r="J1818" t="s">
        <v>69</v>
      </c>
      <c r="K1818">
        <v>35</v>
      </c>
      <c r="L1818">
        <v>7</v>
      </c>
      <c r="M1818">
        <v>258</v>
      </c>
    </row>
    <row r="1819" spans="1:13">
      <c r="A1819">
        <v>1818</v>
      </c>
      <c r="B1819" s="1">
        <v>45660</v>
      </c>
      <c r="C1819" t="s">
        <v>79</v>
      </c>
      <c r="D1819">
        <v>3</v>
      </c>
      <c r="E1819">
        <v>1</v>
      </c>
      <c r="F1819">
        <v>1</v>
      </c>
      <c r="G1819">
        <v>2025</v>
      </c>
      <c r="H1819" t="s">
        <v>737</v>
      </c>
      <c r="I1819" t="s">
        <v>287</v>
      </c>
      <c r="J1819" t="s">
        <v>46</v>
      </c>
      <c r="K1819">
        <v>45</v>
      </c>
      <c r="L1819">
        <v>6</v>
      </c>
      <c r="M1819">
        <v>285</v>
      </c>
    </row>
    <row r="1820" spans="1:13">
      <c r="A1820">
        <v>1819</v>
      </c>
      <c r="B1820" s="1">
        <v>45660</v>
      </c>
      <c r="C1820" t="s">
        <v>79</v>
      </c>
      <c r="D1820">
        <v>3</v>
      </c>
      <c r="E1820">
        <v>1</v>
      </c>
      <c r="F1820">
        <v>1</v>
      </c>
      <c r="G1820">
        <v>2025</v>
      </c>
      <c r="H1820" t="s">
        <v>737</v>
      </c>
      <c r="I1820" t="s">
        <v>676</v>
      </c>
      <c r="J1820" t="s">
        <v>69</v>
      </c>
      <c r="K1820">
        <v>25</v>
      </c>
      <c r="L1820">
        <v>11</v>
      </c>
      <c r="M1820">
        <v>297</v>
      </c>
    </row>
    <row r="1821" spans="1:13">
      <c r="A1821">
        <v>1820</v>
      </c>
      <c r="B1821" s="1">
        <v>45660</v>
      </c>
      <c r="C1821" t="s">
        <v>79</v>
      </c>
      <c r="D1821">
        <v>3</v>
      </c>
      <c r="E1821">
        <v>1</v>
      </c>
      <c r="F1821">
        <v>1</v>
      </c>
      <c r="G1821">
        <v>2025</v>
      </c>
      <c r="H1821" t="s">
        <v>737</v>
      </c>
      <c r="I1821" t="s">
        <v>509</v>
      </c>
      <c r="J1821" t="s">
        <v>19</v>
      </c>
      <c r="K1821">
        <v>24</v>
      </c>
      <c r="L1821">
        <v>7</v>
      </c>
      <c r="M1821">
        <v>174</v>
      </c>
    </row>
    <row r="1822" spans="1:13">
      <c r="A1822">
        <v>1821</v>
      </c>
      <c r="B1822" s="1">
        <v>45660</v>
      </c>
      <c r="C1822" t="s">
        <v>79</v>
      </c>
      <c r="D1822">
        <v>3</v>
      </c>
      <c r="E1822">
        <v>1</v>
      </c>
      <c r="F1822">
        <v>1</v>
      </c>
      <c r="G1822">
        <v>2025</v>
      </c>
      <c r="H1822" t="s">
        <v>737</v>
      </c>
      <c r="I1822" t="s">
        <v>308</v>
      </c>
      <c r="J1822" t="s">
        <v>19</v>
      </c>
      <c r="K1822">
        <v>40</v>
      </c>
      <c r="L1822">
        <v>6</v>
      </c>
      <c r="M1822">
        <v>262</v>
      </c>
    </row>
    <row r="1823" spans="1:13">
      <c r="A1823">
        <v>1822</v>
      </c>
      <c r="B1823" s="1">
        <v>45660</v>
      </c>
      <c r="C1823" t="s">
        <v>79</v>
      </c>
      <c r="D1823">
        <v>3</v>
      </c>
      <c r="E1823">
        <v>1</v>
      </c>
      <c r="F1823">
        <v>1</v>
      </c>
      <c r="G1823">
        <v>2025</v>
      </c>
      <c r="H1823" t="s">
        <v>737</v>
      </c>
      <c r="I1823" t="s">
        <v>527</v>
      </c>
      <c r="J1823" t="s">
        <v>27</v>
      </c>
      <c r="K1823">
        <v>51</v>
      </c>
      <c r="L1823">
        <v>5</v>
      </c>
      <c r="M1823">
        <v>276</v>
      </c>
    </row>
    <row r="1824" spans="1:13">
      <c r="A1824">
        <v>1823</v>
      </c>
      <c r="B1824" s="1">
        <v>45660</v>
      </c>
      <c r="C1824" t="s">
        <v>79</v>
      </c>
      <c r="D1824">
        <v>3</v>
      </c>
      <c r="E1824">
        <v>1</v>
      </c>
      <c r="F1824">
        <v>1</v>
      </c>
      <c r="G1824">
        <v>2025</v>
      </c>
      <c r="H1824" t="s">
        <v>737</v>
      </c>
      <c r="I1824" t="s">
        <v>89</v>
      </c>
      <c r="J1824" t="s">
        <v>69</v>
      </c>
      <c r="K1824">
        <v>20</v>
      </c>
      <c r="L1824">
        <v>16</v>
      </c>
      <c r="M1824">
        <v>332</v>
      </c>
    </row>
    <row r="1825" spans="1:13">
      <c r="A1825">
        <v>1824</v>
      </c>
      <c r="B1825" s="1">
        <v>45660</v>
      </c>
      <c r="C1825" t="s">
        <v>79</v>
      </c>
      <c r="D1825">
        <v>3</v>
      </c>
      <c r="E1825">
        <v>1</v>
      </c>
      <c r="F1825">
        <v>1</v>
      </c>
      <c r="G1825">
        <v>2025</v>
      </c>
      <c r="H1825" t="s">
        <v>737</v>
      </c>
      <c r="I1825" t="s">
        <v>649</v>
      </c>
      <c r="J1825" t="s">
        <v>23</v>
      </c>
      <c r="K1825">
        <v>33</v>
      </c>
      <c r="L1825">
        <v>7</v>
      </c>
      <c r="M1825">
        <v>257</v>
      </c>
    </row>
    <row r="1826" spans="1:13">
      <c r="A1826">
        <v>1825</v>
      </c>
      <c r="B1826" s="1">
        <v>45660</v>
      </c>
      <c r="C1826" t="s">
        <v>79</v>
      </c>
      <c r="D1826">
        <v>3</v>
      </c>
      <c r="E1826">
        <v>1</v>
      </c>
      <c r="F1826">
        <v>1</v>
      </c>
      <c r="G1826">
        <v>2025</v>
      </c>
      <c r="H1826" t="s">
        <v>737</v>
      </c>
      <c r="I1826" t="s">
        <v>391</v>
      </c>
      <c r="J1826" t="s">
        <v>60</v>
      </c>
      <c r="K1826">
        <v>26</v>
      </c>
      <c r="L1826">
        <v>10</v>
      </c>
      <c r="M1826">
        <v>279</v>
      </c>
    </row>
    <row r="1827" spans="1:13">
      <c r="A1827">
        <v>1826</v>
      </c>
      <c r="B1827" s="1">
        <v>45762</v>
      </c>
      <c r="C1827" t="s">
        <v>48</v>
      </c>
      <c r="D1827">
        <v>15</v>
      </c>
      <c r="E1827">
        <v>4</v>
      </c>
      <c r="F1827">
        <v>2</v>
      </c>
      <c r="G1827">
        <v>2025</v>
      </c>
      <c r="H1827" t="s">
        <v>623</v>
      </c>
      <c r="I1827" t="s">
        <v>665</v>
      </c>
      <c r="J1827" t="s">
        <v>17</v>
      </c>
      <c r="K1827">
        <v>12</v>
      </c>
      <c r="L1827">
        <v>11</v>
      </c>
      <c r="M1827">
        <v>138</v>
      </c>
    </row>
    <row r="1828" spans="1:13">
      <c r="A1828">
        <v>1827</v>
      </c>
      <c r="B1828" s="1">
        <v>45762</v>
      </c>
      <c r="C1828" t="s">
        <v>48</v>
      </c>
      <c r="D1828">
        <v>15</v>
      </c>
      <c r="E1828">
        <v>4</v>
      </c>
      <c r="F1828">
        <v>2</v>
      </c>
      <c r="G1828">
        <v>2025</v>
      </c>
      <c r="H1828" t="s">
        <v>623</v>
      </c>
      <c r="I1828" t="s">
        <v>492</v>
      </c>
      <c r="J1828" t="s">
        <v>21</v>
      </c>
      <c r="K1828">
        <v>24</v>
      </c>
      <c r="L1828">
        <v>7</v>
      </c>
      <c r="M1828">
        <v>186</v>
      </c>
    </row>
    <row r="1829" spans="1:13">
      <c r="A1829">
        <v>1828</v>
      </c>
      <c r="B1829" s="1">
        <v>45762</v>
      </c>
      <c r="C1829" t="s">
        <v>48</v>
      </c>
      <c r="D1829">
        <v>15</v>
      </c>
      <c r="E1829">
        <v>4</v>
      </c>
      <c r="F1829">
        <v>2</v>
      </c>
      <c r="G1829">
        <v>2025</v>
      </c>
      <c r="H1829" t="s">
        <v>623</v>
      </c>
      <c r="I1829" t="s">
        <v>170</v>
      </c>
      <c r="J1829" t="s">
        <v>82</v>
      </c>
      <c r="K1829">
        <v>52</v>
      </c>
      <c r="L1829">
        <v>3</v>
      </c>
      <c r="M1829">
        <v>196</v>
      </c>
    </row>
    <row r="1830" spans="1:13">
      <c r="A1830">
        <v>1829</v>
      </c>
      <c r="B1830" s="1">
        <v>45671</v>
      </c>
      <c r="C1830" t="s">
        <v>48</v>
      </c>
      <c r="D1830">
        <v>14</v>
      </c>
      <c r="E1830">
        <v>1</v>
      </c>
      <c r="F1830">
        <v>1</v>
      </c>
      <c r="G1830">
        <v>2025</v>
      </c>
      <c r="H1830" t="s">
        <v>322</v>
      </c>
      <c r="I1830" t="s">
        <v>277</v>
      </c>
      <c r="J1830" t="s">
        <v>122</v>
      </c>
      <c r="K1830">
        <v>20</v>
      </c>
      <c r="L1830">
        <v>16</v>
      </c>
      <c r="M1830">
        <v>332</v>
      </c>
    </row>
    <row r="1831" spans="1:13">
      <c r="A1831">
        <v>1830</v>
      </c>
      <c r="B1831" s="1">
        <v>45671</v>
      </c>
      <c r="C1831" t="s">
        <v>48</v>
      </c>
      <c r="D1831">
        <v>14</v>
      </c>
      <c r="E1831">
        <v>1</v>
      </c>
      <c r="F1831">
        <v>1</v>
      </c>
      <c r="G1831">
        <v>2025</v>
      </c>
      <c r="H1831" t="s">
        <v>322</v>
      </c>
      <c r="I1831" t="s">
        <v>253</v>
      </c>
      <c r="J1831" t="s">
        <v>23</v>
      </c>
      <c r="K1831">
        <v>16</v>
      </c>
      <c r="L1831">
        <v>8</v>
      </c>
      <c r="M1831">
        <v>130</v>
      </c>
    </row>
    <row r="1832" spans="1:13">
      <c r="A1832">
        <v>1831</v>
      </c>
      <c r="B1832" s="1">
        <v>45671</v>
      </c>
      <c r="C1832" t="s">
        <v>48</v>
      </c>
      <c r="D1832">
        <v>14</v>
      </c>
      <c r="E1832">
        <v>1</v>
      </c>
      <c r="F1832">
        <v>1</v>
      </c>
      <c r="G1832">
        <v>2025</v>
      </c>
      <c r="H1832" t="s">
        <v>322</v>
      </c>
      <c r="I1832" t="s">
        <v>352</v>
      </c>
      <c r="J1832" t="s">
        <v>82</v>
      </c>
      <c r="K1832">
        <v>33</v>
      </c>
      <c r="L1832">
        <v>4</v>
      </c>
      <c r="M1832">
        <v>152</v>
      </c>
    </row>
    <row r="1833" spans="1:13">
      <c r="A1833">
        <v>1832</v>
      </c>
      <c r="B1833" s="1">
        <v>45568</v>
      </c>
      <c r="C1833" t="s">
        <v>105</v>
      </c>
      <c r="D1833">
        <v>3</v>
      </c>
      <c r="E1833">
        <v>10</v>
      </c>
      <c r="F1833">
        <v>4</v>
      </c>
      <c r="G1833">
        <v>2024</v>
      </c>
      <c r="H1833" t="s">
        <v>244</v>
      </c>
      <c r="I1833" t="s">
        <v>134</v>
      </c>
      <c r="J1833" t="s">
        <v>100</v>
      </c>
      <c r="K1833">
        <v>49</v>
      </c>
      <c r="L1833">
        <v>3</v>
      </c>
      <c r="M1833">
        <v>154</v>
      </c>
    </row>
    <row r="1834" spans="1:13">
      <c r="A1834">
        <v>1833</v>
      </c>
      <c r="B1834" s="1">
        <v>45568</v>
      </c>
      <c r="C1834" t="s">
        <v>105</v>
      </c>
      <c r="D1834">
        <v>3</v>
      </c>
      <c r="E1834">
        <v>10</v>
      </c>
      <c r="F1834">
        <v>4</v>
      </c>
      <c r="G1834">
        <v>2024</v>
      </c>
      <c r="H1834" t="s">
        <v>244</v>
      </c>
      <c r="I1834" t="s">
        <v>344</v>
      </c>
      <c r="J1834" t="s">
        <v>19</v>
      </c>
      <c r="K1834">
        <v>45</v>
      </c>
      <c r="L1834">
        <v>2</v>
      </c>
      <c r="M1834">
        <v>116</v>
      </c>
    </row>
    <row r="1835" spans="1:13">
      <c r="A1835">
        <v>1834</v>
      </c>
      <c r="B1835" s="1">
        <v>46168</v>
      </c>
      <c r="C1835" t="s">
        <v>48</v>
      </c>
      <c r="D1835">
        <v>26</v>
      </c>
      <c r="E1835">
        <v>5</v>
      </c>
      <c r="F1835">
        <v>2</v>
      </c>
      <c r="G1835">
        <v>2026</v>
      </c>
      <c r="H1835" t="s">
        <v>729</v>
      </c>
      <c r="I1835" t="s">
        <v>388</v>
      </c>
      <c r="J1835" t="s">
        <v>46</v>
      </c>
      <c r="K1835">
        <v>35</v>
      </c>
      <c r="L1835">
        <v>10</v>
      </c>
      <c r="M1835">
        <v>351</v>
      </c>
    </row>
    <row r="1836" spans="1:13">
      <c r="A1836">
        <v>1835</v>
      </c>
      <c r="B1836" s="1">
        <v>46168</v>
      </c>
      <c r="C1836" t="s">
        <v>48</v>
      </c>
      <c r="D1836">
        <v>26</v>
      </c>
      <c r="E1836">
        <v>5</v>
      </c>
      <c r="F1836">
        <v>2</v>
      </c>
      <c r="G1836">
        <v>2026</v>
      </c>
      <c r="H1836" t="s">
        <v>729</v>
      </c>
      <c r="I1836" t="s">
        <v>202</v>
      </c>
      <c r="J1836" t="s">
        <v>17</v>
      </c>
      <c r="K1836">
        <v>29</v>
      </c>
      <c r="L1836">
        <v>8</v>
      </c>
      <c r="M1836">
        <v>253</v>
      </c>
    </row>
    <row r="1837" spans="1:13">
      <c r="A1837">
        <v>1836</v>
      </c>
      <c r="B1837" s="1">
        <v>46168</v>
      </c>
      <c r="C1837" t="s">
        <v>48</v>
      </c>
      <c r="D1837">
        <v>26</v>
      </c>
      <c r="E1837">
        <v>5</v>
      </c>
      <c r="F1837">
        <v>2</v>
      </c>
      <c r="G1837">
        <v>2026</v>
      </c>
      <c r="H1837" t="s">
        <v>729</v>
      </c>
      <c r="I1837" t="s">
        <v>108</v>
      </c>
      <c r="J1837" t="s">
        <v>51</v>
      </c>
      <c r="K1837">
        <v>41</v>
      </c>
      <c r="L1837">
        <v>6</v>
      </c>
      <c r="M1837">
        <v>253</v>
      </c>
    </row>
    <row r="1838" spans="1:13">
      <c r="A1838">
        <v>1837</v>
      </c>
      <c r="B1838" s="1">
        <v>46168</v>
      </c>
      <c r="C1838" t="s">
        <v>48</v>
      </c>
      <c r="D1838">
        <v>26</v>
      </c>
      <c r="E1838">
        <v>5</v>
      </c>
      <c r="F1838">
        <v>2</v>
      </c>
      <c r="G1838">
        <v>2026</v>
      </c>
      <c r="H1838" t="s">
        <v>729</v>
      </c>
      <c r="I1838" t="s">
        <v>682</v>
      </c>
      <c r="J1838" t="s">
        <v>23</v>
      </c>
      <c r="K1838">
        <v>38</v>
      </c>
      <c r="L1838">
        <v>6</v>
      </c>
      <c r="M1838">
        <v>260</v>
      </c>
    </row>
    <row r="1839" spans="1:13">
      <c r="A1839">
        <v>1838</v>
      </c>
      <c r="B1839" s="1">
        <v>46168</v>
      </c>
      <c r="C1839" t="s">
        <v>48</v>
      </c>
      <c r="D1839">
        <v>26</v>
      </c>
      <c r="E1839">
        <v>5</v>
      </c>
      <c r="F1839">
        <v>2</v>
      </c>
      <c r="G1839">
        <v>2026</v>
      </c>
      <c r="H1839" t="s">
        <v>729</v>
      </c>
      <c r="I1839" t="s">
        <v>520</v>
      </c>
      <c r="J1839" t="s">
        <v>122</v>
      </c>
      <c r="K1839">
        <v>39</v>
      </c>
      <c r="L1839">
        <v>11</v>
      </c>
      <c r="M1839">
        <v>445</v>
      </c>
    </row>
    <row r="1840" spans="1:13">
      <c r="A1840">
        <v>1839</v>
      </c>
      <c r="B1840" s="1">
        <v>46168</v>
      </c>
      <c r="C1840" t="s">
        <v>48</v>
      </c>
      <c r="D1840">
        <v>26</v>
      </c>
      <c r="E1840">
        <v>5</v>
      </c>
      <c r="F1840">
        <v>2</v>
      </c>
      <c r="G1840">
        <v>2026</v>
      </c>
      <c r="H1840" t="s">
        <v>729</v>
      </c>
      <c r="I1840" t="s">
        <v>89</v>
      </c>
      <c r="J1840" t="s">
        <v>69</v>
      </c>
      <c r="K1840">
        <v>18</v>
      </c>
      <c r="L1840">
        <v>22</v>
      </c>
      <c r="M1840">
        <v>405</v>
      </c>
    </row>
    <row r="1841" spans="1:13">
      <c r="A1841">
        <v>1840</v>
      </c>
      <c r="B1841" s="1">
        <v>46168</v>
      </c>
      <c r="C1841" t="s">
        <v>48</v>
      </c>
      <c r="D1841">
        <v>26</v>
      </c>
      <c r="E1841">
        <v>5</v>
      </c>
      <c r="F1841">
        <v>2</v>
      </c>
      <c r="G1841">
        <v>2026</v>
      </c>
      <c r="H1841" t="s">
        <v>729</v>
      </c>
      <c r="I1841" t="s">
        <v>738</v>
      </c>
      <c r="J1841" t="s">
        <v>27</v>
      </c>
      <c r="K1841">
        <v>29</v>
      </c>
      <c r="L1841">
        <v>6</v>
      </c>
      <c r="M1841">
        <v>185</v>
      </c>
    </row>
    <row r="1842" spans="1:13">
      <c r="A1842">
        <v>1841</v>
      </c>
      <c r="B1842" s="1">
        <v>46168</v>
      </c>
      <c r="C1842" t="s">
        <v>48</v>
      </c>
      <c r="D1842">
        <v>26</v>
      </c>
      <c r="E1842">
        <v>5</v>
      </c>
      <c r="F1842">
        <v>2</v>
      </c>
      <c r="G1842">
        <v>2026</v>
      </c>
      <c r="H1842" t="s">
        <v>729</v>
      </c>
      <c r="I1842" t="s">
        <v>73</v>
      </c>
      <c r="J1842" t="s">
        <v>39</v>
      </c>
      <c r="K1842">
        <v>25</v>
      </c>
      <c r="L1842">
        <v>10</v>
      </c>
      <c r="M1842">
        <v>266</v>
      </c>
    </row>
    <row r="1843" spans="1:13">
      <c r="A1843">
        <v>1842</v>
      </c>
      <c r="B1843" s="1">
        <v>46168</v>
      </c>
      <c r="C1843" t="s">
        <v>48</v>
      </c>
      <c r="D1843">
        <v>26</v>
      </c>
      <c r="E1843">
        <v>5</v>
      </c>
      <c r="F1843">
        <v>2</v>
      </c>
      <c r="G1843">
        <v>2026</v>
      </c>
      <c r="H1843" t="s">
        <v>729</v>
      </c>
      <c r="I1843" t="s">
        <v>425</v>
      </c>
      <c r="J1843" t="s">
        <v>51</v>
      </c>
      <c r="K1843">
        <v>25</v>
      </c>
      <c r="L1843">
        <v>13</v>
      </c>
      <c r="M1843">
        <v>342</v>
      </c>
    </row>
    <row r="1844" spans="1:13">
      <c r="A1844">
        <v>1843</v>
      </c>
      <c r="B1844" s="1">
        <v>46168</v>
      </c>
      <c r="C1844" t="s">
        <v>48</v>
      </c>
      <c r="D1844">
        <v>26</v>
      </c>
      <c r="E1844">
        <v>5</v>
      </c>
      <c r="F1844">
        <v>2</v>
      </c>
      <c r="G1844">
        <v>2026</v>
      </c>
      <c r="H1844" t="s">
        <v>729</v>
      </c>
      <c r="I1844" t="s">
        <v>428</v>
      </c>
      <c r="J1844" t="s">
        <v>31</v>
      </c>
      <c r="K1844">
        <v>10</v>
      </c>
      <c r="L1844">
        <v>48</v>
      </c>
      <c r="M1844">
        <v>483</v>
      </c>
    </row>
    <row r="1845" spans="1:13">
      <c r="A1845">
        <v>1844</v>
      </c>
      <c r="B1845" s="1">
        <v>46168</v>
      </c>
      <c r="C1845" t="s">
        <v>48</v>
      </c>
      <c r="D1845">
        <v>26</v>
      </c>
      <c r="E1845">
        <v>5</v>
      </c>
      <c r="F1845">
        <v>2</v>
      </c>
      <c r="G1845">
        <v>2026</v>
      </c>
      <c r="H1845" t="s">
        <v>729</v>
      </c>
      <c r="I1845" t="s">
        <v>91</v>
      </c>
      <c r="J1845" t="s">
        <v>55</v>
      </c>
      <c r="K1845">
        <v>54</v>
      </c>
      <c r="L1845">
        <v>5</v>
      </c>
      <c r="M1845">
        <v>313</v>
      </c>
    </row>
    <row r="1846" spans="1:13">
      <c r="A1846">
        <v>1845</v>
      </c>
      <c r="B1846" s="1">
        <v>46168</v>
      </c>
      <c r="C1846" t="s">
        <v>48</v>
      </c>
      <c r="D1846">
        <v>26</v>
      </c>
      <c r="E1846">
        <v>5</v>
      </c>
      <c r="F1846">
        <v>2</v>
      </c>
      <c r="G1846">
        <v>2026</v>
      </c>
      <c r="H1846" t="s">
        <v>729</v>
      </c>
      <c r="I1846" t="s">
        <v>411</v>
      </c>
      <c r="J1846" t="s">
        <v>82</v>
      </c>
      <c r="K1846">
        <v>44</v>
      </c>
      <c r="L1846">
        <v>1</v>
      </c>
      <c r="M1846">
        <v>69</v>
      </c>
    </row>
    <row r="1847" spans="1:13">
      <c r="A1847">
        <v>1846</v>
      </c>
      <c r="B1847" s="1">
        <v>45912</v>
      </c>
      <c r="C1847" t="s">
        <v>79</v>
      </c>
      <c r="D1847">
        <v>12</v>
      </c>
      <c r="E1847">
        <v>9</v>
      </c>
      <c r="F1847">
        <v>3</v>
      </c>
      <c r="G1847">
        <v>2025</v>
      </c>
      <c r="H1847" t="s">
        <v>380</v>
      </c>
      <c r="I1847" t="s">
        <v>157</v>
      </c>
      <c r="J1847" t="s">
        <v>19</v>
      </c>
      <c r="K1847">
        <v>30</v>
      </c>
      <c r="L1847">
        <v>14</v>
      </c>
      <c r="M1847">
        <v>434</v>
      </c>
    </row>
    <row r="1848" spans="1:13">
      <c r="A1848">
        <v>1847</v>
      </c>
      <c r="B1848" s="1">
        <v>45912</v>
      </c>
      <c r="C1848" t="s">
        <v>79</v>
      </c>
      <c r="D1848">
        <v>12</v>
      </c>
      <c r="E1848">
        <v>9</v>
      </c>
      <c r="F1848">
        <v>3</v>
      </c>
      <c r="G1848">
        <v>2025</v>
      </c>
      <c r="H1848" t="s">
        <v>380</v>
      </c>
      <c r="I1848" t="s">
        <v>431</v>
      </c>
      <c r="J1848" t="s">
        <v>17</v>
      </c>
      <c r="K1848">
        <v>47</v>
      </c>
      <c r="L1848">
        <v>6</v>
      </c>
      <c r="M1848">
        <v>322</v>
      </c>
    </row>
    <row r="1849" spans="1:13">
      <c r="A1849">
        <v>1848</v>
      </c>
      <c r="B1849" s="1">
        <v>45912</v>
      </c>
      <c r="C1849" t="s">
        <v>79</v>
      </c>
      <c r="D1849">
        <v>12</v>
      </c>
      <c r="E1849">
        <v>9</v>
      </c>
      <c r="F1849">
        <v>3</v>
      </c>
      <c r="G1849">
        <v>2025</v>
      </c>
      <c r="H1849" t="s">
        <v>380</v>
      </c>
      <c r="I1849" t="s">
        <v>413</v>
      </c>
      <c r="J1849" t="s">
        <v>57</v>
      </c>
      <c r="K1849">
        <v>53</v>
      </c>
      <c r="L1849">
        <v>4</v>
      </c>
      <c r="M1849">
        <v>222</v>
      </c>
    </row>
    <row r="1850" spans="1:13">
      <c r="A1850">
        <v>1849</v>
      </c>
      <c r="B1850" s="1">
        <v>45912</v>
      </c>
      <c r="C1850" t="s">
        <v>79</v>
      </c>
      <c r="D1850">
        <v>12</v>
      </c>
      <c r="E1850">
        <v>9</v>
      </c>
      <c r="F1850">
        <v>3</v>
      </c>
      <c r="G1850">
        <v>2025</v>
      </c>
      <c r="H1850" t="s">
        <v>380</v>
      </c>
      <c r="I1850" t="s">
        <v>273</v>
      </c>
      <c r="J1850" t="s">
        <v>100</v>
      </c>
      <c r="K1850">
        <v>31</v>
      </c>
      <c r="L1850">
        <v>7</v>
      </c>
      <c r="M1850">
        <v>218</v>
      </c>
    </row>
    <row r="1851" spans="1:13">
      <c r="A1851">
        <v>1850</v>
      </c>
      <c r="B1851" s="1">
        <v>45912</v>
      </c>
      <c r="C1851" t="s">
        <v>79</v>
      </c>
      <c r="D1851">
        <v>12</v>
      </c>
      <c r="E1851">
        <v>9</v>
      </c>
      <c r="F1851">
        <v>3</v>
      </c>
      <c r="G1851">
        <v>2025</v>
      </c>
      <c r="H1851" t="s">
        <v>380</v>
      </c>
      <c r="I1851" t="s">
        <v>739</v>
      </c>
      <c r="J1851" t="s">
        <v>27</v>
      </c>
      <c r="K1851">
        <v>51</v>
      </c>
      <c r="L1851">
        <v>7</v>
      </c>
      <c r="M1851">
        <v>383</v>
      </c>
    </row>
    <row r="1852" spans="1:13">
      <c r="A1852">
        <v>1851</v>
      </c>
      <c r="B1852" s="1">
        <v>45912</v>
      </c>
      <c r="C1852" t="s">
        <v>79</v>
      </c>
      <c r="D1852">
        <v>12</v>
      </c>
      <c r="E1852">
        <v>9</v>
      </c>
      <c r="F1852">
        <v>3</v>
      </c>
      <c r="G1852">
        <v>2025</v>
      </c>
      <c r="H1852" t="s">
        <v>380</v>
      </c>
      <c r="I1852" t="s">
        <v>378</v>
      </c>
      <c r="J1852" t="s">
        <v>57</v>
      </c>
      <c r="K1852">
        <v>59</v>
      </c>
      <c r="L1852">
        <v>4</v>
      </c>
      <c r="M1852">
        <v>252</v>
      </c>
    </row>
    <row r="1853" spans="1:13">
      <c r="A1853">
        <v>1852</v>
      </c>
      <c r="B1853" s="1">
        <v>45912</v>
      </c>
      <c r="C1853" t="s">
        <v>79</v>
      </c>
      <c r="D1853">
        <v>12</v>
      </c>
      <c r="E1853">
        <v>9</v>
      </c>
      <c r="F1853">
        <v>3</v>
      </c>
      <c r="G1853">
        <v>2025</v>
      </c>
      <c r="H1853" t="s">
        <v>380</v>
      </c>
      <c r="I1853" t="s">
        <v>116</v>
      </c>
      <c r="J1853" t="s">
        <v>57</v>
      </c>
      <c r="K1853">
        <v>16</v>
      </c>
      <c r="L1853">
        <v>15</v>
      </c>
      <c r="M1853">
        <v>241</v>
      </c>
    </row>
    <row r="1854" spans="1:13">
      <c r="A1854">
        <v>1853</v>
      </c>
      <c r="B1854" s="1">
        <v>45912</v>
      </c>
      <c r="C1854" t="s">
        <v>79</v>
      </c>
      <c r="D1854">
        <v>12</v>
      </c>
      <c r="E1854">
        <v>9</v>
      </c>
      <c r="F1854">
        <v>3</v>
      </c>
      <c r="G1854">
        <v>2025</v>
      </c>
      <c r="H1854" t="s">
        <v>380</v>
      </c>
      <c r="I1854" t="s">
        <v>632</v>
      </c>
      <c r="J1854" t="s">
        <v>57</v>
      </c>
      <c r="K1854">
        <v>59</v>
      </c>
      <c r="L1854">
        <v>6</v>
      </c>
      <c r="M1854">
        <v>388</v>
      </c>
    </row>
    <row r="1855" spans="1:13">
      <c r="A1855">
        <v>1854</v>
      </c>
      <c r="B1855" s="1">
        <v>46217</v>
      </c>
      <c r="C1855" t="s">
        <v>48</v>
      </c>
      <c r="D1855">
        <v>14</v>
      </c>
      <c r="E1855">
        <v>7</v>
      </c>
      <c r="F1855">
        <v>3</v>
      </c>
      <c r="G1855">
        <v>2026</v>
      </c>
      <c r="H1855" t="s">
        <v>628</v>
      </c>
      <c r="I1855" t="s">
        <v>413</v>
      </c>
      <c r="J1855" t="s">
        <v>57</v>
      </c>
      <c r="K1855">
        <v>18</v>
      </c>
      <c r="L1855">
        <v>13</v>
      </c>
      <c r="M1855">
        <v>240</v>
      </c>
    </row>
    <row r="1856" spans="1:13">
      <c r="A1856">
        <v>1855</v>
      </c>
      <c r="B1856" s="1">
        <v>46217</v>
      </c>
      <c r="C1856" t="s">
        <v>48</v>
      </c>
      <c r="D1856">
        <v>14</v>
      </c>
      <c r="E1856">
        <v>7</v>
      </c>
      <c r="F1856">
        <v>3</v>
      </c>
      <c r="G1856">
        <v>2026</v>
      </c>
      <c r="H1856" t="s">
        <v>628</v>
      </c>
      <c r="I1856" t="s">
        <v>142</v>
      </c>
      <c r="J1856" t="s">
        <v>60</v>
      </c>
      <c r="K1856">
        <v>54</v>
      </c>
      <c r="L1856">
        <v>2</v>
      </c>
      <c r="M1856">
        <v>125</v>
      </c>
    </row>
    <row r="1857" spans="1:13">
      <c r="A1857">
        <v>1856</v>
      </c>
      <c r="B1857" s="1">
        <v>46217</v>
      </c>
      <c r="C1857" t="s">
        <v>48</v>
      </c>
      <c r="D1857">
        <v>14</v>
      </c>
      <c r="E1857">
        <v>7</v>
      </c>
      <c r="F1857">
        <v>3</v>
      </c>
      <c r="G1857">
        <v>2026</v>
      </c>
      <c r="H1857" t="s">
        <v>628</v>
      </c>
      <c r="I1857" t="s">
        <v>442</v>
      </c>
      <c r="J1857" t="s">
        <v>100</v>
      </c>
      <c r="K1857">
        <v>38</v>
      </c>
      <c r="L1857">
        <v>2</v>
      </c>
      <c r="M1857">
        <v>112</v>
      </c>
    </row>
    <row r="1858" spans="1:13">
      <c r="A1858">
        <v>1857</v>
      </c>
      <c r="B1858" s="1">
        <v>45939</v>
      </c>
      <c r="C1858" t="s">
        <v>105</v>
      </c>
      <c r="D1858">
        <v>9</v>
      </c>
      <c r="E1858">
        <v>10</v>
      </c>
      <c r="F1858">
        <v>4</v>
      </c>
      <c r="G1858">
        <v>2025</v>
      </c>
      <c r="H1858" t="s">
        <v>623</v>
      </c>
      <c r="I1858" t="s">
        <v>232</v>
      </c>
      <c r="J1858" t="s">
        <v>97</v>
      </c>
      <c r="K1858">
        <v>60</v>
      </c>
      <c r="L1858">
        <v>4</v>
      </c>
      <c r="M1858">
        <v>273</v>
      </c>
    </row>
    <row r="1859" spans="1:13">
      <c r="A1859">
        <v>1858</v>
      </c>
      <c r="B1859" s="1">
        <v>45939</v>
      </c>
      <c r="C1859" t="s">
        <v>105</v>
      </c>
      <c r="D1859">
        <v>9</v>
      </c>
      <c r="E1859">
        <v>10</v>
      </c>
      <c r="F1859">
        <v>4</v>
      </c>
      <c r="G1859">
        <v>2025</v>
      </c>
      <c r="H1859" t="s">
        <v>623</v>
      </c>
      <c r="I1859" t="s">
        <v>475</v>
      </c>
      <c r="J1859" t="s">
        <v>27</v>
      </c>
      <c r="K1859">
        <v>37</v>
      </c>
      <c r="L1859">
        <v>8</v>
      </c>
      <c r="M1859">
        <v>331</v>
      </c>
    </row>
    <row r="1860" spans="1:13">
      <c r="A1860">
        <v>1859</v>
      </c>
      <c r="B1860" s="1">
        <v>45939</v>
      </c>
      <c r="C1860" t="s">
        <v>105</v>
      </c>
      <c r="D1860">
        <v>9</v>
      </c>
      <c r="E1860">
        <v>10</v>
      </c>
      <c r="F1860">
        <v>4</v>
      </c>
      <c r="G1860">
        <v>2025</v>
      </c>
      <c r="H1860" t="s">
        <v>623</v>
      </c>
      <c r="I1860" t="s">
        <v>77</v>
      </c>
      <c r="J1860" t="s">
        <v>17</v>
      </c>
      <c r="K1860">
        <v>45</v>
      </c>
      <c r="L1860">
        <v>6</v>
      </c>
      <c r="M1860">
        <v>301</v>
      </c>
    </row>
    <row r="1861" spans="1:13">
      <c r="A1861">
        <v>1860</v>
      </c>
      <c r="B1861" s="1">
        <v>45939</v>
      </c>
      <c r="C1861" t="s">
        <v>105</v>
      </c>
      <c r="D1861">
        <v>9</v>
      </c>
      <c r="E1861">
        <v>10</v>
      </c>
      <c r="F1861">
        <v>4</v>
      </c>
      <c r="G1861">
        <v>2025</v>
      </c>
      <c r="H1861" t="s">
        <v>623</v>
      </c>
      <c r="I1861" t="s">
        <v>500</v>
      </c>
      <c r="J1861" t="s">
        <v>27</v>
      </c>
      <c r="K1861">
        <v>42</v>
      </c>
      <c r="L1861">
        <v>4</v>
      </c>
      <c r="M1861">
        <v>192</v>
      </c>
    </row>
    <row r="1862" spans="1:13">
      <c r="A1862">
        <v>1861</v>
      </c>
      <c r="B1862" s="1">
        <v>45939</v>
      </c>
      <c r="C1862" t="s">
        <v>105</v>
      </c>
      <c r="D1862">
        <v>9</v>
      </c>
      <c r="E1862">
        <v>10</v>
      </c>
      <c r="F1862">
        <v>4</v>
      </c>
      <c r="G1862">
        <v>2025</v>
      </c>
      <c r="H1862" t="s">
        <v>623</v>
      </c>
      <c r="I1862" t="s">
        <v>614</v>
      </c>
      <c r="J1862" t="s">
        <v>21</v>
      </c>
      <c r="K1862">
        <v>24</v>
      </c>
      <c r="L1862">
        <v>10</v>
      </c>
      <c r="M1862">
        <v>256</v>
      </c>
    </row>
    <row r="1863" spans="1:13">
      <c r="A1863">
        <v>1862</v>
      </c>
      <c r="B1863" s="1">
        <v>45939</v>
      </c>
      <c r="C1863" t="s">
        <v>105</v>
      </c>
      <c r="D1863">
        <v>9</v>
      </c>
      <c r="E1863">
        <v>10</v>
      </c>
      <c r="F1863">
        <v>4</v>
      </c>
      <c r="G1863">
        <v>2025</v>
      </c>
      <c r="H1863" t="s">
        <v>623</v>
      </c>
      <c r="I1863" t="s">
        <v>704</v>
      </c>
      <c r="J1863" t="s">
        <v>51</v>
      </c>
      <c r="K1863">
        <v>35</v>
      </c>
      <c r="L1863">
        <v>10</v>
      </c>
      <c r="M1863">
        <v>366</v>
      </c>
    </row>
    <row r="1864" spans="1:13">
      <c r="A1864">
        <v>1863</v>
      </c>
      <c r="B1864" s="1">
        <v>45939</v>
      </c>
      <c r="C1864" t="s">
        <v>105</v>
      </c>
      <c r="D1864">
        <v>9</v>
      </c>
      <c r="E1864">
        <v>10</v>
      </c>
      <c r="F1864">
        <v>4</v>
      </c>
      <c r="G1864">
        <v>2025</v>
      </c>
      <c r="H1864" t="s">
        <v>623</v>
      </c>
      <c r="I1864" t="s">
        <v>18</v>
      </c>
      <c r="J1864" t="s">
        <v>19</v>
      </c>
      <c r="K1864">
        <v>28</v>
      </c>
      <c r="L1864">
        <v>2</v>
      </c>
      <c r="M1864">
        <v>70</v>
      </c>
    </row>
    <row r="1865" spans="1:13">
      <c r="A1865">
        <v>1864</v>
      </c>
      <c r="B1865" s="1">
        <v>45654</v>
      </c>
      <c r="C1865" t="s">
        <v>14</v>
      </c>
      <c r="D1865">
        <v>28</v>
      </c>
      <c r="E1865">
        <v>12</v>
      </c>
      <c r="F1865">
        <v>4</v>
      </c>
      <c r="G1865">
        <v>2024</v>
      </c>
      <c r="H1865" t="s">
        <v>328</v>
      </c>
      <c r="I1865" t="s">
        <v>282</v>
      </c>
      <c r="J1865" t="s">
        <v>21</v>
      </c>
      <c r="K1865">
        <v>13</v>
      </c>
      <c r="L1865">
        <v>22</v>
      </c>
      <c r="M1865">
        <v>296</v>
      </c>
    </row>
    <row r="1866" spans="1:13">
      <c r="A1866">
        <v>1865</v>
      </c>
      <c r="B1866" s="1">
        <v>45654</v>
      </c>
      <c r="C1866" t="s">
        <v>14</v>
      </c>
      <c r="D1866">
        <v>28</v>
      </c>
      <c r="E1866">
        <v>12</v>
      </c>
      <c r="F1866">
        <v>4</v>
      </c>
      <c r="G1866">
        <v>2024</v>
      </c>
      <c r="H1866" t="s">
        <v>328</v>
      </c>
      <c r="I1866" t="s">
        <v>610</v>
      </c>
      <c r="J1866" t="s">
        <v>69</v>
      </c>
      <c r="K1866">
        <v>45</v>
      </c>
      <c r="L1866">
        <v>3</v>
      </c>
      <c r="M1866">
        <v>161</v>
      </c>
    </row>
    <row r="1867" spans="1:13">
      <c r="A1867">
        <v>1866</v>
      </c>
      <c r="B1867" s="1">
        <v>45654</v>
      </c>
      <c r="C1867" t="s">
        <v>14</v>
      </c>
      <c r="D1867">
        <v>28</v>
      </c>
      <c r="E1867">
        <v>12</v>
      </c>
      <c r="F1867">
        <v>4</v>
      </c>
      <c r="G1867">
        <v>2024</v>
      </c>
      <c r="H1867" t="s">
        <v>328</v>
      </c>
      <c r="I1867" t="s">
        <v>655</v>
      </c>
      <c r="J1867" t="s">
        <v>82</v>
      </c>
      <c r="K1867">
        <v>44</v>
      </c>
      <c r="L1867">
        <v>4</v>
      </c>
      <c r="M1867">
        <v>200</v>
      </c>
    </row>
    <row r="1868" spans="1:13">
      <c r="A1868">
        <v>1867</v>
      </c>
      <c r="B1868" s="1">
        <v>45654</v>
      </c>
      <c r="C1868" t="s">
        <v>14</v>
      </c>
      <c r="D1868">
        <v>28</v>
      </c>
      <c r="E1868">
        <v>12</v>
      </c>
      <c r="F1868">
        <v>4</v>
      </c>
      <c r="G1868">
        <v>2024</v>
      </c>
      <c r="H1868" t="s">
        <v>328</v>
      </c>
      <c r="I1868" t="s">
        <v>171</v>
      </c>
      <c r="J1868" t="s">
        <v>46</v>
      </c>
      <c r="K1868">
        <v>23</v>
      </c>
      <c r="L1868">
        <v>8</v>
      </c>
      <c r="M1868">
        <v>200</v>
      </c>
    </row>
    <row r="1869" spans="1:13">
      <c r="A1869">
        <v>1868</v>
      </c>
      <c r="B1869" s="1">
        <v>46015</v>
      </c>
      <c r="C1869" t="s">
        <v>34</v>
      </c>
      <c r="D1869">
        <v>24</v>
      </c>
      <c r="E1869">
        <v>12</v>
      </c>
      <c r="F1869">
        <v>4</v>
      </c>
      <c r="G1869">
        <v>2025</v>
      </c>
      <c r="H1869" t="s">
        <v>345</v>
      </c>
      <c r="I1869" t="s">
        <v>506</v>
      </c>
      <c r="J1869" t="s">
        <v>97</v>
      </c>
      <c r="K1869">
        <v>22</v>
      </c>
      <c r="L1869">
        <v>16</v>
      </c>
      <c r="M1869">
        <v>354</v>
      </c>
    </row>
    <row r="1870" spans="1:13">
      <c r="A1870">
        <v>1869</v>
      </c>
      <c r="B1870" s="1">
        <v>46015</v>
      </c>
      <c r="C1870" t="s">
        <v>34</v>
      </c>
      <c r="D1870">
        <v>24</v>
      </c>
      <c r="E1870">
        <v>12</v>
      </c>
      <c r="F1870">
        <v>4</v>
      </c>
      <c r="G1870">
        <v>2025</v>
      </c>
      <c r="H1870" t="s">
        <v>345</v>
      </c>
      <c r="I1870" t="s">
        <v>676</v>
      </c>
      <c r="J1870" t="s">
        <v>69</v>
      </c>
      <c r="K1870">
        <v>47</v>
      </c>
      <c r="L1870">
        <v>6</v>
      </c>
      <c r="M1870">
        <v>327</v>
      </c>
    </row>
    <row r="1871" spans="1:13">
      <c r="A1871">
        <v>1870</v>
      </c>
      <c r="B1871" s="1">
        <v>46015</v>
      </c>
      <c r="C1871" t="s">
        <v>34</v>
      </c>
      <c r="D1871">
        <v>24</v>
      </c>
      <c r="E1871">
        <v>12</v>
      </c>
      <c r="F1871">
        <v>4</v>
      </c>
      <c r="G1871">
        <v>2025</v>
      </c>
      <c r="H1871" t="s">
        <v>345</v>
      </c>
      <c r="I1871" t="s">
        <v>138</v>
      </c>
      <c r="J1871" t="s">
        <v>97</v>
      </c>
      <c r="K1871">
        <v>54</v>
      </c>
      <c r="L1871">
        <v>4</v>
      </c>
      <c r="M1871">
        <v>249</v>
      </c>
    </row>
    <row r="1872" spans="1:13">
      <c r="A1872">
        <v>1871</v>
      </c>
      <c r="B1872" s="1">
        <v>46015</v>
      </c>
      <c r="C1872" t="s">
        <v>34</v>
      </c>
      <c r="D1872">
        <v>24</v>
      </c>
      <c r="E1872">
        <v>12</v>
      </c>
      <c r="F1872">
        <v>4</v>
      </c>
      <c r="G1872">
        <v>2025</v>
      </c>
      <c r="H1872" t="s">
        <v>345</v>
      </c>
      <c r="I1872" t="s">
        <v>112</v>
      </c>
      <c r="J1872" t="s">
        <v>21</v>
      </c>
      <c r="K1872">
        <v>32</v>
      </c>
      <c r="L1872">
        <v>8</v>
      </c>
      <c r="M1872">
        <v>284</v>
      </c>
    </row>
    <row r="1873" spans="1:13">
      <c r="A1873">
        <v>1872</v>
      </c>
      <c r="B1873" s="1">
        <v>46015</v>
      </c>
      <c r="C1873" t="s">
        <v>34</v>
      </c>
      <c r="D1873">
        <v>24</v>
      </c>
      <c r="E1873">
        <v>12</v>
      </c>
      <c r="F1873">
        <v>4</v>
      </c>
      <c r="G1873">
        <v>2025</v>
      </c>
      <c r="H1873" t="s">
        <v>345</v>
      </c>
      <c r="I1873" t="s">
        <v>65</v>
      </c>
      <c r="J1873" t="s">
        <v>60</v>
      </c>
      <c r="K1873">
        <v>55</v>
      </c>
      <c r="L1873">
        <v>4</v>
      </c>
      <c r="M1873">
        <v>268</v>
      </c>
    </row>
    <row r="1874" spans="1:13">
      <c r="A1874">
        <v>1873</v>
      </c>
      <c r="B1874" s="1">
        <v>46015</v>
      </c>
      <c r="C1874" t="s">
        <v>34</v>
      </c>
      <c r="D1874">
        <v>24</v>
      </c>
      <c r="E1874">
        <v>12</v>
      </c>
      <c r="F1874">
        <v>4</v>
      </c>
      <c r="G1874">
        <v>2025</v>
      </c>
      <c r="H1874" t="s">
        <v>345</v>
      </c>
      <c r="I1874" t="s">
        <v>283</v>
      </c>
      <c r="J1874" t="s">
        <v>100</v>
      </c>
      <c r="K1874">
        <v>21</v>
      </c>
      <c r="L1874">
        <v>3</v>
      </c>
      <c r="M1874">
        <v>83</v>
      </c>
    </row>
    <row r="1875" spans="1:13">
      <c r="A1875">
        <v>1874</v>
      </c>
      <c r="B1875" s="1">
        <v>46015</v>
      </c>
      <c r="C1875" t="s">
        <v>34</v>
      </c>
      <c r="D1875">
        <v>24</v>
      </c>
      <c r="E1875">
        <v>12</v>
      </c>
      <c r="F1875">
        <v>4</v>
      </c>
      <c r="G1875">
        <v>2025</v>
      </c>
      <c r="H1875" t="s">
        <v>345</v>
      </c>
      <c r="I1875" t="s">
        <v>61</v>
      </c>
      <c r="J1875" t="s">
        <v>55</v>
      </c>
      <c r="K1875">
        <v>36</v>
      </c>
      <c r="L1875">
        <v>5</v>
      </c>
      <c r="M1875">
        <v>195</v>
      </c>
    </row>
    <row r="1876" spans="1:13">
      <c r="A1876">
        <v>1875</v>
      </c>
      <c r="B1876" s="1">
        <v>46015</v>
      </c>
      <c r="C1876" t="s">
        <v>34</v>
      </c>
      <c r="D1876">
        <v>24</v>
      </c>
      <c r="E1876">
        <v>12</v>
      </c>
      <c r="F1876">
        <v>4</v>
      </c>
      <c r="G1876">
        <v>2025</v>
      </c>
      <c r="H1876" t="s">
        <v>345</v>
      </c>
      <c r="I1876" t="s">
        <v>486</v>
      </c>
      <c r="J1876" t="s">
        <v>100</v>
      </c>
      <c r="K1876">
        <v>37</v>
      </c>
      <c r="L1876">
        <v>8</v>
      </c>
      <c r="M1876">
        <v>327</v>
      </c>
    </row>
    <row r="1877" spans="1:13">
      <c r="A1877">
        <v>1876</v>
      </c>
      <c r="B1877" s="1">
        <v>46015</v>
      </c>
      <c r="C1877" t="s">
        <v>34</v>
      </c>
      <c r="D1877">
        <v>24</v>
      </c>
      <c r="E1877">
        <v>12</v>
      </c>
      <c r="F1877">
        <v>4</v>
      </c>
      <c r="G1877">
        <v>2025</v>
      </c>
      <c r="H1877" t="s">
        <v>345</v>
      </c>
      <c r="I1877" t="s">
        <v>703</v>
      </c>
      <c r="J1877" t="s">
        <v>60</v>
      </c>
      <c r="K1877">
        <v>43</v>
      </c>
      <c r="L1877">
        <v>4</v>
      </c>
      <c r="M1877">
        <v>181</v>
      </c>
    </row>
    <row r="1878" spans="1:13">
      <c r="A1878">
        <v>1877</v>
      </c>
      <c r="B1878" s="1">
        <v>45710</v>
      </c>
      <c r="C1878" t="s">
        <v>14</v>
      </c>
      <c r="D1878">
        <v>22</v>
      </c>
      <c r="E1878">
        <v>2</v>
      </c>
      <c r="F1878">
        <v>1</v>
      </c>
      <c r="G1878">
        <v>2025</v>
      </c>
      <c r="H1878" t="s">
        <v>671</v>
      </c>
      <c r="I1878" t="s">
        <v>602</v>
      </c>
      <c r="J1878" t="s">
        <v>17</v>
      </c>
      <c r="K1878">
        <v>15</v>
      </c>
      <c r="L1878">
        <v>11</v>
      </c>
      <c r="M1878">
        <v>179</v>
      </c>
    </row>
    <row r="1879" spans="1:13">
      <c r="A1879">
        <v>1878</v>
      </c>
      <c r="B1879" s="1">
        <v>45854</v>
      </c>
      <c r="C1879" t="s">
        <v>34</v>
      </c>
      <c r="D1879">
        <v>16</v>
      </c>
      <c r="E1879">
        <v>7</v>
      </c>
      <c r="F1879">
        <v>3</v>
      </c>
      <c r="G1879">
        <v>2025</v>
      </c>
      <c r="H1879" t="s">
        <v>280</v>
      </c>
      <c r="I1879" t="s">
        <v>525</v>
      </c>
      <c r="J1879" t="s">
        <v>17</v>
      </c>
      <c r="K1879">
        <v>16</v>
      </c>
      <c r="L1879">
        <v>7</v>
      </c>
      <c r="M1879">
        <v>123</v>
      </c>
    </row>
    <row r="1880" spans="1:13">
      <c r="A1880">
        <v>1879</v>
      </c>
      <c r="B1880" s="1">
        <v>45854</v>
      </c>
      <c r="C1880" t="s">
        <v>34</v>
      </c>
      <c r="D1880">
        <v>16</v>
      </c>
      <c r="E1880">
        <v>7</v>
      </c>
      <c r="F1880">
        <v>3</v>
      </c>
      <c r="G1880">
        <v>2025</v>
      </c>
      <c r="H1880" t="s">
        <v>280</v>
      </c>
      <c r="I1880" t="s">
        <v>479</v>
      </c>
      <c r="J1880" t="s">
        <v>17</v>
      </c>
      <c r="K1880">
        <v>26</v>
      </c>
      <c r="L1880">
        <v>12</v>
      </c>
      <c r="M1880">
        <v>334</v>
      </c>
    </row>
    <row r="1881" spans="1:13">
      <c r="A1881">
        <v>1880</v>
      </c>
      <c r="B1881" s="1">
        <v>45854</v>
      </c>
      <c r="C1881" t="s">
        <v>34</v>
      </c>
      <c r="D1881">
        <v>16</v>
      </c>
      <c r="E1881">
        <v>7</v>
      </c>
      <c r="F1881">
        <v>3</v>
      </c>
      <c r="G1881">
        <v>2025</v>
      </c>
      <c r="H1881" t="s">
        <v>280</v>
      </c>
      <c r="I1881" t="s">
        <v>230</v>
      </c>
      <c r="J1881" t="s">
        <v>46</v>
      </c>
      <c r="K1881">
        <v>10</v>
      </c>
      <c r="L1881">
        <v>30</v>
      </c>
      <c r="M1881">
        <v>304</v>
      </c>
    </row>
    <row r="1882" spans="1:13">
      <c r="A1882">
        <v>1881</v>
      </c>
      <c r="B1882" s="1">
        <v>45854</v>
      </c>
      <c r="C1882" t="s">
        <v>34</v>
      </c>
      <c r="D1882">
        <v>16</v>
      </c>
      <c r="E1882">
        <v>7</v>
      </c>
      <c r="F1882">
        <v>3</v>
      </c>
      <c r="G1882">
        <v>2025</v>
      </c>
      <c r="H1882" t="s">
        <v>280</v>
      </c>
      <c r="I1882" t="s">
        <v>587</v>
      </c>
      <c r="J1882" t="s">
        <v>27</v>
      </c>
      <c r="K1882">
        <v>42</v>
      </c>
      <c r="L1882">
        <v>9</v>
      </c>
      <c r="M1882">
        <v>386</v>
      </c>
    </row>
    <row r="1883" spans="1:13">
      <c r="A1883">
        <v>1882</v>
      </c>
      <c r="B1883" s="1">
        <v>45854</v>
      </c>
      <c r="C1883" t="s">
        <v>34</v>
      </c>
      <c r="D1883">
        <v>16</v>
      </c>
      <c r="E1883">
        <v>7</v>
      </c>
      <c r="F1883">
        <v>3</v>
      </c>
      <c r="G1883">
        <v>2025</v>
      </c>
      <c r="H1883" t="s">
        <v>280</v>
      </c>
      <c r="I1883" t="s">
        <v>736</v>
      </c>
      <c r="J1883" t="s">
        <v>122</v>
      </c>
      <c r="K1883">
        <v>25</v>
      </c>
      <c r="L1883">
        <v>6</v>
      </c>
      <c r="M1883">
        <v>169</v>
      </c>
    </row>
    <row r="1884" spans="1:13">
      <c r="A1884">
        <v>1883</v>
      </c>
      <c r="B1884" s="1">
        <v>45854</v>
      </c>
      <c r="C1884" t="s">
        <v>34</v>
      </c>
      <c r="D1884">
        <v>16</v>
      </c>
      <c r="E1884">
        <v>7</v>
      </c>
      <c r="F1884">
        <v>3</v>
      </c>
      <c r="G1884">
        <v>2025</v>
      </c>
      <c r="H1884" t="s">
        <v>280</v>
      </c>
      <c r="I1884" t="s">
        <v>493</v>
      </c>
      <c r="J1884" t="s">
        <v>46</v>
      </c>
      <c r="K1884">
        <v>60</v>
      </c>
      <c r="L1884">
        <v>2</v>
      </c>
      <c r="M1884">
        <v>152</v>
      </c>
    </row>
    <row r="1885" spans="1:13">
      <c r="A1885">
        <v>1884</v>
      </c>
      <c r="B1885" s="1">
        <v>45622</v>
      </c>
      <c r="C1885" t="s">
        <v>48</v>
      </c>
      <c r="D1885">
        <v>26</v>
      </c>
      <c r="E1885">
        <v>11</v>
      </c>
      <c r="F1885">
        <v>4</v>
      </c>
      <c r="G1885">
        <v>2024</v>
      </c>
      <c r="H1885" t="s">
        <v>597</v>
      </c>
      <c r="I1885" t="s">
        <v>459</v>
      </c>
      <c r="J1885" t="s">
        <v>43</v>
      </c>
      <c r="K1885">
        <v>49</v>
      </c>
      <c r="L1885">
        <v>5</v>
      </c>
      <c r="M1885">
        <v>267</v>
      </c>
    </row>
    <row r="1886" spans="1:13">
      <c r="A1886">
        <v>1885</v>
      </c>
      <c r="B1886" s="1">
        <v>45622</v>
      </c>
      <c r="C1886" t="s">
        <v>48</v>
      </c>
      <c r="D1886">
        <v>26</v>
      </c>
      <c r="E1886">
        <v>11</v>
      </c>
      <c r="F1886">
        <v>4</v>
      </c>
      <c r="G1886">
        <v>2024</v>
      </c>
      <c r="H1886" t="s">
        <v>597</v>
      </c>
      <c r="I1886" t="s">
        <v>638</v>
      </c>
      <c r="J1886" t="s">
        <v>100</v>
      </c>
      <c r="K1886">
        <v>18</v>
      </c>
      <c r="L1886">
        <v>12</v>
      </c>
      <c r="M1886">
        <v>222</v>
      </c>
    </row>
    <row r="1887" spans="1:13">
      <c r="A1887">
        <v>1886</v>
      </c>
      <c r="B1887" s="1">
        <v>45622</v>
      </c>
      <c r="C1887" t="s">
        <v>48</v>
      </c>
      <c r="D1887">
        <v>26</v>
      </c>
      <c r="E1887">
        <v>11</v>
      </c>
      <c r="F1887">
        <v>4</v>
      </c>
      <c r="G1887">
        <v>2024</v>
      </c>
      <c r="H1887" t="s">
        <v>597</v>
      </c>
      <c r="I1887" t="s">
        <v>599</v>
      </c>
      <c r="J1887" t="s">
        <v>27</v>
      </c>
      <c r="K1887">
        <v>49</v>
      </c>
      <c r="L1887">
        <v>3</v>
      </c>
      <c r="M1887">
        <v>190</v>
      </c>
    </row>
    <row r="1888" spans="1:13">
      <c r="A1888">
        <v>1887</v>
      </c>
      <c r="B1888" s="1">
        <v>45622</v>
      </c>
      <c r="C1888" t="s">
        <v>48</v>
      </c>
      <c r="D1888">
        <v>26</v>
      </c>
      <c r="E1888">
        <v>11</v>
      </c>
      <c r="F1888">
        <v>4</v>
      </c>
      <c r="G1888">
        <v>2024</v>
      </c>
      <c r="H1888" t="s">
        <v>597</v>
      </c>
      <c r="I1888" t="s">
        <v>16</v>
      </c>
      <c r="J1888" t="s">
        <v>17</v>
      </c>
      <c r="K1888">
        <v>14</v>
      </c>
      <c r="L1888">
        <v>27</v>
      </c>
      <c r="M1888">
        <v>388</v>
      </c>
    </row>
    <row r="1889" spans="1:13">
      <c r="A1889">
        <v>1888</v>
      </c>
      <c r="B1889" s="1">
        <v>45622</v>
      </c>
      <c r="C1889" t="s">
        <v>48</v>
      </c>
      <c r="D1889">
        <v>26</v>
      </c>
      <c r="E1889">
        <v>11</v>
      </c>
      <c r="F1889">
        <v>4</v>
      </c>
      <c r="G1889">
        <v>2024</v>
      </c>
      <c r="H1889" t="s">
        <v>597</v>
      </c>
      <c r="I1889" t="s">
        <v>152</v>
      </c>
      <c r="J1889" t="s">
        <v>19</v>
      </c>
      <c r="K1889">
        <v>38</v>
      </c>
      <c r="L1889">
        <v>9</v>
      </c>
      <c r="M1889">
        <v>350</v>
      </c>
    </row>
    <row r="1890" spans="1:13">
      <c r="A1890">
        <v>1889</v>
      </c>
      <c r="B1890" s="1">
        <v>45622</v>
      </c>
      <c r="C1890" t="s">
        <v>48</v>
      </c>
      <c r="D1890">
        <v>26</v>
      </c>
      <c r="E1890">
        <v>11</v>
      </c>
      <c r="F1890">
        <v>4</v>
      </c>
      <c r="G1890">
        <v>2024</v>
      </c>
      <c r="H1890" t="s">
        <v>597</v>
      </c>
      <c r="I1890" t="s">
        <v>213</v>
      </c>
      <c r="J1890" t="s">
        <v>69</v>
      </c>
      <c r="K1890">
        <v>53</v>
      </c>
      <c r="L1890">
        <v>5</v>
      </c>
      <c r="M1890">
        <v>285</v>
      </c>
    </row>
    <row r="1891" spans="1:13">
      <c r="A1891">
        <v>1890</v>
      </c>
      <c r="B1891" s="1">
        <v>45622</v>
      </c>
      <c r="C1891" t="s">
        <v>48</v>
      </c>
      <c r="D1891">
        <v>26</v>
      </c>
      <c r="E1891">
        <v>11</v>
      </c>
      <c r="F1891">
        <v>4</v>
      </c>
      <c r="G1891">
        <v>2024</v>
      </c>
      <c r="H1891" t="s">
        <v>597</v>
      </c>
      <c r="I1891" t="s">
        <v>676</v>
      </c>
      <c r="J1891" t="s">
        <v>69</v>
      </c>
      <c r="K1891">
        <v>25</v>
      </c>
      <c r="L1891">
        <v>11</v>
      </c>
      <c r="M1891">
        <v>299</v>
      </c>
    </row>
    <row r="1892" spans="1:13">
      <c r="A1892">
        <v>1891</v>
      </c>
      <c r="B1892" s="1">
        <v>45702</v>
      </c>
      <c r="C1892" t="s">
        <v>79</v>
      </c>
      <c r="D1892">
        <v>14</v>
      </c>
      <c r="E1892">
        <v>2</v>
      </c>
      <c r="F1892">
        <v>1</v>
      </c>
      <c r="G1892">
        <v>2025</v>
      </c>
      <c r="H1892" t="s">
        <v>656</v>
      </c>
      <c r="I1892" t="s">
        <v>86</v>
      </c>
      <c r="J1892" t="s">
        <v>46</v>
      </c>
      <c r="K1892">
        <v>49</v>
      </c>
      <c r="L1892">
        <v>3</v>
      </c>
      <c r="M1892">
        <v>191</v>
      </c>
    </row>
    <row r="1893" spans="1:13">
      <c r="A1893">
        <v>1892</v>
      </c>
      <c r="B1893" s="1">
        <v>45702</v>
      </c>
      <c r="C1893" t="s">
        <v>79</v>
      </c>
      <c r="D1893">
        <v>14</v>
      </c>
      <c r="E1893">
        <v>2</v>
      </c>
      <c r="F1893">
        <v>1</v>
      </c>
      <c r="G1893">
        <v>2025</v>
      </c>
      <c r="H1893" t="s">
        <v>656</v>
      </c>
      <c r="I1893" t="s">
        <v>627</v>
      </c>
      <c r="J1893" t="s">
        <v>51</v>
      </c>
      <c r="K1893">
        <v>60</v>
      </c>
      <c r="L1893">
        <v>4</v>
      </c>
      <c r="M1893">
        <v>296</v>
      </c>
    </row>
    <row r="1894" spans="1:13">
      <c r="A1894">
        <v>1893</v>
      </c>
      <c r="B1894" s="1">
        <v>45702</v>
      </c>
      <c r="C1894" t="s">
        <v>79</v>
      </c>
      <c r="D1894">
        <v>14</v>
      </c>
      <c r="E1894">
        <v>2</v>
      </c>
      <c r="F1894">
        <v>1</v>
      </c>
      <c r="G1894">
        <v>2025</v>
      </c>
      <c r="H1894" t="s">
        <v>656</v>
      </c>
      <c r="I1894" t="s">
        <v>180</v>
      </c>
      <c r="J1894" t="s">
        <v>55</v>
      </c>
      <c r="K1894">
        <v>14</v>
      </c>
      <c r="L1894">
        <v>17</v>
      </c>
      <c r="M1894">
        <v>238</v>
      </c>
    </row>
    <row r="1895" spans="1:13">
      <c r="A1895">
        <v>1894</v>
      </c>
      <c r="B1895" s="1">
        <v>46172</v>
      </c>
      <c r="C1895" t="s">
        <v>14</v>
      </c>
      <c r="D1895">
        <v>30</v>
      </c>
      <c r="E1895">
        <v>5</v>
      </c>
      <c r="F1895">
        <v>2</v>
      </c>
      <c r="G1895">
        <v>2026</v>
      </c>
      <c r="H1895" t="s">
        <v>295</v>
      </c>
      <c r="I1895" t="s">
        <v>459</v>
      </c>
      <c r="J1895" t="s">
        <v>43</v>
      </c>
      <c r="K1895">
        <v>16</v>
      </c>
      <c r="L1895">
        <v>17</v>
      </c>
      <c r="M1895">
        <v>283</v>
      </c>
    </row>
    <row r="1896" spans="1:13">
      <c r="A1896">
        <v>1895</v>
      </c>
      <c r="B1896" s="1">
        <v>45560</v>
      </c>
      <c r="C1896" t="s">
        <v>34</v>
      </c>
      <c r="D1896">
        <v>25</v>
      </c>
      <c r="E1896">
        <v>9</v>
      </c>
      <c r="F1896">
        <v>3</v>
      </c>
      <c r="G1896">
        <v>2024</v>
      </c>
      <c r="H1896" t="s">
        <v>719</v>
      </c>
      <c r="I1896" t="s">
        <v>210</v>
      </c>
      <c r="J1896" t="s">
        <v>55</v>
      </c>
      <c r="K1896">
        <v>51</v>
      </c>
      <c r="L1896">
        <v>5</v>
      </c>
      <c r="M1896">
        <v>281</v>
      </c>
    </row>
    <row r="1897" spans="1:13">
      <c r="A1897">
        <v>1896</v>
      </c>
      <c r="B1897" s="1">
        <v>45560</v>
      </c>
      <c r="C1897" t="s">
        <v>34</v>
      </c>
      <c r="D1897">
        <v>25</v>
      </c>
      <c r="E1897">
        <v>9</v>
      </c>
      <c r="F1897">
        <v>3</v>
      </c>
      <c r="G1897">
        <v>2024</v>
      </c>
      <c r="H1897" t="s">
        <v>719</v>
      </c>
      <c r="I1897" t="s">
        <v>87</v>
      </c>
      <c r="J1897" t="s">
        <v>39</v>
      </c>
      <c r="K1897">
        <v>10</v>
      </c>
      <c r="L1897">
        <v>24</v>
      </c>
      <c r="M1897">
        <v>247</v>
      </c>
    </row>
    <row r="1898" spans="1:13">
      <c r="A1898">
        <v>1897</v>
      </c>
      <c r="B1898" s="1">
        <v>45560</v>
      </c>
      <c r="C1898" t="s">
        <v>34</v>
      </c>
      <c r="D1898">
        <v>25</v>
      </c>
      <c r="E1898">
        <v>9</v>
      </c>
      <c r="F1898">
        <v>3</v>
      </c>
      <c r="G1898">
        <v>2024</v>
      </c>
      <c r="H1898" t="s">
        <v>719</v>
      </c>
      <c r="I1898" t="s">
        <v>149</v>
      </c>
      <c r="J1898" t="s">
        <v>100</v>
      </c>
      <c r="K1898">
        <v>23</v>
      </c>
      <c r="L1898">
        <v>13</v>
      </c>
      <c r="M1898">
        <v>301</v>
      </c>
    </row>
    <row r="1899" spans="1:13">
      <c r="A1899">
        <v>1898</v>
      </c>
      <c r="B1899" s="1">
        <v>45560</v>
      </c>
      <c r="C1899" t="s">
        <v>34</v>
      </c>
      <c r="D1899">
        <v>25</v>
      </c>
      <c r="E1899">
        <v>9</v>
      </c>
      <c r="F1899">
        <v>3</v>
      </c>
      <c r="G1899">
        <v>2024</v>
      </c>
      <c r="H1899" t="s">
        <v>719</v>
      </c>
      <c r="I1899" t="s">
        <v>673</v>
      </c>
      <c r="J1899" t="s">
        <v>100</v>
      </c>
      <c r="K1899">
        <v>48</v>
      </c>
      <c r="L1899">
        <v>3</v>
      </c>
      <c r="M1899">
        <v>179</v>
      </c>
    </row>
    <row r="1900" spans="1:13">
      <c r="A1900">
        <v>1899</v>
      </c>
      <c r="B1900" s="1">
        <v>45560</v>
      </c>
      <c r="C1900" t="s">
        <v>34</v>
      </c>
      <c r="D1900">
        <v>25</v>
      </c>
      <c r="E1900">
        <v>9</v>
      </c>
      <c r="F1900">
        <v>3</v>
      </c>
      <c r="G1900">
        <v>2024</v>
      </c>
      <c r="H1900" t="s">
        <v>719</v>
      </c>
      <c r="I1900" t="s">
        <v>394</v>
      </c>
      <c r="J1900" t="s">
        <v>122</v>
      </c>
      <c r="K1900">
        <v>55</v>
      </c>
      <c r="L1900">
        <v>0</v>
      </c>
      <c r="M1900">
        <v>54</v>
      </c>
    </row>
    <row r="1901" spans="1:13">
      <c r="A1901">
        <v>1900</v>
      </c>
      <c r="B1901" s="1">
        <v>45560</v>
      </c>
      <c r="C1901" t="s">
        <v>34</v>
      </c>
      <c r="D1901">
        <v>25</v>
      </c>
      <c r="E1901">
        <v>9</v>
      </c>
      <c r="F1901">
        <v>3</v>
      </c>
      <c r="G1901">
        <v>2024</v>
      </c>
      <c r="H1901" t="s">
        <v>719</v>
      </c>
      <c r="I1901" t="s">
        <v>167</v>
      </c>
      <c r="J1901" t="s">
        <v>23</v>
      </c>
      <c r="K1901">
        <v>49</v>
      </c>
      <c r="L1901">
        <v>8</v>
      </c>
      <c r="M1901">
        <v>416</v>
      </c>
    </row>
    <row r="1902" spans="1:13">
      <c r="A1902">
        <v>1901</v>
      </c>
      <c r="B1902" s="1">
        <v>45560</v>
      </c>
      <c r="C1902" t="s">
        <v>34</v>
      </c>
      <c r="D1902">
        <v>25</v>
      </c>
      <c r="E1902">
        <v>9</v>
      </c>
      <c r="F1902">
        <v>3</v>
      </c>
      <c r="G1902">
        <v>2024</v>
      </c>
      <c r="H1902" t="s">
        <v>719</v>
      </c>
      <c r="I1902" t="s">
        <v>38</v>
      </c>
      <c r="J1902" t="s">
        <v>39</v>
      </c>
      <c r="K1902">
        <v>28</v>
      </c>
      <c r="L1902">
        <v>16</v>
      </c>
      <c r="M1902">
        <v>451</v>
      </c>
    </row>
    <row r="1903" spans="1:13">
      <c r="A1903">
        <v>1902</v>
      </c>
      <c r="B1903" s="1">
        <v>45560</v>
      </c>
      <c r="C1903" t="s">
        <v>34</v>
      </c>
      <c r="D1903">
        <v>25</v>
      </c>
      <c r="E1903">
        <v>9</v>
      </c>
      <c r="F1903">
        <v>3</v>
      </c>
      <c r="G1903">
        <v>2024</v>
      </c>
      <c r="H1903" t="s">
        <v>719</v>
      </c>
      <c r="I1903" t="s">
        <v>289</v>
      </c>
      <c r="J1903" t="s">
        <v>60</v>
      </c>
      <c r="K1903">
        <v>23</v>
      </c>
      <c r="L1903">
        <v>6</v>
      </c>
      <c r="M1903">
        <v>139</v>
      </c>
    </row>
    <row r="1904" spans="1:13">
      <c r="A1904">
        <v>1903</v>
      </c>
      <c r="B1904" s="1">
        <v>45560</v>
      </c>
      <c r="C1904" t="s">
        <v>34</v>
      </c>
      <c r="D1904">
        <v>25</v>
      </c>
      <c r="E1904">
        <v>9</v>
      </c>
      <c r="F1904">
        <v>3</v>
      </c>
      <c r="G1904">
        <v>2024</v>
      </c>
      <c r="H1904" t="s">
        <v>719</v>
      </c>
      <c r="I1904" t="s">
        <v>76</v>
      </c>
      <c r="J1904" t="s">
        <v>69</v>
      </c>
      <c r="K1904">
        <v>23</v>
      </c>
      <c r="L1904">
        <v>14</v>
      </c>
      <c r="M1904">
        <v>324</v>
      </c>
    </row>
    <row r="1905" spans="1:13">
      <c r="A1905">
        <v>1904</v>
      </c>
      <c r="B1905" s="1">
        <v>45560</v>
      </c>
      <c r="C1905" t="s">
        <v>34</v>
      </c>
      <c r="D1905">
        <v>25</v>
      </c>
      <c r="E1905">
        <v>9</v>
      </c>
      <c r="F1905">
        <v>3</v>
      </c>
      <c r="G1905">
        <v>2024</v>
      </c>
      <c r="H1905" t="s">
        <v>719</v>
      </c>
      <c r="I1905" t="s">
        <v>157</v>
      </c>
      <c r="J1905" t="s">
        <v>19</v>
      </c>
      <c r="K1905">
        <v>51</v>
      </c>
      <c r="L1905">
        <v>9</v>
      </c>
      <c r="M1905">
        <v>487</v>
      </c>
    </row>
    <row r="1906" spans="1:13">
      <c r="A1906">
        <v>1905</v>
      </c>
      <c r="B1906" s="1">
        <v>45560</v>
      </c>
      <c r="C1906" t="s">
        <v>34</v>
      </c>
      <c r="D1906">
        <v>25</v>
      </c>
      <c r="E1906">
        <v>9</v>
      </c>
      <c r="F1906">
        <v>3</v>
      </c>
      <c r="G1906">
        <v>2024</v>
      </c>
      <c r="H1906" t="s">
        <v>719</v>
      </c>
      <c r="I1906" t="s">
        <v>367</v>
      </c>
      <c r="J1906" t="s">
        <v>31</v>
      </c>
      <c r="K1906">
        <v>28</v>
      </c>
      <c r="L1906">
        <v>8</v>
      </c>
      <c r="M1906">
        <v>231</v>
      </c>
    </row>
    <row r="1907" spans="1:13">
      <c r="A1907">
        <v>1906</v>
      </c>
      <c r="B1907" s="1">
        <v>45560</v>
      </c>
      <c r="C1907" t="s">
        <v>34</v>
      </c>
      <c r="D1907">
        <v>25</v>
      </c>
      <c r="E1907">
        <v>9</v>
      </c>
      <c r="F1907">
        <v>3</v>
      </c>
      <c r="G1907">
        <v>2024</v>
      </c>
      <c r="H1907" t="s">
        <v>719</v>
      </c>
      <c r="I1907" t="s">
        <v>357</v>
      </c>
      <c r="J1907" t="s">
        <v>39</v>
      </c>
      <c r="K1907">
        <v>44</v>
      </c>
      <c r="L1907">
        <v>6</v>
      </c>
      <c r="M1907">
        <v>280</v>
      </c>
    </row>
    <row r="1908" spans="1:13">
      <c r="A1908">
        <v>1907</v>
      </c>
      <c r="B1908" s="1">
        <v>45720</v>
      </c>
      <c r="C1908" t="s">
        <v>48</v>
      </c>
      <c r="D1908">
        <v>4</v>
      </c>
      <c r="E1908">
        <v>3</v>
      </c>
      <c r="F1908">
        <v>1</v>
      </c>
      <c r="G1908">
        <v>2025</v>
      </c>
      <c r="H1908" t="s">
        <v>94</v>
      </c>
      <c r="I1908" t="s">
        <v>187</v>
      </c>
      <c r="J1908" t="s">
        <v>60</v>
      </c>
      <c r="K1908">
        <v>32</v>
      </c>
      <c r="L1908">
        <v>4</v>
      </c>
      <c r="M1908">
        <v>148</v>
      </c>
    </row>
    <row r="1909" spans="1:13">
      <c r="A1909">
        <v>1908</v>
      </c>
      <c r="B1909" s="1">
        <v>45720</v>
      </c>
      <c r="C1909" t="s">
        <v>48</v>
      </c>
      <c r="D1909">
        <v>4</v>
      </c>
      <c r="E1909">
        <v>3</v>
      </c>
      <c r="F1909">
        <v>1</v>
      </c>
      <c r="G1909">
        <v>2025</v>
      </c>
      <c r="H1909" t="s">
        <v>94</v>
      </c>
      <c r="I1909" t="s">
        <v>220</v>
      </c>
      <c r="J1909" t="s">
        <v>97</v>
      </c>
      <c r="K1909">
        <v>55</v>
      </c>
      <c r="L1909">
        <v>6</v>
      </c>
      <c r="M1909">
        <v>363</v>
      </c>
    </row>
    <row r="1910" spans="1:13">
      <c r="A1910">
        <v>1909</v>
      </c>
      <c r="B1910" s="1">
        <v>45720</v>
      </c>
      <c r="C1910" t="s">
        <v>48</v>
      </c>
      <c r="D1910">
        <v>4</v>
      </c>
      <c r="E1910">
        <v>3</v>
      </c>
      <c r="F1910">
        <v>1</v>
      </c>
      <c r="G1910">
        <v>2025</v>
      </c>
      <c r="H1910" t="s">
        <v>94</v>
      </c>
      <c r="I1910" t="s">
        <v>740</v>
      </c>
      <c r="J1910" t="s">
        <v>46</v>
      </c>
      <c r="K1910">
        <v>26</v>
      </c>
      <c r="L1910">
        <v>6</v>
      </c>
      <c r="M1910">
        <v>161</v>
      </c>
    </row>
    <row r="1911" spans="1:13">
      <c r="A1911">
        <v>1910</v>
      </c>
      <c r="B1911" s="1">
        <v>45720</v>
      </c>
      <c r="C1911" t="s">
        <v>48</v>
      </c>
      <c r="D1911">
        <v>4</v>
      </c>
      <c r="E1911">
        <v>3</v>
      </c>
      <c r="F1911">
        <v>1</v>
      </c>
      <c r="G1911">
        <v>2025</v>
      </c>
      <c r="H1911" t="s">
        <v>94</v>
      </c>
      <c r="I1911" t="s">
        <v>547</v>
      </c>
      <c r="J1911" t="s">
        <v>97</v>
      </c>
      <c r="K1911">
        <v>48</v>
      </c>
      <c r="L1911">
        <v>4</v>
      </c>
      <c r="M1911">
        <v>216</v>
      </c>
    </row>
    <row r="1912" spans="1:13">
      <c r="A1912">
        <v>1911</v>
      </c>
      <c r="B1912" s="1">
        <v>45720</v>
      </c>
      <c r="C1912" t="s">
        <v>48</v>
      </c>
      <c r="D1912">
        <v>4</v>
      </c>
      <c r="E1912">
        <v>3</v>
      </c>
      <c r="F1912">
        <v>1</v>
      </c>
      <c r="G1912">
        <v>2025</v>
      </c>
      <c r="H1912" t="s">
        <v>94</v>
      </c>
      <c r="I1912" t="s">
        <v>720</v>
      </c>
      <c r="J1912" t="s">
        <v>100</v>
      </c>
      <c r="K1912">
        <v>15</v>
      </c>
      <c r="L1912">
        <v>17</v>
      </c>
      <c r="M1912">
        <v>256</v>
      </c>
    </row>
    <row r="1913" spans="1:13">
      <c r="A1913">
        <v>1912</v>
      </c>
      <c r="B1913" s="1">
        <v>46052</v>
      </c>
      <c r="C1913" t="s">
        <v>79</v>
      </c>
      <c r="D1913">
        <v>30</v>
      </c>
      <c r="E1913">
        <v>1</v>
      </c>
      <c r="F1913">
        <v>1</v>
      </c>
      <c r="G1913">
        <v>2026</v>
      </c>
      <c r="H1913" t="s">
        <v>494</v>
      </c>
      <c r="I1913" t="s">
        <v>403</v>
      </c>
      <c r="J1913" t="s">
        <v>23</v>
      </c>
      <c r="K1913">
        <v>20</v>
      </c>
      <c r="L1913">
        <v>8</v>
      </c>
      <c r="M1913">
        <v>170</v>
      </c>
    </row>
    <row r="1914" spans="1:13">
      <c r="A1914">
        <v>1913</v>
      </c>
      <c r="B1914" s="1">
        <v>46052</v>
      </c>
      <c r="C1914" t="s">
        <v>79</v>
      </c>
      <c r="D1914">
        <v>30</v>
      </c>
      <c r="E1914">
        <v>1</v>
      </c>
      <c r="F1914">
        <v>1</v>
      </c>
      <c r="G1914">
        <v>2026</v>
      </c>
      <c r="H1914" t="s">
        <v>494</v>
      </c>
      <c r="I1914" t="s">
        <v>16</v>
      </c>
      <c r="J1914" t="s">
        <v>17</v>
      </c>
      <c r="K1914">
        <v>29</v>
      </c>
      <c r="L1914">
        <v>12</v>
      </c>
      <c r="M1914">
        <v>367</v>
      </c>
    </row>
    <row r="1915" spans="1:13">
      <c r="A1915">
        <v>1914</v>
      </c>
      <c r="B1915" s="1">
        <v>46052</v>
      </c>
      <c r="C1915" t="s">
        <v>79</v>
      </c>
      <c r="D1915">
        <v>30</v>
      </c>
      <c r="E1915">
        <v>1</v>
      </c>
      <c r="F1915">
        <v>1</v>
      </c>
      <c r="G1915">
        <v>2026</v>
      </c>
      <c r="H1915" t="s">
        <v>494</v>
      </c>
      <c r="I1915" t="s">
        <v>473</v>
      </c>
      <c r="J1915" t="s">
        <v>23</v>
      </c>
      <c r="K1915">
        <v>17</v>
      </c>
      <c r="L1915">
        <v>23</v>
      </c>
      <c r="M1915">
        <v>401</v>
      </c>
    </row>
    <row r="1916" spans="1:13">
      <c r="A1916">
        <v>1915</v>
      </c>
      <c r="B1916" s="1">
        <v>46052</v>
      </c>
      <c r="C1916" t="s">
        <v>79</v>
      </c>
      <c r="D1916">
        <v>30</v>
      </c>
      <c r="E1916">
        <v>1</v>
      </c>
      <c r="F1916">
        <v>1</v>
      </c>
      <c r="G1916">
        <v>2026</v>
      </c>
      <c r="H1916" t="s">
        <v>494</v>
      </c>
      <c r="I1916" t="s">
        <v>271</v>
      </c>
      <c r="J1916" t="s">
        <v>25</v>
      </c>
      <c r="K1916">
        <v>51</v>
      </c>
      <c r="L1916">
        <v>5</v>
      </c>
      <c r="M1916">
        <v>274</v>
      </c>
    </row>
    <row r="1917" spans="1:13">
      <c r="A1917">
        <v>1916</v>
      </c>
      <c r="B1917" s="1">
        <v>46052</v>
      </c>
      <c r="C1917" t="s">
        <v>79</v>
      </c>
      <c r="D1917">
        <v>30</v>
      </c>
      <c r="E1917">
        <v>1</v>
      </c>
      <c r="F1917">
        <v>1</v>
      </c>
      <c r="G1917">
        <v>2026</v>
      </c>
      <c r="H1917" t="s">
        <v>494</v>
      </c>
      <c r="I1917" t="s">
        <v>311</v>
      </c>
      <c r="J1917" t="s">
        <v>46</v>
      </c>
      <c r="K1917">
        <v>23</v>
      </c>
      <c r="L1917">
        <v>13</v>
      </c>
      <c r="M1917">
        <v>319</v>
      </c>
    </row>
    <row r="1918" spans="1:13">
      <c r="A1918">
        <v>1917</v>
      </c>
      <c r="B1918" s="1">
        <v>46052</v>
      </c>
      <c r="C1918" t="s">
        <v>79</v>
      </c>
      <c r="D1918">
        <v>30</v>
      </c>
      <c r="E1918">
        <v>1</v>
      </c>
      <c r="F1918">
        <v>1</v>
      </c>
      <c r="G1918">
        <v>2026</v>
      </c>
      <c r="H1918" t="s">
        <v>494</v>
      </c>
      <c r="I1918" t="s">
        <v>668</v>
      </c>
      <c r="J1918" t="s">
        <v>46</v>
      </c>
      <c r="K1918">
        <v>15</v>
      </c>
      <c r="L1918">
        <v>28</v>
      </c>
      <c r="M1918">
        <v>429</v>
      </c>
    </row>
    <row r="1919" spans="1:13">
      <c r="A1919">
        <v>1918</v>
      </c>
      <c r="B1919" s="1">
        <v>46154</v>
      </c>
      <c r="C1919" t="s">
        <v>48</v>
      </c>
      <c r="D1919">
        <v>12</v>
      </c>
      <c r="E1919">
        <v>5</v>
      </c>
      <c r="F1919">
        <v>2</v>
      </c>
      <c r="G1919">
        <v>2026</v>
      </c>
      <c r="H1919" t="s">
        <v>136</v>
      </c>
      <c r="I1919" t="s">
        <v>669</v>
      </c>
      <c r="J1919" t="s">
        <v>97</v>
      </c>
      <c r="K1919">
        <v>30</v>
      </c>
      <c r="L1919">
        <v>5</v>
      </c>
      <c r="M1919">
        <v>164</v>
      </c>
    </row>
    <row r="1920" spans="1:13">
      <c r="A1920">
        <v>1919</v>
      </c>
      <c r="B1920" s="1">
        <v>45990</v>
      </c>
      <c r="C1920" t="s">
        <v>14</v>
      </c>
      <c r="D1920">
        <v>29</v>
      </c>
      <c r="E1920">
        <v>11</v>
      </c>
      <c r="F1920">
        <v>4</v>
      </c>
      <c r="G1920">
        <v>2025</v>
      </c>
      <c r="H1920" t="s">
        <v>644</v>
      </c>
      <c r="I1920" t="s">
        <v>730</v>
      </c>
      <c r="J1920" t="s">
        <v>51</v>
      </c>
      <c r="K1920">
        <v>57</v>
      </c>
      <c r="L1920">
        <v>8</v>
      </c>
      <c r="M1920">
        <v>460</v>
      </c>
    </row>
    <row r="1921" spans="1:13">
      <c r="A1921">
        <v>1920</v>
      </c>
      <c r="B1921" s="1">
        <v>45990</v>
      </c>
      <c r="C1921" t="s">
        <v>14</v>
      </c>
      <c r="D1921">
        <v>29</v>
      </c>
      <c r="E1921">
        <v>11</v>
      </c>
      <c r="F1921">
        <v>4</v>
      </c>
      <c r="G1921">
        <v>2025</v>
      </c>
      <c r="H1921" t="s">
        <v>644</v>
      </c>
      <c r="I1921" t="s">
        <v>144</v>
      </c>
      <c r="J1921" t="s">
        <v>97</v>
      </c>
      <c r="K1921">
        <v>13</v>
      </c>
      <c r="L1921">
        <v>13</v>
      </c>
      <c r="M1921">
        <v>170</v>
      </c>
    </row>
    <row r="1922" spans="1:13">
      <c r="A1922">
        <v>1921</v>
      </c>
      <c r="B1922" s="1">
        <v>45990</v>
      </c>
      <c r="C1922" t="s">
        <v>14</v>
      </c>
      <c r="D1922">
        <v>29</v>
      </c>
      <c r="E1922">
        <v>11</v>
      </c>
      <c r="F1922">
        <v>4</v>
      </c>
      <c r="G1922">
        <v>2025</v>
      </c>
      <c r="H1922" t="s">
        <v>644</v>
      </c>
      <c r="I1922" t="s">
        <v>473</v>
      </c>
      <c r="J1922" t="s">
        <v>23</v>
      </c>
      <c r="K1922">
        <v>36</v>
      </c>
      <c r="L1922">
        <v>10</v>
      </c>
      <c r="M1922">
        <v>390</v>
      </c>
    </row>
    <row r="1923" spans="1:13">
      <c r="A1923">
        <v>1922</v>
      </c>
      <c r="B1923" s="1">
        <v>45990</v>
      </c>
      <c r="C1923" t="s">
        <v>14</v>
      </c>
      <c r="D1923">
        <v>29</v>
      </c>
      <c r="E1923">
        <v>11</v>
      </c>
      <c r="F1923">
        <v>4</v>
      </c>
      <c r="G1923">
        <v>2025</v>
      </c>
      <c r="H1923" t="s">
        <v>644</v>
      </c>
      <c r="I1923" t="s">
        <v>575</v>
      </c>
      <c r="J1923" t="s">
        <v>37</v>
      </c>
      <c r="K1923">
        <v>17</v>
      </c>
      <c r="L1923">
        <v>4</v>
      </c>
      <c r="M1923">
        <v>76</v>
      </c>
    </row>
    <row r="1924" spans="1:13">
      <c r="A1924">
        <v>1923</v>
      </c>
      <c r="B1924" s="1">
        <v>45990</v>
      </c>
      <c r="C1924" t="s">
        <v>14</v>
      </c>
      <c r="D1924">
        <v>29</v>
      </c>
      <c r="E1924">
        <v>11</v>
      </c>
      <c r="F1924">
        <v>4</v>
      </c>
      <c r="G1924">
        <v>2025</v>
      </c>
      <c r="H1924" t="s">
        <v>644</v>
      </c>
      <c r="I1924" t="s">
        <v>248</v>
      </c>
      <c r="J1924" t="s">
        <v>100</v>
      </c>
      <c r="K1924">
        <v>40</v>
      </c>
      <c r="L1924">
        <v>3</v>
      </c>
      <c r="M1924">
        <v>136</v>
      </c>
    </row>
    <row r="1925" spans="1:13">
      <c r="A1925">
        <v>1924</v>
      </c>
      <c r="B1925" s="1">
        <v>45990</v>
      </c>
      <c r="C1925" t="s">
        <v>14</v>
      </c>
      <c r="D1925">
        <v>29</v>
      </c>
      <c r="E1925">
        <v>11</v>
      </c>
      <c r="F1925">
        <v>4</v>
      </c>
      <c r="G1925">
        <v>2025</v>
      </c>
      <c r="H1925" t="s">
        <v>644</v>
      </c>
      <c r="I1925" t="s">
        <v>38</v>
      </c>
      <c r="J1925" t="s">
        <v>39</v>
      </c>
      <c r="K1925">
        <v>50</v>
      </c>
      <c r="L1925">
        <v>9</v>
      </c>
      <c r="M1925">
        <v>462</v>
      </c>
    </row>
    <row r="1926" spans="1:13">
      <c r="A1926">
        <v>1925</v>
      </c>
      <c r="B1926" s="1">
        <v>45990</v>
      </c>
      <c r="C1926" t="s">
        <v>14</v>
      </c>
      <c r="D1926">
        <v>29</v>
      </c>
      <c r="E1926">
        <v>11</v>
      </c>
      <c r="F1926">
        <v>4</v>
      </c>
      <c r="G1926">
        <v>2025</v>
      </c>
      <c r="H1926" t="s">
        <v>644</v>
      </c>
      <c r="I1926" t="s">
        <v>641</v>
      </c>
      <c r="J1926" t="s">
        <v>46</v>
      </c>
      <c r="K1926">
        <v>16</v>
      </c>
      <c r="L1926">
        <v>16</v>
      </c>
      <c r="M1926">
        <v>265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7096-11B8-4027-8FE6-440ADD5BFF66}">
  <dimension ref="A1:U31"/>
  <sheetViews>
    <sheetView tabSelected="1" zoomScale="89" zoomScaleNormal="100" workbookViewId="0">
      <selection activeCell="N34" sqref="N3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6"/>
  <cols>
    <col min="1" max="1" width="12.3828125" customWidth="1"/>
    <col min="15" max="15" width="10.921875" customWidth="1"/>
    <col min="16" max="16" width="18.4609375" bestFit="1" customWidth="1"/>
    <col min="17" max="17" width="13.53515625" customWidth="1"/>
  </cols>
  <sheetData>
    <row r="1" spans="1:21" ht="14.6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14.6" customHeigh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ht="14.6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 ht="15" thickBot="1">
      <c r="A4" s="7">
        <v>4</v>
      </c>
      <c r="B4" s="6"/>
      <c r="C4" s="6"/>
      <c r="D4" s="6"/>
      <c r="E4" s="6"/>
      <c r="F4" s="6"/>
      <c r="G4" s="6"/>
      <c r="H4" s="7" t="s">
        <v>3522</v>
      </c>
      <c r="I4" s="7">
        <v>8</v>
      </c>
      <c r="J4" s="6"/>
      <c r="K4" s="6"/>
      <c r="L4" s="6"/>
      <c r="M4" s="6"/>
      <c r="N4" s="6"/>
      <c r="O4" s="7" t="s">
        <v>5</v>
      </c>
      <c r="P4" s="6"/>
      <c r="Q4" s="6"/>
      <c r="R4" s="6"/>
      <c r="S4" s="6"/>
      <c r="T4" s="6"/>
      <c r="U4" s="6"/>
    </row>
    <row r="5" spans="1:21">
      <c r="A5" s="10"/>
      <c r="B5" s="11"/>
      <c r="C5" s="11"/>
      <c r="D5" s="11"/>
      <c r="E5" s="11"/>
      <c r="F5" s="11"/>
      <c r="G5" s="12"/>
      <c r="H5" s="10"/>
      <c r="I5" s="11"/>
      <c r="J5" s="11"/>
      <c r="K5" s="11"/>
      <c r="L5" s="11"/>
      <c r="M5" s="11"/>
      <c r="N5" s="12"/>
      <c r="O5" s="10"/>
      <c r="P5" s="11"/>
      <c r="Q5" s="11"/>
      <c r="R5" s="11"/>
      <c r="S5" s="11"/>
      <c r="T5" s="11"/>
      <c r="U5" s="12"/>
    </row>
    <row r="6" spans="1:21">
      <c r="A6" s="13"/>
      <c r="B6" s="14"/>
      <c r="C6" s="14"/>
      <c r="D6" s="14"/>
      <c r="E6" s="14"/>
      <c r="F6" s="14"/>
      <c r="G6" s="15"/>
      <c r="H6" s="13"/>
      <c r="I6" s="14"/>
      <c r="J6" s="14"/>
      <c r="K6" s="14"/>
      <c r="L6" s="14"/>
      <c r="M6" s="14"/>
      <c r="N6" s="15"/>
      <c r="O6" s="13"/>
      <c r="P6" s="14"/>
      <c r="Q6" s="14"/>
      <c r="R6" s="14"/>
      <c r="S6" s="14"/>
      <c r="T6" s="14"/>
      <c r="U6" s="15"/>
    </row>
    <row r="7" spans="1:21">
      <c r="A7" s="13"/>
      <c r="B7" s="14"/>
      <c r="C7" s="14"/>
      <c r="D7" s="14"/>
      <c r="E7" s="14"/>
      <c r="F7" s="14"/>
      <c r="G7" s="15"/>
      <c r="H7" s="13"/>
      <c r="I7" s="14"/>
      <c r="J7" s="14"/>
      <c r="K7" s="14"/>
      <c r="L7" s="14"/>
      <c r="M7" s="14"/>
      <c r="N7" s="15"/>
      <c r="O7" s="13"/>
      <c r="P7" s="14"/>
      <c r="Q7" s="14"/>
      <c r="R7" s="14"/>
      <c r="S7" s="14"/>
      <c r="T7" s="14"/>
      <c r="U7" s="15"/>
    </row>
    <row r="8" spans="1:21">
      <c r="A8" s="13"/>
      <c r="B8" s="14"/>
      <c r="C8" s="14"/>
      <c r="D8" s="14"/>
      <c r="E8" s="14"/>
      <c r="F8" s="14"/>
      <c r="G8" s="15"/>
      <c r="H8" s="13"/>
      <c r="I8" s="14"/>
      <c r="J8" s="14"/>
      <c r="K8" s="14"/>
      <c r="L8" s="14"/>
      <c r="M8" s="14"/>
      <c r="N8" s="15"/>
      <c r="O8" s="13"/>
      <c r="P8" s="14"/>
      <c r="Q8" s="14"/>
      <c r="R8" s="14"/>
      <c r="S8" s="14"/>
      <c r="T8" s="14"/>
      <c r="U8" s="15"/>
    </row>
    <row r="9" spans="1:21">
      <c r="A9" s="13"/>
      <c r="B9" s="14"/>
      <c r="C9" s="14"/>
      <c r="D9" s="14"/>
      <c r="E9" s="14"/>
      <c r="F9" s="14"/>
      <c r="G9" s="15"/>
      <c r="H9" s="13"/>
      <c r="I9" s="14"/>
      <c r="J9" s="14"/>
      <c r="K9" s="14"/>
      <c r="L9" s="14"/>
      <c r="M9" s="14"/>
      <c r="N9" s="15"/>
      <c r="O9" s="13"/>
      <c r="P9" s="14"/>
      <c r="Q9" s="14"/>
      <c r="R9" s="14"/>
      <c r="S9" s="14"/>
      <c r="T9" s="14"/>
      <c r="U9" s="15"/>
    </row>
    <row r="10" spans="1:21">
      <c r="A10" s="13"/>
      <c r="B10" s="14"/>
      <c r="C10" s="14"/>
      <c r="D10" s="14"/>
      <c r="E10" s="14"/>
      <c r="F10" s="14"/>
      <c r="G10" s="15"/>
      <c r="H10" s="13"/>
      <c r="I10" s="14"/>
      <c r="J10" s="14"/>
      <c r="K10" s="14"/>
      <c r="L10" s="14"/>
      <c r="M10" s="14"/>
      <c r="N10" s="15"/>
      <c r="O10" s="13"/>
      <c r="P10" s="14"/>
      <c r="Q10" s="14"/>
      <c r="R10" s="14"/>
      <c r="S10" s="14"/>
      <c r="T10" s="14"/>
      <c r="U10" s="15"/>
    </row>
    <row r="11" spans="1:21">
      <c r="A11" s="13"/>
      <c r="B11" s="14"/>
      <c r="C11" s="14"/>
      <c r="D11" s="14"/>
      <c r="E11" s="14"/>
      <c r="F11" s="14"/>
      <c r="G11" s="15"/>
      <c r="H11" s="13"/>
      <c r="I11" s="14"/>
      <c r="J11" s="14"/>
      <c r="K11" s="14"/>
      <c r="L11" s="14"/>
      <c r="M11" s="14"/>
      <c r="N11" s="15"/>
      <c r="O11" s="13"/>
      <c r="P11" s="14"/>
      <c r="Q11" s="14"/>
      <c r="R11" s="14"/>
      <c r="S11" s="14"/>
      <c r="T11" s="14"/>
      <c r="U11" s="15"/>
    </row>
    <row r="12" spans="1:21">
      <c r="A12" s="13"/>
      <c r="B12" s="14"/>
      <c r="C12" s="14"/>
      <c r="D12" s="14"/>
      <c r="E12" s="14"/>
      <c r="F12" s="14"/>
      <c r="G12" s="15"/>
      <c r="H12" s="13"/>
      <c r="I12" s="14"/>
      <c r="J12" s="14"/>
      <c r="K12" s="14"/>
      <c r="L12" s="14"/>
      <c r="M12" s="14"/>
      <c r="N12" s="15"/>
      <c r="O12" s="13"/>
      <c r="P12" s="14"/>
      <c r="Q12" s="14"/>
      <c r="R12" s="14"/>
      <c r="S12" s="14"/>
      <c r="T12" s="14"/>
      <c r="U12" s="15"/>
    </row>
    <row r="13" spans="1:21">
      <c r="A13" s="13"/>
      <c r="B13" s="14"/>
      <c r="C13" s="14"/>
      <c r="D13" s="14"/>
      <c r="E13" s="14"/>
      <c r="F13" s="14"/>
      <c r="G13" s="15"/>
      <c r="H13" s="13"/>
      <c r="I13" s="14"/>
      <c r="J13" s="14"/>
      <c r="K13" s="14"/>
      <c r="L13" s="14"/>
      <c r="M13" s="14"/>
      <c r="N13" s="15"/>
      <c r="O13" s="13"/>
      <c r="P13" s="14"/>
      <c r="Q13" s="14"/>
      <c r="R13" s="14"/>
      <c r="S13" s="14"/>
      <c r="T13" s="14"/>
      <c r="U13" s="15"/>
    </row>
    <row r="14" spans="1:21">
      <c r="A14" s="13"/>
      <c r="B14" s="14"/>
      <c r="C14" s="14"/>
      <c r="D14" s="14"/>
      <c r="E14" s="14"/>
      <c r="F14" s="14"/>
      <c r="G14" s="15"/>
      <c r="H14" s="13"/>
      <c r="I14" s="14"/>
      <c r="J14" s="14"/>
      <c r="K14" s="14"/>
      <c r="L14" s="14"/>
      <c r="M14" s="14"/>
      <c r="N14" s="15"/>
      <c r="O14" s="13"/>
      <c r="P14" s="14"/>
      <c r="Q14" s="14"/>
      <c r="R14" s="14"/>
      <c r="S14" s="14"/>
      <c r="T14" s="14"/>
      <c r="U14" s="15"/>
    </row>
    <row r="15" spans="1:21">
      <c r="A15" s="13"/>
      <c r="B15" s="14"/>
      <c r="C15" s="14"/>
      <c r="D15" s="14"/>
      <c r="E15" s="14"/>
      <c r="F15" s="14"/>
      <c r="G15" s="15"/>
      <c r="H15" s="13"/>
      <c r="I15" s="14"/>
      <c r="J15" s="14"/>
      <c r="K15" s="14"/>
      <c r="L15" s="14"/>
      <c r="M15" s="14"/>
      <c r="N15" s="15"/>
      <c r="O15" s="13"/>
      <c r="P15" s="14"/>
      <c r="Q15" s="14"/>
      <c r="R15" s="14"/>
      <c r="S15" s="14"/>
      <c r="T15" s="14"/>
      <c r="U15" s="15"/>
    </row>
    <row r="16" spans="1:21">
      <c r="A16" s="13"/>
      <c r="B16" s="14"/>
      <c r="C16" s="14"/>
      <c r="D16" s="14"/>
      <c r="E16" s="14"/>
      <c r="F16" s="14"/>
      <c r="G16" s="15"/>
      <c r="H16" s="13"/>
      <c r="I16" s="14"/>
      <c r="J16" s="14"/>
      <c r="K16" s="14"/>
      <c r="L16" s="14"/>
      <c r="M16" s="14"/>
      <c r="N16" s="15"/>
      <c r="O16" s="13"/>
      <c r="P16" s="14"/>
      <c r="Q16" s="14"/>
      <c r="R16" s="14"/>
      <c r="S16" s="14"/>
      <c r="T16" s="14"/>
      <c r="U16" s="15"/>
    </row>
    <row r="17" spans="1:21" ht="15" thickBot="1">
      <c r="A17" s="16"/>
      <c r="B17" s="17"/>
      <c r="C17" s="17"/>
      <c r="D17" s="17"/>
      <c r="E17" s="17"/>
      <c r="F17" s="17"/>
      <c r="G17" s="18"/>
      <c r="H17" s="16"/>
      <c r="I17" s="17"/>
      <c r="J17" s="17"/>
      <c r="K17" s="17"/>
      <c r="L17" s="17"/>
      <c r="M17" s="17"/>
      <c r="N17" s="18"/>
      <c r="O17" s="16"/>
      <c r="P17" s="17"/>
      <c r="Q17" s="17"/>
      <c r="R17" s="17"/>
      <c r="S17" s="17"/>
      <c r="T17" s="17"/>
      <c r="U17" s="18"/>
    </row>
    <row r="18" spans="1:21" ht="15" thickBot="1">
      <c r="A18" s="7" t="s">
        <v>3525</v>
      </c>
      <c r="B18" s="7">
        <v>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 t="s">
        <v>3531</v>
      </c>
      <c r="P18" s="7" t="s">
        <v>1811</v>
      </c>
      <c r="Q18" s="7" t="s">
        <v>3532</v>
      </c>
      <c r="R18" s="6"/>
      <c r="S18" s="6"/>
      <c r="T18" s="6"/>
      <c r="U18" s="6"/>
    </row>
    <row r="19" spans="1:21">
      <c r="A19" s="19"/>
      <c r="B19" s="20"/>
      <c r="C19" s="20"/>
      <c r="D19" s="20"/>
      <c r="E19" s="20"/>
      <c r="F19" s="20"/>
      <c r="G19" s="20"/>
      <c r="H19" s="31"/>
      <c r="I19" s="32"/>
      <c r="J19" s="32"/>
      <c r="K19" s="32"/>
      <c r="L19" s="32"/>
      <c r="M19" s="32"/>
      <c r="N19" s="33"/>
      <c r="O19" s="20"/>
      <c r="P19" s="20"/>
      <c r="Q19" s="20"/>
      <c r="R19" s="20"/>
      <c r="S19" s="20"/>
      <c r="T19" s="20"/>
      <c r="U19" s="21"/>
    </row>
    <row r="20" spans="1:21">
      <c r="A20" s="22"/>
      <c r="B20" s="23"/>
      <c r="C20" s="23"/>
      <c r="D20" s="23"/>
      <c r="E20" s="23"/>
      <c r="F20" s="23"/>
      <c r="G20" s="29"/>
      <c r="H20" s="34"/>
      <c r="I20" s="30"/>
      <c r="J20" s="30"/>
      <c r="K20" s="30"/>
      <c r="L20" s="30"/>
      <c r="M20" s="30"/>
      <c r="N20" s="35"/>
      <c r="O20" s="29"/>
      <c r="P20" s="29"/>
      <c r="Q20" s="29"/>
      <c r="R20" s="29"/>
      <c r="S20" s="29"/>
      <c r="T20" s="29"/>
      <c r="U20" s="24"/>
    </row>
    <row r="21" spans="1:21">
      <c r="A21" s="22"/>
      <c r="B21" s="23"/>
      <c r="C21" s="23"/>
      <c r="D21" s="23"/>
      <c r="E21" s="23"/>
      <c r="F21" s="23"/>
      <c r="G21" s="29"/>
      <c r="H21" s="34"/>
      <c r="I21" s="30"/>
      <c r="J21" s="30"/>
      <c r="K21" s="30"/>
      <c r="L21" s="30"/>
      <c r="M21" s="30"/>
      <c r="N21" s="35"/>
      <c r="O21" s="29"/>
      <c r="P21" s="29"/>
      <c r="Q21" s="29"/>
      <c r="R21" s="29"/>
      <c r="S21" s="29"/>
      <c r="T21" s="29"/>
      <c r="U21" s="24"/>
    </row>
    <row r="22" spans="1:21">
      <c r="A22" s="22"/>
      <c r="B22" s="23"/>
      <c r="C22" s="23"/>
      <c r="D22" s="23"/>
      <c r="E22" s="23"/>
      <c r="F22" s="23"/>
      <c r="G22" s="29"/>
      <c r="H22" s="34"/>
      <c r="I22" s="30"/>
      <c r="J22" s="30"/>
      <c r="K22" s="30"/>
      <c r="L22" s="30"/>
      <c r="M22" s="30"/>
      <c r="N22" s="35"/>
      <c r="O22" s="29"/>
      <c r="P22" s="29"/>
      <c r="Q22" s="29"/>
      <c r="R22" s="29"/>
      <c r="S22" s="29"/>
      <c r="T22" s="29"/>
      <c r="U22" s="24"/>
    </row>
    <row r="23" spans="1:21">
      <c r="A23" s="22"/>
      <c r="B23" s="23"/>
      <c r="C23" s="23"/>
      <c r="D23" s="23"/>
      <c r="E23" s="23"/>
      <c r="F23" s="23"/>
      <c r="G23" s="29"/>
      <c r="H23" s="34"/>
      <c r="I23" s="30"/>
      <c r="J23" s="30"/>
      <c r="K23" s="30"/>
      <c r="L23" s="30"/>
      <c r="M23" s="30"/>
      <c r="N23" s="35"/>
      <c r="O23" s="29"/>
      <c r="P23" s="29"/>
      <c r="Q23" s="29"/>
      <c r="R23" s="29"/>
      <c r="S23" s="29"/>
      <c r="T23" s="29"/>
      <c r="U23" s="24"/>
    </row>
    <row r="24" spans="1:21">
      <c r="A24" s="22"/>
      <c r="B24" s="23"/>
      <c r="C24" s="23"/>
      <c r="D24" s="23"/>
      <c r="E24" s="23"/>
      <c r="F24" s="23"/>
      <c r="G24" s="29"/>
      <c r="H24" s="34"/>
      <c r="I24" s="30"/>
      <c r="J24" s="30"/>
      <c r="K24" s="30"/>
      <c r="L24" s="30"/>
      <c r="M24" s="30"/>
      <c r="N24" s="35"/>
      <c r="O24" s="29"/>
      <c r="P24" s="29"/>
      <c r="Q24" s="29"/>
      <c r="R24" s="29"/>
      <c r="S24" s="29"/>
      <c r="T24" s="29"/>
      <c r="U24" s="24"/>
    </row>
    <row r="25" spans="1:21">
      <c r="A25" s="22"/>
      <c r="B25" s="23"/>
      <c r="C25" s="23"/>
      <c r="D25" s="23"/>
      <c r="E25" s="23"/>
      <c r="F25" s="23"/>
      <c r="G25" s="29"/>
      <c r="H25" s="34"/>
      <c r="I25" s="30"/>
      <c r="J25" s="30"/>
      <c r="K25" s="30"/>
      <c r="L25" s="30"/>
      <c r="M25" s="30"/>
      <c r="N25" s="35"/>
      <c r="O25" s="29"/>
      <c r="P25" s="29"/>
      <c r="Q25" s="29"/>
      <c r="R25" s="29"/>
      <c r="S25" s="29"/>
      <c r="T25" s="29"/>
      <c r="U25" s="24"/>
    </row>
    <row r="26" spans="1:21">
      <c r="A26" s="22"/>
      <c r="B26" s="23"/>
      <c r="C26" s="23"/>
      <c r="D26" s="23"/>
      <c r="E26" s="23"/>
      <c r="F26" s="23"/>
      <c r="G26" s="29"/>
      <c r="H26" s="34"/>
      <c r="I26" s="30"/>
      <c r="J26" s="30"/>
      <c r="K26" s="30"/>
      <c r="L26" s="30"/>
      <c r="M26" s="30"/>
      <c r="N26" s="35"/>
      <c r="O26" s="29"/>
      <c r="P26" s="29"/>
      <c r="Q26" s="29"/>
      <c r="R26" s="29"/>
      <c r="S26" s="29"/>
      <c r="T26" s="29"/>
      <c r="U26" s="24"/>
    </row>
    <row r="27" spans="1:21">
      <c r="A27" s="22"/>
      <c r="B27" s="23"/>
      <c r="C27" s="23"/>
      <c r="D27" s="23"/>
      <c r="E27" s="23"/>
      <c r="F27" s="23"/>
      <c r="G27" s="29"/>
      <c r="H27" s="34"/>
      <c r="I27" s="30"/>
      <c r="J27" s="30"/>
      <c r="K27" s="30"/>
      <c r="L27" s="30"/>
      <c r="M27" s="30"/>
      <c r="N27" s="35"/>
      <c r="O27" s="29"/>
      <c r="P27" s="29"/>
      <c r="Q27" s="29"/>
      <c r="R27" s="29"/>
      <c r="S27" s="29"/>
      <c r="T27" s="29"/>
      <c r="U27" s="24"/>
    </row>
    <row r="28" spans="1:21">
      <c r="A28" s="22"/>
      <c r="B28" s="23"/>
      <c r="C28" s="23"/>
      <c r="D28" s="23"/>
      <c r="E28" s="23"/>
      <c r="F28" s="23"/>
      <c r="G28" s="29"/>
      <c r="H28" s="34"/>
      <c r="I28" s="30"/>
      <c r="J28" s="30"/>
      <c r="K28" s="30"/>
      <c r="L28" s="30"/>
      <c r="M28" s="30"/>
      <c r="N28" s="35"/>
      <c r="O28" s="29"/>
      <c r="P28" s="29"/>
      <c r="Q28" s="29"/>
      <c r="R28" s="29"/>
      <c r="S28" s="29"/>
      <c r="T28" s="29"/>
      <c r="U28" s="24"/>
    </row>
    <row r="29" spans="1:21">
      <c r="A29" s="22"/>
      <c r="B29" s="23"/>
      <c r="C29" s="23"/>
      <c r="D29" s="23"/>
      <c r="E29" s="23"/>
      <c r="F29" s="23"/>
      <c r="G29" s="29"/>
      <c r="H29" s="34"/>
      <c r="I29" s="30"/>
      <c r="J29" s="30"/>
      <c r="K29" s="30"/>
      <c r="L29" s="30"/>
      <c r="M29" s="30"/>
      <c r="N29" s="35"/>
      <c r="O29" s="29"/>
      <c r="P29" s="29"/>
      <c r="Q29" s="29"/>
      <c r="R29" s="29"/>
      <c r="S29" s="29"/>
      <c r="T29" s="29"/>
      <c r="U29" s="24"/>
    </row>
    <row r="30" spans="1:21">
      <c r="A30" s="22"/>
      <c r="B30" s="23"/>
      <c r="C30" s="23"/>
      <c r="D30" s="23"/>
      <c r="E30" s="23"/>
      <c r="F30" s="23"/>
      <c r="G30" s="29"/>
      <c r="H30" s="34"/>
      <c r="I30" s="30"/>
      <c r="J30" s="30"/>
      <c r="K30" s="30"/>
      <c r="L30" s="30"/>
      <c r="M30" s="30"/>
      <c r="N30" s="35"/>
      <c r="O30" s="29"/>
      <c r="P30" s="29"/>
      <c r="Q30" s="29"/>
      <c r="R30" s="29"/>
      <c r="S30" s="29"/>
      <c r="T30" s="29"/>
      <c r="U30" s="24"/>
    </row>
    <row r="31" spans="1:21" ht="15" thickBot="1">
      <c r="A31" s="25"/>
      <c r="B31" s="26"/>
      <c r="C31" s="26"/>
      <c r="D31" s="26"/>
      <c r="E31" s="26"/>
      <c r="F31" s="26"/>
      <c r="G31" s="26"/>
      <c r="H31" s="36"/>
      <c r="I31" s="37"/>
      <c r="J31" s="37"/>
      <c r="K31" s="37"/>
      <c r="L31" s="37"/>
      <c r="M31" s="37"/>
      <c r="N31" s="38"/>
      <c r="O31" s="26"/>
      <c r="P31" s="26"/>
      <c r="Q31" s="26"/>
      <c r="R31" s="26"/>
      <c r="S31" s="26"/>
      <c r="T31" s="26"/>
      <c r="U31" s="27"/>
    </row>
  </sheetData>
  <mergeCells count="7">
    <mergeCell ref="A1:U3"/>
    <mergeCell ref="H19:N31"/>
    <mergeCell ref="O19:U31"/>
    <mergeCell ref="A5:G17"/>
    <mergeCell ref="H5:N17"/>
    <mergeCell ref="O5:U17"/>
    <mergeCell ref="A19:G31"/>
  </mergeCells>
  <dataValidations count="7">
    <dataValidation type="list" allowBlank="1" showInputMessage="1" showErrorMessage="1" sqref="A4 B18" xr:uid="{8864AAD3-448E-423F-9E99-3C1B213AF8B3}">
      <formula1>"1, 2, 3, 4, 5, 6, 7, 8, 9, 10"</formula1>
    </dataValidation>
    <dataValidation type="list" allowBlank="1" showInputMessage="1" showErrorMessage="1" sqref="H4" xr:uid="{CE903738-8038-4074-AC4E-5A94F93152C6}">
      <formula1>"Bairro,Município,Estado"</formula1>
    </dataValidation>
    <dataValidation type="list" allowBlank="1" showInputMessage="1" showErrorMessage="1" sqref="I4" xr:uid="{92F65913-4C59-4527-8B29-D0FE1BB532D7}">
      <formula1>"1,2,3,4,5,6,7,8,9,10"</formula1>
    </dataValidation>
    <dataValidation type="list" allowBlank="1" showInputMessage="1" showErrorMessage="1" sqref="O4" xr:uid="{85AB1F6F-F680-4C25-B629-6158F2A7F148}">
      <formula1>"mes, trimestre,ano"</formula1>
    </dataValidation>
    <dataValidation type="list" allowBlank="1" showInputMessage="1" showErrorMessage="1" sqref="A18" xr:uid="{362C3402-94FF-411B-B6C2-B136702E4D53}">
      <formula1>"Faturamento,Quantidade"</formula1>
    </dataValidation>
    <dataValidation type="list" allowBlank="1" showInputMessage="1" showErrorMessage="1" sqref="O18" xr:uid="{2CC4B50D-F27C-4815-9A74-C4C94D857442}">
      <formula1>"Logradouro,Bairro,Cidade,Estado"</formula1>
    </dataValidation>
    <dataValidation type="list" allowBlank="1" showInputMessage="1" showErrorMessage="1" sqref="Q18" xr:uid="{342AD5B4-C455-4FCF-99BF-7A7654F24922}">
      <formula1>"Ano,Mês,Dia Semana,Data Completa"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66C57E-8C1C-4C2C-852A-DD61CB716224}">
          <x14:formula1>
            <xm:f>_xlfn.ANCHORARRAY(Apoio_FiltroExtra!$A$2)</xm:f>
          </x14:formula1>
          <xm:sqref>P18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A5C8-F60D-4FBD-B508-F9FBFAE29F86}">
  <dimension ref="A2:R166"/>
  <sheetViews>
    <sheetView workbookViewId="0">
      <selection activeCell="C1" sqref="C1:C1048576"/>
    </sheetView>
  </sheetViews>
  <sheetFormatPr defaultRowHeight="14.6"/>
  <cols>
    <col min="1" max="1" width="27.3828125" bestFit="1" customWidth="1"/>
    <col min="3" max="3" width="10.07421875" style="39" bestFit="1" customWidth="1"/>
    <col min="17" max="17" width="19" customWidth="1"/>
    <col min="18" max="18" width="14.921875" customWidth="1"/>
  </cols>
  <sheetData>
    <row r="2" spans="1:18">
      <c r="A2" t="str" cm="1">
        <f t="array" aca="1" ref="A2:A166" ca="1">_xlfn.UNIQUE(INDIRECT("receita_detalhada[" &amp; VLOOKUP(Dashboard!$O$18, Q:R, 2, 0) &amp; "]"))</f>
        <v>Sales</v>
      </c>
      <c r="C2" s="39" cm="1">
        <f t="array" aca="1" ref="C2:C4" ca="1">_xlfn._xlws.SORT(_xlfn.UNIQUE(INDIRECT("receita_detalhada[" &amp; VLOOKUP(Dashboard!$Q$18, Q:R, 2, 0) &amp; "]")), 1, 1)</f>
        <v>2024</v>
      </c>
      <c r="D2" cm="1">
        <f t="array" aca="1" ref="D2:D4" ca="1">SUMIFS(receita_detalhada[valor_total_receita], INDIRECT("receita_detalhada[" &amp; VLOOKUP(Dashboard!$Q$18, Q:R, 2, 0) &amp; "]"),_xlfn.ANCHORARRAY( C2), INDIRECT("receita_detalhada[" &amp; VLOOKUP(Dashboard!$O$18, Q:R, 2, 0) &amp; "]"), Dashboard!$P$18)</f>
        <v>627.19000000000005</v>
      </c>
    </row>
    <row r="3" spans="1:18">
      <c r="A3" t="str">
        <f ca="1"/>
        <v>da Rocha</v>
      </c>
      <c r="C3" s="39">
        <f ca="1"/>
        <v>2025</v>
      </c>
      <c r="D3">
        <f ca="1"/>
        <v>1102.51</v>
      </c>
      <c r="Q3" t="s">
        <v>3530</v>
      </c>
      <c r="R3" t="s">
        <v>3530</v>
      </c>
    </row>
    <row r="4" spans="1:18">
      <c r="A4" t="str">
        <f ca="1"/>
        <v>da Costa de Melo</v>
      </c>
      <c r="C4" s="39">
        <f ca="1"/>
        <v>2026</v>
      </c>
      <c r="D4">
        <f ca="1"/>
        <v>785.86</v>
      </c>
      <c r="Q4" t="s">
        <v>3521</v>
      </c>
      <c r="R4" t="s">
        <v>3521</v>
      </c>
    </row>
    <row r="5" spans="1:18">
      <c r="A5" t="str">
        <f ca="1"/>
        <v>Pastor</v>
      </c>
      <c r="Q5" t="s">
        <v>3531</v>
      </c>
      <c r="R5" t="s">
        <v>3523</v>
      </c>
    </row>
    <row r="6" spans="1:18">
      <c r="A6" t="str">
        <f ca="1"/>
        <v>Brito Alegre</v>
      </c>
      <c r="Q6" t="s">
        <v>3522</v>
      </c>
      <c r="R6" t="s">
        <v>3522</v>
      </c>
    </row>
    <row r="7" spans="1:18">
      <c r="A7" t="str">
        <f ca="1"/>
        <v>Brito</v>
      </c>
      <c r="Q7" t="s">
        <v>3532</v>
      </c>
      <c r="R7" t="s">
        <v>7</v>
      </c>
    </row>
    <row r="8" spans="1:18">
      <c r="A8" t="str">
        <f ca="1"/>
        <v>Porto</v>
      </c>
      <c r="Q8" t="s">
        <v>3526</v>
      </c>
      <c r="R8" t="s">
        <v>5</v>
      </c>
    </row>
    <row r="9" spans="1:18">
      <c r="A9" t="str">
        <f ca="1"/>
        <v>Nunes do Sul</v>
      </c>
      <c r="M9" t="str">
        <f>"Faturamento em " &amp; Dashboard!P18 &amp; " por " &amp; Dashboard!Q18</f>
        <v>Faturamento em Aragão da Serra por Ano</v>
      </c>
      <c r="Q9" t="s">
        <v>3533</v>
      </c>
      <c r="R9" t="s">
        <v>3</v>
      </c>
    </row>
    <row r="10" spans="1:18">
      <c r="A10" t="str">
        <f ca="1"/>
        <v>Cardoso</v>
      </c>
      <c r="Q10" t="s">
        <v>3534</v>
      </c>
      <c r="R10" t="s">
        <v>2</v>
      </c>
    </row>
    <row r="11" spans="1:18">
      <c r="A11" t="str">
        <f ca="1"/>
        <v>da Conceição</v>
      </c>
    </row>
    <row r="12" spans="1:18">
      <c r="A12" t="str">
        <f ca="1"/>
        <v>Lopes dos Dourados</v>
      </c>
    </row>
    <row r="13" spans="1:18">
      <c r="A13" t="str">
        <f ca="1"/>
        <v>Albuquerque das Flores</v>
      </c>
    </row>
    <row r="14" spans="1:18">
      <c r="A14" t="str">
        <f ca="1"/>
        <v>Pimenta da Praia</v>
      </c>
    </row>
    <row r="15" spans="1:18">
      <c r="A15" t="str">
        <f ca="1"/>
        <v>Nunes</v>
      </c>
    </row>
    <row r="16" spans="1:18">
      <c r="A16" t="str">
        <f ca="1"/>
        <v>Vargas</v>
      </c>
    </row>
    <row r="17" spans="1:1">
      <c r="A17" t="str">
        <f ca="1"/>
        <v>Macedo Alegre</v>
      </c>
    </row>
    <row r="18" spans="1:1">
      <c r="A18" t="str">
        <f ca="1"/>
        <v>da Costa</v>
      </c>
    </row>
    <row r="19" spans="1:1">
      <c r="A19" t="str">
        <f ca="1"/>
        <v>Pires</v>
      </c>
    </row>
    <row r="20" spans="1:1">
      <c r="A20" t="str">
        <f ca="1"/>
        <v>Leão</v>
      </c>
    </row>
    <row r="21" spans="1:1">
      <c r="A21" t="str">
        <f ca="1"/>
        <v>Nogueira</v>
      </c>
    </row>
    <row r="22" spans="1:1">
      <c r="A22" t="str">
        <f ca="1"/>
        <v>Vieira de Minas</v>
      </c>
    </row>
    <row r="23" spans="1:1">
      <c r="A23" t="str">
        <f ca="1"/>
        <v>Câmara de Casa Grande</v>
      </c>
    </row>
    <row r="24" spans="1:1">
      <c r="A24" t="str">
        <f ca="1"/>
        <v>Lopes de Goiás</v>
      </c>
    </row>
    <row r="25" spans="1:1">
      <c r="A25" t="str">
        <f ca="1"/>
        <v>Aparecida</v>
      </c>
    </row>
    <row r="26" spans="1:1">
      <c r="A26" t="str">
        <f ca="1"/>
        <v>Andrade Alegre</v>
      </c>
    </row>
    <row r="27" spans="1:1">
      <c r="A27" t="str">
        <f ca="1"/>
        <v>Sampaio da Serra</v>
      </c>
    </row>
    <row r="28" spans="1:1">
      <c r="A28" t="str">
        <f ca="1"/>
        <v>Alves de da Conceição</v>
      </c>
    </row>
    <row r="29" spans="1:1">
      <c r="A29" t="str">
        <f ca="1"/>
        <v>Viana</v>
      </c>
    </row>
    <row r="30" spans="1:1">
      <c r="A30" t="str">
        <f ca="1"/>
        <v>Ferreira do Amparo</v>
      </c>
    </row>
    <row r="31" spans="1:1">
      <c r="A31" t="str">
        <f ca="1"/>
        <v>da Mata dos Dourados</v>
      </c>
    </row>
    <row r="32" spans="1:1">
      <c r="A32" t="str">
        <f ca="1"/>
        <v>da Rocha Alegre</v>
      </c>
    </row>
    <row r="33" spans="1:1">
      <c r="A33" t="str">
        <f ca="1"/>
        <v>Cavalcante da Serra</v>
      </c>
    </row>
    <row r="34" spans="1:1">
      <c r="A34" t="str">
        <f ca="1"/>
        <v>Peixoto das Flores</v>
      </c>
    </row>
    <row r="35" spans="1:1">
      <c r="A35" t="str">
        <f ca="1"/>
        <v>Freitas</v>
      </c>
    </row>
    <row r="36" spans="1:1">
      <c r="A36" t="str">
        <f ca="1"/>
        <v>Barbosa</v>
      </c>
    </row>
    <row r="37" spans="1:1">
      <c r="A37" t="str">
        <f ca="1"/>
        <v>Câmara do Galho</v>
      </c>
    </row>
    <row r="38" spans="1:1">
      <c r="A38" t="str">
        <f ca="1"/>
        <v>Rezende</v>
      </c>
    </row>
    <row r="39" spans="1:1">
      <c r="A39" t="str">
        <f ca="1"/>
        <v>Borges</v>
      </c>
    </row>
    <row r="40" spans="1:1">
      <c r="A40" t="str">
        <f ca="1"/>
        <v>Pereira</v>
      </c>
    </row>
    <row r="41" spans="1:1">
      <c r="A41" t="str">
        <f ca="1"/>
        <v>Rios</v>
      </c>
    </row>
    <row r="42" spans="1:1">
      <c r="A42" t="str">
        <f ca="1"/>
        <v>Castro</v>
      </c>
    </row>
    <row r="43" spans="1:1">
      <c r="A43" t="str">
        <f ca="1"/>
        <v>Araújo</v>
      </c>
    </row>
    <row r="44" spans="1:1">
      <c r="A44" t="str">
        <f ca="1"/>
        <v>Pereira do Oeste</v>
      </c>
    </row>
    <row r="45" spans="1:1">
      <c r="A45" t="str">
        <f ca="1"/>
        <v>da Mata</v>
      </c>
    </row>
    <row r="46" spans="1:1">
      <c r="A46" t="str">
        <f ca="1"/>
        <v>Farias da Prata</v>
      </c>
    </row>
    <row r="47" spans="1:1">
      <c r="A47" t="str">
        <f ca="1"/>
        <v>Jesus</v>
      </c>
    </row>
    <row r="48" spans="1:1">
      <c r="A48" t="str">
        <f ca="1"/>
        <v>Moraes</v>
      </c>
    </row>
    <row r="49" spans="1:1">
      <c r="A49" t="str">
        <f ca="1"/>
        <v>Pacheco de Novaes</v>
      </c>
    </row>
    <row r="50" spans="1:1">
      <c r="A50" t="str">
        <f ca="1"/>
        <v>Fogaça Alegre</v>
      </c>
    </row>
    <row r="51" spans="1:1">
      <c r="A51" t="str">
        <f ca="1"/>
        <v>Moura</v>
      </c>
    </row>
    <row r="52" spans="1:1">
      <c r="A52" t="str">
        <f ca="1"/>
        <v>Alves do Oeste</v>
      </c>
    </row>
    <row r="53" spans="1:1">
      <c r="A53" t="str">
        <f ca="1"/>
        <v>Araújo da Prata</v>
      </c>
    </row>
    <row r="54" spans="1:1">
      <c r="A54" t="str">
        <f ca="1"/>
        <v>Macedo do Sul</v>
      </c>
    </row>
    <row r="55" spans="1:1">
      <c r="A55" t="str">
        <f ca="1"/>
        <v>Brito da Mata</v>
      </c>
    </row>
    <row r="56" spans="1:1">
      <c r="A56" t="str">
        <f ca="1"/>
        <v>Nascimento de Azevedo</v>
      </c>
    </row>
    <row r="57" spans="1:1">
      <c r="A57" t="str">
        <f ca="1"/>
        <v>Sampaio das Flores</v>
      </c>
    </row>
    <row r="58" spans="1:1">
      <c r="A58" t="str">
        <f ca="1"/>
        <v>Montenegro da Praia</v>
      </c>
    </row>
    <row r="59" spans="1:1">
      <c r="A59" t="str">
        <f ca="1"/>
        <v>Azevedo de Minas</v>
      </c>
    </row>
    <row r="60" spans="1:1">
      <c r="A60" t="str">
        <f ca="1"/>
        <v>das Neves</v>
      </c>
    </row>
    <row r="61" spans="1:1">
      <c r="A61" t="str">
        <f ca="1"/>
        <v>Gonçalves do Sul</v>
      </c>
    </row>
    <row r="62" spans="1:1">
      <c r="A62" t="str">
        <f ca="1"/>
        <v>Cavalcante</v>
      </c>
    </row>
    <row r="63" spans="1:1">
      <c r="A63" t="str">
        <f ca="1"/>
        <v>da Paz das Flores</v>
      </c>
    </row>
    <row r="64" spans="1:1">
      <c r="A64" t="str">
        <f ca="1"/>
        <v>Ramos</v>
      </c>
    </row>
    <row r="65" spans="1:1">
      <c r="A65" t="str">
        <f ca="1"/>
        <v>Ferreira de Sampaio</v>
      </c>
    </row>
    <row r="66" spans="1:1">
      <c r="A66" t="str">
        <f ca="1"/>
        <v>da Mota do Campo</v>
      </c>
    </row>
    <row r="67" spans="1:1">
      <c r="A67" t="str">
        <f ca="1"/>
        <v>Souza</v>
      </c>
    </row>
    <row r="68" spans="1:1">
      <c r="A68" t="str">
        <f ca="1"/>
        <v>Albuquerque</v>
      </c>
    </row>
    <row r="69" spans="1:1">
      <c r="A69" t="str">
        <f ca="1"/>
        <v>Duarte Verde</v>
      </c>
    </row>
    <row r="70" spans="1:1">
      <c r="A70" t="str">
        <f ca="1"/>
        <v>Costela do Oeste</v>
      </c>
    </row>
    <row r="71" spans="1:1">
      <c r="A71" t="str">
        <f ca="1"/>
        <v>Martins</v>
      </c>
    </row>
    <row r="72" spans="1:1">
      <c r="A72" t="str">
        <f ca="1"/>
        <v>Melo</v>
      </c>
    </row>
    <row r="73" spans="1:1">
      <c r="A73" t="str">
        <f ca="1"/>
        <v>Siqueira do Norte</v>
      </c>
    </row>
    <row r="74" spans="1:1">
      <c r="A74" t="str">
        <f ca="1"/>
        <v>Barros Grande</v>
      </c>
    </row>
    <row r="75" spans="1:1">
      <c r="A75" t="str">
        <f ca="1"/>
        <v>Gonçalves das Pedras</v>
      </c>
    </row>
    <row r="76" spans="1:1">
      <c r="A76" t="str">
        <f ca="1"/>
        <v>Vasconcelos do Campo</v>
      </c>
    </row>
    <row r="77" spans="1:1">
      <c r="A77" t="str">
        <f ca="1"/>
        <v>Siqueira do Amparo</v>
      </c>
    </row>
    <row r="78" spans="1:1">
      <c r="A78" t="str">
        <f ca="1"/>
        <v>Machado da Serra</v>
      </c>
    </row>
    <row r="79" spans="1:1">
      <c r="A79" t="str">
        <f ca="1"/>
        <v>Rocha</v>
      </c>
    </row>
    <row r="80" spans="1:1">
      <c r="A80" t="str">
        <f ca="1"/>
        <v>da Luz de Ramos</v>
      </c>
    </row>
    <row r="81" spans="1:1">
      <c r="A81" t="str">
        <f ca="1"/>
        <v>Fogaça</v>
      </c>
    </row>
    <row r="82" spans="1:1">
      <c r="A82" t="str">
        <f ca="1"/>
        <v>Sousa</v>
      </c>
    </row>
    <row r="83" spans="1:1">
      <c r="A83" t="str">
        <f ca="1"/>
        <v>Silveira</v>
      </c>
    </row>
    <row r="84" spans="1:1">
      <c r="A84" t="str">
        <f ca="1"/>
        <v>da Cunha</v>
      </c>
    </row>
    <row r="85" spans="1:1">
      <c r="A85" t="str">
        <f ca="1"/>
        <v>Pacheco</v>
      </c>
    </row>
    <row r="86" spans="1:1">
      <c r="A86" t="str">
        <f ca="1"/>
        <v>Macedo</v>
      </c>
    </row>
    <row r="87" spans="1:1">
      <c r="A87" t="str">
        <f ca="1"/>
        <v>Carvalho</v>
      </c>
    </row>
    <row r="88" spans="1:1">
      <c r="A88" t="str">
        <f ca="1"/>
        <v>da Costa do Galho</v>
      </c>
    </row>
    <row r="89" spans="1:1">
      <c r="A89" t="str">
        <f ca="1"/>
        <v>da Paz</v>
      </c>
    </row>
    <row r="90" spans="1:1">
      <c r="A90" t="str">
        <f ca="1"/>
        <v>Macedo de Costa</v>
      </c>
    </row>
    <row r="91" spans="1:1">
      <c r="A91" t="str">
        <f ca="1"/>
        <v>da Cruz da Mata</v>
      </c>
    </row>
    <row r="92" spans="1:1">
      <c r="A92" t="str">
        <f ca="1"/>
        <v>Cavalcanti</v>
      </c>
    </row>
    <row r="93" spans="1:1">
      <c r="A93" t="str">
        <f ca="1"/>
        <v>Machado</v>
      </c>
    </row>
    <row r="94" spans="1:1">
      <c r="A94" t="str">
        <f ca="1"/>
        <v>Monteiro</v>
      </c>
    </row>
    <row r="95" spans="1:1">
      <c r="A95" t="str">
        <f ca="1"/>
        <v>Rodrigues</v>
      </c>
    </row>
    <row r="96" spans="1:1">
      <c r="A96" t="str">
        <f ca="1"/>
        <v>Cirino</v>
      </c>
    </row>
    <row r="97" spans="1:1">
      <c r="A97" t="str">
        <f ca="1"/>
        <v>Albuquerque de Brito</v>
      </c>
    </row>
    <row r="98" spans="1:1">
      <c r="A98" t="str">
        <f ca="1"/>
        <v>Cavalcanti de Correia</v>
      </c>
    </row>
    <row r="99" spans="1:1">
      <c r="A99" t="str">
        <f ca="1"/>
        <v>Barbosa dos Dourados</v>
      </c>
    </row>
    <row r="100" spans="1:1">
      <c r="A100" t="str">
        <f ca="1"/>
        <v>Mendes das Flores</v>
      </c>
    </row>
    <row r="101" spans="1:1">
      <c r="A101" t="str">
        <f ca="1"/>
        <v>Pinto dos Dourados</v>
      </c>
    </row>
    <row r="102" spans="1:1">
      <c r="A102" t="str">
        <f ca="1"/>
        <v>Fogaça do Amparo</v>
      </c>
    </row>
    <row r="103" spans="1:1">
      <c r="A103" t="str">
        <f ca="1"/>
        <v>Vasconcelos de Minas</v>
      </c>
    </row>
    <row r="104" spans="1:1">
      <c r="A104" t="str">
        <f ca="1"/>
        <v>Barros de Fernandes</v>
      </c>
    </row>
    <row r="105" spans="1:1">
      <c r="A105" t="str">
        <f ca="1"/>
        <v>Aragão de Goiás</v>
      </c>
    </row>
    <row r="106" spans="1:1">
      <c r="A106" t="str">
        <f ca="1"/>
        <v>da Mata de Pereira</v>
      </c>
    </row>
    <row r="107" spans="1:1">
      <c r="A107" t="str">
        <f ca="1"/>
        <v>Gomes</v>
      </c>
    </row>
    <row r="108" spans="1:1">
      <c r="A108" t="str">
        <f ca="1"/>
        <v>Novaes de Minas</v>
      </c>
    </row>
    <row r="109" spans="1:1">
      <c r="A109" t="str">
        <f ca="1"/>
        <v>da Rocha do Amparo</v>
      </c>
    </row>
    <row r="110" spans="1:1">
      <c r="A110" t="str">
        <f ca="1"/>
        <v>Rios do Oeste</v>
      </c>
    </row>
    <row r="111" spans="1:1">
      <c r="A111" t="str">
        <f ca="1"/>
        <v>Ferreira de Ferreira</v>
      </c>
    </row>
    <row r="112" spans="1:1">
      <c r="A112" t="str">
        <f ca="1"/>
        <v>Lopes de Mendes</v>
      </c>
    </row>
    <row r="113" spans="1:1">
      <c r="A113" t="str">
        <f ca="1"/>
        <v>Duarte</v>
      </c>
    </row>
    <row r="114" spans="1:1">
      <c r="A114" t="str">
        <f ca="1"/>
        <v>Fernandes do Norte</v>
      </c>
    </row>
    <row r="115" spans="1:1">
      <c r="A115" t="str">
        <f ca="1"/>
        <v>Silveira das Flores</v>
      </c>
    </row>
    <row r="116" spans="1:1">
      <c r="A116" t="str">
        <f ca="1"/>
        <v>Oliveira Verde</v>
      </c>
    </row>
    <row r="117" spans="1:1">
      <c r="A117" t="str">
        <f ca="1"/>
        <v>Casa Grande do Oeste</v>
      </c>
    </row>
    <row r="118" spans="1:1">
      <c r="A118" t="str">
        <f ca="1"/>
        <v>Cassiano</v>
      </c>
    </row>
    <row r="119" spans="1:1">
      <c r="A119" t="str">
        <f ca="1"/>
        <v>Martins do Amparo</v>
      </c>
    </row>
    <row r="120" spans="1:1">
      <c r="A120" t="str">
        <f ca="1"/>
        <v>Nogueira de Rios</v>
      </c>
    </row>
    <row r="121" spans="1:1">
      <c r="A121" t="str">
        <f ca="1"/>
        <v>Guerra de Minas</v>
      </c>
    </row>
    <row r="122" spans="1:1">
      <c r="A122" t="str">
        <f ca="1"/>
        <v>Macedo de Martins</v>
      </c>
    </row>
    <row r="123" spans="1:1">
      <c r="A123" t="str">
        <f ca="1"/>
        <v>Montenegro Alegre</v>
      </c>
    </row>
    <row r="124" spans="1:1">
      <c r="A124" t="str">
        <f ca="1"/>
        <v>Rocha das Pedras</v>
      </c>
    </row>
    <row r="125" spans="1:1">
      <c r="A125" t="str">
        <f ca="1"/>
        <v>Barros</v>
      </c>
    </row>
    <row r="126" spans="1:1">
      <c r="A126" t="str">
        <f ca="1"/>
        <v>da Rocha da Prata</v>
      </c>
    </row>
    <row r="127" spans="1:1">
      <c r="A127" t="str">
        <f ca="1"/>
        <v>Alves</v>
      </c>
    </row>
    <row r="128" spans="1:1">
      <c r="A128" t="str">
        <f ca="1"/>
        <v>Dias</v>
      </c>
    </row>
    <row r="129" spans="1:1">
      <c r="A129" t="str">
        <f ca="1"/>
        <v>Cassiano Verde</v>
      </c>
    </row>
    <row r="130" spans="1:1">
      <c r="A130" t="str">
        <f ca="1"/>
        <v>Montenegro</v>
      </c>
    </row>
    <row r="131" spans="1:1">
      <c r="A131" t="str">
        <f ca="1"/>
        <v>Ribeiro</v>
      </c>
    </row>
    <row r="132" spans="1:1">
      <c r="A132" t="str">
        <f ca="1"/>
        <v>Silva de Minas</v>
      </c>
    </row>
    <row r="133" spans="1:1">
      <c r="A133" t="str">
        <f ca="1"/>
        <v>Castro de Jesus</v>
      </c>
    </row>
    <row r="134" spans="1:1">
      <c r="A134" t="str">
        <f ca="1"/>
        <v>Moraes do Galho</v>
      </c>
    </row>
    <row r="135" spans="1:1">
      <c r="A135" t="str">
        <f ca="1"/>
        <v>da Mota de Oliveira</v>
      </c>
    </row>
    <row r="136" spans="1:1">
      <c r="A136" t="str">
        <f ca="1"/>
        <v>Campos</v>
      </c>
    </row>
    <row r="137" spans="1:1">
      <c r="A137" t="str">
        <f ca="1"/>
        <v>Freitas Alegre</v>
      </c>
    </row>
    <row r="138" spans="1:1">
      <c r="A138" t="str">
        <f ca="1"/>
        <v>Almeida das Pedras</v>
      </c>
    </row>
    <row r="139" spans="1:1">
      <c r="A139" t="str">
        <f ca="1"/>
        <v>Ferreira</v>
      </c>
    </row>
    <row r="140" spans="1:1">
      <c r="A140" t="str">
        <f ca="1"/>
        <v>da Paz de Sampaio</v>
      </c>
    </row>
    <row r="141" spans="1:1">
      <c r="A141" t="str">
        <f ca="1"/>
        <v>Sampaio</v>
      </c>
    </row>
    <row r="142" spans="1:1">
      <c r="A142" t="str">
        <f ca="1"/>
        <v>Correia Grande</v>
      </c>
    </row>
    <row r="143" spans="1:1">
      <c r="A143" t="str">
        <f ca="1"/>
        <v>da Rosa</v>
      </c>
    </row>
    <row r="144" spans="1:1">
      <c r="A144" t="str">
        <f ca="1"/>
        <v>Azevedo de Leão</v>
      </c>
    </row>
    <row r="145" spans="1:1">
      <c r="A145" t="str">
        <f ca="1"/>
        <v>Almeida Grande</v>
      </c>
    </row>
    <row r="146" spans="1:1">
      <c r="A146" t="str">
        <f ca="1"/>
        <v>Marques Alegre</v>
      </c>
    </row>
    <row r="147" spans="1:1">
      <c r="A147" t="str">
        <f ca="1"/>
        <v>da Luz</v>
      </c>
    </row>
    <row r="148" spans="1:1">
      <c r="A148" t="str">
        <f ca="1"/>
        <v>Pimenta</v>
      </c>
    </row>
    <row r="149" spans="1:1">
      <c r="A149" t="str">
        <f ca="1"/>
        <v>Barros de Sousa</v>
      </c>
    </row>
    <row r="150" spans="1:1">
      <c r="A150" t="str">
        <f ca="1"/>
        <v>Fonseca de Cavalcante</v>
      </c>
    </row>
    <row r="151" spans="1:1">
      <c r="A151" t="str">
        <f ca="1"/>
        <v>Sá</v>
      </c>
    </row>
    <row r="152" spans="1:1">
      <c r="A152" t="str">
        <f ca="1"/>
        <v>Siqueira do Campo</v>
      </c>
    </row>
    <row r="153" spans="1:1">
      <c r="A153" t="str">
        <f ca="1"/>
        <v>da Rosa de Nascimento</v>
      </c>
    </row>
    <row r="154" spans="1:1">
      <c r="A154" t="str">
        <f ca="1"/>
        <v>Aragão do Galho</v>
      </c>
    </row>
    <row r="155" spans="1:1">
      <c r="A155" t="str">
        <f ca="1"/>
        <v>Cassiano do Oeste</v>
      </c>
    </row>
    <row r="156" spans="1:1">
      <c r="A156" t="str">
        <f ca="1"/>
        <v>Casa Grande</v>
      </c>
    </row>
    <row r="157" spans="1:1">
      <c r="A157" t="str">
        <f ca="1"/>
        <v>da Conceição da Serra</v>
      </c>
    </row>
    <row r="158" spans="1:1">
      <c r="A158" t="str">
        <f ca="1"/>
        <v>da Paz das Pedras</v>
      </c>
    </row>
    <row r="159" spans="1:1">
      <c r="A159" t="str">
        <f ca="1"/>
        <v>Caldeira</v>
      </c>
    </row>
    <row r="160" spans="1:1">
      <c r="A160" t="str">
        <f ca="1"/>
        <v>Peixoto de Machado</v>
      </c>
    </row>
    <row r="161" spans="1:1">
      <c r="A161" t="str">
        <f ca="1"/>
        <v>Costela</v>
      </c>
    </row>
    <row r="162" spans="1:1">
      <c r="A162" t="str">
        <f ca="1"/>
        <v>Albuquerque do Norte</v>
      </c>
    </row>
    <row r="163" spans="1:1">
      <c r="A163" t="str">
        <f ca="1"/>
        <v>Martins de Gonçalves</v>
      </c>
    </row>
    <row r="164" spans="1:1">
      <c r="A164" t="str">
        <f ca="1"/>
        <v>Gonçalves</v>
      </c>
    </row>
    <row r="165" spans="1:1">
      <c r="A165" t="str">
        <f ca="1"/>
        <v>Aragão da Serra</v>
      </c>
    </row>
    <row r="166" spans="1:1">
      <c r="A166" t="str">
        <f ca="1"/>
        <v>Sousa da Praia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1131D-01D2-4ED5-BA7E-51AE6869D5B0}">
  <dimension ref="A1:D13"/>
  <sheetViews>
    <sheetView workbookViewId="0">
      <selection activeCell="B1" sqref="B1:B1048576"/>
    </sheetView>
  </sheetViews>
  <sheetFormatPr defaultRowHeight="14.6"/>
  <cols>
    <col min="2" max="2" width="13.69140625" style="8" bestFit="1" customWidth="1"/>
  </cols>
  <sheetData>
    <row r="1" spans="1:4">
      <c r="A1" s="5" t="s">
        <v>3526</v>
      </c>
      <c r="B1" s="9" t="s">
        <v>3527</v>
      </c>
      <c r="C1" s="5" t="s">
        <v>3528</v>
      </c>
      <c r="D1" s="5" t="s">
        <v>3529</v>
      </c>
    </row>
    <row r="2" spans="1:4">
      <c r="A2" cm="1">
        <f t="array" ref="A2:A13">_xlfn._xlws.SORT(_xlfn.UNIQUE(receita_agregada[mes]), 1, 1)</f>
        <v>1</v>
      </c>
      <c r="B2" s="8" cm="1">
        <f t="array" ref="B2:B13">SUMIFS(receita_agregada[valor_total_receita], receita_agregada[mes],_xlfn.ANCHORARRAY( A2))</f>
        <v>102398.63999999997</v>
      </c>
      <c r="C2" cm="1">
        <f t="array" ref="C2:C13">SUMIFS(despesa[valor_total_despesa], despesa[mes],_xlfn.ANCHORARRAY( A2))</f>
        <v>42996</v>
      </c>
      <c r="D2" cm="1">
        <f t="array" ref="D2:D13">_xlfn.ANCHORARRAY(B2) -_xlfn.ANCHORARRAY( C2)</f>
        <v>59402.63999999997</v>
      </c>
    </row>
    <row r="3" spans="1:4">
      <c r="A3">
        <v>2</v>
      </c>
      <c r="B3" s="8">
        <v>81737.120000000039</v>
      </c>
      <c r="C3">
        <v>37166</v>
      </c>
      <c r="D3">
        <v>44571.120000000039</v>
      </c>
    </row>
    <row r="4" spans="1:4">
      <c r="A4">
        <v>3</v>
      </c>
      <c r="B4" s="8">
        <v>100090.12000000002</v>
      </c>
      <c r="C4">
        <v>20686</v>
      </c>
      <c r="D4">
        <v>79404.120000000024</v>
      </c>
    </row>
    <row r="5" spans="1:4">
      <c r="A5">
        <v>4</v>
      </c>
      <c r="B5" s="8">
        <v>82097.469999999972</v>
      </c>
      <c r="C5">
        <v>42058</v>
      </c>
      <c r="D5">
        <v>40039.469999999972</v>
      </c>
    </row>
    <row r="6" spans="1:4">
      <c r="A6">
        <v>5</v>
      </c>
      <c r="B6" s="8">
        <v>87155.040000000066</v>
      </c>
      <c r="C6">
        <v>29593</v>
      </c>
      <c r="D6">
        <v>57562.040000000066</v>
      </c>
    </row>
    <row r="7" spans="1:4">
      <c r="A7">
        <v>6</v>
      </c>
      <c r="B7" s="8">
        <v>78053.119999999981</v>
      </c>
      <c r="C7">
        <v>42751</v>
      </c>
      <c r="D7">
        <v>35302.119999999981</v>
      </c>
    </row>
    <row r="8" spans="1:4">
      <c r="A8">
        <v>7</v>
      </c>
      <c r="B8" s="8">
        <v>88304.659999999974</v>
      </c>
      <c r="C8">
        <v>48572</v>
      </c>
      <c r="D8">
        <v>39732.659999999974</v>
      </c>
    </row>
    <row r="9" spans="1:4">
      <c r="A9">
        <v>8</v>
      </c>
      <c r="B9" s="8">
        <v>77131.750000000044</v>
      </c>
      <c r="C9">
        <v>37343</v>
      </c>
      <c r="D9">
        <v>39788.750000000044</v>
      </c>
    </row>
    <row r="10" spans="1:4">
      <c r="A10">
        <v>9</v>
      </c>
      <c r="B10" s="8">
        <v>89651.930000000051</v>
      </c>
      <c r="C10">
        <v>48742</v>
      </c>
      <c r="D10">
        <v>40909.930000000051</v>
      </c>
    </row>
    <row r="11" spans="1:4">
      <c r="A11">
        <v>10</v>
      </c>
      <c r="B11" s="8">
        <v>94132.419999999984</v>
      </c>
      <c r="C11">
        <v>67849</v>
      </c>
      <c r="D11">
        <v>26283.419999999984</v>
      </c>
    </row>
    <row r="12" spans="1:4">
      <c r="A12">
        <v>11</v>
      </c>
      <c r="B12" s="8">
        <v>83021.039999999994</v>
      </c>
      <c r="C12">
        <v>41941</v>
      </c>
      <c r="D12">
        <v>41080.039999999994</v>
      </c>
    </row>
    <row r="13" spans="1:4">
      <c r="A13">
        <v>12</v>
      </c>
      <c r="B13" s="8">
        <v>90869.070000000022</v>
      </c>
      <c r="C13">
        <v>22714</v>
      </c>
      <c r="D13">
        <v>68155.070000000022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3697-11F0-48E4-B338-4FE18E52D426}">
  <dimension ref="A2:O13"/>
  <sheetViews>
    <sheetView workbookViewId="0">
      <selection activeCell="O19" sqref="O19"/>
    </sheetView>
  </sheetViews>
  <sheetFormatPr defaultRowHeight="14.6"/>
  <cols>
    <col min="5" max="5" width="13.69140625" style="4" bestFit="1" customWidth="1"/>
  </cols>
  <sheetData>
    <row r="2" spans="1:15">
      <c r="A2" s="3" cm="1">
        <f t="array" aca="1" ref="A2:A13" ca="1">_xlfn.UNIQUE(INDIRECT("receita_agregada["&amp;Dashboard!$O$4&amp;"]"))</f>
        <v>1</v>
      </c>
      <c r="B2" cm="1">
        <f t="array" aca="1" ref="B2:B13" ca="1">SUMIFS(receita_agregada[valor_total_receita],INDIRECT("receita_agregada["&amp;Dashboard!$O$4&amp;"]"),_xlfn.ANCHORARRAY(A2))</f>
        <v>102398.63999999997</v>
      </c>
      <c r="D2" s="3" cm="1">
        <f t="array" aca="1" ref="D2:E13" ca="1">_xlfn._xlws.SORT(_xlfn.HSTACK(_xlfn.ANCHORARRAY(A2),_xlfn.ANCHORARRAY( B2)), 1, 1)</f>
        <v>1</v>
      </c>
      <c r="E2" s="4">
        <f ca="1"/>
        <v>102398.63999999997</v>
      </c>
    </row>
    <row r="3" spans="1:15">
      <c r="A3">
        <f ca="1"/>
        <v>9</v>
      </c>
      <c r="B3">
        <f ca="1"/>
        <v>89651.930000000051</v>
      </c>
      <c r="D3">
        <f ca="1"/>
        <v>2</v>
      </c>
      <c r="E3" s="4">
        <f ca="1"/>
        <v>81737.120000000039</v>
      </c>
    </row>
    <row r="4" spans="1:15">
      <c r="A4">
        <f ca="1"/>
        <v>4</v>
      </c>
      <c r="B4">
        <f ca="1"/>
        <v>82097.469999999972</v>
      </c>
      <c r="D4">
        <f ca="1"/>
        <v>3</v>
      </c>
      <c r="E4" s="4">
        <f ca="1"/>
        <v>100090.12000000002</v>
      </c>
    </row>
    <row r="5" spans="1:15">
      <c r="A5">
        <f ca="1"/>
        <v>6</v>
      </c>
      <c r="B5">
        <f ca="1"/>
        <v>78053.119999999981</v>
      </c>
      <c r="D5">
        <f ca="1"/>
        <v>4</v>
      </c>
      <c r="E5" s="4">
        <f ca="1"/>
        <v>82097.469999999972</v>
      </c>
    </row>
    <row r="6" spans="1:15">
      <c r="A6">
        <f ca="1"/>
        <v>7</v>
      </c>
      <c r="B6">
        <f ca="1"/>
        <v>88304.659999999974</v>
      </c>
      <c r="D6">
        <f ca="1"/>
        <v>5</v>
      </c>
      <c r="E6" s="4">
        <f ca="1"/>
        <v>87155.040000000066</v>
      </c>
    </row>
    <row r="7" spans="1:15">
      <c r="A7">
        <f ca="1"/>
        <v>11</v>
      </c>
      <c r="B7">
        <f ca="1"/>
        <v>83021.039999999994</v>
      </c>
      <c r="D7">
        <f ca="1"/>
        <v>6</v>
      </c>
      <c r="E7" s="4">
        <f ca="1"/>
        <v>78053.119999999981</v>
      </c>
    </row>
    <row r="8" spans="1:15">
      <c r="A8">
        <f ca="1"/>
        <v>5</v>
      </c>
      <c r="B8">
        <f ca="1"/>
        <v>87155.040000000066</v>
      </c>
      <c r="D8">
        <f ca="1"/>
        <v>7</v>
      </c>
      <c r="E8" s="4">
        <f ca="1"/>
        <v>88304.659999999974</v>
      </c>
      <c r="O8" t="str">
        <f>"Evolução de Receitas por " &amp; Dashboard!O4</f>
        <v>Evolução de Receitas por mes</v>
      </c>
    </row>
    <row r="9" spans="1:15">
      <c r="A9">
        <f ca="1"/>
        <v>12</v>
      </c>
      <c r="B9">
        <f ca="1"/>
        <v>90869.070000000022</v>
      </c>
      <c r="D9">
        <f ca="1"/>
        <v>8</v>
      </c>
      <c r="E9" s="4">
        <f ca="1"/>
        <v>77131.750000000044</v>
      </c>
    </row>
    <row r="10" spans="1:15">
      <c r="A10">
        <f ca="1"/>
        <v>2</v>
      </c>
      <c r="B10">
        <f ca="1"/>
        <v>81737.120000000039</v>
      </c>
      <c r="D10">
        <f ca="1"/>
        <v>9</v>
      </c>
      <c r="E10" s="4">
        <f ca="1"/>
        <v>89651.930000000051</v>
      </c>
    </row>
    <row r="11" spans="1:15">
      <c r="A11">
        <f ca="1"/>
        <v>10</v>
      </c>
      <c r="B11">
        <f ca="1"/>
        <v>94132.419999999984</v>
      </c>
      <c r="D11">
        <f ca="1"/>
        <v>10</v>
      </c>
      <c r="E11" s="4">
        <f ca="1"/>
        <v>94132.419999999984</v>
      </c>
    </row>
    <row r="12" spans="1:15">
      <c r="A12">
        <f ca="1"/>
        <v>8</v>
      </c>
      <c r="B12">
        <f ca="1"/>
        <v>77131.750000000044</v>
      </c>
      <c r="D12">
        <f ca="1"/>
        <v>11</v>
      </c>
      <c r="E12" s="4">
        <f ca="1"/>
        <v>83021.039999999994</v>
      </c>
    </row>
    <row r="13" spans="1:15">
      <c r="A13">
        <f ca="1"/>
        <v>3</v>
      </c>
      <c r="B13">
        <f ca="1"/>
        <v>100090.12000000002</v>
      </c>
      <c r="D13">
        <f ca="1"/>
        <v>12</v>
      </c>
      <c r="E13" s="4">
        <f ca="1"/>
        <v>90869.070000000022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A9E3-3FD4-43C2-93FF-BF3E856A0D9E}">
  <dimension ref="A2:M1095"/>
  <sheetViews>
    <sheetView workbookViewId="0">
      <selection activeCell="M10" sqref="M10"/>
    </sheetView>
  </sheetViews>
  <sheetFormatPr defaultRowHeight="14.6"/>
  <cols>
    <col min="1" max="1" width="25.4609375" bestFit="1" customWidth="1"/>
    <col min="2" max="2" width="7.84375" bestFit="1" customWidth="1"/>
  </cols>
  <sheetData>
    <row r="2" spans="1:13">
      <c r="A2" t="str" cm="1">
        <f t="array" ref="A2:A1095">_xlfn.UNIQUE(receita_detalhada[nomecliente])</f>
        <v>João Gabriel Gonçalves</v>
      </c>
      <c r="B2" cm="1">
        <f t="array" ref="B2:B1095">SUMIFS(receita_detalhada[valor_total_receita], receita_detalhada[nomecliente],_xlfn.ANCHORARRAY( A2))</f>
        <v>918.07999999999993</v>
      </c>
      <c r="C2" t="str" cm="1">
        <f t="array" ref="C2:D5">_xlfn.TAKE(_xlfn._xlws.SORT(_xlfn.HSTACK(_xlfn.ANCHORARRAY(A2),_xlfn.ANCHORARRAY( B2)), 2, -1), Dashboard!$A$4)</f>
        <v>Pedro Henrique Aragão</v>
      </c>
      <c r="D2">
        <v>4096.26</v>
      </c>
    </row>
    <row r="3" spans="1:13">
      <c r="A3" t="str">
        <v>Sr. Rafael Gonçalves</v>
      </c>
      <c r="B3">
        <v>748.43</v>
      </c>
      <c r="C3" t="str">
        <v>Luiz Felipe Casa Grande</v>
      </c>
      <c r="D3">
        <v>4000.22</v>
      </c>
      <c r="M3" t="str">
        <f>"Top " &amp; Dashboard!A4 &amp; " clientes por faturamento"</f>
        <v>Top 4 clientes por faturamento</v>
      </c>
    </row>
    <row r="4" spans="1:13">
      <c r="A4" t="str">
        <v>Elisa Vargas</v>
      </c>
      <c r="B4">
        <v>1615.44</v>
      </c>
      <c r="C4" t="str">
        <v>Emilly Araújo</v>
      </c>
      <c r="D4">
        <v>3959.8300000000004</v>
      </c>
    </row>
    <row r="5" spans="1:13">
      <c r="A5" t="str">
        <v>Isabel Cardoso</v>
      </c>
      <c r="B5">
        <v>924.78</v>
      </c>
      <c r="C5" t="str">
        <v>Benjamin Nascimento</v>
      </c>
      <c r="D5">
        <v>3772.97</v>
      </c>
    </row>
    <row r="6" spans="1:13">
      <c r="A6" t="str">
        <v>Diogo Casa Grande</v>
      </c>
      <c r="B6">
        <v>173.51</v>
      </c>
    </row>
    <row r="7" spans="1:13">
      <c r="A7" t="str">
        <v>Ravy Rios</v>
      </c>
      <c r="B7">
        <v>1833.6399999999999</v>
      </c>
    </row>
    <row r="8" spans="1:13">
      <c r="A8" t="str">
        <v>Caleb da Cunha</v>
      </c>
      <c r="B8">
        <v>345.86</v>
      </c>
    </row>
    <row r="9" spans="1:13">
      <c r="A9" t="str">
        <v>Lara Teixeira</v>
      </c>
      <c r="B9">
        <v>220.45</v>
      </c>
    </row>
    <row r="10" spans="1:13">
      <c r="A10" t="str">
        <v>Levi Almeida</v>
      </c>
      <c r="B10">
        <v>1141.67</v>
      </c>
    </row>
    <row r="11" spans="1:13">
      <c r="A11" t="str">
        <v>Ana Pereira</v>
      </c>
      <c r="B11">
        <v>836.37000000000012</v>
      </c>
    </row>
    <row r="12" spans="1:13">
      <c r="A12" t="str">
        <v>Gustavo Henrique Campos</v>
      </c>
      <c r="B12">
        <v>1108.31</v>
      </c>
    </row>
    <row r="13" spans="1:13">
      <c r="A13" t="str">
        <v>Maria Julia Vargas</v>
      </c>
      <c r="B13">
        <v>2607.0899999999997</v>
      </c>
    </row>
    <row r="14" spans="1:13">
      <c r="A14" t="str">
        <v>Sofia Andrade</v>
      </c>
      <c r="B14">
        <v>644.78</v>
      </c>
    </row>
    <row r="15" spans="1:13">
      <c r="A15" t="str">
        <v>João Pedro Caldeira</v>
      </c>
      <c r="B15">
        <v>1543.81</v>
      </c>
    </row>
    <row r="16" spans="1:13">
      <c r="A16" t="str">
        <v>Esther Machado</v>
      </c>
      <c r="B16">
        <v>1247.8200000000002</v>
      </c>
    </row>
    <row r="17" spans="1:2">
      <c r="A17" t="str">
        <v>Fernando Pereira</v>
      </c>
      <c r="B17">
        <v>2503.14</v>
      </c>
    </row>
    <row r="18" spans="1:2">
      <c r="A18" t="str">
        <v>Valentim Cunha</v>
      </c>
      <c r="B18">
        <v>1471.71</v>
      </c>
    </row>
    <row r="19" spans="1:2">
      <c r="A19" t="str">
        <v>Raul Sampaio</v>
      </c>
      <c r="B19">
        <v>843.65</v>
      </c>
    </row>
    <row r="20" spans="1:2">
      <c r="A20" t="str">
        <v>Pedro Mendonça</v>
      </c>
      <c r="B20">
        <v>1525.3</v>
      </c>
    </row>
    <row r="21" spans="1:2">
      <c r="A21" t="str">
        <v>Sr. Henrique Alves</v>
      </c>
      <c r="B21">
        <v>428.52</v>
      </c>
    </row>
    <row r="22" spans="1:2">
      <c r="A22" t="str">
        <v>Ísis da Costa</v>
      </c>
      <c r="B22">
        <v>3065.6899999999996</v>
      </c>
    </row>
    <row r="23" spans="1:2">
      <c r="A23" t="str">
        <v>Liam Guerra</v>
      </c>
      <c r="B23">
        <v>370.04999999999995</v>
      </c>
    </row>
    <row r="24" spans="1:2">
      <c r="A24" t="str">
        <v>Sarah Castro</v>
      </c>
      <c r="B24">
        <v>522.98</v>
      </c>
    </row>
    <row r="25" spans="1:2">
      <c r="A25" t="str">
        <v>Valentim Sousa</v>
      </c>
      <c r="B25">
        <v>685.98</v>
      </c>
    </row>
    <row r="26" spans="1:2">
      <c r="A26" t="str">
        <v>Pedro Henrique Cunha</v>
      </c>
      <c r="B26">
        <v>1110.1000000000001</v>
      </c>
    </row>
    <row r="27" spans="1:2">
      <c r="A27" t="str">
        <v>Clara Borges</v>
      </c>
      <c r="B27">
        <v>1557.23</v>
      </c>
    </row>
    <row r="28" spans="1:2">
      <c r="A28" t="str">
        <v>Luiz Felipe Casa Grande</v>
      </c>
      <c r="B28">
        <v>4000.22</v>
      </c>
    </row>
    <row r="29" spans="1:2">
      <c r="A29" t="str">
        <v>João Pedro Ferreira</v>
      </c>
      <c r="B29">
        <v>454.94</v>
      </c>
    </row>
    <row r="30" spans="1:2">
      <c r="A30" t="str">
        <v>Lavínia Silva</v>
      </c>
      <c r="B30">
        <v>1074</v>
      </c>
    </row>
    <row r="31" spans="1:2">
      <c r="A31" t="str">
        <v>Clara Cavalcanti</v>
      </c>
      <c r="B31">
        <v>755.82999999999993</v>
      </c>
    </row>
    <row r="32" spans="1:2">
      <c r="A32" t="str">
        <v>Juliana Barbosa</v>
      </c>
      <c r="B32">
        <v>650.29</v>
      </c>
    </row>
    <row r="33" spans="1:2">
      <c r="A33" t="str">
        <v>Isaac Marques</v>
      </c>
      <c r="B33">
        <v>393.80999999999995</v>
      </c>
    </row>
    <row r="34" spans="1:2">
      <c r="A34" t="str">
        <v>Olívia Moraes</v>
      </c>
      <c r="B34">
        <v>1089.6199999999999</v>
      </c>
    </row>
    <row r="35" spans="1:2">
      <c r="A35" t="str">
        <v>Kaique Silva</v>
      </c>
      <c r="B35">
        <v>692.5</v>
      </c>
    </row>
    <row r="36" spans="1:2">
      <c r="A36" t="str">
        <v>Ian Santos</v>
      </c>
      <c r="B36">
        <v>2296.1999999999998</v>
      </c>
    </row>
    <row r="37" spans="1:2">
      <c r="A37" t="str">
        <v>Mariane Marques</v>
      </c>
      <c r="B37">
        <v>422.06</v>
      </c>
    </row>
    <row r="38" spans="1:2">
      <c r="A38" t="str">
        <v>Eduardo Cassiano</v>
      </c>
      <c r="B38">
        <v>633.08999999999992</v>
      </c>
    </row>
    <row r="39" spans="1:2">
      <c r="A39" t="str">
        <v>Maria Vitória Fonseca</v>
      </c>
      <c r="B39">
        <v>962.15000000000009</v>
      </c>
    </row>
    <row r="40" spans="1:2">
      <c r="A40" t="str">
        <v>Guilherme Novais</v>
      </c>
      <c r="B40">
        <v>512.92000000000007</v>
      </c>
    </row>
    <row r="41" spans="1:2">
      <c r="A41" t="str">
        <v>Brayan Pastor</v>
      </c>
      <c r="B41">
        <v>1170.1600000000001</v>
      </c>
    </row>
    <row r="42" spans="1:2">
      <c r="A42" t="str">
        <v>Cauê Fonseca</v>
      </c>
      <c r="B42">
        <v>2526.6799999999998</v>
      </c>
    </row>
    <row r="43" spans="1:2">
      <c r="A43" t="str">
        <v>Isabel Martins</v>
      </c>
      <c r="B43">
        <v>842.95</v>
      </c>
    </row>
    <row r="44" spans="1:2">
      <c r="A44" t="str">
        <v>João Vitor Aragão</v>
      </c>
      <c r="B44">
        <v>1746.3699999999997</v>
      </c>
    </row>
    <row r="45" spans="1:2">
      <c r="A45" t="str">
        <v>Pietro da Rosa</v>
      </c>
      <c r="B45">
        <v>2097.8000000000002</v>
      </c>
    </row>
    <row r="46" spans="1:2">
      <c r="A46" t="str">
        <v>Helena Carvalho</v>
      </c>
      <c r="B46">
        <v>1034.1600000000001</v>
      </c>
    </row>
    <row r="47" spans="1:2">
      <c r="A47" t="str">
        <v>Léo Barbosa</v>
      </c>
      <c r="B47">
        <v>567.11</v>
      </c>
    </row>
    <row r="48" spans="1:2">
      <c r="A48" t="str">
        <v>Sra. Eduarda Leão</v>
      </c>
      <c r="B48">
        <v>1023.52</v>
      </c>
    </row>
    <row r="49" spans="1:2">
      <c r="A49" t="str">
        <v>Sophia Sampaio</v>
      </c>
      <c r="B49">
        <v>695.01</v>
      </c>
    </row>
    <row r="50" spans="1:2">
      <c r="A50" t="str">
        <v>Manuella Guerra</v>
      </c>
      <c r="B50">
        <v>727.32</v>
      </c>
    </row>
    <row r="51" spans="1:2">
      <c r="A51" t="str">
        <v>Lorenzo Ferreira</v>
      </c>
      <c r="B51">
        <v>2563.5299999999997</v>
      </c>
    </row>
    <row r="52" spans="1:2">
      <c r="A52" t="str">
        <v>Dra. Pietra Moraes</v>
      </c>
      <c r="B52">
        <v>324.12</v>
      </c>
    </row>
    <row r="53" spans="1:2">
      <c r="A53" t="str">
        <v>Henry da Paz</v>
      </c>
      <c r="B53">
        <v>1520.34</v>
      </c>
    </row>
    <row r="54" spans="1:2">
      <c r="A54" t="str">
        <v>Maitê Nunes</v>
      </c>
      <c r="B54">
        <v>522.96</v>
      </c>
    </row>
    <row r="55" spans="1:2">
      <c r="A55" t="str">
        <v>Igor da Cruz</v>
      </c>
      <c r="B55">
        <v>1361.3799999999999</v>
      </c>
    </row>
    <row r="56" spans="1:2">
      <c r="A56" t="str">
        <v>Sra. Sophia Peixoto</v>
      </c>
      <c r="B56">
        <v>635.67999999999995</v>
      </c>
    </row>
    <row r="57" spans="1:2">
      <c r="A57" t="str">
        <v>Igor da Mota</v>
      </c>
      <c r="B57">
        <v>2023.27</v>
      </c>
    </row>
    <row r="58" spans="1:2">
      <c r="A58" t="str">
        <v>Luiz Gustavo Duarte</v>
      </c>
      <c r="B58">
        <v>1427.28</v>
      </c>
    </row>
    <row r="59" spans="1:2">
      <c r="A59" t="str">
        <v>Cecilia Barbosa</v>
      </c>
      <c r="B59">
        <v>823.47</v>
      </c>
    </row>
    <row r="60" spans="1:2">
      <c r="A60" t="str">
        <v>Pedro Lucas Siqueira</v>
      </c>
      <c r="B60">
        <v>273.72000000000003</v>
      </c>
    </row>
    <row r="61" spans="1:2">
      <c r="A61" t="str">
        <v>Aurora Macedo</v>
      </c>
      <c r="B61">
        <v>1256.73</v>
      </c>
    </row>
    <row r="62" spans="1:2">
      <c r="A62" t="str">
        <v>Isaac Cavalcanti</v>
      </c>
      <c r="B62">
        <v>1182.79</v>
      </c>
    </row>
    <row r="63" spans="1:2">
      <c r="A63" t="str">
        <v>João Gabriel Rodrigues</v>
      </c>
      <c r="B63">
        <v>803.03</v>
      </c>
    </row>
    <row r="64" spans="1:2">
      <c r="A64" t="str">
        <v>Dr. Gael Marques</v>
      </c>
      <c r="B64">
        <v>1847.6400000000003</v>
      </c>
    </row>
    <row r="65" spans="1:2">
      <c r="A65" t="str">
        <v>Mariah Nunes</v>
      </c>
      <c r="B65">
        <v>1262.45</v>
      </c>
    </row>
    <row r="66" spans="1:2">
      <c r="A66" t="str">
        <v>Ayla da Paz</v>
      </c>
      <c r="B66">
        <v>1065.76</v>
      </c>
    </row>
    <row r="67" spans="1:2">
      <c r="A67" t="str">
        <v>Diego da Rocha</v>
      </c>
      <c r="B67">
        <v>1442.37</v>
      </c>
    </row>
    <row r="68" spans="1:2">
      <c r="A68" t="str">
        <v>Ana Sophia Vasconcelos</v>
      </c>
      <c r="B68">
        <v>1812.87</v>
      </c>
    </row>
    <row r="69" spans="1:2">
      <c r="A69" t="str">
        <v>Leandro Fogaça</v>
      </c>
      <c r="B69">
        <v>609.17000000000007</v>
      </c>
    </row>
    <row r="70" spans="1:2">
      <c r="A70" t="str">
        <v>Milena da Mota</v>
      </c>
      <c r="B70">
        <v>1335.26</v>
      </c>
    </row>
    <row r="71" spans="1:2">
      <c r="A71" t="str">
        <v>Mariana Almeida</v>
      </c>
      <c r="B71">
        <v>92.62</v>
      </c>
    </row>
    <row r="72" spans="1:2">
      <c r="A72" t="str">
        <v>Isabelly Farias</v>
      </c>
      <c r="B72">
        <v>541.97</v>
      </c>
    </row>
    <row r="73" spans="1:2">
      <c r="A73" t="str">
        <v>Gael Pacheco</v>
      </c>
      <c r="B73">
        <v>1103.5999999999999</v>
      </c>
    </row>
    <row r="74" spans="1:2">
      <c r="A74" t="str">
        <v>Zoe Costela</v>
      </c>
      <c r="B74">
        <v>1674.77</v>
      </c>
    </row>
    <row r="75" spans="1:2">
      <c r="A75" t="str">
        <v>Daniela Freitas</v>
      </c>
      <c r="B75">
        <v>1098.2</v>
      </c>
    </row>
    <row r="76" spans="1:2">
      <c r="A76" t="str">
        <v>Srta. Isabelly Souza</v>
      </c>
      <c r="B76">
        <v>1102.93</v>
      </c>
    </row>
    <row r="77" spans="1:2">
      <c r="A77" t="str">
        <v>Daniel Vargas</v>
      </c>
      <c r="B77">
        <v>1485.29</v>
      </c>
    </row>
    <row r="78" spans="1:2">
      <c r="A78" t="str">
        <v>Vinicius Monteiro</v>
      </c>
      <c r="B78">
        <v>1577.57</v>
      </c>
    </row>
    <row r="79" spans="1:2">
      <c r="A79" t="str">
        <v>Noah Castro</v>
      </c>
      <c r="B79">
        <v>178.66</v>
      </c>
    </row>
    <row r="80" spans="1:2">
      <c r="A80" t="str">
        <v>Júlia das Neves</v>
      </c>
      <c r="B80">
        <v>1003.1800000000001</v>
      </c>
    </row>
    <row r="81" spans="1:2">
      <c r="A81" t="str">
        <v>Isadora Martins</v>
      </c>
      <c r="B81">
        <v>2200.77</v>
      </c>
    </row>
    <row r="82" spans="1:2">
      <c r="A82" t="str">
        <v>Diego das Neves</v>
      </c>
      <c r="B82">
        <v>970.73</v>
      </c>
    </row>
    <row r="83" spans="1:2">
      <c r="A83" t="str">
        <v>Henrique Monteiro</v>
      </c>
      <c r="B83">
        <v>1844.01</v>
      </c>
    </row>
    <row r="84" spans="1:2">
      <c r="A84" t="str">
        <v>Carlos Eduardo Melo</v>
      </c>
      <c r="B84">
        <v>2921.88</v>
      </c>
    </row>
    <row r="85" spans="1:2">
      <c r="A85" t="str">
        <v>Ana Clara Machado</v>
      </c>
      <c r="B85">
        <v>1876.8000000000002</v>
      </c>
    </row>
    <row r="86" spans="1:2">
      <c r="A86" t="str">
        <v>João Felipe Novais</v>
      </c>
      <c r="B86">
        <v>117.64</v>
      </c>
    </row>
    <row r="87" spans="1:2">
      <c r="A87" t="str">
        <v>Yago Fonseca</v>
      </c>
      <c r="B87">
        <v>1476.13</v>
      </c>
    </row>
    <row r="88" spans="1:2">
      <c r="A88" t="str">
        <v>Gabriel Costa</v>
      </c>
      <c r="B88">
        <v>569.64</v>
      </c>
    </row>
    <row r="89" spans="1:2">
      <c r="A89" t="str">
        <v>Sofia Garcia</v>
      </c>
      <c r="B89">
        <v>1094.8800000000001</v>
      </c>
    </row>
    <row r="90" spans="1:2">
      <c r="A90" t="str">
        <v>Ana Lívia Vasconcelos</v>
      </c>
      <c r="B90">
        <v>130.70999999999998</v>
      </c>
    </row>
    <row r="91" spans="1:2">
      <c r="A91" t="str">
        <v>Matheus Cassiano</v>
      </c>
      <c r="B91">
        <v>839.1</v>
      </c>
    </row>
    <row r="92" spans="1:2">
      <c r="A92" t="str">
        <v>Raquel Novais</v>
      </c>
      <c r="B92">
        <v>1042.8499999999999</v>
      </c>
    </row>
    <row r="93" spans="1:2">
      <c r="A93" t="str">
        <v>Luísa Rios</v>
      </c>
      <c r="B93">
        <v>966.28</v>
      </c>
    </row>
    <row r="94" spans="1:2">
      <c r="A94" t="str">
        <v>Davi Lucca Lopes</v>
      </c>
      <c r="B94">
        <v>1853.54</v>
      </c>
    </row>
    <row r="95" spans="1:2">
      <c r="A95" t="str">
        <v>Srta. Ester da Mata</v>
      </c>
      <c r="B95">
        <v>1053.48</v>
      </c>
    </row>
    <row r="96" spans="1:2">
      <c r="A96" t="str">
        <v>Emanuella da Luz</v>
      </c>
      <c r="B96">
        <v>1002.4300000000001</v>
      </c>
    </row>
    <row r="97" spans="1:2">
      <c r="A97" t="str">
        <v>Yago da Luz</v>
      </c>
      <c r="B97">
        <v>876.86000000000013</v>
      </c>
    </row>
    <row r="98" spans="1:2">
      <c r="A98" t="str">
        <v>Sr. Matheus Ribeiro</v>
      </c>
      <c r="B98">
        <v>221.16</v>
      </c>
    </row>
    <row r="99" spans="1:2">
      <c r="A99" t="str">
        <v>Maria Luísa da Cunha</v>
      </c>
      <c r="B99">
        <v>840.43000000000018</v>
      </c>
    </row>
    <row r="100" spans="1:2">
      <c r="A100" t="str">
        <v>Fernanda Cunha</v>
      </c>
      <c r="B100">
        <v>2338.3199999999997</v>
      </c>
    </row>
    <row r="101" spans="1:2">
      <c r="A101" t="str">
        <v>Sr. Lorenzo Barros</v>
      </c>
      <c r="B101">
        <v>1548.3799999999999</v>
      </c>
    </row>
    <row r="102" spans="1:2">
      <c r="A102" t="str">
        <v>Joaquim Andrade</v>
      </c>
      <c r="B102">
        <v>2664.78</v>
      </c>
    </row>
    <row r="103" spans="1:2">
      <c r="A103" t="str">
        <v>Sra. Maria Vitória Nunes</v>
      </c>
      <c r="B103">
        <v>566.04</v>
      </c>
    </row>
    <row r="104" spans="1:2">
      <c r="A104" t="str">
        <v>Aurora Teixeira</v>
      </c>
      <c r="B104">
        <v>1240.5500000000002</v>
      </c>
    </row>
    <row r="105" spans="1:2">
      <c r="A105" t="str">
        <v>Gabrielly Lopes</v>
      </c>
      <c r="B105">
        <v>861.95</v>
      </c>
    </row>
    <row r="106" spans="1:2">
      <c r="A106" t="str">
        <v>Diego Moraes</v>
      </c>
      <c r="B106">
        <v>2136.5100000000002</v>
      </c>
    </row>
    <row r="107" spans="1:2">
      <c r="A107" t="str">
        <v>Ravy Sampaio</v>
      </c>
      <c r="B107">
        <v>2001.5100000000002</v>
      </c>
    </row>
    <row r="108" spans="1:2">
      <c r="A108" t="str">
        <v>Maya Cirino</v>
      </c>
      <c r="B108">
        <v>1448.82</v>
      </c>
    </row>
    <row r="109" spans="1:2">
      <c r="A109" t="str">
        <v>Murilo Cassiano</v>
      </c>
      <c r="B109">
        <v>1155.6400000000001</v>
      </c>
    </row>
    <row r="110" spans="1:2">
      <c r="A110" t="str">
        <v>Ravi da Costa</v>
      </c>
      <c r="B110">
        <v>154.64999999999998</v>
      </c>
    </row>
    <row r="111" spans="1:2">
      <c r="A111" t="str">
        <v>Dom Oliveira</v>
      </c>
      <c r="B111">
        <v>3106.0200000000004</v>
      </c>
    </row>
    <row r="112" spans="1:2">
      <c r="A112" t="str">
        <v>Aurora Leão</v>
      </c>
      <c r="B112">
        <v>1603.04</v>
      </c>
    </row>
    <row r="113" spans="1:2">
      <c r="A113" t="str">
        <v>Allana Machado</v>
      </c>
      <c r="B113">
        <v>472.83</v>
      </c>
    </row>
    <row r="114" spans="1:2">
      <c r="A114" t="str">
        <v>Mathias Guerra</v>
      </c>
      <c r="B114">
        <v>938.00999999999988</v>
      </c>
    </row>
    <row r="115" spans="1:2">
      <c r="A115" t="str">
        <v>Luna Barros</v>
      </c>
      <c r="B115">
        <v>264.10000000000002</v>
      </c>
    </row>
    <row r="116" spans="1:2">
      <c r="A116" t="str">
        <v>Davi Gonçalves</v>
      </c>
      <c r="B116">
        <v>185.39000000000001</v>
      </c>
    </row>
    <row r="117" spans="1:2">
      <c r="A117" t="str">
        <v>Matheus Jesus</v>
      </c>
      <c r="B117">
        <v>35.229999999999997</v>
      </c>
    </row>
    <row r="118" spans="1:2">
      <c r="A118" t="str">
        <v>Ravi Lucca da Mota</v>
      </c>
      <c r="B118">
        <v>1342.9900000000002</v>
      </c>
    </row>
    <row r="119" spans="1:2">
      <c r="A119" t="str">
        <v>Maria Araújo</v>
      </c>
      <c r="B119">
        <v>147.87</v>
      </c>
    </row>
    <row r="120" spans="1:2">
      <c r="A120" t="str">
        <v>Dr. Marcelo Freitas</v>
      </c>
      <c r="B120">
        <v>593.91</v>
      </c>
    </row>
    <row r="121" spans="1:2">
      <c r="A121" t="str">
        <v>Srta. Stella Araújo</v>
      </c>
      <c r="B121">
        <v>2120.09</v>
      </c>
    </row>
    <row r="122" spans="1:2">
      <c r="A122" t="str">
        <v>Kevin Guerra</v>
      </c>
      <c r="B122">
        <v>999.0100000000001</v>
      </c>
    </row>
    <row r="123" spans="1:2">
      <c r="A123" t="str">
        <v>Ana Sophia Araújo</v>
      </c>
      <c r="B123">
        <v>1571.01</v>
      </c>
    </row>
    <row r="124" spans="1:2">
      <c r="A124" t="str">
        <v>Dra. Maria Clara da Rocha</v>
      </c>
      <c r="B124">
        <v>530.88</v>
      </c>
    </row>
    <row r="125" spans="1:2">
      <c r="A125" t="str">
        <v>Luara Aragão</v>
      </c>
      <c r="B125">
        <v>2675.68</v>
      </c>
    </row>
    <row r="126" spans="1:2">
      <c r="A126" t="str">
        <v>Eloah Nogueira</v>
      </c>
      <c r="B126">
        <v>119.62</v>
      </c>
    </row>
    <row r="127" spans="1:2">
      <c r="A127" t="str">
        <v>Leonardo Freitas</v>
      </c>
      <c r="B127">
        <v>1516.4299999999998</v>
      </c>
    </row>
    <row r="128" spans="1:2">
      <c r="A128" t="str">
        <v>Dr. Francisco Lopes</v>
      </c>
      <c r="B128">
        <v>262.31</v>
      </c>
    </row>
    <row r="129" spans="1:2">
      <c r="A129" t="str">
        <v>Benício Rezende</v>
      </c>
      <c r="B129">
        <v>1151.47</v>
      </c>
    </row>
    <row r="130" spans="1:2">
      <c r="A130" t="str">
        <v>Maria Alice Albuquerque</v>
      </c>
      <c r="B130">
        <v>667.25</v>
      </c>
    </row>
    <row r="131" spans="1:2">
      <c r="A131" t="str">
        <v>Sra. Lorena Moura</v>
      </c>
      <c r="B131">
        <v>503.26</v>
      </c>
    </row>
    <row r="132" spans="1:2">
      <c r="A132" t="str">
        <v>Otávio Freitas</v>
      </c>
      <c r="B132">
        <v>1176.19</v>
      </c>
    </row>
    <row r="133" spans="1:2">
      <c r="A133" t="str">
        <v>João Lucas Souza</v>
      </c>
      <c r="B133">
        <v>3049.8</v>
      </c>
    </row>
    <row r="134" spans="1:2">
      <c r="A134" t="str">
        <v>Kaique Nascimento</v>
      </c>
      <c r="B134">
        <v>1008.0600000000001</v>
      </c>
    </row>
    <row r="135" spans="1:2">
      <c r="A135" t="str">
        <v>Cauã da Mota</v>
      </c>
      <c r="B135">
        <v>594.80000000000007</v>
      </c>
    </row>
    <row r="136" spans="1:2">
      <c r="A136" t="str">
        <v>Mathias Costa</v>
      </c>
      <c r="B136">
        <v>1246.67</v>
      </c>
    </row>
    <row r="137" spans="1:2">
      <c r="A137" t="str">
        <v>Sara Martins</v>
      </c>
      <c r="B137">
        <v>444.42</v>
      </c>
    </row>
    <row r="138" spans="1:2">
      <c r="A138" t="str">
        <v>Dr. Marcelo Melo</v>
      </c>
      <c r="B138">
        <v>237.14</v>
      </c>
    </row>
    <row r="139" spans="1:2">
      <c r="A139" t="str">
        <v>Mathias Silveira</v>
      </c>
      <c r="B139">
        <v>1312.86</v>
      </c>
    </row>
    <row r="140" spans="1:2">
      <c r="A140" t="str">
        <v>Clarice Castro</v>
      </c>
      <c r="B140">
        <v>1116.8599999999999</v>
      </c>
    </row>
    <row r="141" spans="1:2">
      <c r="A141" t="str">
        <v>Cecilia Sousa</v>
      </c>
      <c r="B141">
        <v>2095.37</v>
      </c>
    </row>
    <row r="142" spans="1:2">
      <c r="A142" t="str">
        <v>Felipe Pinto</v>
      </c>
      <c r="B142">
        <v>1118.79</v>
      </c>
    </row>
    <row r="143" spans="1:2">
      <c r="A143" t="str">
        <v>Bella Sampaio</v>
      </c>
      <c r="B143">
        <v>438.1</v>
      </c>
    </row>
    <row r="144" spans="1:2">
      <c r="A144" t="str">
        <v>Théo Pastor</v>
      </c>
      <c r="B144">
        <v>383.59000000000003</v>
      </c>
    </row>
    <row r="145" spans="1:2">
      <c r="A145" t="str">
        <v>Bento Campos</v>
      </c>
      <c r="B145">
        <v>975.54</v>
      </c>
    </row>
    <row r="146" spans="1:2">
      <c r="A146" t="str">
        <v>Srta. Eloá Nascimento</v>
      </c>
      <c r="B146">
        <v>1470.7199999999998</v>
      </c>
    </row>
    <row r="147" spans="1:2">
      <c r="A147" t="str">
        <v>Dr. Gael Henrique Montenegro</v>
      </c>
      <c r="B147">
        <v>1468.3999999999999</v>
      </c>
    </row>
    <row r="148" spans="1:2">
      <c r="A148" t="str">
        <v>Léo da Rosa</v>
      </c>
      <c r="B148">
        <v>833.37</v>
      </c>
    </row>
    <row r="149" spans="1:2">
      <c r="A149" t="str">
        <v>Esther Ramos</v>
      </c>
      <c r="B149">
        <v>2305.91</v>
      </c>
    </row>
    <row r="150" spans="1:2">
      <c r="A150" t="str">
        <v>Calebe Moreira</v>
      </c>
      <c r="B150">
        <v>3180.7999999999997</v>
      </c>
    </row>
    <row r="151" spans="1:2">
      <c r="A151" t="str">
        <v>Bryan Azevedo</v>
      </c>
      <c r="B151">
        <v>1154.69</v>
      </c>
    </row>
    <row r="152" spans="1:2">
      <c r="A152" t="str">
        <v>Kaique Cassiano</v>
      </c>
      <c r="B152">
        <v>537.81999999999994</v>
      </c>
    </row>
    <row r="153" spans="1:2">
      <c r="A153" t="str">
        <v>Dr. Murilo Casa Grande</v>
      </c>
      <c r="B153">
        <v>533.71</v>
      </c>
    </row>
    <row r="154" spans="1:2">
      <c r="A154" t="str">
        <v>Thales Cunha</v>
      </c>
      <c r="B154">
        <v>544.62</v>
      </c>
    </row>
    <row r="155" spans="1:2">
      <c r="A155" t="str">
        <v>João Miguel Cunha</v>
      </c>
      <c r="B155">
        <v>2088.33</v>
      </c>
    </row>
    <row r="156" spans="1:2">
      <c r="A156" t="str">
        <v>Bruna Sales</v>
      </c>
      <c r="B156">
        <v>1379.22</v>
      </c>
    </row>
    <row r="157" spans="1:2">
      <c r="A157" t="str">
        <v>Erick Fonseca</v>
      </c>
      <c r="B157">
        <v>1372.82</v>
      </c>
    </row>
    <row r="158" spans="1:2">
      <c r="A158" t="str">
        <v>Maria Laura Mendonça</v>
      </c>
      <c r="B158">
        <v>396.19</v>
      </c>
    </row>
    <row r="159" spans="1:2">
      <c r="A159" t="str">
        <v>Dra. Isabel Cavalcanti</v>
      </c>
      <c r="B159">
        <v>864.08</v>
      </c>
    </row>
    <row r="160" spans="1:2">
      <c r="A160" t="str">
        <v>Alice Ramos</v>
      </c>
      <c r="B160">
        <v>1926.04</v>
      </c>
    </row>
    <row r="161" spans="1:2">
      <c r="A161" t="str">
        <v>Ana Clara da Conceição</v>
      </c>
      <c r="B161">
        <v>1600.19</v>
      </c>
    </row>
    <row r="162" spans="1:2">
      <c r="A162" t="str">
        <v>Letícia Albuquerque</v>
      </c>
      <c r="B162">
        <v>1341.8600000000001</v>
      </c>
    </row>
    <row r="163" spans="1:2">
      <c r="A163" t="str">
        <v>Isabela Oliveira</v>
      </c>
      <c r="B163">
        <v>2288.59</v>
      </c>
    </row>
    <row r="164" spans="1:2">
      <c r="A164" t="str">
        <v>Camila da Mata</v>
      </c>
      <c r="B164">
        <v>1165.42</v>
      </c>
    </row>
    <row r="165" spans="1:2">
      <c r="A165" t="str">
        <v>Sr. Fernando Mendonça</v>
      </c>
      <c r="B165">
        <v>1313.81</v>
      </c>
    </row>
    <row r="166" spans="1:2">
      <c r="A166" t="str">
        <v>Melissa Costa</v>
      </c>
      <c r="B166">
        <v>942.16000000000008</v>
      </c>
    </row>
    <row r="167" spans="1:2">
      <c r="A167" t="str">
        <v>Ana Laura Ramos</v>
      </c>
      <c r="B167">
        <v>213.69</v>
      </c>
    </row>
    <row r="168" spans="1:2">
      <c r="A168" t="str">
        <v>Apollo Lima</v>
      </c>
      <c r="B168">
        <v>226.39</v>
      </c>
    </row>
    <row r="169" spans="1:2">
      <c r="A169" t="str">
        <v>Luana Cardoso</v>
      </c>
      <c r="B169">
        <v>771.61</v>
      </c>
    </row>
    <row r="170" spans="1:2">
      <c r="A170" t="str">
        <v>Marcela Cassiano</v>
      </c>
      <c r="B170">
        <v>257.06</v>
      </c>
    </row>
    <row r="171" spans="1:2">
      <c r="A171" t="str">
        <v>Murilo Silva</v>
      </c>
      <c r="B171">
        <v>434.72</v>
      </c>
    </row>
    <row r="172" spans="1:2">
      <c r="A172" t="str">
        <v>Gael Pereira</v>
      </c>
      <c r="B172">
        <v>1507.6799999999998</v>
      </c>
    </row>
    <row r="173" spans="1:2">
      <c r="A173" t="str">
        <v>Manuela Aragão</v>
      </c>
      <c r="B173">
        <v>776.32</v>
      </c>
    </row>
    <row r="174" spans="1:2">
      <c r="A174" t="str">
        <v>João Felipe Gomes</v>
      </c>
      <c r="B174">
        <v>1809.21</v>
      </c>
    </row>
    <row r="175" spans="1:2">
      <c r="A175" t="str">
        <v>Srta. Larissa Rios</v>
      </c>
      <c r="B175">
        <v>566.66000000000008</v>
      </c>
    </row>
    <row r="176" spans="1:2">
      <c r="A176" t="str">
        <v>Ana Lívia Ferreira</v>
      </c>
      <c r="B176">
        <v>917</v>
      </c>
    </row>
    <row r="177" spans="1:2">
      <c r="A177" t="str">
        <v>Carlos Eduardo Moura</v>
      </c>
      <c r="B177">
        <v>5.15</v>
      </c>
    </row>
    <row r="178" spans="1:2">
      <c r="A178" t="str">
        <v>Maria Helena Camargo</v>
      </c>
      <c r="B178">
        <v>1010.91</v>
      </c>
    </row>
    <row r="179" spans="1:2">
      <c r="A179" t="str">
        <v>Benjamim Azevedo</v>
      </c>
      <c r="B179">
        <v>467.35999999999996</v>
      </c>
    </row>
    <row r="180" spans="1:2">
      <c r="A180" t="str">
        <v>Dr. Antônio Lima</v>
      </c>
      <c r="B180">
        <v>980.40000000000009</v>
      </c>
    </row>
    <row r="181" spans="1:2">
      <c r="A181" t="str">
        <v>Dr. Mathias Araújo</v>
      </c>
      <c r="B181">
        <v>2267.87</v>
      </c>
    </row>
    <row r="182" spans="1:2">
      <c r="A182" t="str">
        <v>Maria Júlia Andrade</v>
      </c>
      <c r="B182">
        <v>25.25</v>
      </c>
    </row>
    <row r="183" spans="1:2">
      <c r="A183" t="str">
        <v>Eloá Rodrigues</v>
      </c>
      <c r="B183">
        <v>93.66</v>
      </c>
    </row>
    <row r="184" spans="1:2">
      <c r="A184" t="str">
        <v>Bruno Moraes</v>
      </c>
      <c r="B184">
        <v>1175.49</v>
      </c>
    </row>
    <row r="185" spans="1:2">
      <c r="A185" t="str">
        <v>Sra. Bruna das Neves</v>
      </c>
      <c r="B185">
        <v>807.7600000000001</v>
      </c>
    </row>
    <row r="186" spans="1:2">
      <c r="A186" t="str">
        <v>Milena Azevedo</v>
      </c>
      <c r="B186">
        <v>1345.87</v>
      </c>
    </row>
    <row r="187" spans="1:2">
      <c r="A187" t="str">
        <v>Ravi Martins</v>
      </c>
      <c r="B187">
        <v>2468.81</v>
      </c>
    </row>
    <row r="188" spans="1:2">
      <c r="A188" t="str">
        <v>Rafaela Moura</v>
      </c>
      <c r="B188">
        <v>429.69</v>
      </c>
    </row>
    <row r="189" spans="1:2">
      <c r="A189" t="str">
        <v>Maria Abreu</v>
      </c>
      <c r="B189">
        <v>2495.81</v>
      </c>
    </row>
    <row r="190" spans="1:2">
      <c r="A190" t="str">
        <v>Mateus Nunes</v>
      </c>
      <c r="B190">
        <v>113.14999999999999</v>
      </c>
    </row>
    <row r="191" spans="1:2">
      <c r="A191" t="str">
        <v>Luiz Miguel Ribeiro</v>
      </c>
      <c r="B191">
        <v>2096.86</v>
      </c>
    </row>
    <row r="192" spans="1:2">
      <c r="A192" t="str">
        <v>Dom Costa</v>
      </c>
      <c r="B192">
        <v>1007.56</v>
      </c>
    </row>
    <row r="193" spans="1:2">
      <c r="A193" t="str">
        <v>Valentim Leão</v>
      </c>
      <c r="B193">
        <v>1115.79</v>
      </c>
    </row>
    <row r="194" spans="1:2">
      <c r="A194" t="str">
        <v>Brayan Almeida</v>
      </c>
      <c r="B194">
        <v>1443.44</v>
      </c>
    </row>
    <row r="195" spans="1:2">
      <c r="A195" t="str">
        <v>Joaquim Caldeira</v>
      </c>
      <c r="B195">
        <v>1065.6799999999998</v>
      </c>
    </row>
    <row r="196" spans="1:2">
      <c r="A196" t="str">
        <v>Marcos Vinicius Jesus</v>
      </c>
      <c r="B196">
        <v>800.06999999999994</v>
      </c>
    </row>
    <row r="197" spans="1:2">
      <c r="A197" t="str">
        <v>Luiz Henrique da Mata</v>
      </c>
      <c r="B197">
        <v>972.73</v>
      </c>
    </row>
    <row r="198" spans="1:2">
      <c r="A198" t="str">
        <v>Kamilly Sousa</v>
      </c>
      <c r="B198">
        <v>582.11</v>
      </c>
    </row>
    <row r="199" spans="1:2">
      <c r="A199" t="str">
        <v>Théo Camargo</v>
      </c>
      <c r="B199">
        <v>772.95</v>
      </c>
    </row>
    <row r="200" spans="1:2">
      <c r="A200" t="str">
        <v>Sr. Diego Rezende</v>
      </c>
      <c r="B200">
        <v>3136.5899999999997</v>
      </c>
    </row>
    <row r="201" spans="1:2">
      <c r="A201" t="str">
        <v>Isabelly Santos</v>
      </c>
      <c r="B201">
        <v>3222.48</v>
      </c>
    </row>
    <row r="202" spans="1:2">
      <c r="A202" t="str">
        <v>Caroline Pacheco</v>
      </c>
      <c r="B202">
        <v>2095.58</v>
      </c>
    </row>
    <row r="203" spans="1:2">
      <c r="A203" t="str">
        <v>Dr. Kevin Pacheco</v>
      </c>
      <c r="B203">
        <v>2458.0500000000002</v>
      </c>
    </row>
    <row r="204" spans="1:2">
      <c r="A204" t="str">
        <v>Yago Montenegro</v>
      </c>
      <c r="B204">
        <v>2243.66</v>
      </c>
    </row>
    <row r="205" spans="1:2">
      <c r="A205" t="str">
        <v>Paulo Rezende</v>
      </c>
      <c r="B205">
        <v>349.54</v>
      </c>
    </row>
    <row r="206" spans="1:2">
      <c r="A206" t="str">
        <v>Lavínia Caldeira</v>
      </c>
      <c r="B206">
        <v>2123.59</v>
      </c>
    </row>
    <row r="207" spans="1:2">
      <c r="A207" t="str">
        <v>Vitor Aragão</v>
      </c>
      <c r="B207">
        <v>1033.6399999999999</v>
      </c>
    </row>
    <row r="208" spans="1:2">
      <c r="A208" t="str">
        <v>Luna da Mota</v>
      </c>
      <c r="B208">
        <v>846.3599999999999</v>
      </c>
    </row>
    <row r="209" spans="1:2">
      <c r="A209" t="str">
        <v>Otto Rocha</v>
      </c>
      <c r="B209">
        <v>428.52</v>
      </c>
    </row>
    <row r="210" spans="1:2">
      <c r="A210" t="str">
        <v>Leandro Jesus</v>
      </c>
      <c r="B210">
        <v>2289.5500000000002</v>
      </c>
    </row>
    <row r="211" spans="1:2">
      <c r="A211" t="str">
        <v>Cauã da Cunha</v>
      </c>
      <c r="B211">
        <v>1331.39</v>
      </c>
    </row>
    <row r="212" spans="1:2">
      <c r="A212" t="str">
        <v>Ana Julia da Mata</v>
      </c>
      <c r="B212">
        <v>465.68</v>
      </c>
    </row>
    <row r="213" spans="1:2">
      <c r="A213" t="str">
        <v>Vinicius Cirino</v>
      </c>
      <c r="B213">
        <v>2608.8900000000003</v>
      </c>
    </row>
    <row r="214" spans="1:2">
      <c r="A214" t="str">
        <v>Sr. Vitor Hugo Costa</v>
      </c>
      <c r="B214">
        <v>669.92</v>
      </c>
    </row>
    <row r="215" spans="1:2">
      <c r="A215" t="str">
        <v>Sra. Carolina Brito</v>
      </c>
      <c r="B215">
        <v>934.9</v>
      </c>
    </row>
    <row r="216" spans="1:2">
      <c r="A216" t="str">
        <v>Maria Luísa Oliveira</v>
      </c>
      <c r="B216">
        <v>1062.8699999999999</v>
      </c>
    </row>
    <row r="217" spans="1:2">
      <c r="A217" t="str">
        <v>Dra. Laís Andrade</v>
      </c>
      <c r="B217">
        <v>2378.3200000000002</v>
      </c>
    </row>
    <row r="218" spans="1:2">
      <c r="A218" t="str">
        <v>Marcela Peixoto</v>
      </c>
      <c r="B218">
        <v>1197.1500000000001</v>
      </c>
    </row>
    <row r="219" spans="1:2">
      <c r="A219" t="str">
        <v>Arthur Miguel Dias</v>
      </c>
      <c r="B219">
        <v>1649.9299999999998</v>
      </c>
    </row>
    <row r="220" spans="1:2">
      <c r="A220" t="str">
        <v>Helena Barbosa</v>
      </c>
      <c r="B220">
        <v>1788.98</v>
      </c>
    </row>
    <row r="221" spans="1:2">
      <c r="A221" t="str">
        <v>Thomas Câmara</v>
      </c>
      <c r="B221">
        <v>973.79000000000008</v>
      </c>
    </row>
    <row r="222" spans="1:2">
      <c r="A222" t="str">
        <v>Davi Lucas Barros</v>
      </c>
      <c r="B222">
        <v>1469.16</v>
      </c>
    </row>
    <row r="223" spans="1:2">
      <c r="A223" t="str">
        <v>Ana Beatriz Araújo</v>
      </c>
      <c r="B223">
        <v>25.66</v>
      </c>
    </row>
    <row r="224" spans="1:2">
      <c r="A224" t="str">
        <v>João Vitor Pereira</v>
      </c>
      <c r="B224">
        <v>2289.7599999999998</v>
      </c>
    </row>
    <row r="225" spans="1:2">
      <c r="A225" t="str">
        <v>Srta. Heloísa da Cruz</v>
      </c>
      <c r="B225">
        <v>668.24999999999989</v>
      </c>
    </row>
    <row r="226" spans="1:2">
      <c r="A226" t="str">
        <v>Caroline da Rosa</v>
      </c>
      <c r="B226">
        <v>686.22</v>
      </c>
    </row>
    <row r="227" spans="1:2">
      <c r="A227" t="str">
        <v>Sr. Dante da Mota</v>
      </c>
      <c r="B227">
        <v>1852.92</v>
      </c>
    </row>
    <row r="228" spans="1:2">
      <c r="A228" t="str">
        <v>Ísis da Mota</v>
      </c>
      <c r="B228">
        <v>1041.24</v>
      </c>
    </row>
    <row r="229" spans="1:2">
      <c r="A229" t="str">
        <v>José Miguel Oliveira</v>
      </c>
      <c r="B229">
        <v>2129.52</v>
      </c>
    </row>
    <row r="230" spans="1:2">
      <c r="A230" t="str">
        <v>Dr. Vitor Lopes</v>
      </c>
      <c r="B230">
        <v>1716.19</v>
      </c>
    </row>
    <row r="231" spans="1:2">
      <c r="A231" t="str">
        <v>Aurora Melo</v>
      </c>
      <c r="B231">
        <v>1774.31</v>
      </c>
    </row>
    <row r="232" spans="1:2">
      <c r="A232" t="str">
        <v>Eloah Leão</v>
      </c>
      <c r="B232">
        <v>1017.72</v>
      </c>
    </row>
    <row r="233" spans="1:2">
      <c r="A233" t="str">
        <v>Mariah Costela</v>
      </c>
      <c r="B233">
        <v>1513.19</v>
      </c>
    </row>
    <row r="234" spans="1:2">
      <c r="A234" t="str">
        <v>Ana Cecília Souza</v>
      </c>
      <c r="B234">
        <v>2557.59</v>
      </c>
    </row>
    <row r="235" spans="1:2">
      <c r="A235" t="str">
        <v>João Rios</v>
      </c>
      <c r="B235">
        <v>762.61</v>
      </c>
    </row>
    <row r="236" spans="1:2">
      <c r="A236" t="str">
        <v>Evelyn Gomes</v>
      </c>
      <c r="B236">
        <v>461.08</v>
      </c>
    </row>
    <row r="237" spans="1:2">
      <c r="A237" t="str">
        <v>Asafe da Rocha</v>
      </c>
      <c r="B237">
        <v>96.31</v>
      </c>
    </row>
    <row r="238" spans="1:2">
      <c r="A238" t="str">
        <v>Laís Borges</v>
      </c>
      <c r="B238">
        <v>90.25</v>
      </c>
    </row>
    <row r="239" spans="1:2">
      <c r="A239" t="str">
        <v>Sr. Benjamim Caldeira</v>
      </c>
      <c r="B239">
        <v>51.42</v>
      </c>
    </row>
    <row r="240" spans="1:2">
      <c r="A240" t="str">
        <v>Bianca Andrade</v>
      </c>
      <c r="B240">
        <v>2263.8100000000004</v>
      </c>
    </row>
    <row r="241" spans="1:2">
      <c r="A241" t="str">
        <v>José Miguel da Cunha</v>
      </c>
      <c r="B241">
        <v>413.14</v>
      </c>
    </row>
    <row r="242" spans="1:2">
      <c r="A242" t="str">
        <v>Maria Alice Viana</v>
      </c>
      <c r="B242">
        <v>549.65000000000009</v>
      </c>
    </row>
    <row r="243" spans="1:2">
      <c r="A243" t="str">
        <v>Hadassa Rocha</v>
      </c>
      <c r="B243">
        <v>438.35</v>
      </c>
    </row>
    <row r="244" spans="1:2">
      <c r="A244" t="str">
        <v>João Pedro Barbosa</v>
      </c>
      <c r="B244">
        <v>1868.3899999999999</v>
      </c>
    </row>
    <row r="245" spans="1:2">
      <c r="A245" t="str">
        <v>Paulo Duarte</v>
      </c>
      <c r="B245">
        <v>1552.5900000000001</v>
      </c>
    </row>
    <row r="246" spans="1:2">
      <c r="A246" t="str">
        <v>Cauê Garcia</v>
      </c>
      <c r="B246">
        <v>877.04</v>
      </c>
    </row>
    <row r="247" spans="1:2">
      <c r="A247" t="str">
        <v>Carlos Eduardo Nascimento</v>
      </c>
      <c r="B247">
        <v>1995.0900000000001</v>
      </c>
    </row>
    <row r="248" spans="1:2">
      <c r="A248" t="str">
        <v>Rodrigo da Rocha</v>
      </c>
      <c r="B248">
        <v>2361.6400000000003</v>
      </c>
    </row>
    <row r="249" spans="1:2">
      <c r="A249" t="str">
        <v>Ana Oliveira</v>
      </c>
      <c r="B249">
        <v>2308.4300000000003</v>
      </c>
    </row>
    <row r="250" spans="1:2">
      <c r="A250" t="str">
        <v>Theo Cavalcanti</v>
      </c>
      <c r="B250">
        <v>2188.71</v>
      </c>
    </row>
    <row r="251" spans="1:2">
      <c r="A251" t="str">
        <v>Vitor Hugo Azevedo</v>
      </c>
      <c r="B251">
        <v>2171.0300000000002</v>
      </c>
    </row>
    <row r="252" spans="1:2">
      <c r="A252" t="str">
        <v>Srta. Maria Luísa Barros</v>
      </c>
      <c r="B252">
        <v>224.2</v>
      </c>
    </row>
    <row r="253" spans="1:2">
      <c r="A253" t="str">
        <v>Benjamin Nascimento</v>
      </c>
      <c r="B253">
        <v>3772.97</v>
      </c>
    </row>
    <row r="254" spans="1:2">
      <c r="A254" t="str">
        <v>Davi Nunes</v>
      </c>
      <c r="B254">
        <v>1912.6499999999999</v>
      </c>
    </row>
    <row r="255" spans="1:2">
      <c r="A255" t="str">
        <v>Dr. Bernardo da Cunha</v>
      </c>
      <c r="B255">
        <v>3544.5699999999997</v>
      </c>
    </row>
    <row r="256" spans="1:2">
      <c r="A256" t="str">
        <v>Sr. Enzo Moraes</v>
      </c>
      <c r="B256">
        <v>448.50000000000006</v>
      </c>
    </row>
    <row r="257" spans="1:2">
      <c r="A257" t="str">
        <v>Stephany Vargas</v>
      </c>
      <c r="B257">
        <v>614.38</v>
      </c>
    </row>
    <row r="258" spans="1:2">
      <c r="A258" t="str">
        <v>Manuela Castro</v>
      </c>
      <c r="B258">
        <v>1005.8299999999999</v>
      </c>
    </row>
    <row r="259" spans="1:2">
      <c r="A259" t="str">
        <v>João Lucas Brito</v>
      </c>
      <c r="B259">
        <v>966.87</v>
      </c>
    </row>
    <row r="260" spans="1:2">
      <c r="A260" t="str">
        <v>Luan Barros</v>
      </c>
      <c r="B260">
        <v>152.72999999999999</v>
      </c>
    </row>
    <row r="261" spans="1:2">
      <c r="A261" t="str">
        <v>Apollo Aparecida</v>
      </c>
      <c r="B261">
        <v>1417.93</v>
      </c>
    </row>
    <row r="262" spans="1:2">
      <c r="A262" t="str">
        <v>Theo Aparecida</v>
      </c>
      <c r="B262">
        <v>1429.88</v>
      </c>
    </row>
    <row r="263" spans="1:2">
      <c r="A263" t="str">
        <v>Bruna Cassiano</v>
      </c>
      <c r="B263">
        <v>1015.2900000000001</v>
      </c>
    </row>
    <row r="264" spans="1:2">
      <c r="A264" t="str">
        <v>Maria Júlia Casa Grande</v>
      </c>
      <c r="B264">
        <v>790.51</v>
      </c>
    </row>
    <row r="265" spans="1:2">
      <c r="A265" t="str">
        <v>Raquel Sousa</v>
      </c>
      <c r="B265">
        <v>2667.8900000000003</v>
      </c>
    </row>
    <row r="266" spans="1:2">
      <c r="A266" t="str">
        <v>Oliver da Rocha</v>
      </c>
      <c r="B266">
        <v>586.88000000000011</v>
      </c>
    </row>
    <row r="267" spans="1:2">
      <c r="A267" t="str">
        <v>Sr. Ian Guerra</v>
      </c>
      <c r="B267">
        <v>1449.4</v>
      </c>
    </row>
    <row r="268" spans="1:2">
      <c r="A268" t="str">
        <v>Sr. Asafe Aragão</v>
      </c>
      <c r="B268">
        <v>290.30999999999995</v>
      </c>
    </row>
    <row r="269" spans="1:2">
      <c r="A269" t="str">
        <v>Ayla Castro</v>
      </c>
      <c r="B269">
        <v>229.18</v>
      </c>
    </row>
    <row r="270" spans="1:2">
      <c r="A270" t="str">
        <v>Liz Moraes</v>
      </c>
      <c r="B270">
        <v>1555.81</v>
      </c>
    </row>
    <row r="271" spans="1:2">
      <c r="A271" t="str">
        <v>Bruno Vieira</v>
      </c>
      <c r="B271">
        <v>1055.47</v>
      </c>
    </row>
    <row r="272" spans="1:2">
      <c r="A272" t="str">
        <v>Ester Porto</v>
      </c>
      <c r="B272">
        <v>1933.03</v>
      </c>
    </row>
    <row r="273" spans="1:2">
      <c r="A273" t="str">
        <v>Paulo Rodrigues</v>
      </c>
      <c r="B273">
        <v>1229.04</v>
      </c>
    </row>
    <row r="274" spans="1:2">
      <c r="A274" t="str">
        <v>Diego Fernandes</v>
      </c>
      <c r="B274">
        <v>2519.67</v>
      </c>
    </row>
    <row r="275" spans="1:2">
      <c r="A275" t="str">
        <v>Leandro Pires</v>
      </c>
      <c r="B275">
        <v>974.74</v>
      </c>
    </row>
    <row r="276" spans="1:2">
      <c r="A276" t="str">
        <v>Sra. Maria da Rosa</v>
      </c>
      <c r="B276">
        <v>3474.29</v>
      </c>
    </row>
    <row r="277" spans="1:2">
      <c r="A277" t="str">
        <v>Letícia Fernandes</v>
      </c>
      <c r="B277">
        <v>805.06999999999994</v>
      </c>
    </row>
    <row r="278" spans="1:2">
      <c r="A278" t="str">
        <v>Henry Vieira</v>
      </c>
      <c r="B278">
        <v>73.5</v>
      </c>
    </row>
    <row r="279" spans="1:2">
      <c r="A279" t="str">
        <v>Eloah Caldeira</v>
      </c>
      <c r="B279">
        <v>341.57</v>
      </c>
    </row>
    <row r="280" spans="1:2">
      <c r="A280" t="str">
        <v>Natália Fonseca</v>
      </c>
      <c r="B280">
        <v>113.08</v>
      </c>
    </row>
    <row r="281" spans="1:2">
      <c r="A281" t="str">
        <v>Heloísa Cassiano</v>
      </c>
      <c r="B281">
        <v>1902.57</v>
      </c>
    </row>
    <row r="282" spans="1:2">
      <c r="A282" t="str">
        <v>Ravy Aragão</v>
      </c>
      <c r="B282">
        <v>1222.7</v>
      </c>
    </row>
    <row r="283" spans="1:2">
      <c r="A283" t="str">
        <v>Sr. Thomas Vasconcelos</v>
      </c>
      <c r="B283">
        <v>560.16</v>
      </c>
    </row>
    <row r="284" spans="1:2">
      <c r="A284" t="str">
        <v>Maria Isis Mendonça</v>
      </c>
      <c r="B284">
        <v>1017.72</v>
      </c>
    </row>
    <row r="285" spans="1:2">
      <c r="A285" t="str">
        <v>Kevin Souza</v>
      </c>
      <c r="B285">
        <v>42.36</v>
      </c>
    </row>
    <row r="286" spans="1:2">
      <c r="A286" t="str">
        <v>Ester Vasconcelos</v>
      </c>
      <c r="B286">
        <v>1323.57</v>
      </c>
    </row>
    <row r="287" spans="1:2">
      <c r="A287" t="str">
        <v>Sra. Heloisa Gomes</v>
      </c>
      <c r="B287">
        <v>1603.2199999999998</v>
      </c>
    </row>
    <row r="288" spans="1:2">
      <c r="A288" t="str">
        <v>Luiza Rezende</v>
      </c>
      <c r="B288">
        <v>379.72</v>
      </c>
    </row>
    <row r="289" spans="1:2">
      <c r="A289" t="str">
        <v>Davi Silva</v>
      </c>
      <c r="B289">
        <v>1055.71</v>
      </c>
    </row>
    <row r="290" spans="1:2">
      <c r="A290" t="str">
        <v>Heloísa Rezende</v>
      </c>
      <c r="B290">
        <v>601.6099999999999</v>
      </c>
    </row>
    <row r="291" spans="1:2">
      <c r="A291" t="str">
        <v>Juan Mendonça</v>
      </c>
      <c r="B291">
        <v>1317.4799999999998</v>
      </c>
    </row>
    <row r="292" spans="1:2">
      <c r="A292" t="str">
        <v>Mariana Barros</v>
      </c>
      <c r="B292">
        <v>651.78000000000009</v>
      </c>
    </row>
    <row r="293" spans="1:2">
      <c r="A293" t="str">
        <v>Srta. Esther da Conceição</v>
      </c>
      <c r="B293">
        <v>1776.0199999999998</v>
      </c>
    </row>
    <row r="294" spans="1:2">
      <c r="A294" t="str">
        <v>Enzo Silva</v>
      </c>
      <c r="B294">
        <v>442.1</v>
      </c>
    </row>
    <row r="295" spans="1:2">
      <c r="A295" t="str">
        <v>Sr. Luiz Gustavo Jesus</v>
      </c>
      <c r="B295">
        <v>480.08</v>
      </c>
    </row>
    <row r="296" spans="1:2">
      <c r="A296" t="str">
        <v>Srta. Júlia Cassiano</v>
      </c>
      <c r="B296">
        <v>411.66</v>
      </c>
    </row>
    <row r="297" spans="1:2">
      <c r="A297" t="str">
        <v>Giovanna Duarte</v>
      </c>
      <c r="B297">
        <v>284.43</v>
      </c>
    </row>
    <row r="298" spans="1:2">
      <c r="A298" t="str">
        <v>Sr. João Vitor Sá</v>
      </c>
      <c r="B298">
        <v>868.05000000000007</v>
      </c>
    </row>
    <row r="299" spans="1:2">
      <c r="A299" t="str">
        <v>Valentim da Luz</v>
      </c>
      <c r="B299">
        <v>1372.95</v>
      </c>
    </row>
    <row r="300" spans="1:2">
      <c r="A300" t="str">
        <v>Dr. Arthur Miguel Machado</v>
      </c>
      <c r="B300">
        <v>357.94</v>
      </c>
    </row>
    <row r="301" spans="1:2">
      <c r="A301" t="str">
        <v>Antony Garcia</v>
      </c>
      <c r="B301">
        <v>3062.8100000000004</v>
      </c>
    </row>
    <row r="302" spans="1:2">
      <c r="A302" t="str">
        <v>Levi Cardoso</v>
      </c>
      <c r="B302">
        <v>2081.9700000000003</v>
      </c>
    </row>
    <row r="303" spans="1:2">
      <c r="A303" t="str">
        <v>Arthur Miguel Cunha</v>
      </c>
      <c r="B303">
        <v>3023.4700000000003</v>
      </c>
    </row>
    <row r="304" spans="1:2">
      <c r="A304" t="str">
        <v>Dra. Luiza Fogaça</v>
      </c>
      <c r="B304">
        <v>760.19</v>
      </c>
    </row>
    <row r="305" spans="1:2">
      <c r="A305" t="str">
        <v>Gael Ramos</v>
      </c>
      <c r="B305">
        <v>1553.76</v>
      </c>
    </row>
    <row r="306" spans="1:2">
      <c r="A306" t="str">
        <v>Emanuel Nogueira</v>
      </c>
      <c r="B306">
        <v>209.32000000000002</v>
      </c>
    </row>
    <row r="307" spans="1:2">
      <c r="A307" t="str">
        <v>Maria Fonseca</v>
      </c>
      <c r="B307">
        <v>1826.11</v>
      </c>
    </row>
    <row r="308" spans="1:2">
      <c r="A308" t="str">
        <v>Sra. Cecília Gonçalves</v>
      </c>
      <c r="B308">
        <v>684.49</v>
      </c>
    </row>
    <row r="309" spans="1:2">
      <c r="A309" t="str">
        <v>João Miguel Pereira</v>
      </c>
      <c r="B309">
        <v>1370.62</v>
      </c>
    </row>
    <row r="310" spans="1:2">
      <c r="A310" t="str">
        <v>Ravi Lucca Pastor</v>
      </c>
      <c r="B310">
        <v>1587.1200000000001</v>
      </c>
    </row>
    <row r="311" spans="1:2">
      <c r="A311" t="str">
        <v>Eduardo Vasconcelos</v>
      </c>
      <c r="B311">
        <v>1084.1599999999999</v>
      </c>
    </row>
    <row r="312" spans="1:2">
      <c r="A312" t="str">
        <v>Joana Sales</v>
      </c>
      <c r="B312">
        <v>795.75</v>
      </c>
    </row>
    <row r="313" spans="1:2">
      <c r="A313" t="str">
        <v>Manuella Cirino</v>
      </c>
      <c r="B313">
        <v>1323.3600000000001</v>
      </c>
    </row>
    <row r="314" spans="1:2">
      <c r="A314" t="str">
        <v>Sr. Nathan Mendonça</v>
      </c>
      <c r="B314">
        <v>1627.2000000000003</v>
      </c>
    </row>
    <row r="315" spans="1:2">
      <c r="A315" t="str">
        <v>Sra. Isabela Machado</v>
      </c>
      <c r="B315">
        <v>536.88000000000011</v>
      </c>
    </row>
    <row r="316" spans="1:2">
      <c r="A316" t="str">
        <v>Daniel Camargo</v>
      </c>
      <c r="B316">
        <v>861.24</v>
      </c>
    </row>
    <row r="317" spans="1:2">
      <c r="A317" t="str">
        <v>Marcelo da Rocha</v>
      </c>
      <c r="B317">
        <v>1537.5400000000002</v>
      </c>
    </row>
    <row r="318" spans="1:2">
      <c r="A318" t="str">
        <v>Brenda Novaes</v>
      </c>
      <c r="B318">
        <v>538.12</v>
      </c>
    </row>
    <row r="319" spans="1:2">
      <c r="A319" t="str">
        <v>Natália Barbosa</v>
      </c>
      <c r="B319">
        <v>2256.54</v>
      </c>
    </row>
    <row r="320" spans="1:2">
      <c r="A320" t="str">
        <v>Otávio Duarte</v>
      </c>
      <c r="B320">
        <v>2737.46</v>
      </c>
    </row>
    <row r="321" spans="1:2">
      <c r="A321" t="str">
        <v>José Viana</v>
      </c>
      <c r="B321">
        <v>1136.67</v>
      </c>
    </row>
    <row r="322" spans="1:2">
      <c r="A322" t="str">
        <v>Joana Câmara</v>
      </c>
      <c r="B322">
        <v>602.74</v>
      </c>
    </row>
    <row r="323" spans="1:2">
      <c r="A323" t="str">
        <v>Leandro Garcia</v>
      </c>
      <c r="B323">
        <v>1427.3200000000002</v>
      </c>
    </row>
    <row r="324" spans="1:2">
      <c r="A324" t="str">
        <v>Joaquim Pereira</v>
      </c>
      <c r="B324">
        <v>147.32999999999998</v>
      </c>
    </row>
    <row r="325" spans="1:2">
      <c r="A325" t="str">
        <v>Maitê Lima</v>
      </c>
      <c r="B325">
        <v>962.95000000000016</v>
      </c>
    </row>
    <row r="326" spans="1:2">
      <c r="A326" t="str">
        <v>Sr. Benicio Novais</v>
      </c>
      <c r="B326">
        <v>710.5</v>
      </c>
    </row>
    <row r="327" spans="1:2">
      <c r="A327" t="str">
        <v>Josué Lima</v>
      </c>
      <c r="B327">
        <v>355.91</v>
      </c>
    </row>
    <row r="328" spans="1:2">
      <c r="A328" t="str">
        <v>Maria Luiza Vargas</v>
      </c>
      <c r="B328">
        <v>329.07999999999993</v>
      </c>
    </row>
    <row r="329" spans="1:2">
      <c r="A329" t="str">
        <v>Vinicius Melo</v>
      </c>
      <c r="B329">
        <v>103.44</v>
      </c>
    </row>
    <row r="330" spans="1:2">
      <c r="A330" t="str">
        <v>Isaac Jesus</v>
      </c>
      <c r="B330">
        <v>3338.4500000000003</v>
      </c>
    </row>
    <row r="331" spans="1:2">
      <c r="A331" t="str">
        <v>Sra. Ísis Sales</v>
      </c>
      <c r="B331">
        <v>791</v>
      </c>
    </row>
    <row r="332" spans="1:2">
      <c r="A332" t="str">
        <v>Enzo Pereira</v>
      </c>
      <c r="B332">
        <v>1454.1199999999997</v>
      </c>
    </row>
    <row r="333" spans="1:2">
      <c r="A333" t="str">
        <v>Sra. Cecilia Gomes</v>
      </c>
      <c r="B333">
        <v>1050.22</v>
      </c>
    </row>
    <row r="334" spans="1:2">
      <c r="A334" t="str">
        <v>Paulo Novais</v>
      </c>
      <c r="B334">
        <v>2005.1999999999998</v>
      </c>
    </row>
    <row r="335" spans="1:2">
      <c r="A335" t="str">
        <v>Eloá Andrade</v>
      </c>
      <c r="B335">
        <v>610.23</v>
      </c>
    </row>
    <row r="336" spans="1:2">
      <c r="A336" t="str">
        <v>Benicio Cirino</v>
      </c>
      <c r="B336">
        <v>209.93</v>
      </c>
    </row>
    <row r="337" spans="1:2">
      <c r="A337" t="str">
        <v>Maria Isis Castro</v>
      </c>
      <c r="B337">
        <v>1268.18</v>
      </c>
    </row>
    <row r="338" spans="1:2">
      <c r="A338" t="str">
        <v>Carlos Eduardo Ribeiro</v>
      </c>
      <c r="B338">
        <v>1571.35</v>
      </c>
    </row>
    <row r="339" spans="1:2">
      <c r="A339" t="str">
        <v>Isabel Câmara</v>
      </c>
      <c r="B339">
        <v>1267.43</v>
      </c>
    </row>
    <row r="340" spans="1:2">
      <c r="A340" t="str">
        <v>Breno Camargo</v>
      </c>
      <c r="B340">
        <v>998.04</v>
      </c>
    </row>
    <row r="341" spans="1:2">
      <c r="A341" t="str">
        <v>Heitor Vasconcelos</v>
      </c>
      <c r="B341">
        <v>222.12</v>
      </c>
    </row>
    <row r="342" spans="1:2">
      <c r="A342" t="str">
        <v>Sra. Clarice Silveira</v>
      </c>
      <c r="B342">
        <v>1016.85</v>
      </c>
    </row>
    <row r="343" spans="1:2">
      <c r="A343" t="str">
        <v>Carlos Eduardo Castro</v>
      </c>
      <c r="B343">
        <v>1530.51</v>
      </c>
    </row>
    <row r="344" spans="1:2">
      <c r="A344" t="str">
        <v>Rhavi Oliveira</v>
      </c>
      <c r="B344">
        <v>738.67</v>
      </c>
    </row>
    <row r="345" spans="1:2">
      <c r="A345" t="str">
        <v>Maria Fernanda Castro</v>
      </c>
      <c r="B345">
        <v>802.33</v>
      </c>
    </row>
    <row r="346" spans="1:2">
      <c r="A346" t="str">
        <v>Jade da Conceição</v>
      </c>
      <c r="B346">
        <v>984.39</v>
      </c>
    </row>
    <row r="347" spans="1:2">
      <c r="A347" t="str">
        <v>Cauã Monteiro</v>
      </c>
      <c r="B347">
        <v>554.49</v>
      </c>
    </row>
    <row r="348" spans="1:2">
      <c r="A348" t="str">
        <v>Maitê Montenegro</v>
      </c>
      <c r="B348">
        <v>1677.82</v>
      </c>
    </row>
    <row r="349" spans="1:2">
      <c r="A349" t="str">
        <v>Danilo Montenegro</v>
      </c>
      <c r="B349">
        <v>154.56</v>
      </c>
    </row>
    <row r="350" spans="1:2">
      <c r="A350" t="str">
        <v>Luiza da Cruz</v>
      </c>
      <c r="B350">
        <v>802.05</v>
      </c>
    </row>
    <row r="351" spans="1:2">
      <c r="A351" t="str">
        <v>Pietro Pastor</v>
      </c>
      <c r="B351">
        <v>1132.02</v>
      </c>
    </row>
    <row r="352" spans="1:2">
      <c r="A352" t="str">
        <v>Sr. Pietro Moura</v>
      </c>
      <c r="B352">
        <v>2429.1099999999997</v>
      </c>
    </row>
    <row r="353" spans="1:2">
      <c r="A353" t="str">
        <v>Gustavo Silva</v>
      </c>
      <c r="B353">
        <v>141.36000000000001</v>
      </c>
    </row>
    <row r="354" spans="1:2">
      <c r="A354" t="str">
        <v>Marina Nunes</v>
      </c>
      <c r="B354">
        <v>1472.24</v>
      </c>
    </row>
    <row r="355" spans="1:2">
      <c r="A355" t="str">
        <v>Antonella Silva</v>
      </c>
      <c r="B355">
        <v>1904.97</v>
      </c>
    </row>
    <row r="356" spans="1:2">
      <c r="A356" t="str">
        <v>Luiz Gustavo Gonçalves</v>
      </c>
      <c r="B356">
        <v>480.25</v>
      </c>
    </row>
    <row r="357" spans="1:2">
      <c r="A357" t="str">
        <v>Yasmin Macedo</v>
      </c>
      <c r="B357">
        <v>1645.2</v>
      </c>
    </row>
    <row r="358" spans="1:2">
      <c r="A358" t="str">
        <v>Lara Vargas</v>
      </c>
      <c r="B358">
        <v>2261.17</v>
      </c>
    </row>
    <row r="359" spans="1:2">
      <c r="A359" t="str">
        <v>Srta. Luísa Souza</v>
      </c>
      <c r="B359">
        <v>761.58999999999992</v>
      </c>
    </row>
    <row r="360" spans="1:2">
      <c r="A360" t="str">
        <v>Bento Teixeira</v>
      </c>
      <c r="B360">
        <v>1775.3400000000001</v>
      </c>
    </row>
    <row r="361" spans="1:2">
      <c r="A361" t="str">
        <v>Ryan Gonçalves</v>
      </c>
      <c r="B361">
        <v>683.02</v>
      </c>
    </row>
    <row r="362" spans="1:2">
      <c r="A362" t="str">
        <v>João Felipe Mendes</v>
      </c>
      <c r="B362">
        <v>2012.68</v>
      </c>
    </row>
    <row r="363" spans="1:2">
      <c r="A363" t="str">
        <v>Maria Clara Araújo</v>
      </c>
      <c r="B363">
        <v>588.84999999999991</v>
      </c>
    </row>
    <row r="364" spans="1:2">
      <c r="A364" t="str">
        <v>Enzo Gabriel Montenegro</v>
      </c>
      <c r="B364">
        <v>747.68</v>
      </c>
    </row>
    <row r="365" spans="1:2">
      <c r="A365" t="str">
        <v>Helena Andrade</v>
      </c>
      <c r="B365">
        <v>1116.43</v>
      </c>
    </row>
    <row r="366" spans="1:2">
      <c r="A366" t="str">
        <v>Gael Henrique da Mata</v>
      </c>
      <c r="B366">
        <v>3077.2</v>
      </c>
    </row>
    <row r="367" spans="1:2">
      <c r="A367" t="str">
        <v>Dante Vasconcelos</v>
      </c>
      <c r="B367">
        <v>670.31999999999994</v>
      </c>
    </row>
    <row r="368" spans="1:2">
      <c r="A368" t="str">
        <v>Amanda Marques</v>
      </c>
      <c r="B368">
        <v>1009.24</v>
      </c>
    </row>
    <row r="369" spans="1:2">
      <c r="A369" t="str">
        <v>João Mendonça</v>
      </c>
      <c r="B369">
        <v>2015.9199999999998</v>
      </c>
    </row>
    <row r="370" spans="1:2">
      <c r="A370" t="str">
        <v>Ana Julia Oliveira</v>
      </c>
      <c r="B370">
        <v>1043.55</v>
      </c>
    </row>
    <row r="371" spans="1:2">
      <c r="A371" t="str">
        <v>Guilherme Pinto</v>
      </c>
      <c r="B371">
        <v>866.94999999999993</v>
      </c>
    </row>
    <row r="372" spans="1:2">
      <c r="A372" t="str">
        <v>Dr. João Miguel da Paz</v>
      </c>
      <c r="B372">
        <v>824.39</v>
      </c>
    </row>
    <row r="373" spans="1:2">
      <c r="A373" t="str">
        <v>Luiz Felipe Cavalcanti</v>
      </c>
      <c r="B373">
        <v>23.43</v>
      </c>
    </row>
    <row r="374" spans="1:2">
      <c r="A374" t="str">
        <v>Letícia Costa</v>
      </c>
      <c r="B374">
        <v>1349.89</v>
      </c>
    </row>
    <row r="375" spans="1:2">
      <c r="A375" t="str">
        <v>Ryan Vargas</v>
      </c>
      <c r="B375">
        <v>615.33999999999992</v>
      </c>
    </row>
    <row r="376" spans="1:2">
      <c r="A376" t="str">
        <v>Antônio das Neves</v>
      </c>
      <c r="B376">
        <v>230.54</v>
      </c>
    </row>
    <row r="377" spans="1:2">
      <c r="A377" t="str">
        <v>Guilherme Moreira</v>
      </c>
      <c r="B377">
        <v>889.28</v>
      </c>
    </row>
    <row r="378" spans="1:2">
      <c r="A378" t="str">
        <v>Sr. Kaique Caldeira</v>
      </c>
      <c r="B378">
        <v>951.63</v>
      </c>
    </row>
    <row r="379" spans="1:2">
      <c r="A379" t="str">
        <v>Dra. Ayla Borges</v>
      </c>
      <c r="B379">
        <v>1013.9000000000001</v>
      </c>
    </row>
    <row r="380" spans="1:2">
      <c r="A380" t="str">
        <v>Sophia Santos</v>
      </c>
      <c r="B380">
        <v>2566.6400000000003</v>
      </c>
    </row>
    <row r="381" spans="1:2">
      <c r="A381" t="str">
        <v>Rhavi Ramos</v>
      </c>
      <c r="B381">
        <v>1379.41</v>
      </c>
    </row>
    <row r="382" spans="1:2">
      <c r="A382" t="str">
        <v>Anthony Gabriel Siqueira</v>
      </c>
      <c r="B382">
        <v>1716.16</v>
      </c>
    </row>
    <row r="383" spans="1:2">
      <c r="A383" t="str">
        <v>Nicolas Moura</v>
      </c>
      <c r="B383">
        <v>999.55000000000007</v>
      </c>
    </row>
    <row r="384" spans="1:2">
      <c r="A384" t="str">
        <v>Lucca Camargo</v>
      </c>
      <c r="B384">
        <v>952.3900000000001</v>
      </c>
    </row>
    <row r="385" spans="1:2">
      <c r="A385" t="str">
        <v>Apollo Sousa</v>
      </c>
      <c r="B385">
        <v>356.72</v>
      </c>
    </row>
    <row r="386" spans="1:2">
      <c r="A386" t="str">
        <v>Dr. Ryan Cavalcante</v>
      </c>
      <c r="B386">
        <v>880.65</v>
      </c>
    </row>
    <row r="387" spans="1:2">
      <c r="A387" t="str">
        <v>Isaque Santos</v>
      </c>
      <c r="B387">
        <v>455.88</v>
      </c>
    </row>
    <row r="388" spans="1:2">
      <c r="A388" t="str">
        <v>Ravi Lucca da Cruz</v>
      </c>
      <c r="B388">
        <v>1323.53</v>
      </c>
    </row>
    <row r="389" spans="1:2">
      <c r="A389" t="str">
        <v>Ana Cecília Gonçalves</v>
      </c>
      <c r="B389">
        <v>3400.49</v>
      </c>
    </row>
    <row r="390" spans="1:2">
      <c r="A390" t="str">
        <v>Sr. Danilo Sales</v>
      </c>
      <c r="B390">
        <v>733.82999999999993</v>
      </c>
    </row>
    <row r="391" spans="1:2">
      <c r="A391" t="str">
        <v>Hellena da Mata</v>
      </c>
      <c r="B391">
        <v>315.44</v>
      </c>
    </row>
    <row r="392" spans="1:2">
      <c r="A392" t="str">
        <v>Vicente Fogaça</v>
      </c>
      <c r="B392">
        <v>830.55</v>
      </c>
    </row>
    <row r="393" spans="1:2">
      <c r="A393" t="str">
        <v>Maria Alice Farias</v>
      </c>
      <c r="B393">
        <v>790.48</v>
      </c>
    </row>
    <row r="394" spans="1:2">
      <c r="A394" t="str">
        <v>Joaquim Moreira</v>
      </c>
      <c r="B394">
        <v>917.71</v>
      </c>
    </row>
    <row r="395" spans="1:2">
      <c r="A395" t="str">
        <v>Julia Vargas</v>
      </c>
      <c r="B395">
        <v>3341.19</v>
      </c>
    </row>
    <row r="396" spans="1:2">
      <c r="A396" t="str">
        <v>Eduardo Almeida</v>
      </c>
      <c r="B396">
        <v>784.69999999999993</v>
      </c>
    </row>
    <row r="397" spans="1:2">
      <c r="A397" t="str">
        <v>Luana Dias</v>
      </c>
      <c r="B397">
        <v>757.43</v>
      </c>
    </row>
    <row r="398" spans="1:2">
      <c r="A398" t="str">
        <v>Sr. Francisco Teixeira</v>
      </c>
      <c r="B398">
        <v>405.66</v>
      </c>
    </row>
    <row r="399" spans="1:2">
      <c r="A399" t="str">
        <v>Fernanda Lima</v>
      </c>
      <c r="B399">
        <v>2184.1799999999998</v>
      </c>
    </row>
    <row r="400" spans="1:2">
      <c r="A400" t="str">
        <v>José Pedro da Rosa</v>
      </c>
      <c r="B400">
        <v>67.75</v>
      </c>
    </row>
    <row r="401" spans="1:2">
      <c r="A401" t="str">
        <v>Lavínia Rezende</v>
      </c>
      <c r="B401">
        <v>739.58</v>
      </c>
    </row>
    <row r="402" spans="1:2">
      <c r="A402" t="str">
        <v>Ana Cecília Cavalcanti</v>
      </c>
      <c r="B402">
        <v>1601.1499999999999</v>
      </c>
    </row>
    <row r="403" spans="1:2">
      <c r="A403" t="str">
        <v>Sra. Ana Carolina Brito</v>
      </c>
      <c r="B403">
        <v>1285.1600000000001</v>
      </c>
    </row>
    <row r="404" spans="1:2">
      <c r="A404" t="str">
        <v>Vinicius da Conceição</v>
      </c>
      <c r="B404">
        <v>2789.0699999999997</v>
      </c>
    </row>
    <row r="405" spans="1:2">
      <c r="A405" t="str">
        <v>Maria Fernanda Rodrigues</v>
      </c>
      <c r="B405">
        <v>1964</v>
      </c>
    </row>
    <row r="406" spans="1:2">
      <c r="A406" t="str">
        <v>Oliver Correia</v>
      </c>
      <c r="B406">
        <v>2510.6499999999996</v>
      </c>
    </row>
    <row r="407" spans="1:2">
      <c r="A407" t="str">
        <v>Dr. Lucas Machado</v>
      </c>
      <c r="B407">
        <v>2277.2999999999997</v>
      </c>
    </row>
    <row r="408" spans="1:2">
      <c r="A408" t="str">
        <v>Francisco Cavalcanti</v>
      </c>
      <c r="B408">
        <v>2314.5299999999997</v>
      </c>
    </row>
    <row r="409" spans="1:2">
      <c r="A409" t="str">
        <v>João Lucas Albuquerque</v>
      </c>
      <c r="B409">
        <v>892.69999999999993</v>
      </c>
    </row>
    <row r="410" spans="1:2">
      <c r="A410" t="str">
        <v>Asafe Barbosa</v>
      </c>
      <c r="B410">
        <v>462.52</v>
      </c>
    </row>
    <row r="411" spans="1:2">
      <c r="A411" t="str">
        <v>Diego Alves</v>
      </c>
      <c r="B411">
        <v>1512.56</v>
      </c>
    </row>
    <row r="412" spans="1:2">
      <c r="A412" t="str">
        <v>Sarah Fogaça</v>
      </c>
      <c r="B412">
        <v>653.72</v>
      </c>
    </row>
    <row r="413" spans="1:2">
      <c r="A413" t="str">
        <v>Antony Nogueira</v>
      </c>
      <c r="B413">
        <v>758.01</v>
      </c>
    </row>
    <row r="414" spans="1:2">
      <c r="A414" t="str">
        <v>Ana Vitória Pinto</v>
      </c>
      <c r="B414">
        <v>1249.58</v>
      </c>
    </row>
    <row r="415" spans="1:2">
      <c r="A415" t="str">
        <v>Enrico Sales</v>
      </c>
      <c r="B415">
        <v>1087.7800000000002</v>
      </c>
    </row>
    <row r="416" spans="1:2">
      <c r="A416" t="str">
        <v>Yago Souza</v>
      </c>
      <c r="B416">
        <v>937.42000000000007</v>
      </c>
    </row>
    <row r="417" spans="1:2">
      <c r="A417" t="str">
        <v>Gael Freitas</v>
      </c>
      <c r="B417">
        <v>1626.74</v>
      </c>
    </row>
    <row r="418" spans="1:2">
      <c r="A418" t="str">
        <v>Arthur Freitas</v>
      </c>
      <c r="B418">
        <v>1426.86</v>
      </c>
    </row>
    <row r="419" spans="1:2">
      <c r="A419" t="str">
        <v>Caio da Mata</v>
      </c>
      <c r="B419">
        <v>194.88</v>
      </c>
    </row>
    <row r="420" spans="1:2">
      <c r="A420" t="str">
        <v>Dr. Thomas Almeida</v>
      </c>
      <c r="B420">
        <v>97.710000000000008</v>
      </c>
    </row>
    <row r="421" spans="1:2">
      <c r="A421" t="str">
        <v>Agatha da Mota</v>
      </c>
      <c r="B421">
        <v>2633.49</v>
      </c>
    </row>
    <row r="422" spans="1:2">
      <c r="A422" t="str">
        <v>Carlos Eduardo Macedo</v>
      </c>
      <c r="B422">
        <v>2533.4699999999998</v>
      </c>
    </row>
    <row r="423" spans="1:2">
      <c r="A423" t="str">
        <v>Ravi Lucca Sales</v>
      </c>
      <c r="B423">
        <v>959.18999999999994</v>
      </c>
    </row>
    <row r="424" spans="1:2">
      <c r="A424" t="str">
        <v>Olivia Câmara</v>
      </c>
      <c r="B424">
        <v>1329.8000000000002</v>
      </c>
    </row>
    <row r="425" spans="1:2">
      <c r="A425" t="str">
        <v>Anthony Melo</v>
      </c>
      <c r="B425">
        <v>158.94999999999999</v>
      </c>
    </row>
    <row r="426" spans="1:2">
      <c r="A426" t="str">
        <v>Nina Nunes</v>
      </c>
      <c r="B426">
        <v>769.66</v>
      </c>
    </row>
    <row r="427" spans="1:2">
      <c r="A427" t="str">
        <v>Matheus Dias</v>
      </c>
      <c r="B427">
        <v>2676.63</v>
      </c>
    </row>
    <row r="428" spans="1:2">
      <c r="A428" t="str">
        <v>Liz Caldeira</v>
      </c>
      <c r="B428">
        <v>525.62</v>
      </c>
    </row>
    <row r="429" spans="1:2">
      <c r="A429" t="str">
        <v>Srta. Sophia Monteiro</v>
      </c>
      <c r="B429">
        <v>1002.4</v>
      </c>
    </row>
    <row r="430" spans="1:2">
      <c r="A430" t="str">
        <v>Rebeca Campos</v>
      </c>
      <c r="B430">
        <v>843.3</v>
      </c>
    </row>
    <row r="431" spans="1:2">
      <c r="A431" t="str">
        <v>Alexia Cavalcanti</v>
      </c>
      <c r="B431">
        <v>739.36000000000013</v>
      </c>
    </row>
    <row r="432" spans="1:2">
      <c r="A432" t="str">
        <v>Elisa Brito</v>
      </c>
      <c r="B432">
        <v>1823.1</v>
      </c>
    </row>
    <row r="433" spans="1:2">
      <c r="A433" t="str">
        <v>João Lima</v>
      </c>
      <c r="B433">
        <v>723.84</v>
      </c>
    </row>
    <row r="434" spans="1:2">
      <c r="A434" t="str">
        <v>Marcelo Santos</v>
      </c>
      <c r="B434">
        <v>880.69</v>
      </c>
    </row>
    <row r="435" spans="1:2">
      <c r="A435" t="str">
        <v>Ana Carolina Rios</v>
      </c>
      <c r="B435">
        <v>1601.83</v>
      </c>
    </row>
    <row r="436" spans="1:2">
      <c r="A436" t="str">
        <v>Ravy Gonçalves</v>
      </c>
      <c r="B436">
        <v>165.57</v>
      </c>
    </row>
    <row r="437" spans="1:2">
      <c r="A437" t="str">
        <v>Melissa Barbosa</v>
      </c>
      <c r="B437">
        <v>1410.03</v>
      </c>
    </row>
    <row r="438" spans="1:2">
      <c r="A438" t="str">
        <v>Enzo Martins</v>
      </c>
      <c r="B438">
        <v>1175.1199999999999</v>
      </c>
    </row>
    <row r="439" spans="1:2">
      <c r="A439" t="str">
        <v>Pedro Lucas Costela</v>
      </c>
      <c r="B439">
        <v>311.34000000000003</v>
      </c>
    </row>
    <row r="440" spans="1:2">
      <c r="A440" t="str">
        <v>Dr. Benicio Ramos</v>
      </c>
      <c r="B440">
        <v>1194.44</v>
      </c>
    </row>
    <row r="441" spans="1:2">
      <c r="A441" t="str">
        <v>Dr. Guilherme Pimenta</v>
      </c>
      <c r="B441">
        <v>429.61</v>
      </c>
    </row>
    <row r="442" spans="1:2">
      <c r="A442" t="str">
        <v>Brayan Aparecida</v>
      </c>
      <c r="B442">
        <v>660.13</v>
      </c>
    </row>
    <row r="443" spans="1:2">
      <c r="A443" t="str">
        <v>Vicente Jesus</v>
      </c>
      <c r="B443">
        <v>859.05</v>
      </c>
    </row>
    <row r="444" spans="1:2">
      <c r="A444" t="str">
        <v>Maria Clara da Cruz</v>
      </c>
      <c r="B444">
        <v>808.92</v>
      </c>
    </row>
    <row r="445" spans="1:2">
      <c r="A445" t="str">
        <v>Sra. Yasmin Fogaça</v>
      </c>
      <c r="B445">
        <v>2060.09</v>
      </c>
    </row>
    <row r="446" spans="1:2">
      <c r="A446" t="str">
        <v>Sra. Fernanda Campos</v>
      </c>
      <c r="B446">
        <v>1437.1100000000001</v>
      </c>
    </row>
    <row r="447" spans="1:2">
      <c r="A447" t="str">
        <v>Júlia Viana</v>
      </c>
      <c r="B447">
        <v>1840.52</v>
      </c>
    </row>
    <row r="448" spans="1:2">
      <c r="A448" t="str">
        <v>Joana Aragão</v>
      </c>
      <c r="B448">
        <v>1137.99</v>
      </c>
    </row>
    <row r="449" spans="1:2">
      <c r="A449" t="str">
        <v>Mateus da Conceição</v>
      </c>
      <c r="B449">
        <v>1393.5099999999998</v>
      </c>
    </row>
    <row r="450" spans="1:2">
      <c r="A450" t="str">
        <v>Sr. Léo Freitas</v>
      </c>
      <c r="B450">
        <v>397.63</v>
      </c>
    </row>
    <row r="451" spans="1:2">
      <c r="A451" t="str">
        <v>Luiz Miguel Caldeira</v>
      </c>
      <c r="B451">
        <v>1231.68</v>
      </c>
    </row>
    <row r="452" spans="1:2">
      <c r="A452" t="str">
        <v>Maitê Almeida</v>
      </c>
      <c r="B452">
        <v>34.89</v>
      </c>
    </row>
    <row r="453" spans="1:2">
      <c r="A453" t="str">
        <v>Amanda Monteiro</v>
      </c>
      <c r="B453">
        <v>956.92</v>
      </c>
    </row>
    <row r="454" spans="1:2">
      <c r="A454" t="str">
        <v>Gael Albuquerque</v>
      </c>
      <c r="B454">
        <v>1518.56</v>
      </c>
    </row>
    <row r="455" spans="1:2">
      <c r="A455" t="str">
        <v>Sr. Thomas Pires</v>
      </c>
      <c r="B455">
        <v>253.89</v>
      </c>
    </row>
    <row r="456" spans="1:2">
      <c r="A456" t="str">
        <v>Noah Lima</v>
      </c>
      <c r="B456">
        <v>345.36</v>
      </c>
    </row>
    <row r="457" spans="1:2">
      <c r="A457" t="str">
        <v>Isabelly Souza</v>
      </c>
      <c r="B457">
        <v>835.69</v>
      </c>
    </row>
    <row r="458" spans="1:2">
      <c r="A458" t="str">
        <v>José Pedro Albuquerque</v>
      </c>
      <c r="B458">
        <v>1747.3999999999999</v>
      </c>
    </row>
    <row r="459" spans="1:2">
      <c r="A459" t="str">
        <v>Benicio Novais</v>
      </c>
      <c r="B459">
        <v>1717.13</v>
      </c>
    </row>
    <row r="460" spans="1:2">
      <c r="A460" t="str">
        <v>Camila Cassiano</v>
      </c>
      <c r="B460">
        <v>1187.0900000000001</v>
      </c>
    </row>
    <row r="461" spans="1:2">
      <c r="A461" t="str">
        <v>Srta. Isabelly Borges</v>
      </c>
      <c r="B461">
        <v>1398.58</v>
      </c>
    </row>
    <row r="462" spans="1:2">
      <c r="A462" t="str">
        <v>Bento Martins</v>
      </c>
      <c r="B462">
        <v>833.82</v>
      </c>
    </row>
    <row r="463" spans="1:2">
      <c r="A463" t="str">
        <v>Dr. Carlos Eduardo Câmara</v>
      </c>
      <c r="B463">
        <v>2128.0199999999995</v>
      </c>
    </row>
    <row r="464" spans="1:2">
      <c r="A464" t="str">
        <v>Sarah das Neves</v>
      </c>
      <c r="B464">
        <v>1022.6700000000001</v>
      </c>
    </row>
    <row r="465" spans="1:2">
      <c r="A465" t="str">
        <v>Cecilia Lima</v>
      </c>
      <c r="B465">
        <v>1036.97</v>
      </c>
    </row>
    <row r="466" spans="1:2">
      <c r="A466" t="str">
        <v>Camila Sampaio</v>
      </c>
      <c r="B466">
        <v>541.79999999999995</v>
      </c>
    </row>
    <row r="467" spans="1:2">
      <c r="A467" t="str">
        <v>Lorenzo Vargas</v>
      </c>
      <c r="B467">
        <v>556.09</v>
      </c>
    </row>
    <row r="468" spans="1:2">
      <c r="A468" t="str">
        <v>Ana Sophia Castro</v>
      </c>
      <c r="B468">
        <v>2218.7399999999998</v>
      </c>
    </row>
    <row r="469" spans="1:2">
      <c r="A469" t="str">
        <v>Dra. Bella Moura</v>
      </c>
      <c r="B469">
        <v>542.39</v>
      </c>
    </row>
    <row r="470" spans="1:2">
      <c r="A470" t="str">
        <v>Maitê Pires</v>
      </c>
      <c r="B470">
        <v>1028.97</v>
      </c>
    </row>
    <row r="471" spans="1:2">
      <c r="A471" t="str">
        <v>Maria Cecília da Rosa</v>
      </c>
      <c r="B471">
        <v>843.23</v>
      </c>
    </row>
    <row r="472" spans="1:2">
      <c r="A472" t="str">
        <v>Dra. Lívia Cirino</v>
      </c>
      <c r="B472">
        <v>3016.8800000000006</v>
      </c>
    </row>
    <row r="473" spans="1:2">
      <c r="A473" t="str">
        <v>Srta. Elisa Mendes</v>
      </c>
      <c r="B473">
        <v>1179.9100000000001</v>
      </c>
    </row>
    <row r="474" spans="1:2">
      <c r="A474" t="str">
        <v>Aurora Guerra</v>
      </c>
      <c r="B474">
        <v>57.699999999999996</v>
      </c>
    </row>
    <row r="475" spans="1:2">
      <c r="A475" t="str">
        <v>Sabrina Fonseca</v>
      </c>
      <c r="B475">
        <v>1478</v>
      </c>
    </row>
    <row r="476" spans="1:2">
      <c r="A476" t="str">
        <v>Sophie Sampaio</v>
      </c>
      <c r="B476">
        <v>2320.1</v>
      </c>
    </row>
    <row r="477" spans="1:2">
      <c r="A477" t="str">
        <v>Dra. Raquel Fernandes</v>
      </c>
      <c r="B477">
        <v>1024.72</v>
      </c>
    </row>
    <row r="478" spans="1:2">
      <c r="A478" t="str">
        <v>Bryan Alves</v>
      </c>
      <c r="B478">
        <v>1020.36</v>
      </c>
    </row>
    <row r="479" spans="1:2">
      <c r="A479" t="str">
        <v>Bianca Gonçalves</v>
      </c>
      <c r="B479">
        <v>1590.8200000000002</v>
      </c>
    </row>
    <row r="480" spans="1:2">
      <c r="A480" t="str">
        <v>Pedro Henrique Fonseca</v>
      </c>
      <c r="B480">
        <v>1315.4099999999999</v>
      </c>
    </row>
    <row r="481" spans="1:2">
      <c r="A481" t="str">
        <v>Melina Moura</v>
      </c>
      <c r="B481">
        <v>610.55999999999995</v>
      </c>
    </row>
    <row r="482" spans="1:2">
      <c r="A482" t="str">
        <v>Ágatha Viana</v>
      </c>
      <c r="B482">
        <v>1467.77</v>
      </c>
    </row>
    <row r="483" spans="1:2">
      <c r="A483" t="str">
        <v>Larissa da Rosa</v>
      </c>
      <c r="B483">
        <v>350.66999999999996</v>
      </c>
    </row>
    <row r="484" spans="1:2">
      <c r="A484" t="str">
        <v>Cecília Pires</v>
      </c>
      <c r="B484">
        <v>1066.04</v>
      </c>
    </row>
    <row r="485" spans="1:2">
      <c r="A485" t="str">
        <v>Dr. Vitor Hugo Lima</v>
      </c>
      <c r="B485">
        <v>544.04999999999995</v>
      </c>
    </row>
    <row r="486" spans="1:2">
      <c r="A486" t="str">
        <v>Benicio Cunha</v>
      </c>
      <c r="B486">
        <v>1950.5700000000002</v>
      </c>
    </row>
    <row r="487" spans="1:2">
      <c r="A487" t="str">
        <v>Luigi Cassiano</v>
      </c>
      <c r="B487">
        <v>5.05</v>
      </c>
    </row>
    <row r="488" spans="1:2">
      <c r="A488" t="str">
        <v>Gael Pastor</v>
      </c>
      <c r="B488">
        <v>1170.08</v>
      </c>
    </row>
    <row r="489" spans="1:2">
      <c r="A489" t="str">
        <v>Danilo Pinto</v>
      </c>
      <c r="B489">
        <v>625.27</v>
      </c>
    </row>
    <row r="490" spans="1:2">
      <c r="A490" t="str">
        <v>Dra. Manuela Vargas</v>
      </c>
      <c r="B490">
        <v>1262.5999999999999</v>
      </c>
    </row>
    <row r="491" spans="1:2">
      <c r="A491" t="str">
        <v>Rhavi Andrade</v>
      </c>
      <c r="B491">
        <v>1504.7599999999998</v>
      </c>
    </row>
    <row r="492" spans="1:2">
      <c r="A492" t="str">
        <v>Danilo Cunha</v>
      </c>
      <c r="B492">
        <v>1028.3900000000001</v>
      </c>
    </row>
    <row r="493" spans="1:2">
      <c r="A493" t="str">
        <v>Igor Gonçalves</v>
      </c>
      <c r="B493">
        <v>851.31</v>
      </c>
    </row>
    <row r="494" spans="1:2">
      <c r="A494" t="str">
        <v>Eduardo Mendes</v>
      </c>
      <c r="B494">
        <v>1843.2199999999998</v>
      </c>
    </row>
    <row r="495" spans="1:2">
      <c r="A495" t="str">
        <v>Ana Rodrigues</v>
      </c>
      <c r="B495">
        <v>1392.5900000000001</v>
      </c>
    </row>
    <row r="496" spans="1:2">
      <c r="A496" t="str">
        <v>Danilo Camargo</v>
      </c>
      <c r="B496">
        <v>418.1</v>
      </c>
    </row>
    <row r="497" spans="1:2">
      <c r="A497" t="str">
        <v>Letícia Monteiro</v>
      </c>
      <c r="B497">
        <v>839.8</v>
      </c>
    </row>
    <row r="498" spans="1:2">
      <c r="A498" t="str">
        <v>Erick Gomes</v>
      </c>
      <c r="B498">
        <v>1731.37</v>
      </c>
    </row>
    <row r="499" spans="1:2">
      <c r="A499" t="str">
        <v>Diego Aragão</v>
      </c>
      <c r="B499">
        <v>1491.56</v>
      </c>
    </row>
    <row r="500" spans="1:2">
      <c r="A500" t="str">
        <v>Dr. Juan Barros</v>
      </c>
      <c r="B500">
        <v>1480.47</v>
      </c>
    </row>
    <row r="501" spans="1:2">
      <c r="A501" t="str">
        <v>Mirella das Neves</v>
      </c>
      <c r="B501">
        <v>949.45</v>
      </c>
    </row>
    <row r="502" spans="1:2">
      <c r="A502" t="str">
        <v>André da Cunha</v>
      </c>
      <c r="B502">
        <v>1846.4099999999999</v>
      </c>
    </row>
    <row r="503" spans="1:2">
      <c r="A503" t="str">
        <v>Dr. Vitor Hugo da Cunha</v>
      </c>
      <c r="B503">
        <v>1900.5900000000001</v>
      </c>
    </row>
    <row r="504" spans="1:2">
      <c r="A504" t="str">
        <v>Mathias Freitas</v>
      </c>
      <c r="B504">
        <v>930.91</v>
      </c>
    </row>
    <row r="505" spans="1:2">
      <c r="A505" t="str">
        <v>Júlia Lopes</v>
      </c>
      <c r="B505">
        <v>1977.2999999999997</v>
      </c>
    </row>
    <row r="506" spans="1:2">
      <c r="A506" t="str">
        <v>Dra. Ana Beatriz Costa</v>
      </c>
      <c r="B506">
        <v>482.32000000000005</v>
      </c>
    </row>
    <row r="507" spans="1:2">
      <c r="A507" t="str">
        <v>Lavínia Abreu</v>
      </c>
      <c r="B507">
        <v>958.6</v>
      </c>
    </row>
    <row r="508" spans="1:2">
      <c r="A508" t="str">
        <v>Daniela Pires</v>
      </c>
      <c r="B508">
        <v>489.62</v>
      </c>
    </row>
    <row r="509" spans="1:2">
      <c r="A509" t="str">
        <v>Dra. Bruna Cirino</v>
      </c>
      <c r="B509">
        <v>1317.1799999999998</v>
      </c>
    </row>
    <row r="510" spans="1:2">
      <c r="A510" t="str">
        <v>Calebe Souza</v>
      </c>
      <c r="B510">
        <v>999.85</v>
      </c>
    </row>
    <row r="511" spans="1:2">
      <c r="A511" t="str">
        <v>Ana Vitória Gomes</v>
      </c>
      <c r="B511">
        <v>1523.6399999999999</v>
      </c>
    </row>
    <row r="512" spans="1:2">
      <c r="A512" t="str">
        <v>Maria Julia Dias</v>
      </c>
      <c r="B512">
        <v>1537.06</v>
      </c>
    </row>
    <row r="513" spans="1:2">
      <c r="A513" t="str">
        <v>Yago Ferreira</v>
      </c>
      <c r="B513">
        <v>559.32999999999993</v>
      </c>
    </row>
    <row r="514" spans="1:2">
      <c r="A514" t="str">
        <v>Dom Peixoto</v>
      </c>
      <c r="B514">
        <v>234.89</v>
      </c>
    </row>
    <row r="515" spans="1:2">
      <c r="A515" t="str">
        <v>Maria Luiza Borges</v>
      </c>
      <c r="B515">
        <v>852.23</v>
      </c>
    </row>
    <row r="516" spans="1:2">
      <c r="A516" t="str">
        <v>Samuel Teixeira</v>
      </c>
      <c r="B516">
        <v>1713.27</v>
      </c>
    </row>
    <row r="517" spans="1:2">
      <c r="A517" t="str">
        <v>Antônio Garcia</v>
      </c>
      <c r="B517">
        <v>158.07</v>
      </c>
    </row>
    <row r="518" spans="1:2">
      <c r="A518" t="str">
        <v>Arthur Miguel Araújo</v>
      </c>
      <c r="B518">
        <v>1071.73</v>
      </c>
    </row>
    <row r="519" spans="1:2">
      <c r="A519" t="str">
        <v>Dr. Ravi Lucca Novaes</v>
      </c>
      <c r="B519">
        <v>1163.83</v>
      </c>
    </row>
    <row r="520" spans="1:2">
      <c r="A520" t="str">
        <v>Dra. Elisa Teixeira</v>
      </c>
      <c r="B520">
        <v>1442.91</v>
      </c>
    </row>
    <row r="521" spans="1:2">
      <c r="A521" t="str">
        <v>Emanuel Aragão</v>
      </c>
      <c r="B521">
        <v>2240.5500000000002</v>
      </c>
    </row>
    <row r="522" spans="1:2">
      <c r="A522" t="str">
        <v>Júlia Barros</v>
      </c>
      <c r="B522">
        <v>1516.95</v>
      </c>
    </row>
    <row r="523" spans="1:2">
      <c r="A523" t="str">
        <v>Calebe Mendes</v>
      </c>
      <c r="B523">
        <v>265.83</v>
      </c>
    </row>
    <row r="524" spans="1:2">
      <c r="A524" t="str">
        <v>Dra. Emanuelly Monteiro</v>
      </c>
      <c r="B524">
        <v>1267.8800000000001</v>
      </c>
    </row>
    <row r="525" spans="1:2">
      <c r="A525" t="str">
        <v>Larissa Martins</v>
      </c>
      <c r="B525">
        <v>1310.03</v>
      </c>
    </row>
    <row r="526" spans="1:2">
      <c r="A526" t="str">
        <v>Arthur Gabriel Araújo</v>
      </c>
      <c r="B526">
        <v>1084.42</v>
      </c>
    </row>
    <row r="527" spans="1:2">
      <c r="A527" t="str">
        <v>Mariane Castro</v>
      </c>
      <c r="B527">
        <v>670.1</v>
      </c>
    </row>
    <row r="528" spans="1:2">
      <c r="A528" t="str">
        <v>Sr. José Miguel Pimenta</v>
      </c>
      <c r="B528">
        <v>332.64</v>
      </c>
    </row>
    <row r="529" spans="1:2">
      <c r="A529" t="str">
        <v>Lucas Gabriel Almeida</v>
      </c>
      <c r="B529">
        <v>614.64</v>
      </c>
    </row>
    <row r="530" spans="1:2">
      <c r="A530" t="str">
        <v>Rafael Ribeiro</v>
      </c>
      <c r="B530">
        <v>1208.8599999999999</v>
      </c>
    </row>
    <row r="531" spans="1:2">
      <c r="A531" t="str">
        <v>Francisco Pinto</v>
      </c>
      <c r="B531">
        <v>1061.4099999999999</v>
      </c>
    </row>
    <row r="532" spans="1:2">
      <c r="A532" t="str">
        <v>Sr. Cauã Garcia</v>
      </c>
      <c r="B532">
        <v>1254.81</v>
      </c>
    </row>
    <row r="533" spans="1:2">
      <c r="A533" t="str">
        <v>João Felipe Silveira</v>
      </c>
      <c r="B533">
        <v>1541.8000000000002</v>
      </c>
    </row>
    <row r="534" spans="1:2">
      <c r="A534" t="str">
        <v>Laís da Rocha</v>
      </c>
      <c r="B534">
        <v>617.31999999999994</v>
      </c>
    </row>
    <row r="535" spans="1:2">
      <c r="A535" t="str">
        <v>Eloah Almeida</v>
      </c>
      <c r="B535">
        <v>242.54999999999998</v>
      </c>
    </row>
    <row r="536" spans="1:2">
      <c r="A536" t="str">
        <v>Sra. Eloá Sousa</v>
      </c>
      <c r="B536">
        <v>928.76</v>
      </c>
    </row>
    <row r="537" spans="1:2">
      <c r="A537" t="str">
        <v>Luiz Gustavo Gomes</v>
      </c>
      <c r="B537">
        <v>1460.09</v>
      </c>
    </row>
    <row r="538" spans="1:2">
      <c r="A538" t="str">
        <v>Leonardo Pimenta</v>
      </c>
      <c r="B538">
        <v>306.55</v>
      </c>
    </row>
    <row r="539" spans="1:2">
      <c r="A539" t="str">
        <v>Alana Sales</v>
      </c>
      <c r="B539">
        <v>2180.5500000000002</v>
      </c>
    </row>
    <row r="540" spans="1:2">
      <c r="A540" t="str">
        <v>Thomas Duarte</v>
      </c>
      <c r="B540">
        <v>1985.75</v>
      </c>
    </row>
    <row r="541" spans="1:2">
      <c r="A541" t="str">
        <v>Heloisa Moura</v>
      </c>
      <c r="B541">
        <v>1127.79</v>
      </c>
    </row>
    <row r="542" spans="1:2">
      <c r="A542" t="str">
        <v>Gabriela Peixoto</v>
      </c>
      <c r="B542">
        <v>556.48</v>
      </c>
    </row>
    <row r="543" spans="1:2">
      <c r="A543" t="str">
        <v>Heloísa Machado</v>
      </c>
      <c r="B543">
        <v>2185.7399999999993</v>
      </c>
    </row>
    <row r="544" spans="1:2">
      <c r="A544" t="str">
        <v>Bella Correia</v>
      </c>
      <c r="B544">
        <v>666.06000000000006</v>
      </c>
    </row>
    <row r="545" spans="1:2">
      <c r="A545" t="str">
        <v>Josué Viana</v>
      </c>
      <c r="B545">
        <v>348.9</v>
      </c>
    </row>
    <row r="546" spans="1:2">
      <c r="A546" t="str">
        <v>Nathan Sousa</v>
      </c>
      <c r="B546">
        <v>387.89</v>
      </c>
    </row>
    <row r="547" spans="1:2">
      <c r="A547" t="str">
        <v>Maria Julia Cavalcante</v>
      </c>
      <c r="B547">
        <v>266.38</v>
      </c>
    </row>
    <row r="548" spans="1:2">
      <c r="A548" t="str">
        <v>Sra. Allana Leão</v>
      </c>
      <c r="B548">
        <v>374.01</v>
      </c>
    </row>
    <row r="549" spans="1:2">
      <c r="A549" t="str">
        <v>Srta. Ana Sophia Albuquerque</v>
      </c>
      <c r="B549">
        <v>1225.6399999999999</v>
      </c>
    </row>
    <row r="550" spans="1:2">
      <c r="A550" t="str">
        <v>Maria Cecília Casa Grande</v>
      </c>
      <c r="B550">
        <v>283.63</v>
      </c>
    </row>
    <row r="551" spans="1:2">
      <c r="A551" t="str">
        <v>Henry Dias</v>
      </c>
      <c r="B551">
        <v>1016.6099999999999</v>
      </c>
    </row>
    <row r="552" spans="1:2">
      <c r="A552" t="str">
        <v>João Lucas Melo</v>
      </c>
      <c r="B552">
        <v>1831.7</v>
      </c>
    </row>
    <row r="553" spans="1:2">
      <c r="A553" t="str">
        <v>Fernanda Cavalcanti</v>
      </c>
      <c r="B553">
        <v>1975.68</v>
      </c>
    </row>
    <row r="554" spans="1:2">
      <c r="A554" t="str">
        <v>Ana Júlia Araújo</v>
      </c>
      <c r="B554">
        <v>49.08</v>
      </c>
    </row>
    <row r="555" spans="1:2">
      <c r="A555" t="str">
        <v>Asafe Melo</v>
      </c>
      <c r="B555">
        <v>230.19</v>
      </c>
    </row>
    <row r="556" spans="1:2">
      <c r="A556" t="str">
        <v>Maria Clara Cirino</v>
      </c>
      <c r="B556">
        <v>1393.56</v>
      </c>
    </row>
    <row r="557" spans="1:2">
      <c r="A557" t="str">
        <v>Benicio Ribeiro</v>
      </c>
      <c r="B557">
        <v>596.04999999999995</v>
      </c>
    </row>
    <row r="558" spans="1:2">
      <c r="A558" t="str">
        <v>Daniel Moreira</v>
      </c>
      <c r="B558">
        <v>1284.3899999999999</v>
      </c>
    </row>
    <row r="559" spans="1:2">
      <c r="A559" t="str">
        <v>Laura Rezende</v>
      </c>
      <c r="B559">
        <v>24.39</v>
      </c>
    </row>
    <row r="560" spans="1:2">
      <c r="A560" t="str">
        <v>Srta. Maria Flor Rezende</v>
      </c>
      <c r="B560">
        <v>1201.8999999999999</v>
      </c>
    </row>
    <row r="561" spans="1:2">
      <c r="A561" t="str">
        <v>Leandro Dias</v>
      </c>
      <c r="B561">
        <v>162.16</v>
      </c>
    </row>
    <row r="562" spans="1:2">
      <c r="A562" t="str">
        <v>Vitor Ramos</v>
      </c>
      <c r="B562">
        <v>1089.6100000000001</v>
      </c>
    </row>
    <row r="563" spans="1:2">
      <c r="A563" t="str">
        <v>Vitor Hugo Fogaça</v>
      </c>
      <c r="B563">
        <v>1351.75</v>
      </c>
    </row>
    <row r="564" spans="1:2">
      <c r="A564" t="str">
        <v>Alexia Cavalcante</v>
      </c>
      <c r="B564">
        <v>655.16000000000008</v>
      </c>
    </row>
    <row r="565" spans="1:2">
      <c r="A565" t="str">
        <v>João Miguel da Mata</v>
      </c>
      <c r="B565">
        <v>550.16</v>
      </c>
    </row>
    <row r="566" spans="1:2">
      <c r="A566" t="str">
        <v>Ana Lívia Cardoso</v>
      </c>
      <c r="B566">
        <v>514.32000000000005</v>
      </c>
    </row>
    <row r="567" spans="1:2">
      <c r="A567" t="str">
        <v>Brayan Pires</v>
      </c>
      <c r="B567">
        <v>3149.11</v>
      </c>
    </row>
    <row r="568" spans="1:2">
      <c r="A568" t="str">
        <v>Vicente Albuquerque</v>
      </c>
      <c r="B568">
        <v>281.12</v>
      </c>
    </row>
    <row r="569" spans="1:2">
      <c r="A569" t="str">
        <v>Danilo Teixeira</v>
      </c>
      <c r="B569">
        <v>2175.79</v>
      </c>
    </row>
    <row r="570" spans="1:2">
      <c r="A570" t="str">
        <v>Daniel Azevedo</v>
      </c>
      <c r="B570">
        <v>996.61000000000013</v>
      </c>
    </row>
    <row r="571" spans="1:2">
      <c r="A571" t="str">
        <v>Sophia Pacheco</v>
      </c>
      <c r="B571">
        <v>1899.9</v>
      </c>
    </row>
    <row r="572" spans="1:2">
      <c r="A572" t="str">
        <v>Maya das Neves</v>
      </c>
      <c r="B572">
        <v>755.34999999999991</v>
      </c>
    </row>
    <row r="573" spans="1:2">
      <c r="A573" t="str">
        <v>Mateus Mendonça</v>
      </c>
      <c r="B573">
        <v>393.32</v>
      </c>
    </row>
    <row r="574" spans="1:2">
      <c r="A574" t="str">
        <v>Luna Cardoso</v>
      </c>
      <c r="B574">
        <v>56.24</v>
      </c>
    </row>
    <row r="575" spans="1:2">
      <c r="A575" t="str">
        <v>Dr. José Pacheco</v>
      </c>
      <c r="B575">
        <v>2198.6800000000003</v>
      </c>
    </row>
    <row r="576" spans="1:2">
      <c r="A576" t="str">
        <v>Dra. Bárbara da Luz</v>
      </c>
      <c r="B576">
        <v>511.83</v>
      </c>
    </row>
    <row r="577" spans="1:2">
      <c r="A577" t="str">
        <v>Vitor Gabriel Lima</v>
      </c>
      <c r="B577">
        <v>166.41</v>
      </c>
    </row>
    <row r="578" spans="1:2">
      <c r="A578" t="str">
        <v>Léo Aparecida</v>
      </c>
      <c r="B578">
        <v>1041.6500000000001</v>
      </c>
    </row>
    <row r="579" spans="1:2">
      <c r="A579" t="str">
        <v>Dra. Luana Jesus</v>
      </c>
      <c r="B579">
        <v>589.98</v>
      </c>
    </row>
    <row r="580" spans="1:2">
      <c r="A580" t="str">
        <v>Matteo Rezende</v>
      </c>
      <c r="B580">
        <v>628.12</v>
      </c>
    </row>
    <row r="581" spans="1:2">
      <c r="A581" t="str">
        <v>Kevin Nunes</v>
      </c>
      <c r="B581">
        <v>1289</v>
      </c>
    </row>
    <row r="582" spans="1:2">
      <c r="A582" t="str">
        <v>Aylla Jesus</v>
      </c>
      <c r="B582">
        <v>1584.47</v>
      </c>
    </row>
    <row r="583" spans="1:2">
      <c r="A583" t="str">
        <v>Alexandre da Conceição</v>
      </c>
      <c r="B583">
        <v>1714.44</v>
      </c>
    </row>
    <row r="584" spans="1:2">
      <c r="A584" t="str">
        <v>Sr. Davi Novaes</v>
      </c>
      <c r="B584">
        <v>1160.25</v>
      </c>
    </row>
    <row r="585" spans="1:2">
      <c r="A585" t="str">
        <v>Dr. José Miguel Alves</v>
      </c>
      <c r="B585">
        <v>1191.73</v>
      </c>
    </row>
    <row r="586" spans="1:2">
      <c r="A586" t="str">
        <v>Dr. Antony Cavalcanti</v>
      </c>
      <c r="B586">
        <v>1142.7299999999998</v>
      </c>
    </row>
    <row r="587" spans="1:2">
      <c r="A587" t="str">
        <v>Rhavi Guerra</v>
      </c>
      <c r="B587">
        <v>705.18999999999994</v>
      </c>
    </row>
    <row r="588" spans="1:2">
      <c r="A588" t="str">
        <v>Luana Gonçalves</v>
      </c>
      <c r="B588">
        <v>1241.04</v>
      </c>
    </row>
    <row r="589" spans="1:2">
      <c r="A589" t="str">
        <v>Rafaela Fernandes</v>
      </c>
      <c r="B589">
        <v>1800.19</v>
      </c>
    </row>
    <row r="590" spans="1:2">
      <c r="A590" t="str">
        <v>Gustavo Barbosa</v>
      </c>
      <c r="B590">
        <v>497.28</v>
      </c>
    </row>
    <row r="591" spans="1:2">
      <c r="A591" t="str">
        <v>Sr. Augusto Freitas</v>
      </c>
      <c r="B591">
        <v>159.41</v>
      </c>
    </row>
    <row r="592" spans="1:2">
      <c r="A592" t="str">
        <v>Gael Peixoto</v>
      </c>
      <c r="B592">
        <v>1462.71</v>
      </c>
    </row>
    <row r="593" spans="1:2">
      <c r="A593" t="str">
        <v>João Guilherme Costela</v>
      </c>
      <c r="B593">
        <v>1193.8599999999999</v>
      </c>
    </row>
    <row r="594" spans="1:2">
      <c r="A594" t="str">
        <v>Thales Santos</v>
      </c>
      <c r="B594">
        <v>653.69000000000005</v>
      </c>
    </row>
    <row r="595" spans="1:2">
      <c r="A595" t="str">
        <v>Mariah Cardoso</v>
      </c>
      <c r="B595">
        <v>1764.06</v>
      </c>
    </row>
    <row r="596" spans="1:2">
      <c r="A596" t="str">
        <v>Julia Pimenta</v>
      </c>
      <c r="B596">
        <v>1765.81</v>
      </c>
    </row>
    <row r="597" spans="1:2">
      <c r="A597" t="str">
        <v>Dr. Brayan Barros</v>
      </c>
      <c r="B597">
        <v>645.93999999999994</v>
      </c>
    </row>
    <row r="598" spans="1:2">
      <c r="A598" t="str">
        <v>Anna Liz Cassiano</v>
      </c>
      <c r="B598">
        <v>1018.44</v>
      </c>
    </row>
    <row r="599" spans="1:2">
      <c r="A599" t="str">
        <v>André Azevedo</v>
      </c>
      <c r="B599">
        <v>241.26999999999998</v>
      </c>
    </row>
    <row r="600" spans="1:2">
      <c r="A600" t="str">
        <v>Letícia Araújo</v>
      </c>
      <c r="B600">
        <v>807.35</v>
      </c>
    </row>
    <row r="601" spans="1:2">
      <c r="A601" t="str">
        <v>Sra. Isabella Monteiro</v>
      </c>
      <c r="B601">
        <v>665.15</v>
      </c>
    </row>
    <row r="602" spans="1:2">
      <c r="A602" t="str">
        <v>Matheus Brito</v>
      </c>
      <c r="B602">
        <v>2261.34</v>
      </c>
    </row>
    <row r="603" spans="1:2">
      <c r="A603" t="str">
        <v>Ravi Lucca Cunha</v>
      </c>
      <c r="B603">
        <v>36.76</v>
      </c>
    </row>
    <row r="604" spans="1:2">
      <c r="A604" t="str">
        <v>Valentim Siqueira</v>
      </c>
      <c r="B604">
        <v>1192.75</v>
      </c>
    </row>
    <row r="605" spans="1:2">
      <c r="A605" t="str">
        <v>Miguel Moreira</v>
      </c>
      <c r="B605">
        <v>482.61</v>
      </c>
    </row>
    <row r="606" spans="1:2">
      <c r="A606" t="str">
        <v>Sra. Clarice Fernandes</v>
      </c>
      <c r="B606">
        <v>753.69999999999993</v>
      </c>
    </row>
    <row r="607" spans="1:2">
      <c r="A607" t="str">
        <v>Davi Miguel Moreira</v>
      </c>
      <c r="B607">
        <v>1135.3</v>
      </c>
    </row>
    <row r="608" spans="1:2">
      <c r="A608" t="str">
        <v>Ravi Lucca da Conceição</v>
      </c>
      <c r="B608">
        <v>1310.25</v>
      </c>
    </row>
    <row r="609" spans="1:2">
      <c r="A609" t="str">
        <v>Benjamim Pastor</v>
      </c>
      <c r="B609">
        <v>1172.05</v>
      </c>
    </row>
    <row r="610" spans="1:2">
      <c r="A610" t="str">
        <v>Alana Porto</v>
      </c>
      <c r="B610">
        <v>805.57999999999993</v>
      </c>
    </row>
    <row r="611" spans="1:2">
      <c r="A611" t="str">
        <v>Vitor Gabriel Campos</v>
      </c>
      <c r="B611">
        <v>857.73</v>
      </c>
    </row>
    <row r="612" spans="1:2">
      <c r="A612" t="str">
        <v>Isaque Gonçalves</v>
      </c>
      <c r="B612">
        <v>968.97</v>
      </c>
    </row>
    <row r="613" spans="1:2">
      <c r="A613" t="str">
        <v>Lucca Moura</v>
      </c>
      <c r="B613">
        <v>944.24999999999989</v>
      </c>
    </row>
    <row r="614" spans="1:2">
      <c r="A614" t="str">
        <v>Enzo Gabriel Cardoso</v>
      </c>
      <c r="B614">
        <v>263.01</v>
      </c>
    </row>
    <row r="615" spans="1:2">
      <c r="A615" t="str">
        <v>Dr. Benício Macedo</v>
      </c>
      <c r="B615">
        <v>886.9</v>
      </c>
    </row>
    <row r="616" spans="1:2">
      <c r="A616" t="str">
        <v>Antônio Rios</v>
      </c>
      <c r="B616">
        <v>1105.8900000000001</v>
      </c>
    </row>
    <row r="617" spans="1:2">
      <c r="A617" t="str">
        <v>Ana Melo</v>
      </c>
      <c r="B617">
        <v>1197.0900000000001</v>
      </c>
    </row>
    <row r="618" spans="1:2">
      <c r="A618" t="str">
        <v>Alana Peixoto</v>
      </c>
      <c r="B618">
        <v>623.61</v>
      </c>
    </row>
    <row r="619" spans="1:2">
      <c r="A619" t="str">
        <v>Rafael Silveira</v>
      </c>
      <c r="B619">
        <v>84.76</v>
      </c>
    </row>
    <row r="620" spans="1:2">
      <c r="A620" t="str">
        <v>José Pedro Vargas</v>
      </c>
      <c r="B620">
        <v>467.12</v>
      </c>
    </row>
    <row r="621" spans="1:2">
      <c r="A621" t="str">
        <v>Pedro Miguel da Costa</v>
      </c>
      <c r="B621">
        <v>2431.0499999999997</v>
      </c>
    </row>
    <row r="622" spans="1:2">
      <c r="A622" t="str">
        <v>Bernardo Aragão</v>
      </c>
      <c r="B622">
        <v>630.56999999999994</v>
      </c>
    </row>
    <row r="623" spans="1:2">
      <c r="A623" t="str">
        <v>Sr. Marcelo Sales</v>
      </c>
      <c r="B623">
        <v>172.29</v>
      </c>
    </row>
    <row r="624" spans="1:2">
      <c r="A624" t="str">
        <v>Amanda Cassiano</v>
      </c>
      <c r="B624">
        <v>374.96999999999997</v>
      </c>
    </row>
    <row r="625" spans="1:2">
      <c r="A625" t="str">
        <v>Maria Eduarda Dias</v>
      </c>
      <c r="B625">
        <v>975.6400000000001</v>
      </c>
    </row>
    <row r="626" spans="1:2">
      <c r="A626" t="str">
        <v>Dr. Cauã Câmara</v>
      </c>
      <c r="B626">
        <v>50.28</v>
      </c>
    </row>
    <row r="627" spans="1:2">
      <c r="A627" t="str">
        <v>Breno Mendonça</v>
      </c>
      <c r="B627">
        <v>1966.12</v>
      </c>
    </row>
    <row r="628" spans="1:2">
      <c r="A628" t="str">
        <v>Murilo da Cunha</v>
      </c>
      <c r="B628">
        <v>933.55</v>
      </c>
    </row>
    <row r="629" spans="1:2">
      <c r="A629" t="str">
        <v>Ana Laura Rios</v>
      </c>
      <c r="B629">
        <v>31.400000000000002</v>
      </c>
    </row>
    <row r="630" spans="1:2">
      <c r="A630" t="str">
        <v>Luísa Cirino</v>
      </c>
      <c r="B630">
        <v>1377.22</v>
      </c>
    </row>
    <row r="631" spans="1:2">
      <c r="A631" t="str">
        <v>Lavínia Moreira</v>
      </c>
      <c r="B631">
        <v>997.52</v>
      </c>
    </row>
    <row r="632" spans="1:2">
      <c r="A632" t="str">
        <v>Maitê Novaes</v>
      </c>
      <c r="B632">
        <v>1050.1400000000001</v>
      </c>
    </row>
    <row r="633" spans="1:2">
      <c r="A633" t="str">
        <v>Nicole Pastor</v>
      </c>
      <c r="B633">
        <v>397.35</v>
      </c>
    </row>
    <row r="634" spans="1:2">
      <c r="A634" t="str">
        <v>Mateus Aparecida</v>
      </c>
      <c r="B634">
        <v>743.06000000000006</v>
      </c>
    </row>
    <row r="635" spans="1:2">
      <c r="A635" t="str">
        <v>Luísa da Mata</v>
      </c>
      <c r="B635">
        <v>2182.87</v>
      </c>
    </row>
    <row r="636" spans="1:2">
      <c r="A636" t="str">
        <v>Ravy Fogaça</v>
      </c>
      <c r="B636">
        <v>183.93</v>
      </c>
    </row>
    <row r="637" spans="1:2">
      <c r="A637" t="str">
        <v>Maria Luísa Castro</v>
      </c>
      <c r="B637">
        <v>967.22</v>
      </c>
    </row>
    <row r="638" spans="1:2">
      <c r="A638" t="str">
        <v>Thiago Nascimento</v>
      </c>
      <c r="B638">
        <v>778.04</v>
      </c>
    </row>
    <row r="639" spans="1:2">
      <c r="A639" t="str">
        <v>Henry Brito</v>
      </c>
      <c r="B639">
        <v>1152.6599999999999</v>
      </c>
    </row>
    <row r="640" spans="1:2">
      <c r="A640" t="str">
        <v>Ana Liz Casa Grande</v>
      </c>
      <c r="B640">
        <v>544.82000000000005</v>
      </c>
    </row>
    <row r="641" spans="1:2">
      <c r="A641" t="str">
        <v>Ester Alves</v>
      </c>
      <c r="B641">
        <v>3204.7799999999997</v>
      </c>
    </row>
    <row r="642" spans="1:2">
      <c r="A642" t="str">
        <v>Luiz Felipe Pastor</v>
      </c>
      <c r="B642">
        <v>852.84999999999991</v>
      </c>
    </row>
    <row r="643" spans="1:2">
      <c r="A643" t="str">
        <v>Sabrina Brito</v>
      </c>
      <c r="B643">
        <v>491.98999999999995</v>
      </c>
    </row>
    <row r="644" spans="1:2">
      <c r="A644" t="str">
        <v>Cecília Aragão</v>
      </c>
      <c r="B644">
        <v>646.24</v>
      </c>
    </row>
    <row r="645" spans="1:2">
      <c r="A645" t="str">
        <v>Sra. Olivia Garcia</v>
      </c>
      <c r="B645">
        <v>35.11</v>
      </c>
    </row>
    <row r="646" spans="1:2">
      <c r="A646" t="str">
        <v>Isabel Farias</v>
      </c>
      <c r="B646">
        <v>728.71</v>
      </c>
    </row>
    <row r="647" spans="1:2">
      <c r="A647" t="str">
        <v>Arthur Gabriel Cardoso</v>
      </c>
      <c r="B647">
        <v>469.76</v>
      </c>
    </row>
    <row r="648" spans="1:2">
      <c r="A648" t="str">
        <v>Dr. Luan Mendes</v>
      </c>
      <c r="B648">
        <v>1830.84</v>
      </c>
    </row>
    <row r="649" spans="1:2">
      <c r="A649" t="str">
        <v>Dra. Maria Vargas</v>
      </c>
      <c r="B649">
        <v>2126.1799999999998</v>
      </c>
    </row>
    <row r="650" spans="1:2">
      <c r="A650" t="str">
        <v>Maria Clara Andrade</v>
      </c>
      <c r="B650">
        <v>379.38</v>
      </c>
    </row>
    <row r="651" spans="1:2">
      <c r="A651" t="str">
        <v>João Lucas Caldeira</v>
      </c>
      <c r="B651">
        <v>833.7</v>
      </c>
    </row>
    <row r="652" spans="1:2">
      <c r="A652" t="str">
        <v>Emilly Silva</v>
      </c>
      <c r="B652">
        <v>700.7</v>
      </c>
    </row>
    <row r="653" spans="1:2">
      <c r="A653" t="str">
        <v>Dr. Leandro Moreira</v>
      </c>
      <c r="B653">
        <v>479.19000000000005</v>
      </c>
    </row>
    <row r="654" spans="1:2">
      <c r="A654" t="str">
        <v>Maria Eduarda Monteiro</v>
      </c>
      <c r="B654">
        <v>985.91000000000008</v>
      </c>
    </row>
    <row r="655" spans="1:2">
      <c r="A655" t="str">
        <v>Dr. Bruno Gomes</v>
      </c>
      <c r="B655">
        <v>223.38</v>
      </c>
    </row>
    <row r="656" spans="1:2">
      <c r="A656" t="str">
        <v>Olívia Mendonça</v>
      </c>
      <c r="B656">
        <v>187.76</v>
      </c>
    </row>
    <row r="657" spans="1:2">
      <c r="A657" t="str">
        <v>Marcela da Cruz</v>
      </c>
      <c r="B657">
        <v>971.13</v>
      </c>
    </row>
    <row r="658" spans="1:2">
      <c r="A658" t="str">
        <v>Alexandre Brito</v>
      </c>
      <c r="B658">
        <v>1287.9299999999998</v>
      </c>
    </row>
    <row r="659" spans="1:2">
      <c r="A659" t="str">
        <v>Yasmin Pereira</v>
      </c>
      <c r="B659">
        <v>828.80000000000007</v>
      </c>
    </row>
    <row r="660" spans="1:2">
      <c r="A660" t="str">
        <v>Rhavi Alves</v>
      </c>
      <c r="B660">
        <v>1513.3</v>
      </c>
    </row>
    <row r="661" spans="1:2">
      <c r="A661" t="str">
        <v>Davi Lucca Macedo</v>
      </c>
      <c r="B661">
        <v>147.69</v>
      </c>
    </row>
    <row r="662" spans="1:2">
      <c r="A662" t="str">
        <v>Isadora Lopes</v>
      </c>
      <c r="B662">
        <v>462.53999999999996</v>
      </c>
    </row>
    <row r="663" spans="1:2">
      <c r="A663" t="str">
        <v>Dr. Nicolas Novaes</v>
      </c>
      <c r="B663">
        <v>951.8</v>
      </c>
    </row>
    <row r="664" spans="1:2">
      <c r="A664" t="str">
        <v>Sr. Otto Barbosa</v>
      </c>
      <c r="B664">
        <v>74.58</v>
      </c>
    </row>
    <row r="665" spans="1:2">
      <c r="A665" t="str">
        <v>Nicolas Ribeiro</v>
      </c>
      <c r="B665">
        <v>1887.87</v>
      </c>
    </row>
    <row r="666" spans="1:2">
      <c r="A666" t="str">
        <v>Sra. Ana Lívia Porto</v>
      </c>
      <c r="B666">
        <v>827.54</v>
      </c>
    </row>
    <row r="667" spans="1:2">
      <c r="A667" t="str">
        <v>Alice Guerra</v>
      </c>
      <c r="B667">
        <v>1119.19</v>
      </c>
    </row>
    <row r="668" spans="1:2">
      <c r="A668" t="str">
        <v>Nathan Guerra</v>
      </c>
      <c r="B668">
        <v>3.06</v>
      </c>
    </row>
    <row r="669" spans="1:2">
      <c r="A669" t="str">
        <v>Maria Sophia Moreira</v>
      </c>
      <c r="B669">
        <v>649.63</v>
      </c>
    </row>
    <row r="670" spans="1:2">
      <c r="A670" t="str">
        <v>Marcela Novais</v>
      </c>
      <c r="B670">
        <v>1488.6100000000001</v>
      </c>
    </row>
    <row r="671" spans="1:2">
      <c r="A671" t="str">
        <v>Joana Silveira</v>
      </c>
      <c r="B671">
        <v>61.08</v>
      </c>
    </row>
    <row r="672" spans="1:2">
      <c r="A672" t="str">
        <v>Vinícius Dias</v>
      </c>
      <c r="B672">
        <v>383.14</v>
      </c>
    </row>
    <row r="673" spans="1:2">
      <c r="A673" t="str">
        <v>Sophia Garcia</v>
      </c>
      <c r="B673">
        <v>242.36</v>
      </c>
    </row>
    <row r="674" spans="1:2">
      <c r="A674" t="str">
        <v>Joana Novais</v>
      </c>
      <c r="B674">
        <v>710.4</v>
      </c>
    </row>
    <row r="675" spans="1:2">
      <c r="A675" t="str">
        <v>Léo Ferreira</v>
      </c>
      <c r="B675">
        <v>147.63</v>
      </c>
    </row>
    <row r="676" spans="1:2">
      <c r="A676" t="str">
        <v>Heitor Dias</v>
      </c>
      <c r="B676">
        <v>111.19999999999999</v>
      </c>
    </row>
    <row r="677" spans="1:2">
      <c r="A677" t="str">
        <v>Ana Carolina Abreu</v>
      </c>
      <c r="B677">
        <v>112.31</v>
      </c>
    </row>
    <row r="678" spans="1:2">
      <c r="A678" t="str">
        <v>Hellena Silveira</v>
      </c>
      <c r="B678">
        <v>208.08</v>
      </c>
    </row>
    <row r="679" spans="1:2">
      <c r="A679" t="str">
        <v>Ana Clara Ferreira</v>
      </c>
      <c r="B679">
        <v>158.33000000000001</v>
      </c>
    </row>
    <row r="680" spans="1:2">
      <c r="A680" t="str">
        <v>Gabrielly Sousa</v>
      </c>
      <c r="B680">
        <v>557.76</v>
      </c>
    </row>
    <row r="681" spans="1:2">
      <c r="A681" t="str">
        <v>Apollo Pastor</v>
      </c>
      <c r="B681">
        <v>459.54</v>
      </c>
    </row>
    <row r="682" spans="1:2">
      <c r="A682" t="str">
        <v>Lavínia Sousa</v>
      </c>
      <c r="B682">
        <v>2289.2400000000002</v>
      </c>
    </row>
    <row r="683" spans="1:2">
      <c r="A683" t="str">
        <v>Rebeca Melo</v>
      </c>
      <c r="B683">
        <v>1179.3800000000001</v>
      </c>
    </row>
    <row r="684" spans="1:2">
      <c r="A684" t="str">
        <v>Luiz Fernando Cassiano</v>
      </c>
      <c r="B684">
        <v>963.81999999999994</v>
      </c>
    </row>
    <row r="685" spans="1:2">
      <c r="A685" t="str">
        <v>Luiza Barbosa</v>
      </c>
      <c r="B685">
        <v>167.76999999999998</v>
      </c>
    </row>
    <row r="686" spans="1:2">
      <c r="A686" t="str">
        <v>Davi Lucas da Cruz</v>
      </c>
      <c r="B686">
        <v>2926.1499999999996</v>
      </c>
    </row>
    <row r="687" spans="1:2">
      <c r="A687" t="str">
        <v>Henry Gabriel Vieira</v>
      </c>
      <c r="B687">
        <v>2436.58</v>
      </c>
    </row>
    <row r="688" spans="1:2">
      <c r="A688" t="str">
        <v>Vitor Hugo Cirino</v>
      </c>
      <c r="B688">
        <v>1445.27</v>
      </c>
    </row>
    <row r="689" spans="1:2">
      <c r="A689" t="str">
        <v>João Miguel Azevedo</v>
      </c>
      <c r="B689">
        <v>743.86</v>
      </c>
    </row>
    <row r="690" spans="1:2">
      <c r="A690" t="str">
        <v>Maria Helena Sales</v>
      </c>
      <c r="B690">
        <v>338.1</v>
      </c>
    </row>
    <row r="691" spans="1:2">
      <c r="A691" t="str">
        <v>Maria Laura Cunha</v>
      </c>
      <c r="B691">
        <v>773.79</v>
      </c>
    </row>
    <row r="692" spans="1:2">
      <c r="A692" t="str">
        <v>Dr. Pedro Lucas Costa</v>
      </c>
      <c r="B692">
        <v>2196.1999999999998</v>
      </c>
    </row>
    <row r="693" spans="1:2">
      <c r="A693" t="str">
        <v>Lara Freitas</v>
      </c>
      <c r="B693">
        <v>525.65000000000009</v>
      </c>
    </row>
    <row r="694" spans="1:2">
      <c r="A694" t="str">
        <v>Isaque Cunha</v>
      </c>
      <c r="B694">
        <v>791.53</v>
      </c>
    </row>
    <row r="695" spans="1:2">
      <c r="A695" t="str">
        <v>Dr. Eduardo Novais</v>
      </c>
      <c r="B695">
        <v>30.58</v>
      </c>
    </row>
    <row r="696" spans="1:2">
      <c r="A696" t="str">
        <v>Luara Sampaio</v>
      </c>
      <c r="B696">
        <v>166.07</v>
      </c>
    </row>
    <row r="697" spans="1:2">
      <c r="A697" t="str">
        <v>Cecilia Guerra</v>
      </c>
      <c r="B697">
        <v>2003.54</v>
      </c>
    </row>
    <row r="698" spans="1:2">
      <c r="A698" t="str">
        <v>Luísa Gomes</v>
      </c>
      <c r="B698">
        <v>1059.22</v>
      </c>
    </row>
    <row r="699" spans="1:2">
      <c r="A699" t="str">
        <v>Sr. Juan Cardoso</v>
      </c>
      <c r="B699">
        <v>760.84</v>
      </c>
    </row>
    <row r="700" spans="1:2">
      <c r="A700" t="str">
        <v>Dra. Ana Luiza Cavalcante</v>
      </c>
      <c r="B700">
        <v>315.90000000000003</v>
      </c>
    </row>
    <row r="701" spans="1:2">
      <c r="A701" t="str">
        <v>Leonardo Cardoso</v>
      </c>
      <c r="B701">
        <v>1243.17</v>
      </c>
    </row>
    <row r="702" spans="1:2">
      <c r="A702" t="str">
        <v>Davi Luiz Pastor</v>
      </c>
      <c r="B702">
        <v>130.16</v>
      </c>
    </row>
    <row r="703" spans="1:2">
      <c r="A703" t="str">
        <v>Ayla Martins</v>
      </c>
      <c r="B703">
        <v>440.85</v>
      </c>
    </row>
    <row r="704" spans="1:2">
      <c r="A704" t="str">
        <v>Pedro Henrique Costela</v>
      </c>
      <c r="B704">
        <v>476.71999999999997</v>
      </c>
    </row>
    <row r="705" spans="1:2">
      <c r="A705" t="str">
        <v>Milena Sales</v>
      </c>
      <c r="B705">
        <v>907.66000000000008</v>
      </c>
    </row>
    <row r="706" spans="1:2">
      <c r="A706" t="str">
        <v>Sra. Ísis Pacheco</v>
      </c>
      <c r="B706">
        <v>266.06</v>
      </c>
    </row>
    <row r="707" spans="1:2">
      <c r="A707" t="str">
        <v>Vitor Monteiro</v>
      </c>
      <c r="B707">
        <v>191.2</v>
      </c>
    </row>
    <row r="708" spans="1:2">
      <c r="A708" t="str">
        <v>Dra. Clarice Peixoto</v>
      </c>
      <c r="B708">
        <v>680.84999999999991</v>
      </c>
    </row>
    <row r="709" spans="1:2">
      <c r="A709" t="str">
        <v>Sara Leão</v>
      </c>
      <c r="B709">
        <v>255.92000000000002</v>
      </c>
    </row>
    <row r="710" spans="1:2">
      <c r="A710" t="str">
        <v>Dr. Heitor Vieira</v>
      </c>
      <c r="B710">
        <v>224.79000000000002</v>
      </c>
    </row>
    <row r="711" spans="1:2">
      <c r="A711" t="str">
        <v>Cecília Cardoso</v>
      </c>
      <c r="B711">
        <v>1338.2</v>
      </c>
    </row>
    <row r="712" spans="1:2">
      <c r="A712" t="str">
        <v>Srta. Marina Sá</v>
      </c>
      <c r="B712">
        <v>742.68</v>
      </c>
    </row>
    <row r="713" spans="1:2">
      <c r="A713" t="str">
        <v>Caroline Pires</v>
      </c>
      <c r="B713">
        <v>3242.11</v>
      </c>
    </row>
    <row r="714" spans="1:2">
      <c r="A714" t="str">
        <v>Evelyn Fonseca</v>
      </c>
      <c r="B714">
        <v>593.47</v>
      </c>
    </row>
    <row r="715" spans="1:2">
      <c r="A715" t="str">
        <v>Cecilia Souza</v>
      </c>
      <c r="B715">
        <v>404.94999999999993</v>
      </c>
    </row>
    <row r="716" spans="1:2">
      <c r="A716" t="str">
        <v>Zoe Correia</v>
      </c>
      <c r="B716">
        <v>1167.25</v>
      </c>
    </row>
    <row r="717" spans="1:2">
      <c r="A717" t="str">
        <v>José Miguel Vieira</v>
      </c>
      <c r="B717">
        <v>2380.3200000000002</v>
      </c>
    </row>
    <row r="718" spans="1:2">
      <c r="A718" t="str">
        <v>Maria Vitória Rodrigues</v>
      </c>
      <c r="B718">
        <v>478.1</v>
      </c>
    </row>
    <row r="719" spans="1:2">
      <c r="A719" t="str">
        <v>Clara Andrade</v>
      </c>
      <c r="B719">
        <v>324.35000000000002</v>
      </c>
    </row>
    <row r="720" spans="1:2">
      <c r="A720" t="str">
        <v>Isabel Pereira</v>
      </c>
      <c r="B720">
        <v>698.51</v>
      </c>
    </row>
    <row r="721" spans="1:2">
      <c r="A721" t="str">
        <v>Sr. Noah Moraes</v>
      </c>
      <c r="B721">
        <v>211.38</v>
      </c>
    </row>
    <row r="722" spans="1:2">
      <c r="A722" t="str">
        <v>Vicente Rocha</v>
      </c>
      <c r="B722">
        <v>924.84</v>
      </c>
    </row>
    <row r="723" spans="1:2">
      <c r="A723" t="str">
        <v>Rael Dias</v>
      </c>
      <c r="B723">
        <v>1181.82</v>
      </c>
    </row>
    <row r="724" spans="1:2">
      <c r="A724" t="str">
        <v>Dra. Alícia Andrade</v>
      </c>
      <c r="B724">
        <v>1461.8000000000002</v>
      </c>
    </row>
    <row r="725" spans="1:2">
      <c r="A725" t="str">
        <v>Mariana Casa Grande</v>
      </c>
      <c r="B725">
        <v>635.69000000000005</v>
      </c>
    </row>
    <row r="726" spans="1:2">
      <c r="A726" t="str">
        <v>Ana Siqueira</v>
      </c>
      <c r="B726">
        <v>1114.01</v>
      </c>
    </row>
    <row r="727" spans="1:2">
      <c r="A727" t="str">
        <v>Caleb Correia</v>
      </c>
      <c r="B727">
        <v>104.9</v>
      </c>
    </row>
    <row r="728" spans="1:2">
      <c r="A728" t="str">
        <v>Luiz Felipe Albuquerque</v>
      </c>
      <c r="B728">
        <v>959.93000000000006</v>
      </c>
    </row>
    <row r="729" spans="1:2">
      <c r="A729" t="str">
        <v>Evelyn Silva</v>
      </c>
      <c r="B729">
        <v>1041.6199999999999</v>
      </c>
    </row>
    <row r="730" spans="1:2">
      <c r="A730" t="str">
        <v>Maria Julia Viana</v>
      </c>
      <c r="B730">
        <v>1965.3899999999999</v>
      </c>
    </row>
    <row r="731" spans="1:2">
      <c r="A731" t="str">
        <v>Cauã Cavalcanti</v>
      </c>
      <c r="B731">
        <v>1055.42</v>
      </c>
    </row>
    <row r="732" spans="1:2">
      <c r="A732" t="str">
        <v>Amanda Pimenta</v>
      </c>
      <c r="B732">
        <v>1112.27</v>
      </c>
    </row>
    <row r="733" spans="1:2">
      <c r="A733" t="str">
        <v>Marcela Silva</v>
      </c>
      <c r="B733">
        <v>376.1</v>
      </c>
    </row>
    <row r="734" spans="1:2">
      <c r="A734" t="str">
        <v>Nicolas Gonçalves</v>
      </c>
      <c r="B734">
        <v>254.54999999999998</v>
      </c>
    </row>
    <row r="735" spans="1:2">
      <c r="A735" t="str">
        <v>Cecilia da Conceição</v>
      </c>
      <c r="B735">
        <v>264.66999999999996</v>
      </c>
    </row>
    <row r="736" spans="1:2">
      <c r="A736" t="str">
        <v>Dra. Cecilia Aragão</v>
      </c>
      <c r="B736">
        <v>776.56</v>
      </c>
    </row>
    <row r="737" spans="1:2">
      <c r="A737" t="str">
        <v>Isabelly Abreu</v>
      </c>
      <c r="B737">
        <v>13.600000000000001</v>
      </c>
    </row>
    <row r="738" spans="1:2">
      <c r="A738" t="str">
        <v>Isabel Lopes</v>
      </c>
      <c r="B738">
        <v>64.55</v>
      </c>
    </row>
    <row r="739" spans="1:2">
      <c r="A739" t="str">
        <v>Benicio da Mota</v>
      </c>
      <c r="B739">
        <v>1671.48</v>
      </c>
    </row>
    <row r="740" spans="1:2">
      <c r="A740" t="str">
        <v>Maria Laura Dias</v>
      </c>
      <c r="B740">
        <v>468.57</v>
      </c>
    </row>
    <row r="741" spans="1:2">
      <c r="A741" t="str">
        <v>Augusto Novaes</v>
      </c>
      <c r="B741">
        <v>301.73</v>
      </c>
    </row>
    <row r="742" spans="1:2">
      <c r="A742" t="str">
        <v>Joana da Conceição</v>
      </c>
      <c r="B742">
        <v>221.86</v>
      </c>
    </row>
    <row r="743" spans="1:2">
      <c r="A743" t="str">
        <v>Otto Barbosa</v>
      </c>
      <c r="B743">
        <v>1614.58</v>
      </c>
    </row>
    <row r="744" spans="1:2">
      <c r="A744" t="str">
        <v>Bella Fernandes</v>
      </c>
      <c r="B744">
        <v>349.26</v>
      </c>
    </row>
    <row r="745" spans="1:2">
      <c r="A745" t="str">
        <v>Otto Castro</v>
      </c>
      <c r="B745">
        <v>468.69000000000005</v>
      </c>
    </row>
    <row r="746" spans="1:2">
      <c r="A746" t="str">
        <v>Samuel Barros</v>
      </c>
      <c r="B746">
        <v>555.65</v>
      </c>
    </row>
    <row r="747" spans="1:2">
      <c r="A747" t="str">
        <v>Pietra das Neves</v>
      </c>
      <c r="B747">
        <v>11.49</v>
      </c>
    </row>
    <row r="748" spans="1:2">
      <c r="A748" t="str">
        <v>Maria Luiza das Neves</v>
      </c>
      <c r="B748">
        <v>881.53</v>
      </c>
    </row>
    <row r="749" spans="1:2">
      <c r="A749" t="str">
        <v>Benjamim Pires</v>
      </c>
      <c r="B749">
        <v>164.6</v>
      </c>
    </row>
    <row r="750" spans="1:2">
      <c r="A750" t="str">
        <v>Pedro Henrique Pastor</v>
      </c>
      <c r="B750">
        <v>986.3</v>
      </c>
    </row>
    <row r="751" spans="1:2">
      <c r="A751" t="str">
        <v>Dra. Ana Lívia da Mota</v>
      </c>
      <c r="B751">
        <v>1192.9099999999999</v>
      </c>
    </row>
    <row r="752" spans="1:2">
      <c r="A752" t="str">
        <v>Dr. Luiz Felipe Fogaça</v>
      </c>
      <c r="B752">
        <v>1478.31</v>
      </c>
    </row>
    <row r="753" spans="1:2">
      <c r="A753" t="str">
        <v>Noah Pereira</v>
      </c>
      <c r="B753">
        <v>1310.49</v>
      </c>
    </row>
    <row r="754" spans="1:2">
      <c r="A754" t="str">
        <v>Otto Montenegro</v>
      </c>
      <c r="B754">
        <v>615.81000000000006</v>
      </c>
    </row>
    <row r="755" spans="1:2">
      <c r="A755" t="str">
        <v>Sophia Costa</v>
      </c>
      <c r="B755">
        <v>885.22</v>
      </c>
    </row>
    <row r="756" spans="1:2">
      <c r="A756" t="str">
        <v>Sr. Ryan Brito</v>
      </c>
      <c r="B756">
        <v>485.62</v>
      </c>
    </row>
    <row r="757" spans="1:2">
      <c r="A757" t="str">
        <v>Benjamim Rios</v>
      </c>
      <c r="B757">
        <v>881.32999999999993</v>
      </c>
    </row>
    <row r="758" spans="1:2">
      <c r="A758" t="str">
        <v>Paulo Rocha</v>
      </c>
      <c r="B758">
        <v>1469.06</v>
      </c>
    </row>
    <row r="759" spans="1:2">
      <c r="A759" t="str">
        <v>Caio Barbosa</v>
      </c>
      <c r="B759">
        <v>596.91999999999996</v>
      </c>
    </row>
    <row r="760" spans="1:2">
      <c r="A760" t="str">
        <v>Laís Cavalcante</v>
      </c>
      <c r="B760">
        <v>29.19</v>
      </c>
    </row>
    <row r="761" spans="1:2">
      <c r="A761" t="str">
        <v>Srta. Elisa Almeida</v>
      </c>
      <c r="B761">
        <v>1048.1300000000001</v>
      </c>
    </row>
    <row r="762" spans="1:2">
      <c r="A762" t="str">
        <v>Pedro Lucas Teixeira</v>
      </c>
      <c r="B762">
        <v>1095.05</v>
      </c>
    </row>
    <row r="763" spans="1:2">
      <c r="A763" t="str">
        <v>Levi Câmara</v>
      </c>
      <c r="B763">
        <v>2850.12</v>
      </c>
    </row>
    <row r="764" spans="1:2">
      <c r="A764" t="str">
        <v>Luiz Felipe Vieira</v>
      </c>
      <c r="B764">
        <v>824.63999999999987</v>
      </c>
    </row>
    <row r="765" spans="1:2">
      <c r="A765" t="str">
        <v>Emilly Araújo</v>
      </c>
      <c r="B765">
        <v>3959.8300000000004</v>
      </c>
    </row>
    <row r="766" spans="1:2">
      <c r="A766" t="str">
        <v>Dr. Bento Pinto</v>
      </c>
      <c r="B766">
        <v>360.09999999999997</v>
      </c>
    </row>
    <row r="767" spans="1:2">
      <c r="A767" t="str">
        <v>Clara Albuquerque</v>
      </c>
      <c r="B767">
        <v>1548.4600000000003</v>
      </c>
    </row>
    <row r="768" spans="1:2">
      <c r="A768" t="str">
        <v>Heloisa Mendes</v>
      </c>
      <c r="B768">
        <v>230.27</v>
      </c>
    </row>
    <row r="769" spans="1:2">
      <c r="A769" t="str">
        <v>Dra. Ana Lívia Cavalcante</v>
      </c>
      <c r="B769">
        <v>361.73</v>
      </c>
    </row>
    <row r="770" spans="1:2">
      <c r="A770" t="str">
        <v>Levi Caldeira</v>
      </c>
      <c r="B770">
        <v>732.34</v>
      </c>
    </row>
    <row r="771" spans="1:2">
      <c r="A771" t="str">
        <v>Lívia Dias</v>
      </c>
      <c r="B771">
        <v>173.88</v>
      </c>
    </row>
    <row r="772" spans="1:2">
      <c r="A772" t="str">
        <v>Raquel Cavalcanti</v>
      </c>
      <c r="B772">
        <v>2063.81</v>
      </c>
    </row>
    <row r="773" spans="1:2">
      <c r="A773" t="str">
        <v>Ravi Caldeira</v>
      </c>
      <c r="B773">
        <v>220.85</v>
      </c>
    </row>
    <row r="774" spans="1:2">
      <c r="A774" t="str">
        <v>Isaque Farias</v>
      </c>
      <c r="B774">
        <v>1114.48</v>
      </c>
    </row>
    <row r="775" spans="1:2">
      <c r="A775" t="str">
        <v>Maysa Fogaça</v>
      </c>
      <c r="B775">
        <v>1274.94</v>
      </c>
    </row>
    <row r="776" spans="1:2">
      <c r="A776" t="str">
        <v>Sra. Fernanda Costela</v>
      </c>
      <c r="B776">
        <v>1105.6399999999999</v>
      </c>
    </row>
    <row r="777" spans="1:2">
      <c r="A777" t="str">
        <v>Emanuella Nascimento</v>
      </c>
      <c r="B777">
        <v>1479.2700000000002</v>
      </c>
    </row>
    <row r="778" spans="1:2">
      <c r="A778" t="str">
        <v>Luiz Felipe Gonçalves</v>
      </c>
      <c r="B778">
        <v>89.59</v>
      </c>
    </row>
    <row r="779" spans="1:2">
      <c r="A779" t="str">
        <v>Clara Pimenta</v>
      </c>
      <c r="B779">
        <v>1083.29</v>
      </c>
    </row>
    <row r="780" spans="1:2">
      <c r="A780" t="str">
        <v>Sra. Jade Albuquerque</v>
      </c>
      <c r="B780">
        <v>111.13</v>
      </c>
    </row>
    <row r="781" spans="1:2">
      <c r="A781" t="str">
        <v>Rodrigo Machado</v>
      </c>
      <c r="B781">
        <v>357.40000000000003</v>
      </c>
    </row>
    <row r="782" spans="1:2">
      <c r="A782" t="str">
        <v>Stephany Castro</v>
      </c>
      <c r="B782">
        <v>552.62999999999988</v>
      </c>
    </row>
    <row r="783" spans="1:2">
      <c r="A783" t="str">
        <v>Rebeca Gonçalves</v>
      </c>
      <c r="B783">
        <v>229.09</v>
      </c>
    </row>
    <row r="784" spans="1:2">
      <c r="A784" t="str">
        <v>Calebe Rocha</v>
      </c>
      <c r="B784">
        <v>1572.2600000000002</v>
      </c>
    </row>
    <row r="785" spans="1:2">
      <c r="A785" t="str">
        <v>Vinicius da Luz</v>
      </c>
      <c r="B785">
        <v>1002.4</v>
      </c>
    </row>
    <row r="786" spans="1:2">
      <c r="A786" t="str">
        <v>Bryan Cavalcanti</v>
      </c>
      <c r="B786">
        <v>825.06999999999994</v>
      </c>
    </row>
    <row r="787" spans="1:2">
      <c r="A787" t="str">
        <v>Davi Luiz Carvalho</v>
      </c>
      <c r="B787">
        <v>397.28</v>
      </c>
    </row>
    <row r="788" spans="1:2">
      <c r="A788" t="str">
        <v>Emilly Rodrigues</v>
      </c>
      <c r="B788">
        <v>1554.6599999999999</v>
      </c>
    </row>
    <row r="789" spans="1:2">
      <c r="A789" t="str">
        <v>João Gabriel Garcia</v>
      </c>
      <c r="B789">
        <v>601.34</v>
      </c>
    </row>
    <row r="790" spans="1:2">
      <c r="A790" t="str">
        <v>Calebe Azevedo</v>
      </c>
      <c r="B790">
        <v>425.43</v>
      </c>
    </row>
    <row r="791" spans="1:2">
      <c r="A791" t="str">
        <v>Vitor Borges</v>
      </c>
      <c r="B791">
        <v>547.91999999999996</v>
      </c>
    </row>
    <row r="792" spans="1:2">
      <c r="A792" t="str">
        <v>Dr. Guilherme Teixeira</v>
      </c>
      <c r="B792">
        <v>1582.2400000000002</v>
      </c>
    </row>
    <row r="793" spans="1:2">
      <c r="A793" t="str">
        <v>Isabela Cassiano</v>
      </c>
      <c r="B793">
        <v>1442.25</v>
      </c>
    </row>
    <row r="794" spans="1:2">
      <c r="A794" t="str">
        <v>João Vitor Lopes</v>
      </c>
      <c r="B794">
        <v>2057.0300000000002</v>
      </c>
    </row>
    <row r="795" spans="1:2">
      <c r="A795" t="str">
        <v>João Lucas Santos</v>
      </c>
      <c r="B795">
        <v>954.90000000000009</v>
      </c>
    </row>
    <row r="796" spans="1:2">
      <c r="A796" t="str">
        <v>Juan Caldeira</v>
      </c>
      <c r="B796">
        <v>749.36</v>
      </c>
    </row>
    <row r="797" spans="1:2">
      <c r="A797" t="str">
        <v>Dra. Isabela Monteiro</v>
      </c>
      <c r="B797">
        <v>1308.2299999999998</v>
      </c>
    </row>
    <row r="798" spans="1:2">
      <c r="A798" t="str">
        <v>Maria Julia da Costa</v>
      </c>
      <c r="B798">
        <v>800.9</v>
      </c>
    </row>
    <row r="799" spans="1:2">
      <c r="A799" t="str">
        <v>Luiz Felipe da Cunha</v>
      </c>
      <c r="B799">
        <v>370.90999999999997</v>
      </c>
    </row>
    <row r="800" spans="1:2">
      <c r="A800" t="str">
        <v>Léo Silveira</v>
      </c>
      <c r="B800">
        <v>792.21</v>
      </c>
    </row>
    <row r="801" spans="1:2">
      <c r="A801" t="str">
        <v>Nathan Aparecida</v>
      </c>
      <c r="B801">
        <v>1151.9100000000001</v>
      </c>
    </row>
    <row r="802" spans="1:2">
      <c r="A802" t="str">
        <v>Juan Gonçalves</v>
      </c>
      <c r="B802">
        <v>534.01</v>
      </c>
    </row>
    <row r="803" spans="1:2">
      <c r="A803" t="str">
        <v>Isaac Brito</v>
      </c>
      <c r="B803">
        <v>1909.56</v>
      </c>
    </row>
    <row r="804" spans="1:2">
      <c r="A804" t="str">
        <v>Dr. Liam Fernandes</v>
      </c>
      <c r="B804">
        <v>816.3599999999999</v>
      </c>
    </row>
    <row r="805" spans="1:2">
      <c r="A805" t="str">
        <v>Isabel Aragão</v>
      </c>
      <c r="B805">
        <v>797.6</v>
      </c>
    </row>
    <row r="806" spans="1:2">
      <c r="A806" t="str">
        <v>Dr. Vinícius Moura</v>
      </c>
      <c r="B806">
        <v>1076.53</v>
      </c>
    </row>
    <row r="807" spans="1:2">
      <c r="A807" t="str">
        <v>Bárbara Oliveira</v>
      </c>
      <c r="B807">
        <v>1840.3</v>
      </c>
    </row>
    <row r="808" spans="1:2">
      <c r="A808" t="str">
        <v>Ana Laura Machado</v>
      </c>
      <c r="B808">
        <v>1829.4</v>
      </c>
    </row>
    <row r="809" spans="1:2">
      <c r="A809" t="str">
        <v>Sra. Ayla Garcia</v>
      </c>
      <c r="B809">
        <v>1228.54</v>
      </c>
    </row>
    <row r="810" spans="1:2">
      <c r="A810" t="str">
        <v>Fernando da Rocha</v>
      </c>
      <c r="B810">
        <v>356.89</v>
      </c>
    </row>
    <row r="811" spans="1:2">
      <c r="A811" t="str">
        <v>Liam Sales</v>
      </c>
      <c r="B811">
        <v>490.53000000000003</v>
      </c>
    </row>
    <row r="812" spans="1:2">
      <c r="A812" t="str">
        <v>Vitor Barbosa</v>
      </c>
      <c r="B812">
        <v>706.94</v>
      </c>
    </row>
    <row r="813" spans="1:2">
      <c r="A813" t="str">
        <v>Sra. Mariah Vasconcelos</v>
      </c>
      <c r="B813">
        <v>344.41999999999996</v>
      </c>
    </row>
    <row r="814" spans="1:2">
      <c r="A814" t="str">
        <v>Valentim Andrade</v>
      </c>
      <c r="B814">
        <v>1045.92</v>
      </c>
    </row>
    <row r="815" spans="1:2">
      <c r="A815" t="str">
        <v>Rodrigo Teixeira</v>
      </c>
      <c r="B815">
        <v>25.46</v>
      </c>
    </row>
    <row r="816" spans="1:2">
      <c r="A816" t="str">
        <v>Milena Jesus</v>
      </c>
      <c r="B816">
        <v>684.78</v>
      </c>
    </row>
    <row r="817" spans="1:2">
      <c r="A817" t="str">
        <v>Dra. Heloísa Macedo</v>
      </c>
      <c r="B817">
        <v>1278.8999999999999</v>
      </c>
    </row>
    <row r="818" spans="1:2">
      <c r="A818" t="str">
        <v>João Miguel Ferreira</v>
      </c>
      <c r="B818">
        <v>1327.05</v>
      </c>
    </row>
    <row r="819" spans="1:2">
      <c r="A819" t="str">
        <v>João Felipe Carvalho</v>
      </c>
      <c r="B819">
        <v>59.52</v>
      </c>
    </row>
    <row r="820" spans="1:2">
      <c r="A820" t="str">
        <v>Juan Andrade</v>
      </c>
      <c r="B820">
        <v>90.42</v>
      </c>
    </row>
    <row r="821" spans="1:2">
      <c r="A821" t="str">
        <v>Carlos Eduardo Mendonça</v>
      </c>
      <c r="B821">
        <v>2296.8300000000004</v>
      </c>
    </row>
    <row r="822" spans="1:2">
      <c r="A822" t="str">
        <v>Sr. Gael Carvalho</v>
      </c>
      <c r="B822">
        <v>488.48</v>
      </c>
    </row>
    <row r="823" spans="1:2">
      <c r="A823" t="str">
        <v>Maria da Conceição</v>
      </c>
      <c r="B823">
        <v>1042.8800000000001</v>
      </c>
    </row>
    <row r="824" spans="1:2">
      <c r="A824" t="str">
        <v>Dr. Lucas Gabriel Guerra</v>
      </c>
      <c r="B824">
        <v>1018.1600000000001</v>
      </c>
    </row>
    <row r="825" spans="1:2">
      <c r="A825" t="str">
        <v>Diogo da Costa</v>
      </c>
      <c r="B825">
        <v>550.05999999999995</v>
      </c>
    </row>
    <row r="826" spans="1:2">
      <c r="A826" t="str">
        <v>Leonardo da Conceição</v>
      </c>
      <c r="B826">
        <v>90.07</v>
      </c>
    </row>
    <row r="827" spans="1:2">
      <c r="A827" t="str">
        <v>Maria Isis Ramos</v>
      </c>
      <c r="B827">
        <v>11.63</v>
      </c>
    </row>
    <row r="828" spans="1:2">
      <c r="A828" t="str">
        <v>Juan Silveira</v>
      </c>
      <c r="B828">
        <v>186.63</v>
      </c>
    </row>
    <row r="829" spans="1:2">
      <c r="A829" t="str">
        <v>Pedro Nunes</v>
      </c>
      <c r="B829">
        <v>1477.5000000000002</v>
      </c>
    </row>
    <row r="830" spans="1:2">
      <c r="A830" t="str">
        <v>Vinícius Garcia</v>
      </c>
      <c r="B830">
        <v>334.90999999999997</v>
      </c>
    </row>
    <row r="831" spans="1:2">
      <c r="A831" t="str">
        <v>Sra. Isis Pimenta</v>
      </c>
      <c r="B831">
        <v>1131.42</v>
      </c>
    </row>
    <row r="832" spans="1:2">
      <c r="A832" t="str">
        <v>Henry Gabriel da Rosa</v>
      </c>
      <c r="B832">
        <v>2394.1</v>
      </c>
    </row>
    <row r="833" spans="1:2">
      <c r="A833" t="str">
        <v>Henrique Ferreira</v>
      </c>
      <c r="B833">
        <v>347.12</v>
      </c>
    </row>
    <row r="834" spans="1:2">
      <c r="A834" t="str">
        <v>Luísa Pires</v>
      </c>
      <c r="B834">
        <v>1071.01</v>
      </c>
    </row>
    <row r="835" spans="1:2">
      <c r="A835" t="str">
        <v>Antony Carvalho</v>
      </c>
      <c r="B835">
        <v>148.53</v>
      </c>
    </row>
    <row r="836" spans="1:2">
      <c r="A836" t="str">
        <v>Dra. Ana Vitória Câmara</v>
      </c>
      <c r="B836">
        <v>890.04</v>
      </c>
    </row>
    <row r="837" spans="1:2">
      <c r="A837" t="str">
        <v>Sr. Anthony Rodrigues</v>
      </c>
      <c r="B837">
        <v>76.44</v>
      </c>
    </row>
    <row r="838" spans="1:2">
      <c r="A838" t="str">
        <v>Sr. Thales Câmara</v>
      </c>
      <c r="B838">
        <v>2051.5299999999997</v>
      </c>
    </row>
    <row r="839" spans="1:2">
      <c r="A839" t="str">
        <v>Dr. Thomas Abreu</v>
      </c>
      <c r="B839">
        <v>805.67000000000007</v>
      </c>
    </row>
    <row r="840" spans="1:2">
      <c r="A840" t="str">
        <v>Sr. Murilo Macedo</v>
      </c>
      <c r="B840">
        <v>700.13</v>
      </c>
    </row>
    <row r="841" spans="1:2">
      <c r="A841" t="str">
        <v>Yago Lima</v>
      </c>
      <c r="B841">
        <v>130.63999999999999</v>
      </c>
    </row>
    <row r="842" spans="1:2">
      <c r="A842" t="str">
        <v>Dr. Ravi Castro</v>
      </c>
      <c r="B842">
        <v>22.56</v>
      </c>
    </row>
    <row r="843" spans="1:2">
      <c r="A843" t="str">
        <v>Maitê Souza</v>
      </c>
      <c r="B843">
        <v>1307.72</v>
      </c>
    </row>
    <row r="844" spans="1:2">
      <c r="A844" t="str">
        <v>Caroline da Mata</v>
      </c>
      <c r="B844">
        <v>1224.72</v>
      </c>
    </row>
    <row r="845" spans="1:2">
      <c r="A845" t="str">
        <v>Esther da Luz</v>
      </c>
      <c r="B845">
        <v>91.42</v>
      </c>
    </row>
    <row r="846" spans="1:2">
      <c r="A846" t="str">
        <v>Dr. Enzo Gabriel Mendes</v>
      </c>
      <c r="B846">
        <v>65.760000000000005</v>
      </c>
    </row>
    <row r="847" spans="1:2">
      <c r="A847" t="str">
        <v>Vitória Sampaio</v>
      </c>
      <c r="B847">
        <v>117.32</v>
      </c>
    </row>
    <row r="848" spans="1:2">
      <c r="A848" t="str">
        <v>Théo Cardoso</v>
      </c>
      <c r="B848">
        <v>291.40000000000003</v>
      </c>
    </row>
    <row r="849" spans="1:2">
      <c r="A849" t="str">
        <v>Vitória Ribeiro</v>
      </c>
      <c r="B849">
        <v>1840.35</v>
      </c>
    </row>
    <row r="850" spans="1:2">
      <c r="A850" t="str">
        <v>Dr. Kaique Monteiro</v>
      </c>
      <c r="B850">
        <v>124.14999999999999</v>
      </c>
    </row>
    <row r="851" spans="1:2">
      <c r="A851" t="str">
        <v>Ana Vitória Guerra</v>
      </c>
      <c r="B851">
        <v>360.28</v>
      </c>
    </row>
    <row r="852" spans="1:2">
      <c r="A852" t="str">
        <v>Otávio Ribeiro</v>
      </c>
      <c r="B852">
        <v>557.6400000000001</v>
      </c>
    </row>
    <row r="853" spans="1:2">
      <c r="A853" t="str">
        <v>Dra. Ana Cecília Cavalcanti</v>
      </c>
      <c r="B853">
        <v>402.06</v>
      </c>
    </row>
    <row r="854" spans="1:2">
      <c r="A854" t="str">
        <v>José Vieira</v>
      </c>
      <c r="B854">
        <v>2257.81</v>
      </c>
    </row>
    <row r="855" spans="1:2">
      <c r="A855" t="str">
        <v>Larissa Correia</v>
      </c>
      <c r="B855">
        <v>80.94</v>
      </c>
    </row>
    <row r="856" spans="1:2">
      <c r="A856" t="str">
        <v>Ana Luiza Silveira</v>
      </c>
      <c r="B856">
        <v>58.95</v>
      </c>
    </row>
    <row r="857" spans="1:2">
      <c r="A857" t="str">
        <v>Dr. Yuri Moraes</v>
      </c>
      <c r="B857">
        <v>1561.8400000000001</v>
      </c>
    </row>
    <row r="858" spans="1:2">
      <c r="A858" t="str">
        <v>Ana Julia Pereira</v>
      </c>
      <c r="B858">
        <v>613.62</v>
      </c>
    </row>
    <row r="859" spans="1:2">
      <c r="A859" t="str">
        <v>Srta. Sarah da Cruz</v>
      </c>
      <c r="B859">
        <v>2090.3599999999997</v>
      </c>
    </row>
    <row r="860" spans="1:2">
      <c r="A860" t="str">
        <v>Juan Ramos</v>
      </c>
      <c r="B860">
        <v>550.44000000000005</v>
      </c>
    </row>
    <row r="861" spans="1:2">
      <c r="A861" t="str">
        <v>Stephany Moura</v>
      </c>
      <c r="B861">
        <v>77.58</v>
      </c>
    </row>
    <row r="862" spans="1:2">
      <c r="A862" t="str">
        <v>Otto Guerra</v>
      </c>
      <c r="B862">
        <v>1672.3200000000002</v>
      </c>
    </row>
    <row r="863" spans="1:2">
      <c r="A863" t="str">
        <v>Vitor Hugo Almeida</v>
      </c>
      <c r="B863">
        <v>59.059999999999995</v>
      </c>
    </row>
    <row r="864" spans="1:2">
      <c r="A864" t="str">
        <v>Joana da Rosa</v>
      </c>
      <c r="B864">
        <v>852.84999999999991</v>
      </c>
    </row>
    <row r="865" spans="1:2">
      <c r="A865" t="str">
        <v>Valentim Moreira</v>
      </c>
      <c r="B865">
        <v>928.64</v>
      </c>
    </row>
    <row r="866" spans="1:2">
      <c r="A866" t="str">
        <v>Srta. Maria Clara Aragão</v>
      </c>
      <c r="B866">
        <v>2107.91</v>
      </c>
    </row>
    <row r="867" spans="1:2">
      <c r="A867" t="str">
        <v>Gabrielly da Rosa</v>
      </c>
      <c r="B867">
        <v>740.19999999999993</v>
      </c>
    </row>
    <row r="868" spans="1:2">
      <c r="A868" t="str">
        <v>Lorenzo Barbosa</v>
      </c>
      <c r="B868">
        <v>616.93000000000006</v>
      </c>
    </row>
    <row r="869" spans="1:2">
      <c r="A869" t="str">
        <v>Srta. Alícia Campos</v>
      </c>
      <c r="B869">
        <v>399.6</v>
      </c>
    </row>
    <row r="870" spans="1:2">
      <c r="A870" t="str">
        <v>Dr. Vitor Gabriel Costela</v>
      </c>
      <c r="B870">
        <v>3024.0999999999995</v>
      </c>
    </row>
    <row r="871" spans="1:2">
      <c r="A871" t="str">
        <v>Hellena Cunha</v>
      </c>
      <c r="B871">
        <v>2376.42</v>
      </c>
    </row>
    <row r="872" spans="1:2">
      <c r="A872" t="str">
        <v>Dr. Benício Guerra</v>
      </c>
      <c r="B872">
        <v>1380.01</v>
      </c>
    </row>
    <row r="873" spans="1:2">
      <c r="A873" t="str">
        <v>Juan Vargas</v>
      </c>
      <c r="B873">
        <v>1103.9100000000001</v>
      </c>
    </row>
    <row r="874" spans="1:2">
      <c r="A874" t="str">
        <v>Nicolas da Mota</v>
      </c>
      <c r="B874">
        <v>677.67</v>
      </c>
    </row>
    <row r="875" spans="1:2">
      <c r="A875" t="str">
        <v>Isaque Nascimento</v>
      </c>
      <c r="B875">
        <v>286.92</v>
      </c>
    </row>
    <row r="876" spans="1:2">
      <c r="A876" t="str">
        <v>Maria Isis Leão</v>
      </c>
      <c r="B876">
        <v>61.86</v>
      </c>
    </row>
    <row r="877" spans="1:2">
      <c r="A877" t="str">
        <v>Maria Isis Cunha</v>
      </c>
      <c r="B877">
        <v>1216.7600000000002</v>
      </c>
    </row>
    <row r="878" spans="1:2">
      <c r="A878" t="str">
        <v>Maria Eduarda Vasconcelos</v>
      </c>
      <c r="B878">
        <v>346.46000000000004</v>
      </c>
    </row>
    <row r="879" spans="1:2">
      <c r="A879" t="str">
        <v>João Cirino</v>
      </c>
      <c r="B879">
        <v>693.24</v>
      </c>
    </row>
    <row r="880" spans="1:2">
      <c r="A880" t="str">
        <v>Maitê da Paz</v>
      </c>
      <c r="B880">
        <v>1447.48</v>
      </c>
    </row>
    <row r="881" spans="1:2">
      <c r="A881" t="str">
        <v>João Gabriel Moreira</v>
      </c>
      <c r="B881">
        <v>245.78</v>
      </c>
    </row>
    <row r="882" spans="1:2">
      <c r="A882" t="str">
        <v>Cauê Pastor</v>
      </c>
      <c r="B882">
        <v>510.51</v>
      </c>
    </row>
    <row r="883" spans="1:2">
      <c r="A883" t="str">
        <v>Ana Jesus</v>
      </c>
      <c r="B883">
        <v>1643.4699999999998</v>
      </c>
    </row>
    <row r="884" spans="1:2">
      <c r="A884" t="str">
        <v>Ryan Moreira</v>
      </c>
      <c r="B884">
        <v>255.96</v>
      </c>
    </row>
    <row r="885" spans="1:2">
      <c r="A885" t="str">
        <v>Bruno da Rosa</v>
      </c>
      <c r="B885">
        <v>962.32</v>
      </c>
    </row>
    <row r="886" spans="1:2">
      <c r="A886" t="str">
        <v>Isis Pastor</v>
      </c>
      <c r="B886">
        <v>577.89</v>
      </c>
    </row>
    <row r="887" spans="1:2">
      <c r="A887" t="str">
        <v>Samuel Câmara</v>
      </c>
      <c r="B887">
        <v>1129.6600000000001</v>
      </c>
    </row>
    <row r="888" spans="1:2">
      <c r="A888" t="str">
        <v>Luigi da Rosa</v>
      </c>
      <c r="B888">
        <v>196.65</v>
      </c>
    </row>
    <row r="889" spans="1:2">
      <c r="A889" t="str">
        <v>Juliana Cavalcante</v>
      </c>
      <c r="B889">
        <v>983.9</v>
      </c>
    </row>
    <row r="890" spans="1:2">
      <c r="A890" t="str">
        <v>Emilly Costela</v>
      </c>
      <c r="B890">
        <v>360.23</v>
      </c>
    </row>
    <row r="891" spans="1:2">
      <c r="A891" t="str">
        <v>Rhavi Fogaça</v>
      </c>
      <c r="B891">
        <v>567.97</v>
      </c>
    </row>
    <row r="892" spans="1:2">
      <c r="A892" t="str">
        <v>Srta. Manuella Souza</v>
      </c>
      <c r="B892">
        <v>1116.3899999999999</v>
      </c>
    </row>
    <row r="893" spans="1:2">
      <c r="A893" t="str">
        <v>Maria Liz Ferreira</v>
      </c>
      <c r="B893">
        <v>667.95</v>
      </c>
    </row>
    <row r="894" spans="1:2">
      <c r="A894" t="str">
        <v>Catarina Nogueira</v>
      </c>
      <c r="B894">
        <v>1997.32</v>
      </c>
    </row>
    <row r="895" spans="1:2">
      <c r="A895" t="str">
        <v>Pedro Miguel da Paz</v>
      </c>
      <c r="B895">
        <v>110.49</v>
      </c>
    </row>
    <row r="896" spans="1:2">
      <c r="A896" t="str">
        <v>Melissa Araújo</v>
      </c>
      <c r="B896">
        <v>200.71</v>
      </c>
    </row>
    <row r="897" spans="1:2">
      <c r="A897" t="str">
        <v>Brayan Castro</v>
      </c>
      <c r="B897">
        <v>498.78</v>
      </c>
    </row>
    <row r="898" spans="1:2">
      <c r="A898" t="str">
        <v>João Felipe Moreira</v>
      </c>
      <c r="B898">
        <v>1152.3999999999999</v>
      </c>
    </row>
    <row r="899" spans="1:2">
      <c r="A899" t="str">
        <v>Sophia Dias</v>
      </c>
      <c r="B899">
        <v>743.68</v>
      </c>
    </row>
    <row r="900" spans="1:2">
      <c r="A900" t="str">
        <v>Dr. Theodoro Rodrigues</v>
      </c>
      <c r="B900">
        <v>916.49</v>
      </c>
    </row>
    <row r="901" spans="1:2">
      <c r="A901" t="str">
        <v>Oliver Jesus</v>
      </c>
      <c r="B901">
        <v>2519.4499999999998</v>
      </c>
    </row>
    <row r="902" spans="1:2">
      <c r="A902" t="str">
        <v>Camila Nunes</v>
      </c>
      <c r="B902">
        <v>274.36</v>
      </c>
    </row>
    <row r="903" spans="1:2">
      <c r="A903" t="str">
        <v>Yan Garcia</v>
      </c>
      <c r="B903">
        <v>2154.91</v>
      </c>
    </row>
    <row r="904" spans="1:2">
      <c r="A904" t="str">
        <v>Lucas Moura</v>
      </c>
      <c r="B904">
        <v>1730.6100000000001</v>
      </c>
    </row>
    <row r="905" spans="1:2">
      <c r="A905" t="str">
        <v>Cauê da Luz</v>
      </c>
      <c r="B905">
        <v>815.29</v>
      </c>
    </row>
    <row r="906" spans="1:2">
      <c r="A906" t="str">
        <v>Maria Eduarda Andrade</v>
      </c>
      <c r="B906">
        <v>519.81000000000006</v>
      </c>
    </row>
    <row r="907" spans="1:2">
      <c r="A907" t="str">
        <v>Theodoro Rodrigues</v>
      </c>
      <c r="B907">
        <v>484.86</v>
      </c>
    </row>
    <row r="908" spans="1:2">
      <c r="A908" t="str">
        <v>Stephany Viana</v>
      </c>
      <c r="B908">
        <v>24.76</v>
      </c>
    </row>
    <row r="909" spans="1:2">
      <c r="A909" t="str">
        <v>Théo Monteiro</v>
      </c>
      <c r="B909">
        <v>1653.22</v>
      </c>
    </row>
    <row r="910" spans="1:2">
      <c r="A910" t="str">
        <v>Henry Gabriel Siqueira</v>
      </c>
      <c r="B910">
        <v>925.68000000000006</v>
      </c>
    </row>
    <row r="911" spans="1:2">
      <c r="A911" t="str">
        <v>Srta. Bianca Cunha</v>
      </c>
      <c r="B911">
        <v>548.76</v>
      </c>
    </row>
    <row r="912" spans="1:2">
      <c r="A912" t="str">
        <v>Sra. Rafaela Mendes</v>
      </c>
      <c r="B912">
        <v>176.53</v>
      </c>
    </row>
    <row r="913" spans="1:2">
      <c r="A913" t="str">
        <v>Sophia Aragão</v>
      </c>
      <c r="B913">
        <v>309.48</v>
      </c>
    </row>
    <row r="914" spans="1:2">
      <c r="A914" t="str">
        <v>Ágatha Silveira</v>
      </c>
      <c r="B914">
        <v>1044.55</v>
      </c>
    </row>
    <row r="915" spans="1:2">
      <c r="A915" t="str">
        <v>Luiza Barros</v>
      </c>
      <c r="B915">
        <v>849.28</v>
      </c>
    </row>
    <row r="916" spans="1:2">
      <c r="A916" t="str">
        <v>Maitê Andrade</v>
      </c>
      <c r="B916">
        <v>633.24</v>
      </c>
    </row>
    <row r="917" spans="1:2">
      <c r="A917" t="str">
        <v>Davi Miguel Cardoso</v>
      </c>
      <c r="B917">
        <v>611.65</v>
      </c>
    </row>
    <row r="918" spans="1:2">
      <c r="A918" t="str">
        <v>Srta. Kamilly Aragão</v>
      </c>
      <c r="B918">
        <v>3197.2999999999993</v>
      </c>
    </row>
    <row r="919" spans="1:2">
      <c r="A919" t="str">
        <v>Leonardo Andrade</v>
      </c>
      <c r="B919">
        <v>836.2</v>
      </c>
    </row>
    <row r="920" spans="1:2">
      <c r="A920" t="str">
        <v>Alana Duarte</v>
      </c>
      <c r="B920">
        <v>1415.6</v>
      </c>
    </row>
    <row r="921" spans="1:2">
      <c r="A921" t="str">
        <v>Maria Clara Freitas</v>
      </c>
      <c r="B921">
        <v>1166.4499999999998</v>
      </c>
    </row>
    <row r="922" spans="1:2">
      <c r="A922" t="str">
        <v>Ana Laura Fonseca</v>
      </c>
      <c r="B922">
        <v>163.98999999999998</v>
      </c>
    </row>
    <row r="923" spans="1:2">
      <c r="A923" t="str">
        <v>Maria Laura Pinto</v>
      </c>
      <c r="B923">
        <v>586.41999999999996</v>
      </c>
    </row>
    <row r="924" spans="1:2">
      <c r="A924" t="str">
        <v>Mariane Fogaça</v>
      </c>
      <c r="B924">
        <v>665.19</v>
      </c>
    </row>
    <row r="925" spans="1:2">
      <c r="A925" t="str">
        <v>Manuela Monteiro</v>
      </c>
      <c r="B925">
        <v>338.58</v>
      </c>
    </row>
    <row r="926" spans="1:2">
      <c r="A926" t="str">
        <v>Srta. Isabelly Sampaio</v>
      </c>
      <c r="B926">
        <v>84.03</v>
      </c>
    </row>
    <row r="927" spans="1:2">
      <c r="A927" t="str">
        <v>Stella Barbosa</v>
      </c>
      <c r="B927">
        <v>844.74</v>
      </c>
    </row>
    <row r="928" spans="1:2">
      <c r="A928" t="str">
        <v>Luara Leão</v>
      </c>
      <c r="B928">
        <v>141.76</v>
      </c>
    </row>
    <row r="929" spans="1:2">
      <c r="A929" t="str">
        <v>João Guilherme Jesus</v>
      </c>
      <c r="B929">
        <v>173.32</v>
      </c>
    </row>
    <row r="930" spans="1:2">
      <c r="A930" t="str">
        <v>Breno Moura</v>
      </c>
      <c r="B930">
        <v>591.85</v>
      </c>
    </row>
    <row r="931" spans="1:2">
      <c r="A931" t="str">
        <v>João Guilherme Fernandes</v>
      </c>
      <c r="B931">
        <v>853.85</v>
      </c>
    </row>
    <row r="932" spans="1:2">
      <c r="A932" t="str">
        <v>Ísis Casa Grande</v>
      </c>
      <c r="B932">
        <v>96.240000000000009</v>
      </c>
    </row>
    <row r="933" spans="1:2">
      <c r="A933" t="str">
        <v>Bella Mendes</v>
      </c>
      <c r="B933">
        <v>1040.03</v>
      </c>
    </row>
    <row r="934" spans="1:2">
      <c r="A934" t="str">
        <v>Pedro Henrique Aragão</v>
      </c>
      <c r="B934">
        <v>4096.26</v>
      </c>
    </row>
    <row r="935" spans="1:2">
      <c r="A935" t="str">
        <v>Camila Martins</v>
      </c>
      <c r="B935">
        <v>663.1</v>
      </c>
    </row>
    <row r="936" spans="1:2">
      <c r="A936" t="str">
        <v>Mathias Camargo</v>
      </c>
      <c r="B936">
        <v>875.55</v>
      </c>
    </row>
    <row r="937" spans="1:2">
      <c r="A937" t="str">
        <v>Eduarda Pacheco</v>
      </c>
      <c r="B937">
        <v>1039.33</v>
      </c>
    </row>
    <row r="938" spans="1:2">
      <c r="A938" t="str">
        <v>João Miguel Viana</v>
      </c>
      <c r="B938">
        <v>899.37</v>
      </c>
    </row>
    <row r="939" spans="1:2">
      <c r="A939" t="str">
        <v>Juan Azevedo</v>
      </c>
      <c r="B939">
        <v>363.42</v>
      </c>
    </row>
    <row r="940" spans="1:2">
      <c r="A940" t="str">
        <v>Emanuel Cavalcanti</v>
      </c>
      <c r="B940">
        <v>70.02</v>
      </c>
    </row>
    <row r="941" spans="1:2">
      <c r="A941" t="str">
        <v>Vinícius da Luz</v>
      </c>
      <c r="B941">
        <v>78.75</v>
      </c>
    </row>
    <row r="942" spans="1:2">
      <c r="A942" t="str">
        <v>Dra. Heloisa Leão</v>
      </c>
      <c r="B942">
        <v>1155.48</v>
      </c>
    </row>
    <row r="943" spans="1:2">
      <c r="A943" t="str">
        <v>Julia da Rocha</v>
      </c>
      <c r="B943">
        <v>22.58</v>
      </c>
    </row>
    <row r="944" spans="1:2">
      <c r="A944" t="str">
        <v>Dra. Isabel Gomes</v>
      </c>
      <c r="B944">
        <v>276.96999999999997</v>
      </c>
    </row>
    <row r="945" spans="1:2">
      <c r="A945" t="str">
        <v>Sra. Milena Pires</v>
      </c>
      <c r="B945">
        <v>262.18</v>
      </c>
    </row>
    <row r="946" spans="1:2">
      <c r="A946" t="str">
        <v>Apollo da Paz</v>
      </c>
      <c r="B946">
        <v>832.9</v>
      </c>
    </row>
    <row r="947" spans="1:2">
      <c r="A947" t="str">
        <v>Srta. Marina Cunha</v>
      </c>
      <c r="B947">
        <v>659.42</v>
      </c>
    </row>
    <row r="948" spans="1:2">
      <c r="A948" t="str">
        <v>Sr. Davi Luiz Ramos</v>
      </c>
      <c r="B948">
        <v>56.2</v>
      </c>
    </row>
    <row r="949" spans="1:2">
      <c r="A949" t="str">
        <v>Hellena Viana</v>
      </c>
      <c r="B949">
        <v>580.57999999999993</v>
      </c>
    </row>
    <row r="950" spans="1:2">
      <c r="A950" t="str">
        <v>Srta. Olívia Souza</v>
      </c>
      <c r="B950">
        <v>268.67</v>
      </c>
    </row>
    <row r="951" spans="1:2">
      <c r="A951" t="str">
        <v>Luiza Andrade</v>
      </c>
      <c r="B951">
        <v>122.16</v>
      </c>
    </row>
    <row r="952" spans="1:2">
      <c r="A952" t="str">
        <v>Stella Cunha</v>
      </c>
      <c r="B952">
        <v>440.94</v>
      </c>
    </row>
    <row r="953" spans="1:2">
      <c r="A953" t="str">
        <v>Dra. Rebeca Melo</v>
      </c>
      <c r="B953">
        <v>1291.01</v>
      </c>
    </row>
    <row r="954" spans="1:2">
      <c r="A954" t="str">
        <v>Pedro Henrique Duarte</v>
      </c>
      <c r="B954">
        <v>465.93</v>
      </c>
    </row>
    <row r="955" spans="1:2">
      <c r="A955" t="str">
        <v>Jade Rios</v>
      </c>
      <c r="B955">
        <v>335.26</v>
      </c>
    </row>
    <row r="956" spans="1:2">
      <c r="A956" t="str">
        <v>Srta. Jade Borges</v>
      </c>
      <c r="B956">
        <v>1029.75</v>
      </c>
    </row>
    <row r="957" spans="1:2">
      <c r="A957" t="str">
        <v>Luan Vargas</v>
      </c>
      <c r="B957">
        <v>102.62</v>
      </c>
    </row>
    <row r="958" spans="1:2">
      <c r="A958" t="str">
        <v>Sra. Luana Jesus</v>
      </c>
      <c r="B958">
        <v>626.73</v>
      </c>
    </row>
    <row r="959" spans="1:2">
      <c r="A959" t="str">
        <v>Zoe Pimenta</v>
      </c>
      <c r="B959">
        <v>102.34</v>
      </c>
    </row>
    <row r="960" spans="1:2">
      <c r="A960" t="str">
        <v>Dra. Lara Caldeira</v>
      </c>
      <c r="B960">
        <v>269.82</v>
      </c>
    </row>
    <row r="961" spans="1:2">
      <c r="A961" t="str">
        <v>Alana Melo</v>
      </c>
      <c r="B961">
        <v>465.68</v>
      </c>
    </row>
    <row r="962" spans="1:2">
      <c r="A962" t="str">
        <v>Sofia da Paz</v>
      </c>
      <c r="B962">
        <v>61.86</v>
      </c>
    </row>
    <row r="963" spans="1:2">
      <c r="A963" t="str">
        <v>Ana Laura da Rocha</v>
      </c>
      <c r="B963">
        <v>1956.09</v>
      </c>
    </row>
    <row r="964" spans="1:2">
      <c r="A964" t="str">
        <v>Srta. Lavínia Gomes</v>
      </c>
      <c r="B964">
        <v>122.69</v>
      </c>
    </row>
    <row r="965" spans="1:2">
      <c r="A965" t="str">
        <v>João Gabriel Guerra</v>
      </c>
      <c r="B965">
        <v>224.63</v>
      </c>
    </row>
    <row r="966" spans="1:2">
      <c r="A966" t="str">
        <v>Ana Beatriz Porto</v>
      </c>
      <c r="B966">
        <v>1686.2</v>
      </c>
    </row>
    <row r="967" spans="1:2">
      <c r="A967" t="str">
        <v>Henrique Correia</v>
      </c>
      <c r="B967">
        <v>491.58</v>
      </c>
    </row>
    <row r="968" spans="1:2">
      <c r="A968" t="str">
        <v>Sra. Sophie Almeida</v>
      </c>
      <c r="B968">
        <v>718.2</v>
      </c>
    </row>
    <row r="969" spans="1:2">
      <c r="A969" t="str">
        <v>Isabella Cavalcanti</v>
      </c>
      <c r="B969">
        <v>458.4</v>
      </c>
    </row>
    <row r="970" spans="1:2">
      <c r="A970" t="str">
        <v>Léo Mendonça</v>
      </c>
      <c r="B970">
        <v>1290.78</v>
      </c>
    </row>
    <row r="971" spans="1:2">
      <c r="A971" t="str">
        <v>Maria Vitória Porto</v>
      </c>
      <c r="B971">
        <v>120.43</v>
      </c>
    </row>
    <row r="972" spans="1:2">
      <c r="A972" t="str">
        <v>Maria Laura Cavalcanti</v>
      </c>
      <c r="B972">
        <v>119.58</v>
      </c>
    </row>
    <row r="973" spans="1:2">
      <c r="A973" t="str">
        <v>Mariah Jesus</v>
      </c>
      <c r="B973">
        <v>851.58999999999992</v>
      </c>
    </row>
    <row r="974" spans="1:2">
      <c r="A974" t="str">
        <v>Ana Vitória da Conceição</v>
      </c>
      <c r="B974">
        <v>246.96</v>
      </c>
    </row>
    <row r="975" spans="1:2">
      <c r="A975" t="str">
        <v>Cauã Gomes</v>
      </c>
      <c r="B975">
        <v>1072.8499999999999</v>
      </c>
    </row>
    <row r="976" spans="1:2">
      <c r="A976" t="str">
        <v>Léo Sampaio</v>
      </c>
      <c r="B976">
        <v>345.2</v>
      </c>
    </row>
    <row r="977" spans="1:2">
      <c r="A977" t="str">
        <v>Sofia Castro</v>
      </c>
      <c r="B977">
        <v>145.83000000000001</v>
      </c>
    </row>
    <row r="978" spans="1:2">
      <c r="A978" t="str">
        <v>Luan Moreira</v>
      </c>
      <c r="B978">
        <v>1361.42</v>
      </c>
    </row>
    <row r="979" spans="1:2">
      <c r="A979" t="str">
        <v>Maitê Oliveira</v>
      </c>
      <c r="B979">
        <v>1641.8799999999999</v>
      </c>
    </row>
    <row r="980" spans="1:2">
      <c r="A980" t="str">
        <v>Srta. Ana Cecília Pires</v>
      </c>
      <c r="B980">
        <v>667.12</v>
      </c>
    </row>
    <row r="981" spans="1:2">
      <c r="A981" t="str">
        <v>Julia Ramos</v>
      </c>
      <c r="B981">
        <v>691.59</v>
      </c>
    </row>
    <row r="982" spans="1:2">
      <c r="A982" t="str">
        <v>Arthur Gabriel da Luz</v>
      </c>
      <c r="B982">
        <v>308.2</v>
      </c>
    </row>
    <row r="983" spans="1:2">
      <c r="A983" t="str">
        <v>Giovanna Barbosa</v>
      </c>
      <c r="B983">
        <v>460.74</v>
      </c>
    </row>
    <row r="984" spans="1:2">
      <c r="A984" t="str">
        <v>José Pedro da Luz</v>
      </c>
      <c r="B984">
        <v>69.89</v>
      </c>
    </row>
    <row r="985" spans="1:2">
      <c r="A985" t="str">
        <v>Ana Clara Moura</v>
      </c>
      <c r="B985">
        <v>409.76</v>
      </c>
    </row>
    <row r="986" spans="1:2">
      <c r="A986" t="str">
        <v>Theo Cardoso</v>
      </c>
      <c r="B986">
        <v>322.14</v>
      </c>
    </row>
    <row r="987" spans="1:2">
      <c r="A987" t="str">
        <v>Hadassa Costa</v>
      </c>
      <c r="B987">
        <v>449.44999999999993</v>
      </c>
    </row>
    <row r="988" spans="1:2">
      <c r="A988" t="str">
        <v>Eloá Rocha</v>
      </c>
      <c r="B988">
        <v>379.90000000000003</v>
      </c>
    </row>
    <row r="989" spans="1:2">
      <c r="A989" t="str">
        <v>Dr. Emanuel Barbosa</v>
      </c>
      <c r="B989">
        <v>345.93</v>
      </c>
    </row>
    <row r="990" spans="1:2">
      <c r="A990" t="str">
        <v>Dra. Aurora Cunha</v>
      </c>
      <c r="B990">
        <v>941.56000000000006</v>
      </c>
    </row>
    <row r="991" spans="1:2">
      <c r="A991" t="str">
        <v>Bárbara Gomes</v>
      </c>
      <c r="B991">
        <v>1003.3299999999999</v>
      </c>
    </row>
    <row r="992" spans="1:2">
      <c r="A992" t="str">
        <v>Ester Nunes</v>
      </c>
      <c r="B992">
        <v>65.33</v>
      </c>
    </row>
    <row r="993" spans="1:2">
      <c r="A993" t="str">
        <v>Anna Liz Rodrigues</v>
      </c>
      <c r="B993">
        <v>1243.92</v>
      </c>
    </row>
    <row r="994" spans="1:2">
      <c r="A994" t="str">
        <v>Ester Souza</v>
      </c>
      <c r="B994">
        <v>1146.74</v>
      </c>
    </row>
    <row r="995" spans="1:2">
      <c r="A995" t="str">
        <v>Pedro Miguel Carvalho</v>
      </c>
      <c r="B995">
        <v>1203.77</v>
      </c>
    </row>
    <row r="996" spans="1:2">
      <c r="A996" t="str">
        <v>Diogo das Neves</v>
      </c>
      <c r="B996">
        <v>1288.8400000000001</v>
      </c>
    </row>
    <row r="997" spans="1:2">
      <c r="A997" t="str">
        <v>Dr. Cauã Mendes</v>
      </c>
      <c r="B997">
        <v>34.47</v>
      </c>
    </row>
    <row r="998" spans="1:2">
      <c r="A998" t="str">
        <v>João Nogueira</v>
      </c>
      <c r="B998">
        <v>110.93</v>
      </c>
    </row>
    <row r="999" spans="1:2">
      <c r="A999" t="str">
        <v>Anna Liz Rocha</v>
      </c>
      <c r="B999">
        <v>1010.9900000000001</v>
      </c>
    </row>
    <row r="1000" spans="1:2">
      <c r="A1000" t="str">
        <v>Nicolas Fonseca</v>
      </c>
      <c r="B1000">
        <v>131.5</v>
      </c>
    </row>
    <row r="1001" spans="1:2">
      <c r="A1001" t="str">
        <v>Raquel Cirino</v>
      </c>
      <c r="B1001">
        <v>41.55</v>
      </c>
    </row>
    <row r="1002" spans="1:2">
      <c r="A1002" t="str">
        <v>Alícia da Cruz</v>
      </c>
      <c r="B1002">
        <v>53.87</v>
      </c>
    </row>
    <row r="1003" spans="1:2">
      <c r="A1003" t="str">
        <v>Marcela Correia</v>
      </c>
      <c r="B1003">
        <v>178.68</v>
      </c>
    </row>
    <row r="1004" spans="1:2">
      <c r="A1004" t="str">
        <v>Igor Machado</v>
      </c>
      <c r="B1004">
        <v>239.98</v>
      </c>
    </row>
    <row r="1005" spans="1:2">
      <c r="A1005" t="str">
        <v>Pietro da Mata</v>
      </c>
      <c r="B1005">
        <v>27.4</v>
      </c>
    </row>
    <row r="1006" spans="1:2">
      <c r="A1006" t="str">
        <v>Olivia Sá</v>
      </c>
      <c r="B1006">
        <v>170.75</v>
      </c>
    </row>
    <row r="1007" spans="1:2">
      <c r="A1007" t="str">
        <v>Zoe Mendes</v>
      </c>
      <c r="B1007">
        <v>194.04</v>
      </c>
    </row>
    <row r="1008" spans="1:2">
      <c r="A1008" t="str">
        <v>Olivia Azevedo</v>
      </c>
      <c r="B1008">
        <v>1275.69</v>
      </c>
    </row>
    <row r="1009" spans="1:2">
      <c r="A1009" t="str">
        <v>Maria Flor Caldeira</v>
      </c>
      <c r="B1009">
        <v>230.27</v>
      </c>
    </row>
    <row r="1010" spans="1:2">
      <c r="A1010" t="str">
        <v>Liz Novais</v>
      </c>
      <c r="B1010">
        <v>440.61</v>
      </c>
    </row>
    <row r="1011" spans="1:2">
      <c r="A1011" t="str">
        <v>Juan Nascimento</v>
      </c>
      <c r="B1011">
        <v>31.24</v>
      </c>
    </row>
    <row r="1012" spans="1:2">
      <c r="A1012" t="str">
        <v>Anthony Gabriel Camargo</v>
      </c>
      <c r="B1012">
        <v>112.8</v>
      </c>
    </row>
    <row r="1013" spans="1:2">
      <c r="A1013" t="str">
        <v>Dra. Maria Júlia Mendes</v>
      </c>
      <c r="B1013">
        <v>962.75</v>
      </c>
    </row>
    <row r="1014" spans="1:2">
      <c r="A1014" t="str">
        <v>Ana Carolina Câmara</v>
      </c>
      <c r="B1014">
        <v>540.06999999999994</v>
      </c>
    </row>
    <row r="1015" spans="1:2">
      <c r="A1015" t="str">
        <v>Eduardo Costela</v>
      </c>
      <c r="B1015">
        <v>629.57999999999993</v>
      </c>
    </row>
    <row r="1016" spans="1:2">
      <c r="A1016" t="str">
        <v>Caroline Fonseca</v>
      </c>
      <c r="B1016">
        <v>471.86</v>
      </c>
    </row>
    <row r="1017" spans="1:2">
      <c r="A1017" t="str">
        <v>Anthony da Paz</v>
      </c>
      <c r="B1017">
        <v>324.92</v>
      </c>
    </row>
    <row r="1018" spans="1:2">
      <c r="A1018" t="str">
        <v>Leonardo Rodrigues</v>
      </c>
      <c r="B1018">
        <v>102.62</v>
      </c>
    </row>
    <row r="1019" spans="1:2">
      <c r="A1019" t="str">
        <v>Maitê Silva</v>
      </c>
      <c r="B1019">
        <v>953.05000000000007</v>
      </c>
    </row>
    <row r="1020" spans="1:2">
      <c r="A1020" t="str">
        <v>Maria Laura Costela</v>
      </c>
      <c r="B1020">
        <v>33.050000000000004</v>
      </c>
    </row>
    <row r="1021" spans="1:2">
      <c r="A1021" t="str">
        <v>João Lucas Mendes</v>
      </c>
      <c r="B1021">
        <v>269.76</v>
      </c>
    </row>
    <row r="1022" spans="1:2">
      <c r="A1022" t="str">
        <v>Maria Liz Cunha</v>
      </c>
      <c r="B1022">
        <v>1107.27</v>
      </c>
    </row>
    <row r="1023" spans="1:2">
      <c r="A1023" t="str">
        <v>Diego Pacheco</v>
      </c>
      <c r="B1023">
        <v>320.86</v>
      </c>
    </row>
    <row r="1024" spans="1:2">
      <c r="A1024" t="str">
        <v>Mathias Ferreira</v>
      </c>
      <c r="B1024">
        <v>775.40000000000009</v>
      </c>
    </row>
    <row r="1025" spans="1:2">
      <c r="A1025" t="str">
        <v>Eduarda Viana</v>
      </c>
      <c r="B1025">
        <v>41.24</v>
      </c>
    </row>
    <row r="1026" spans="1:2">
      <c r="A1026" t="str">
        <v>Srta. Larissa Moura</v>
      </c>
      <c r="B1026">
        <v>23.26</v>
      </c>
    </row>
    <row r="1027" spans="1:2">
      <c r="A1027" t="str">
        <v>Benício Garcia</v>
      </c>
      <c r="B1027">
        <v>110.76</v>
      </c>
    </row>
    <row r="1028" spans="1:2">
      <c r="A1028" t="str">
        <v>Bianca Farias</v>
      </c>
      <c r="B1028">
        <v>337.74</v>
      </c>
    </row>
    <row r="1029" spans="1:2">
      <c r="A1029" t="str">
        <v>Marcela da Paz</v>
      </c>
      <c r="B1029">
        <v>215.25</v>
      </c>
    </row>
    <row r="1030" spans="1:2">
      <c r="A1030" t="str">
        <v>Agatha Mendonça</v>
      </c>
      <c r="B1030">
        <v>270.92</v>
      </c>
    </row>
    <row r="1031" spans="1:2">
      <c r="A1031" t="str">
        <v>Sr. Dante Cunha</v>
      </c>
      <c r="B1031">
        <v>194.04</v>
      </c>
    </row>
    <row r="1032" spans="1:2">
      <c r="A1032" t="str">
        <v>Cecília Campos</v>
      </c>
      <c r="B1032">
        <v>710.76</v>
      </c>
    </row>
    <row r="1033" spans="1:2">
      <c r="A1033" t="str">
        <v>Luiz Gustavo Macedo</v>
      </c>
      <c r="B1033">
        <v>831.93999999999994</v>
      </c>
    </row>
    <row r="1034" spans="1:2">
      <c r="A1034" t="str">
        <v>Manuela Oliveira</v>
      </c>
      <c r="B1034">
        <v>635.48</v>
      </c>
    </row>
    <row r="1035" spans="1:2">
      <c r="A1035" t="str">
        <v>Srta. Isabel Cunha</v>
      </c>
      <c r="B1035">
        <v>1209.3699999999999</v>
      </c>
    </row>
    <row r="1036" spans="1:2">
      <c r="A1036" t="str">
        <v>Dra. Manuela da Mota</v>
      </c>
      <c r="B1036">
        <v>734.63000000000011</v>
      </c>
    </row>
    <row r="1037" spans="1:2">
      <c r="A1037" t="str">
        <v>Rebeca Cavalcante</v>
      </c>
      <c r="B1037">
        <v>453.1</v>
      </c>
    </row>
    <row r="1038" spans="1:2">
      <c r="A1038" t="str">
        <v>Maria Luísa Sá</v>
      </c>
      <c r="B1038">
        <v>71.62</v>
      </c>
    </row>
    <row r="1039" spans="1:2">
      <c r="A1039" t="str">
        <v>Nicole Gomes</v>
      </c>
      <c r="B1039">
        <v>892.81999999999994</v>
      </c>
    </row>
    <row r="1040" spans="1:2">
      <c r="A1040" t="str">
        <v>Ana Júlia Fonseca</v>
      </c>
      <c r="B1040">
        <v>264.5</v>
      </c>
    </row>
    <row r="1041" spans="1:2">
      <c r="A1041" t="str">
        <v>Hellena Siqueira</v>
      </c>
      <c r="B1041">
        <v>545.64</v>
      </c>
    </row>
    <row r="1042" spans="1:2">
      <c r="A1042" t="str">
        <v>Sr. Leonardo Leão</v>
      </c>
      <c r="B1042">
        <v>478.1</v>
      </c>
    </row>
    <row r="1043" spans="1:2">
      <c r="A1043" t="str">
        <v>José Pedro Alves</v>
      </c>
      <c r="B1043">
        <v>28.58</v>
      </c>
    </row>
    <row r="1044" spans="1:2">
      <c r="A1044" t="str">
        <v>Srta. Nina Fonseca</v>
      </c>
      <c r="B1044">
        <v>1232.67</v>
      </c>
    </row>
    <row r="1045" spans="1:2">
      <c r="A1045" t="str">
        <v>Otto Moreira</v>
      </c>
      <c r="B1045">
        <v>59.15</v>
      </c>
    </row>
    <row r="1046" spans="1:2">
      <c r="A1046" t="str">
        <v>Dr. José Fogaça</v>
      </c>
      <c r="B1046">
        <v>683.62</v>
      </c>
    </row>
    <row r="1047" spans="1:2">
      <c r="A1047" t="str">
        <v>Pedro Lucas Pires</v>
      </c>
      <c r="B1047">
        <v>98.960000000000008</v>
      </c>
    </row>
    <row r="1048" spans="1:2">
      <c r="A1048" t="str">
        <v>Thiago Mendes</v>
      </c>
      <c r="B1048">
        <v>67.44</v>
      </c>
    </row>
    <row r="1049" spans="1:2">
      <c r="A1049" t="str">
        <v>Sabrina Guerra</v>
      </c>
      <c r="B1049">
        <v>777.6</v>
      </c>
    </row>
    <row r="1050" spans="1:2">
      <c r="A1050" t="str">
        <v>Nina Peixoto</v>
      </c>
      <c r="B1050">
        <v>383.38</v>
      </c>
    </row>
    <row r="1051" spans="1:2">
      <c r="A1051" t="str">
        <v>Pietra Fonseca</v>
      </c>
      <c r="B1051">
        <v>747.36</v>
      </c>
    </row>
    <row r="1052" spans="1:2">
      <c r="A1052" t="str">
        <v>Dra. Ana Lívia Novais</v>
      </c>
      <c r="B1052">
        <v>869.44</v>
      </c>
    </row>
    <row r="1053" spans="1:2">
      <c r="A1053" t="str">
        <v>Sra. Eloah Nascimento</v>
      </c>
      <c r="B1053">
        <v>296.56</v>
      </c>
    </row>
    <row r="1054" spans="1:2">
      <c r="A1054" t="str">
        <v>Gael Henrique Ferreira</v>
      </c>
      <c r="B1054">
        <v>25.86</v>
      </c>
    </row>
    <row r="1055" spans="1:2">
      <c r="A1055" t="str">
        <v>Dra. Larissa Dias</v>
      </c>
      <c r="B1055">
        <v>244.32</v>
      </c>
    </row>
    <row r="1056" spans="1:2">
      <c r="A1056" t="str">
        <v>Ísis Cassiano</v>
      </c>
      <c r="B1056">
        <v>467.82</v>
      </c>
    </row>
    <row r="1057" spans="1:2">
      <c r="A1057" t="str">
        <v>Luiz Felipe Pires</v>
      </c>
      <c r="B1057">
        <v>401.84</v>
      </c>
    </row>
    <row r="1058" spans="1:2">
      <c r="A1058" t="str">
        <v>Dra. Raquel Correia</v>
      </c>
      <c r="B1058">
        <v>230.54</v>
      </c>
    </row>
    <row r="1059" spans="1:2">
      <c r="A1059" t="str">
        <v>Dra. Cecilia Borges</v>
      </c>
      <c r="B1059">
        <v>450.34000000000003</v>
      </c>
    </row>
    <row r="1060" spans="1:2">
      <c r="A1060" t="str">
        <v>Juan Mendes</v>
      </c>
      <c r="B1060">
        <v>319.68</v>
      </c>
    </row>
    <row r="1061" spans="1:2">
      <c r="A1061" t="str">
        <v>Sr. Daniel Monteiro</v>
      </c>
      <c r="B1061">
        <v>198.14</v>
      </c>
    </row>
    <row r="1062" spans="1:2">
      <c r="A1062" t="str">
        <v>Rael Montenegro</v>
      </c>
      <c r="B1062">
        <v>1266.19</v>
      </c>
    </row>
    <row r="1063" spans="1:2">
      <c r="A1063" t="str">
        <v>João Vitor Albuquerque</v>
      </c>
      <c r="B1063">
        <v>150.58000000000001</v>
      </c>
    </row>
    <row r="1064" spans="1:2">
      <c r="A1064" t="str">
        <v>Pietra Andrade</v>
      </c>
      <c r="B1064">
        <v>157.99</v>
      </c>
    </row>
    <row r="1065" spans="1:2">
      <c r="A1065" t="str">
        <v>Gabriela Silva</v>
      </c>
      <c r="B1065">
        <v>183.24</v>
      </c>
    </row>
    <row r="1066" spans="1:2">
      <c r="A1066" t="str">
        <v>Sra. Heloísa Gomes</v>
      </c>
      <c r="B1066">
        <v>110.25</v>
      </c>
    </row>
    <row r="1067" spans="1:2">
      <c r="A1067" t="str">
        <v>Natália da Cruz</v>
      </c>
      <c r="B1067">
        <v>158.71</v>
      </c>
    </row>
    <row r="1068" spans="1:2">
      <c r="A1068" t="str">
        <v>Sr. Gustavo Henrique Porto</v>
      </c>
      <c r="B1068">
        <v>486.27</v>
      </c>
    </row>
    <row r="1069" spans="1:2">
      <c r="A1069" t="str">
        <v>Calebe Ramos</v>
      </c>
      <c r="B1069">
        <v>179.55</v>
      </c>
    </row>
    <row r="1070" spans="1:2">
      <c r="A1070" t="str">
        <v>Rodrigo Abreu</v>
      </c>
      <c r="B1070">
        <v>226.05</v>
      </c>
    </row>
    <row r="1071" spans="1:2">
      <c r="A1071" t="str">
        <v>Thomas da Mata</v>
      </c>
      <c r="B1071">
        <v>156.86000000000001</v>
      </c>
    </row>
    <row r="1072" spans="1:2">
      <c r="A1072" t="str">
        <v>Maria Sales</v>
      </c>
      <c r="B1072">
        <v>384.7</v>
      </c>
    </row>
    <row r="1073" spans="1:2">
      <c r="A1073" t="str">
        <v>Caio Abreu</v>
      </c>
      <c r="B1073">
        <v>151.94999999999999</v>
      </c>
    </row>
    <row r="1074" spans="1:2">
      <c r="A1074" t="str">
        <v>Rhavi Monteiro</v>
      </c>
      <c r="B1074">
        <v>701.46</v>
      </c>
    </row>
    <row r="1075" spans="1:2">
      <c r="A1075" t="str">
        <v>Emilly Monteiro</v>
      </c>
      <c r="B1075">
        <v>400.24</v>
      </c>
    </row>
    <row r="1076" spans="1:2">
      <c r="A1076" t="str">
        <v>Nicolas Pereira</v>
      </c>
      <c r="B1076">
        <v>102.09</v>
      </c>
    </row>
    <row r="1077" spans="1:2">
      <c r="A1077" t="str">
        <v>Fernando Moraes</v>
      </c>
      <c r="B1077">
        <v>217.62</v>
      </c>
    </row>
    <row r="1078" spans="1:2">
      <c r="A1078" t="str">
        <v>Srta. Maria Luísa Novais</v>
      </c>
      <c r="B1078">
        <v>583.6</v>
      </c>
    </row>
    <row r="1079" spans="1:2">
      <c r="A1079" t="str">
        <v>Sra. Esther Silva</v>
      </c>
      <c r="B1079">
        <v>218.16</v>
      </c>
    </row>
    <row r="1080" spans="1:2">
      <c r="A1080" t="str">
        <v>Rafaela Gomes</v>
      </c>
      <c r="B1080">
        <v>667.69</v>
      </c>
    </row>
    <row r="1081" spans="1:2">
      <c r="A1081" t="str">
        <v>Laura Sá</v>
      </c>
      <c r="B1081">
        <v>1166.05</v>
      </c>
    </row>
    <row r="1082" spans="1:2">
      <c r="A1082" t="str">
        <v>Ravi Lucca Novais</v>
      </c>
      <c r="B1082">
        <v>1202.9000000000001</v>
      </c>
    </row>
    <row r="1083" spans="1:2">
      <c r="A1083" t="str">
        <v>André Pastor</v>
      </c>
      <c r="B1083">
        <v>491.56</v>
      </c>
    </row>
    <row r="1084" spans="1:2">
      <c r="A1084" t="str">
        <v>Vinicius da Cruz</v>
      </c>
      <c r="B1084">
        <v>78.28</v>
      </c>
    </row>
    <row r="1085" spans="1:2">
      <c r="A1085" t="str">
        <v>Gabrielly Dias</v>
      </c>
      <c r="B1085">
        <v>168.77</v>
      </c>
    </row>
    <row r="1086" spans="1:2">
      <c r="A1086" t="str">
        <v>Sara Costa</v>
      </c>
      <c r="B1086">
        <v>316.11</v>
      </c>
    </row>
    <row r="1087" spans="1:2">
      <c r="A1087" t="str">
        <v>Dra. Maria Cecília Oliveira</v>
      </c>
      <c r="B1087">
        <v>296.10000000000002</v>
      </c>
    </row>
    <row r="1088" spans="1:2">
      <c r="A1088" t="str">
        <v>Alícia Machado</v>
      </c>
      <c r="B1088">
        <v>26.45</v>
      </c>
    </row>
    <row r="1089" spans="1:2">
      <c r="A1089" t="str">
        <v>Gabriela Montenegro</v>
      </c>
      <c r="B1089">
        <v>672.35</v>
      </c>
    </row>
    <row r="1090" spans="1:2">
      <c r="A1090" t="str">
        <v>Ana Luiza Moura</v>
      </c>
      <c r="B1090">
        <v>911.3</v>
      </c>
    </row>
    <row r="1091" spans="1:2">
      <c r="A1091" t="str">
        <v>João Vitor Costa</v>
      </c>
      <c r="B1091">
        <v>117.54</v>
      </c>
    </row>
    <row r="1092" spans="1:2">
      <c r="A1092" t="str">
        <v>Ana Beatriz da Luz</v>
      </c>
      <c r="B1092">
        <v>716.91</v>
      </c>
    </row>
    <row r="1093" spans="1:2">
      <c r="A1093" t="str">
        <v>Manuella Camargo</v>
      </c>
      <c r="B1093">
        <v>539.52</v>
      </c>
    </row>
    <row r="1094" spans="1:2">
      <c r="A1094" t="str">
        <v>Caroline Carvalho</v>
      </c>
      <c r="B1094">
        <v>750.58</v>
      </c>
    </row>
    <row r="1095" spans="1:2">
      <c r="A1095" t="str">
        <v>Nicolas Castro</v>
      </c>
      <c r="B1095">
        <v>180.26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6C8E-DE93-4858-91B9-297EFCEBA5BB}">
  <dimension ref="A2:K599"/>
  <sheetViews>
    <sheetView workbookViewId="0">
      <selection activeCell="M17" sqref="M17"/>
    </sheetView>
  </sheetViews>
  <sheetFormatPr defaultRowHeight="14.6"/>
  <cols>
    <col min="1" max="1" width="59.23046875" bestFit="1" customWidth="1"/>
  </cols>
  <sheetData>
    <row r="2" spans="1:11">
      <c r="A2" s="3" t="str" cm="1">
        <f t="array" ref="A2:A599">_xlfn.UNIQUE(receita_detalhada[nomeproduto])</f>
        <v>Absorvente com Abas Rexona FPS 70</v>
      </c>
      <c r="B2" cm="1">
        <f t="array" ref="B2:B599">IF(Dashboard!$A$18="Faturamento", SUMIFS(receita_detalhada[valor_total_receita], receita_detalhada[nomeproduto],_xlfn.ANCHORARRAY( A2)), SUMIFS(receita_detalhada[quantidade], receita_detalhada[nomeproduto],_xlfn.ANCHORARRAY( A2)))</f>
        <v>5914.22</v>
      </c>
      <c r="D2" t="str" cm="1">
        <f t="array" ref="D2:E4">_xlfn.TAKE(_xlfn._xlws.SORT(_xlfn.HSTACK(_xlfn.ANCHORARRAY(A2),_xlfn.ANCHORARRAY( B2)), 2, -1), Dashboard!$B$18)</f>
        <v>Pantoprazol Pomada 30g - Medley (Genérico)</v>
      </c>
      <c r="E2">
        <v>7952.94</v>
      </c>
    </row>
    <row r="3" spans="1:11">
      <c r="A3" t="str">
        <v>Metformina 500mg - 20 Comprimidos - Medley (Genérico)</v>
      </c>
      <c r="B3">
        <v>1353.84</v>
      </c>
      <c r="D3" t="str">
        <v>Vacina contra Desnutrição - Dose Única</v>
      </c>
      <c r="E3">
        <v>7636.0599999999995</v>
      </c>
    </row>
    <row r="4" spans="1:11">
      <c r="A4" t="str">
        <v>Paracetamol 1g - 10 Comprimidos - Bayer</v>
      </c>
      <c r="B4">
        <v>3642.15</v>
      </c>
      <c r="D4" t="str">
        <v>Escitalopram Suspensão Oral 50ml - Eurofarma</v>
      </c>
      <c r="E4">
        <v>7017.4199999999992</v>
      </c>
    </row>
    <row r="5" spans="1:11">
      <c r="A5" t="str">
        <v>Shampoo Anticaspa Clear 90g</v>
      </c>
      <c r="B5">
        <v>2998.46</v>
      </c>
    </row>
    <row r="6" spans="1:11">
      <c r="A6" t="str">
        <v>Dipirona Sódica Gotas 20ml - EMS (Genérico)</v>
      </c>
      <c r="B6">
        <v>161.67000000000002</v>
      </c>
      <c r="K6" t="str">
        <f>"Top " &amp; Dashboard!B18 &amp; " Produtos por " &amp; Dashboard!A18</f>
        <v>Top 3 Produtos por Faturamento</v>
      </c>
    </row>
    <row r="7" spans="1:11">
      <c r="A7" t="str">
        <v>Curativos (Band-Aid) Mió 200ml</v>
      </c>
      <c r="B7">
        <v>2058.3000000000002</v>
      </c>
    </row>
    <row r="8" spans="1:11">
      <c r="A8" t="str">
        <v>Omeprazol Pomada 30g - Neo Química (Genérico)</v>
      </c>
      <c r="B8">
        <v>516.33999999999992</v>
      </c>
    </row>
    <row r="9" spans="1:11">
      <c r="A9" t="str">
        <v>Pomada para Assaduras Dove FPS 70</v>
      </c>
      <c r="B9">
        <v>232.05</v>
      </c>
    </row>
    <row r="10" spans="1:11">
      <c r="A10" t="str">
        <v>Vacina contra Linfoma - Reforço</v>
      </c>
      <c r="B10">
        <v>5564.16</v>
      </c>
    </row>
    <row r="11" spans="1:11">
      <c r="A11" t="str">
        <v>Sabonete em Barra Dove FPS 70</v>
      </c>
      <c r="B11">
        <v>2908.36</v>
      </c>
    </row>
    <row r="12" spans="1:11">
      <c r="A12" t="str">
        <v>Curativos (Band-Aid) Vichy FPS 70</v>
      </c>
      <c r="B12">
        <v>43.18</v>
      </c>
    </row>
    <row r="13" spans="1:11">
      <c r="A13" t="str">
        <v>Vacina contra Epilepsia - Dose Única</v>
      </c>
      <c r="B13">
        <v>3964.5699999999997</v>
      </c>
    </row>
    <row r="14" spans="1:11">
      <c r="A14" t="str">
        <v>Condicionador Hidratação G-Tech Tamanho G (32 un)</v>
      </c>
      <c r="B14">
        <v>951.20999999999981</v>
      </c>
    </row>
    <row r="15" spans="1:11">
      <c r="A15" t="str">
        <v>Desodorante Aerosol Nivea 200ml</v>
      </c>
      <c r="B15">
        <v>2204.16</v>
      </c>
    </row>
    <row r="16" spans="1:11">
      <c r="A16" t="str">
        <v>Vacina contra Parkinson - Reforço</v>
      </c>
      <c r="B16">
        <v>200.33999999999995</v>
      </c>
    </row>
    <row r="17" spans="1:2">
      <c r="A17" t="str">
        <v>Vacina contra Dengue - Reforço</v>
      </c>
      <c r="B17">
        <v>1125.18</v>
      </c>
    </row>
    <row r="18" spans="1:2">
      <c r="A18" t="str">
        <v>Ibuprofeno Suspensão Oral 50ml - Eurofarma</v>
      </c>
      <c r="B18">
        <v>3636.7499999999995</v>
      </c>
    </row>
    <row r="19" spans="1:2">
      <c r="A19" t="str">
        <v>Vacina contra Tuberculose - Reforço</v>
      </c>
      <c r="B19">
        <v>275.7</v>
      </c>
    </row>
    <row r="20" spans="1:2">
      <c r="A20" t="str">
        <v>Azitromicina Xarope 120ml - Medley (Genérico)</v>
      </c>
      <c r="B20">
        <v>846.44999999999993</v>
      </c>
    </row>
    <row r="21" spans="1:2">
      <c r="A21" t="str">
        <v>Losartana Potássica Gotas 20ml - Neo Química (Genérico)</v>
      </c>
      <c r="B21">
        <v>1142.72</v>
      </c>
    </row>
    <row r="22" spans="1:2">
      <c r="A22" t="str">
        <v>Paracetamol Xarope 120ml - Medley (Genérico)</v>
      </c>
      <c r="B22">
        <v>2670.85</v>
      </c>
    </row>
    <row r="23" spans="1:2">
      <c r="A23" t="str">
        <v>Pantoprazol Pomada 30g - Neo Química (Genérico)</v>
      </c>
      <c r="B23">
        <v>2467</v>
      </c>
    </row>
    <row r="24" spans="1:2">
      <c r="A24" t="str">
        <v>Creme Dental Clear 50g</v>
      </c>
      <c r="B24">
        <v>5057.34</v>
      </c>
    </row>
    <row r="25" spans="1:2">
      <c r="A25" t="str">
        <v>Pomada para Assaduras Listerine 400ml</v>
      </c>
      <c r="B25">
        <v>3658.5599999999995</v>
      </c>
    </row>
    <row r="26" spans="1:2">
      <c r="A26" t="str">
        <v>Losartana Potássica 500mg - 20 Comprimidos - EMS (Genérico)</v>
      </c>
      <c r="B26">
        <v>6216.56</v>
      </c>
    </row>
    <row r="27" spans="1:2">
      <c r="A27" t="str">
        <v>Sérum Vitamina C Aptamil Tamanho M (40 un)</v>
      </c>
      <c r="B27">
        <v>945</v>
      </c>
    </row>
    <row r="28" spans="1:2">
      <c r="A28" t="str">
        <v>Clonazepam 1g - 10 Comprimidos - Neo Química (Genérico)</v>
      </c>
      <c r="B28">
        <v>5218.46</v>
      </c>
    </row>
    <row r="29" spans="1:2">
      <c r="A29" t="str">
        <v>Hidroclorotiazida 50mg - 30 Comprimidos - Neo Química (Genérico)</v>
      </c>
      <c r="B29">
        <v>639.36</v>
      </c>
    </row>
    <row r="30" spans="1:2">
      <c r="A30" t="str">
        <v>Paracetamol Gotas 20ml - Neo Química (Genérico)</v>
      </c>
      <c r="B30">
        <v>1374.7</v>
      </c>
    </row>
    <row r="31" spans="1:2">
      <c r="A31" t="str">
        <v>Tadalafila Xarope 120ml - Bayer</v>
      </c>
      <c r="B31">
        <v>1350.16</v>
      </c>
    </row>
    <row r="32" spans="1:2">
      <c r="A32" t="str">
        <v>Diclofenaco 25mg - 30 Comprimidos - Neo Química (Genérico)</v>
      </c>
      <c r="B32">
        <v>1607.97</v>
      </c>
    </row>
    <row r="33" spans="1:2">
      <c r="A33" t="str">
        <v>Atenolol 25mg - 30 Comprimidos - Neo Química (Genérico)</v>
      </c>
      <c r="B33">
        <v>849.29000000000008</v>
      </c>
    </row>
    <row r="34" spans="1:2">
      <c r="A34" t="str">
        <v>Água Micelar CeraVe 90g</v>
      </c>
      <c r="B34">
        <v>1330.11</v>
      </c>
    </row>
    <row r="35" spans="1:2">
      <c r="A35" t="str">
        <v>Escitalopram Suspensão Oral 50ml - EMS (Genérico)</v>
      </c>
      <c r="B35">
        <v>2010.3</v>
      </c>
    </row>
    <row r="36" spans="1:2">
      <c r="A36" t="str">
        <v>Curativos (Band-Aid) Needs 400ml</v>
      </c>
      <c r="B36">
        <v>1978.0499999999997</v>
      </c>
    </row>
    <row r="37" spans="1:2">
      <c r="A37" t="str">
        <v>Condicionador Hidratação Vichy FPS 50</v>
      </c>
      <c r="B37">
        <v>2695.14</v>
      </c>
    </row>
    <row r="38" spans="1:2">
      <c r="A38" t="str">
        <v>Fluoxetina 500mg - 20 Comprimidos - Neo Química (Genérico)</v>
      </c>
      <c r="B38">
        <v>4740.33</v>
      </c>
    </row>
    <row r="39" spans="1:2">
      <c r="A39" t="str">
        <v>Sertralina Xarope 120ml - Medley (Genérico)</v>
      </c>
      <c r="B39">
        <v>149.16</v>
      </c>
    </row>
    <row r="40" spans="1:2">
      <c r="A40" t="str">
        <v>Sabonete em Barra Huggies 200ml</v>
      </c>
      <c r="B40">
        <v>2772.9799999999996</v>
      </c>
    </row>
    <row r="41" spans="1:2">
      <c r="A41" t="str">
        <v>Termômetro Digital Mió FPS 70</v>
      </c>
      <c r="B41">
        <v>413.46000000000004</v>
      </c>
    </row>
    <row r="42" spans="1:2">
      <c r="A42" t="str">
        <v>Diclofenaco 50mg - 30 Comprimidos - Eurofarma</v>
      </c>
      <c r="B42">
        <v>845.85000000000014</v>
      </c>
    </row>
    <row r="43" spans="1:2">
      <c r="A43" t="str">
        <v>Vacina contra Infecção Urinária - Dose Única</v>
      </c>
      <c r="B43">
        <v>218.70000000000002</v>
      </c>
    </row>
    <row r="44" spans="1:2">
      <c r="A44" t="str">
        <v>Dipirona Sódica Pomada 30g - Bayer</v>
      </c>
      <c r="B44">
        <v>2732.4699999999993</v>
      </c>
    </row>
    <row r="45" spans="1:2">
      <c r="A45" t="str">
        <v>Cefalexina 25mg - 30 Comprimidos - Eurofarma</v>
      </c>
      <c r="B45">
        <v>801.66000000000008</v>
      </c>
    </row>
    <row r="46" spans="1:2">
      <c r="A46" t="str">
        <v>Vacina contra Artrite - Dose Única</v>
      </c>
      <c r="B46">
        <v>3802.2799999999997</v>
      </c>
    </row>
    <row r="47" spans="1:2">
      <c r="A47" t="str">
        <v>Diclofenaco Pomada 30g - EMS (Genérico)</v>
      </c>
      <c r="B47">
        <v>1347.25</v>
      </c>
    </row>
    <row r="48" spans="1:2">
      <c r="A48" t="str">
        <v>Enalapril Pomada 30g - Eurofarma</v>
      </c>
      <c r="B48">
        <v>257.21999999999997</v>
      </c>
    </row>
    <row r="49" spans="1:2">
      <c r="A49" t="str">
        <v>Fralda Descartável Aptamil 200ml</v>
      </c>
      <c r="B49">
        <v>2012.0400000000002</v>
      </c>
    </row>
    <row r="50" spans="1:2">
      <c r="A50" t="str">
        <v>Escitalopram 25mg - 30 Comprimidos - Aché</v>
      </c>
      <c r="B50">
        <v>2492.8000000000002</v>
      </c>
    </row>
    <row r="51" spans="1:2">
      <c r="A51" t="str">
        <v>Sabonete em Barra G-Tech 90g</v>
      </c>
      <c r="B51">
        <v>3521.7000000000003</v>
      </c>
    </row>
    <row r="52" spans="1:2">
      <c r="A52" t="str">
        <v>Enxaguante Bucal Panvel 90g</v>
      </c>
      <c r="B52">
        <v>188.54</v>
      </c>
    </row>
    <row r="53" spans="1:2">
      <c r="A53" t="str">
        <v>Loratadina Xarope 120ml - EMS (Genérico)</v>
      </c>
      <c r="B53">
        <v>799.12</v>
      </c>
    </row>
    <row r="54" spans="1:2">
      <c r="A54" t="str">
        <v>Sabonete em Barra Colgate Tamanho G (32 un)</v>
      </c>
      <c r="B54">
        <v>1996.48</v>
      </c>
    </row>
    <row r="55" spans="1:2">
      <c r="A55" t="str">
        <v>Sinvastatina Suspensão Oral 50ml - EMS (Genérico)</v>
      </c>
      <c r="B55">
        <v>921.06000000000006</v>
      </c>
    </row>
    <row r="56" spans="1:2">
      <c r="A56" t="str">
        <v>Vacina contra Hepatite C - Dose Única</v>
      </c>
      <c r="B56">
        <v>700.24999999999989</v>
      </c>
    </row>
    <row r="57" spans="1:2">
      <c r="A57" t="str">
        <v>Lenço Umedecido La Roche-Posay 50 Metros</v>
      </c>
      <c r="B57">
        <v>1726.3799999999999</v>
      </c>
    </row>
    <row r="58" spans="1:2">
      <c r="A58" t="str">
        <v>Enxaguante Bucal Nivea 90g</v>
      </c>
      <c r="B58">
        <v>3062.4300000000003</v>
      </c>
    </row>
    <row r="59" spans="1:2">
      <c r="A59" t="str">
        <v>Azitromicina Gotas 20ml - Bayer</v>
      </c>
      <c r="B59">
        <v>309.89999999999998</v>
      </c>
    </row>
    <row r="60" spans="1:2">
      <c r="A60" t="str">
        <v>Azitromicina Gotas 20ml - Aché</v>
      </c>
      <c r="B60">
        <v>2464.0500000000002</v>
      </c>
    </row>
    <row r="61" spans="1:2">
      <c r="A61" t="str">
        <v>Fralda Descartável Vichy 150ml</v>
      </c>
      <c r="B61">
        <v>121.67000000000002</v>
      </c>
    </row>
    <row r="62" spans="1:2">
      <c r="A62" t="str">
        <v>Tadalafila Suspensão Oral 50ml - Bayer</v>
      </c>
      <c r="B62">
        <v>1459.44</v>
      </c>
    </row>
    <row r="63" spans="1:2">
      <c r="A63" t="str">
        <v>Tadalafila 25mg - 30 Comprimidos - Neo Química (Genérico)</v>
      </c>
      <c r="B63">
        <v>4801.2800000000007</v>
      </c>
    </row>
    <row r="64" spans="1:2">
      <c r="A64" t="str">
        <v>Sabonete Líquido Vichy 500ml</v>
      </c>
      <c r="B64">
        <v>573.72</v>
      </c>
    </row>
    <row r="65" spans="1:2">
      <c r="A65" t="str">
        <v>Nimesulida Suspensão Oral 50ml - Neo Química (Genérico)</v>
      </c>
      <c r="B65">
        <v>1505.1599999999999</v>
      </c>
    </row>
    <row r="66" spans="1:2">
      <c r="A66" t="str">
        <v>Metformina 25mg - 30 Comprimidos - EMS (Genérico)</v>
      </c>
      <c r="B66">
        <v>5412.96</v>
      </c>
    </row>
    <row r="67" spans="1:2">
      <c r="A67" t="str">
        <v>Desodorante Aerosol G-Tech 400ml</v>
      </c>
      <c r="B67">
        <v>1258.02</v>
      </c>
    </row>
    <row r="68" spans="1:2">
      <c r="A68" t="str">
        <v>Hidroclorotiazida 1g - 10 Comprimidos - Medley (Genérico)</v>
      </c>
      <c r="B68">
        <v>1435.72</v>
      </c>
    </row>
    <row r="69" spans="1:2">
      <c r="A69" t="str">
        <v>Metformina Xarope 120ml - Eurofarma</v>
      </c>
      <c r="B69">
        <v>833.57999999999993</v>
      </c>
    </row>
    <row r="70" spans="1:2">
      <c r="A70" t="str">
        <v>Protetor Solar Corporal Bepantol 50 Metros</v>
      </c>
      <c r="B70">
        <v>1221.5700000000002</v>
      </c>
    </row>
    <row r="71" spans="1:2">
      <c r="A71" t="str">
        <v>Clonazepam 50mg - 30 Comprimidos - Aché</v>
      </c>
      <c r="B71">
        <v>682.64</v>
      </c>
    </row>
    <row r="72" spans="1:2">
      <c r="A72" t="str">
        <v>Escitalopram 25mg - 30 Comprimidos - Bayer</v>
      </c>
      <c r="B72">
        <v>857.33999999999992</v>
      </c>
    </row>
    <row r="73" spans="1:2">
      <c r="A73" t="str">
        <v>Escitalopram Suspensão Oral 50ml - Eurofarma</v>
      </c>
      <c r="B73">
        <v>7017.4199999999992</v>
      </c>
    </row>
    <row r="74" spans="1:2">
      <c r="A74" t="str">
        <v>Vacina contra Anemia - Reforço</v>
      </c>
      <c r="B74">
        <v>839.96999999999991</v>
      </c>
    </row>
    <row r="75" spans="1:2">
      <c r="A75" t="str">
        <v>Atenolol 50mg - 30 Comprimidos - Medley (Genérico)</v>
      </c>
      <c r="B75">
        <v>2516.16</v>
      </c>
    </row>
    <row r="76" spans="1:2">
      <c r="A76" t="str">
        <v>Paracetamol Xarope 120ml - Neo Química (Genérico)</v>
      </c>
      <c r="B76">
        <v>742.06</v>
      </c>
    </row>
    <row r="77" spans="1:2">
      <c r="A77" t="str">
        <v>Fluoxetina Gotas 20ml - Medley (Genérico)</v>
      </c>
      <c r="B77">
        <v>338.47</v>
      </c>
    </row>
    <row r="78" spans="1:2">
      <c r="A78" t="str">
        <v>Tadalafila Pomada 30g - Neo Química (Genérico)</v>
      </c>
      <c r="B78">
        <v>1869.14</v>
      </c>
    </row>
    <row r="79" spans="1:2">
      <c r="A79" t="str">
        <v>Cefalexina Pomada 30g - Aché</v>
      </c>
      <c r="B79">
        <v>840.31</v>
      </c>
    </row>
    <row r="80" spans="1:2">
      <c r="A80" t="str">
        <v>Vacina contra Embolia - Dose Única</v>
      </c>
      <c r="B80">
        <v>2462.6000000000004</v>
      </c>
    </row>
    <row r="81" spans="1:2">
      <c r="A81" t="str">
        <v>Sérum Vitamina C Mió 400ml</v>
      </c>
      <c r="B81">
        <v>1234.8</v>
      </c>
    </row>
    <row r="82" spans="1:2">
      <c r="A82" t="str">
        <v>Clonazepam 1g - 10 Comprimidos - Bayer</v>
      </c>
      <c r="B82">
        <v>4123.6200000000008</v>
      </c>
    </row>
    <row r="83" spans="1:2">
      <c r="A83" t="str">
        <v>Cefalexina 1g - 10 Comprimidos - Eurofarma</v>
      </c>
      <c r="B83">
        <v>3913.0499999999993</v>
      </c>
    </row>
    <row r="84" spans="1:2">
      <c r="A84" t="str">
        <v>Vacina contra Parkinson - Dose Única</v>
      </c>
      <c r="B84">
        <v>1110.24</v>
      </c>
    </row>
    <row r="85" spans="1:2">
      <c r="A85" t="str">
        <v>Amoxicilina Gotas 20ml - Medley (Genérico)</v>
      </c>
      <c r="B85">
        <v>284.60000000000002</v>
      </c>
    </row>
    <row r="86" spans="1:2">
      <c r="A86" t="str">
        <v>Omeprazol 25mg - 30 Comprimidos - Bayer</v>
      </c>
      <c r="B86">
        <v>1595.5800000000002</v>
      </c>
    </row>
    <row r="87" spans="1:2">
      <c r="A87" t="str">
        <v>Fluoxetina Xarope 120ml - Bayer</v>
      </c>
      <c r="B87">
        <v>2222.6000000000004</v>
      </c>
    </row>
    <row r="88" spans="1:2">
      <c r="A88" t="str">
        <v>Fralda Descartável Colgate 50 Metros</v>
      </c>
      <c r="B88">
        <v>733.91999999999985</v>
      </c>
    </row>
    <row r="89" spans="1:2">
      <c r="A89" t="str">
        <v>Vacina contra Hepatite C - Reforço</v>
      </c>
      <c r="B89">
        <v>4078.3600000000006</v>
      </c>
    </row>
    <row r="90" spans="1:2">
      <c r="A90" t="str">
        <v>Creme Hidratante Listerine 90g</v>
      </c>
      <c r="B90">
        <v>195.32999999999998</v>
      </c>
    </row>
    <row r="91" spans="1:2">
      <c r="A91" t="str">
        <v>Losartana Potássica 500mg - 20 Comprimidos - Medley (Genérico)</v>
      </c>
      <c r="B91">
        <v>2894.72</v>
      </c>
    </row>
    <row r="92" spans="1:2">
      <c r="A92" t="str">
        <v>Protetor Solar Facial Panvel 200ml</v>
      </c>
      <c r="B92">
        <v>947.07</v>
      </c>
    </row>
    <row r="93" spans="1:2">
      <c r="A93" t="str">
        <v>Omeprazol 50mg - 30 Comprimidos - Neo Química (Genérico)</v>
      </c>
      <c r="B93">
        <v>3263.1200000000003</v>
      </c>
    </row>
    <row r="94" spans="1:2">
      <c r="A94" t="str">
        <v>Curativos (Band-Aid) Clear FPS 50</v>
      </c>
      <c r="B94">
        <v>648.03</v>
      </c>
    </row>
    <row r="95" spans="1:2">
      <c r="A95" t="str">
        <v>Protetor Solar Corporal Sempre Livre 50 Metros</v>
      </c>
      <c r="B95">
        <v>2436.9</v>
      </c>
    </row>
    <row r="96" spans="1:2">
      <c r="A96" t="str">
        <v>Sertralina Gotas 20ml - Eurofarma</v>
      </c>
      <c r="B96">
        <v>6567.2099999999982</v>
      </c>
    </row>
    <row r="97" spans="1:2">
      <c r="A97" t="str">
        <v>Protetor Solar Corporal Bepantol FPS 70</v>
      </c>
      <c r="B97">
        <v>1823.7000000000003</v>
      </c>
    </row>
    <row r="98" spans="1:2">
      <c r="A98" t="str">
        <v>Vacina contra Depressão - Dose Única</v>
      </c>
      <c r="B98">
        <v>1414.8</v>
      </c>
    </row>
    <row r="99" spans="1:2">
      <c r="A99" t="str">
        <v>Clonazepam Pomada 30g - Medley (Genérico)</v>
      </c>
      <c r="B99">
        <v>1839.6299999999999</v>
      </c>
    </row>
    <row r="100" spans="1:2">
      <c r="A100" t="str">
        <v>Loratadina Pomada 30g - Eurofarma</v>
      </c>
      <c r="B100">
        <v>1488.6600000000003</v>
      </c>
    </row>
    <row r="101" spans="1:2">
      <c r="A101" t="str">
        <v>Escitalopram 1g - 10 Comprimidos - Aché</v>
      </c>
      <c r="B101">
        <v>612.5</v>
      </c>
    </row>
    <row r="102" spans="1:2">
      <c r="A102" t="str">
        <v>Vacina contra Gripe - Reforço</v>
      </c>
      <c r="B102">
        <v>21.959999999999994</v>
      </c>
    </row>
    <row r="103" spans="1:2">
      <c r="A103" t="str">
        <v>Vacina contra Alzheimer - Reforço</v>
      </c>
      <c r="B103">
        <v>5065.9400000000005</v>
      </c>
    </row>
    <row r="104" spans="1:2">
      <c r="A104" t="str">
        <v>Amoxicilina Suspensão Oral 50ml - EMS (Genérico)</v>
      </c>
      <c r="B104">
        <v>1631.1599999999999</v>
      </c>
    </row>
    <row r="105" spans="1:2">
      <c r="A105" t="str">
        <v>Fio Dental Listerine Tamanho M (40 un)</v>
      </c>
      <c r="B105">
        <v>2412.41</v>
      </c>
    </row>
    <row r="106" spans="1:2">
      <c r="A106" t="str">
        <v>Creme Hidratante La Roche-Posay FPS 50</v>
      </c>
      <c r="B106">
        <v>2839.33</v>
      </c>
    </row>
    <row r="107" spans="1:2">
      <c r="A107" t="str">
        <v>Vacina contra Desnutrição - Dose Única</v>
      </c>
      <c r="B107">
        <v>7636.0599999999995</v>
      </c>
    </row>
    <row r="108" spans="1:2">
      <c r="A108" t="str">
        <v>Vacina contra Depressão - Reforço</v>
      </c>
      <c r="B108">
        <v>1262.76</v>
      </c>
    </row>
    <row r="109" spans="1:2">
      <c r="A109" t="str">
        <v>Diclofenaco 1g - 10 Comprimidos - Eurofarma</v>
      </c>
      <c r="B109">
        <v>4632.7999999999993</v>
      </c>
    </row>
    <row r="110" spans="1:2">
      <c r="A110" t="str">
        <v>Paracetamol Pomada 30g - Bayer</v>
      </c>
      <c r="B110">
        <v>165.85000000000002</v>
      </c>
    </row>
    <row r="111" spans="1:2">
      <c r="A111" t="str">
        <v>Azitromicina 1g - 10 Comprimidos - Eurofarma</v>
      </c>
      <c r="B111">
        <v>657.6</v>
      </c>
    </row>
    <row r="112" spans="1:2">
      <c r="A112" t="str">
        <v>Omeprazol Suspensão Oral 50ml - Eurofarma</v>
      </c>
      <c r="B112">
        <v>2887.7400000000002</v>
      </c>
    </row>
    <row r="113" spans="1:2">
      <c r="A113" t="str">
        <v>Omeprazol 500mg - 20 Comprimidos - Eurofarma</v>
      </c>
      <c r="B113">
        <v>637.56000000000006</v>
      </c>
    </row>
    <row r="114" spans="1:2">
      <c r="A114" t="str">
        <v>Curativos (Band-Aid) Nivea 500ml</v>
      </c>
      <c r="B114">
        <v>185.76999999999998</v>
      </c>
    </row>
    <row r="115" spans="1:2">
      <c r="A115" t="str">
        <v>Diclofenaco Gotas 20ml - Eurofarma</v>
      </c>
      <c r="B115">
        <v>389.64000000000004</v>
      </c>
    </row>
    <row r="116" spans="1:2">
      <c r="A116" t="str">
        <v>Atenolol 50mg - 30 Comprimidos - Neo Química (Genérico)</v>
      </c>
      <c r="B116">
        <v>1356.16</v>
      </c>
    </row>
    <row r="117" spans="1:2">
      <c r="A117" t="str">
        <v>Desodorante Aerosol Panvel FPS 50</v>
      </c>
      <c r="B117">
        <v>42.56</v>
      </c>
    </row>
    <row r="118" spans="1:2">
      <c r="A118" t="str">
        <v>Diclofenaco 500mg - 20 Comprimidos - Neo Química (Genérico)</v>
      </c>
      <c r="B118">
        <v>4178.43</v>
      </c>
    </row>
    <row r="119" spans="1:2">
      <c r="A119" t="str">
        <v>Condicionador Hidratação Dove 90g</v>
      </c>
      <c r="B119">
        <v>890.63000000000011</v>
      </c>
    </row>
    <row r="120" spans="1:2">
      <c r="A120" t="str">
        <v>Dipirona Sódica Xarope 120ml - Neo Química (Genérico)</v>
      </c>
      <c r="B120">
        <v>4495.59</v>
      </c>
    </row>
    <row r="121" spans="1:2">
      <c r="A121" t="str">
        <v>Sertralina 50mg - 30 Comprimidos - Bayer</v>
      </c>
      <c r="B121">
        <v>5394.8399999999992</v>
      </c>
    </row>
    <row r="122" spans="1:2">
      <c r="A122" t="str">
        <v>Escitalopram 500mg - 20 Comprimidos - Medley (Genérico)</v>
      </c>
      <c r="B122">
        <v>3118.86</v>
      </c>
    </row>
    <row r="123" spans="1:2">
      <c r="A123" t="str">
        <v>Sérum Vitamina C Panvel 400ml</v>
      </c>
      <c r="B123">
        <v>873.18</v>
      </c>
    </row>
    <row r="124" spans="1:2">
      <c r="A124" t="str">
        <v>Creme Dental Sempre Livre FPS 50</v>
      </c>
      <c r="B124">
        <v>1615.88</v>
      </c>
    </row>
    <row r="125" spans="1:2">
      <c r="A125" t="str">
        <v>Creme Hidratante G-Tech 400ml</v>
      </c>
      <c r="B125">
        <v>4410.66</v>
      </c>
    </row>
    <row r="126" spans="1:2">
      <c r="A126" t="str">
        <v>Enalapril Suspensão Oral 50ml - Aché</v>
      </c>
      <c r="B126">
        <v>327.2</v>
      </c>
    </row>
    <row r="127" spans="1:2">
      <c r="A127" t="str">
        <v>Vacina contra Câncer de Pulmão - Dose Única</v>
      </c>
      <c r="B127">
        <v>2291.9600000000005</v>
      </c>
    </row>
    <row r="128" spans="1:2">
      <c r="A128" t="str">
        <v>Hidroclorotiazida 500mg - 20 Comprimidos - Aché</v>
      </c>
      <c r="B128">
        <v>3323.04</v>
      </c>
    </row>
    <row r="129" spans="1:2">
      <c r="A129" t="str">
        <v>Sabonete Líquido Panvel 90g</v>
      </c>
      <c r="B129">
        <v>1115.52</v>
      </c>
    </row>
    <row r="130" spans="1:2">
      <c r="A130" t="str">
        <v>Sildenafila 1g - 10 Comprimidos - EMS (Genérico)</v>
      </c>
      <c r="B130">
        <v>2161.38</v>
      </c>
    </row>
    <row r="131" spans="1:2">
      <c r="A131" t="str">
        <v>Metformina Suspensão Oral 50ml - Medley (Genérico)</v>
      </c>
      <c r="B131">
        <v>458.51000000000005</v>
      </c>
    </row>
    <row r="132" spans="1:2">
      <c r="A132" t="str">
        <v>Metformina 25mg - 30 Comprimidos - Eurofarma</v>
      </c>
      <c r="B132">
        <v>670.65000000000009</v>
      </c>
    </row>
    <row r="133" spans="1:2">
      <c r="A133" t="str">
        <v>Hidroclorotiazida 25mg - 30 Comprimidos - Medley (Genérico)</v>
      </c>
      <c r="B133">
        <v>1535.68</v>
      </c>
    </row>
    <row r="134" spans="1:2">
      <c r="A134" t="str">
        <v>Sildenafila 25mg - 30 Comprimidos - Medley (Genérico)</v>
      </c>
      <c r="B134">
        <v>1139.06</v>
      </c>
    </row>
    <row r="135" spans="1:2">
      <c r="A135" t="str">
        <v>Fluoxetina 1g - 10 Comprimidos - Bayer</v>
      </c>
      <c r="B135">
        <v>1920.5200000000002</v>
      </c>
    </row>
    <row r="136" spans="1:2">
      <c r="A136" t="str">
        <v>Vacina contra Trombose - Reforço</v>
      </c>
      <c r="B136">
        <v>3462.9399999999996</v>
      </c>
    </row>
    <row r="137" spans="1:2">
      <c r="A137" t="str">
        <v>Soro Fisiológico Bepantol Tamanho M (40 un)</v>
      </c>
      <c r="B137">
        <v>395.78</v>
      </c>
    </row>
    <row r="138" spans="1:2">
      <c r="A138" t="str">
        <v>Protetor Solar Corporal CeraVe Tamanho M (40 un)</v>
      </c>
      <c r="B138">
        <v>1049.2</v>
      </c>
    </row>
    <row r="139" spans="1:2">
      <c r="A139" t="str">
        <v>Enalapril Gotas 20ml - Bayer</v>
      </c>
      <c r="B139">
        <v>5639.5199999999995</v>
      </c>
    </row>
    <row r="140" spans="1:2">
      <c r="A140" t="str">
        <v>Água Micelar Nivea 500ml</v>
      </c>
      <c r="B140">
        <v>21.630000000000003</v>
      </c>
    </row>
    <row r="141" spans="1:2">
      <c r="A141" t="str">
        <v>Enalapril 500mg - 20 Comprimidos - Eurofarma</v>
      </c>
      <c r="B141">
        <v>473.76000000000005</v>
      </c>
    </row>
    <row r="142" spans="1:2">
      <c r="A142" t="str">
        <v>Ibuprofeno 25mg - 30 Comprimidos - Bayer</v>
      </c>
      <c r="B142">
        <v>648.24</v>
      </c>
    </row>
    <row r="143" spans="1:2">
      <c r="A143" t="str">
        <v>Água Micelar Needs FPS 50</v>
      </c>
      <c r="B143">
        <v>403.38000000000005</v>
      </c>
    </row>
    <row r="144" spans="1:2">
      <c r="A144" t="str">
        <v>Soro Fisiológico Panvel 200ml</v>
      </c>
      <c r="B144">
        <v>2231.4</v>
      </c>
    </row>
    <row r="145" spans="1:2">
      <c r="A145" t="str">
        <v>Pomada para Assaduras Mió 500ml</v>
      </c>
      <c r="B145">
        <v>1009.6200000000001</v>
      </c>
    </row>
    <row r="146" spans="1:2">
      <c r="A146" t="str">
        <v>Pantoprazol 25mg - 30 Comprimidos - Aché</v>
      </c>
      <c r="B146">
        <v>978.3</v>
      </c>
    </row>
    <row r="147" spans="1:2">
      <c r="A147" t="str">
        <v>Losartana Potássica Suspensão Oral 50ml - Aché</v>
      </c>
      <c r="B147">
        <v>5417.87</v>
      </c>
    </row>
    <row r="148" spans="1:2">
      <c r="A148" t="str">
        <v>Fluoxetina 25mg - 30 Comprimidos - Eurofarma</v>
      </c>
      <c r="B148">
        <v>5146.47</v>
      </c>
    </row>
    <row r="149" spans="1:2">
      <c r="A149" t="str">
        <v>Hastes Flexíveis (Cotonetes) Mió 150ml</v>
      </c>
      <c r="B149">
        <v>1278.48</v>
      </c>
    </row>
    <row r="150" spans="1:2">
      <c r="A150" t="str">
        <v>Atenolol 50mg - 30 Comprimidos - Eurofarma</v>
      </c>
      <c r="B150">
        <v>575.08000000000004</v>
      </c>
    </row>
    <row r="151" spans="1:2">
      <c r="A151" t="str">
        <v>Vacina contra Insuficiência Renal - Reforço</v>
      </c>
      <c r="B151">
        <v>1895.67</v>
      </c>
    </row>
    <row r="152" spans="1:2">
      <c r="A152" t="str">
        <v>Metformina 1g - 10 Comprimidos - Neo Química (Genérico)</v>
      </c>
      <c r="B152">
        <v>1521.5200000000002</v>
      </c>
    </row>
    <row r="153" spans="1:2">
      <c r="A153" t="str">
        <v>Enxaguante Bucal Rexona FPS 50</v>
      </c>
      <c r="B153">
        <v>4074.48</v>
      </c>
    </row>
    <row r="154" spans="1:2">
      <c r="A154" t="str">
        <v>Curativos (Band-Aid) Huggies 150ml</v>
      </c>
      <c r="B154">
        <v>1316.99</v>
      </c>
    </row>
    <row r="155" spans="1:2">
      <c r="A155" t="str">
        <v>Sérum Vitamina C Listerine FPS 70</v>
      </c>
      <c r="B155">
        <v>450.03000000000003</v>
      </c>
    </row>
    <row r="156" spans="1:2">
      <c r="A156" t="str">
        <v>Pantoprazol Pomada 30g - Medley (Genérico)</v>
      </c>
      <c r="B156">
        <v>7952.94</v>
      </c>
    </row>
    <row r="157" spans="1:2">
      <c r="A157" t="str">
        <v>Sinvastatina 500mg - 20 Comprimidos - Neo Química (Genérico)</v>
      </c>
      <c r="B157">
        <v>3299.5800000000004</v>
      </c>
    </row>
    <row r="158" spans="1:2">
      <c r="A158" t="str">
        <v>Vacina contra Câncer de Mama - Dose Única</v>
      </c>
      <c r="B158">
        <v>1000.02</v>
      </c>
    </row>
    <row r="159" spans="1:2">
      <c r="A159" t="str">
        <v>Metformina Pomada 30g - Aché</v>
      </c>
      <c r="B159">
        <v>60.599999999999994</v>
      </c>
    </row>
    <row r="160" spans="1:2">
      <c r="A160" t="str">
        <v>Sertralina Gotas 20ml - Aché</v>
      </c>
      <c r="B160">
        <v>1276.29</v>
      </c>
    </row>
    <row r="161" spans="1:2">
      <c r="A161" t="str">
        <v>Vacina contra Zika - Dose Única</v>
      </c>
      <c r="B161">
        <v>4697.75</v>
      </c>
    </row>
    <row r="162" spans="1:2">
      <c r="A162" t="str">
        <v>Amoxicilina 25mg - 30 Comprimidos - Bayer</v>
      </c>
      <c r="B162">
        <v>1226.9000000000001</v>
      </c>
    </row>
    <row r="163" spans="1:2">
      <c r="A163" t="str">
        <v>Escitalopram 1g - 10 Comprimidos - Medley (Genérico)</v>
      </c>
      <c r="B163">
        <v>3559.0200000000004</v>
      </c>
    </row>
    <row r="164" spans="1:2">
      <c r="A164" t="str">
        <v>Nimesulida Gotas 20ml - Bayer</v>
      </c>
      <c r="B164">
        <v>2123.33</v>
      </c>
    </row>
    <row r="165" spans="1:2">
      <c r="A165" t="str">
        <v>Hidroclorotiazida 50mg - 30 Comprimidos - Eurofarma</v>
      </c>
      <c r="B165">
        <v>717.5</v>
      </c>
    </row>
    <row r="166" spans="1:2">
      <c r="A166" t="str">
        <v>Atenolol 1g - 10 Comprimidos - Neo Química (Genérico)</v>
      </c>
      <c r="B166">
        <v>2248.08</v>
      </c>
    </row>
    <row r="167" spans="1:2">
      <c r="A167" t="str">
        <v>Nimesulida 25mg - 30 Comprimidos - Bayer</v>
      </c>
      <c r="B167">
        <v>402.42</v>
      </c>
    </row>
    <row r="168" spans="1:2">
      <c r="A168" t="str">
        <v>Sérum Vitamina C Huggies 90g</v>
      </c>
      <c r="B168">
        <v>1779.36</v>
      </c>
    </row>
    <row r="169" spans="1:2">
      <c r="A169" t="str">
        <v>Metformina 25mg - 30 Comprimidos - Medley (Genérico)</v>
      </c>
      <c r="B169">
        <v>930.78</v>
      </c>
    </row>
    <row r="170" spans="1:2">
      <c r="A170" t="str">
        <v>Curativos (Band-Aid) Pampers 400ml</v>
      </c>
      <c r="B170">
        <v>6847.8000000000011</v>
      </c>
    </row>
    <row r="171" spans="1:2">
      <c r="A171" t="str">
        <v>Hidroclorotiazida Gotas 20ml - Medley (Genérico)</v>
      </c>
      <c r="B171">
        <v>960.52</v>
      </c>
    </row>
    <row r="172" spans="1:2">
      <c r="A172" t="str">
        <v>Protetor Solar Corporal Needs Tamanho M (40 un)</v>
      </c>
      <c r="B172">
        <v>700.77</v>
      </c>
    </row>
    <row r="173" spans="1:2">
      <c r="A173" t="str">
        <v>Fluoxetina 50mg - 30 Comprimidos - Medley (Genérico)</v>
      </c>
      <c r="B173">
        <v>337.2</v>
      </c>
    </row>
    <row r="174" spans="1:2">
      <c r="A174" t="str">
        <v>Dipirona Sódica Xarope 120ml - Medley (Genérico)</v>
      </c>
      <c r="B174">
        <v>1323.19</v>
      </c>
    </row>
    <row r="175" spans="1:2">
      <c r="A175" t="str">
        <v>Ibuprofeno Suspensão Oral 50ml - Neo Química (Genérico)</v>
      </c>
      <c r="B175">
        <v>3736.96</v>
      </c>
    </row>
    <row r="176" spans="1:2">
      <c r="A176" t="str">
        <v>Cefalexina Gotas 20ml - Eurofarma</v>
      </c>
      <c r="B176">
        <v>1224.3399999999999</v>
      </c>
    </row>
    <row r="177" spans="1:2">
      <c r="A177" t="str">
        <v>Ibuprofeno 500mg - 20 Comprimidos - Bayer</v>
      </c>
      <c r="B177">
        <v>168.60000000000002</v>
      </c>
    </row>
    <row r="178" spans="1:2">
      <c r="A178" t="str">
        <v>Lenço Umedecido CeraVe 400ml</v>
      </c>
      <c r="B178">
        <v>786.37</v>
      </c>
    </row>
    <row r="179" spans="1:2">
      <c r="A179" t="str">
        <v>Desodorante Roll-on Nivea FPS 70</v>
      </c>
      <c r="B179">
        <v>859.44</v>
      </c>
    </row>
    <row r="180" spans="1:2">
      <c r="A180" t="str">
        <v>Amoxicilina 500mg - 20 Comprimidos - Eurofarma</v>
      </c>
      <c r="B180">
        <v>1262.8799999999999</v>
      </c>
    </row>
    <row r="181" spans="1:2">
      <c r="A181" t="str">
        <v>Álcool em Gel 70% Aptamil FPS 50</v>
      </c>
      <c r="B181">
        <v>1147.52</v>
      </c>
    </row>
    <row r="182" spans="1:2">
      <c r="A182" t="str">
        <v>Fralda Descartável Aptamil 50 Metros</v>
      </c>
      <c r="B182">
        <v>1979.14</v>
      </c>
    </row>
    <row r="183" spans="1:2">
      <c r="A183" t="str">
        <v>Leite em Pó Infantil Huggies 90g</v>
      </c>
      <c r="B183">
        <v>4468.6099999999997</v>
      </c>
    </row>
    <row r="184" spans="1:2">
      <c r="A184" t="str">
        <v>Vacina contra Bipolaridade - Dose Única</v>
      </c>
      <c r="B184">
        <v>3033.45</v>
      </c>
    </row>
    <row r="185" spans="1:2">
      <c r="A185" t="str">
        <v>Enalapril Gotas 20ml - EMS (Genérico)</v>
      </c>
      <c r="B185">
        <v>3178.66</v>
      </c>
    </row>
    <row r="186" spans="1:2">
      <c r="A186" t="str">
        <v>Álcool em Gel 70% Pampers 50 Metros</v>
      </c>
      <c r="B186">
        <v>1635.6599999999999</v>
      </c>
    </row>
    <row r="187" spans="1:2">
      <c r="A187" t="str">
        <v>Água Micelar Sempre Livre 50g</v>
      </c>
      <c r="B187">
        <v>3475.9900000000002</v>
      </c>
    </row>
    <row r="188" spans="1:2">
      <c r="A188" t="str">
        <v>Soro Fisiológico Dove 150ml</v>
      </c>
      <c r="B188">
        <v>5634.75</v>
      </c>
    </row>
    <row r="189" spans="1:2">
      <c r="A189" t="str">
        <v>Escitalopram Gotas 20ml - Neo Química (Genérico)</v>
      </c>
      <c r="B189">
        <v>1832.7000000000003</v>
      </c>
    </row>
    <row r="190" spans="1:2">
      <c r="A190" t="str">
        <v>Diclofenaco Xarope 120ml - Eurofarma</v>
      </c>
      <c r="B190">
        <v>267.54000000000002</v>
      </c>
    </row>
    <row r="191" spans="1:2">
      <c r="A191" t="str">
        <v>Vacina contra Câncer de Próstata - Reforço</v>
      </c>
      <c r="B191">
        <v>688.94</v>
      </c>
    </row>
    <row r="192" spans="1:2">
      <c r="A192" t="str">
        <v>Hastes Flexíveis (Cotonetes) Listerine 200ml</v>
      </c>
      <c r="B192">
        <v>2528.37</v>
      </c>
    </row>
    <row r="193" spans="1:2">
      <c r="A193" t="str">
        <v>Leite em Pó Infantil Sempre Livre 400ml</v>
      </c>
      <c r="B193">
        <v>211.48</v>
      </c>
    </row>
    <row r="194" spans="1:2">
      <c r="A194" t="str">
        <v>Escitalopram 25mg - 30 Comprimidos - EMS (Genérico)</v>
      </c>
      <c r="B194">
        <v>3453.3999999999996</v>
      </c>
    </row>
    <row r="195" spans="1:2">
      <c r="A195" t="str">
        <v>Omeprazol 50mg - 30 Comprimidos - Bayer</v>
      </c>
      <c r="B195">
        <v>89.05</v>
      </c>
    </row>
    <row r="196" spans="1:2">
      <c r="A196" t="str">
        <v>Escitalopram Pomada 30g - Eurofarma</v>
      </c>
      <c r="B196">
        <v>4574.8</v>
      </c>
    </row>
    <row r="197" spans="1:2">
      <c r="A197" t="str">
        <v>Metformina 1g - 10 Comprimidos - Bayer</v>
      </c>
      <c r="B197">
        <v>2015.42</v>
      </c>
    </row>
    <row r="198" spans="1:2">
      <c r="A198" t="str">
        <v>Sertralina Suspensão Oral 50ml - Bayer</v>
      </c>
      <c r="B198">
        <v>228.53999999999996</v>
      </c>
    </row>
    <row r="199" spans="1:2">
      <c r="A199" t="str">
        <v>Fralda Descartável Clear FPS 50</v>
      </c>
      <c r="B199">
        <v>2775.68</v>
      </c>
    </row>
    <row r="200" spans="1:2">
      <c r="A200" t="str">
        <v>Soro Fisiológico Sempre Livre 500ml</v>
      </c>
      <c r="B200">
        <v>1233.2</v>
      </c>
    </row>
    <row r="201" spans="1:2">
      <c r="A201" t="str">
        <v>Sildenafila 1g - 10 Comprimidos - Bayer</v>
      </c>
      <c r="B201">
        <v>461.84999999999997</v>
      </c>
    </row>
    <row r="202" spans="1:2">
      <c r="A202" t="str">
        <v>Amoxicilina Suspensão Oral 50ml - Neo Química (Genérico)</v>
      </c>
      <c r="B202">
        <v>4443.8</v>
      </c>
    </row>
    <row r="203" spans="1:2">
      <c r="A203" t="str">
        <v>Tadalafila Xarope 120ml - Aché</v>
      </c>
      <c r="B203">
        <v>2835.45</v>
      </c>
    </row>
    <row r="204" spans="1:2">
      <c r="A204" t="str">
        <v>Amoxicilina Pomada 30g - Eurofarma</v>
      </c>
      <c r="B204">
        <v>1847.95</v>
      </c>
    </row>
    <row r="205" spans="1:2">
      <c r="A205" t="str">
        <v>Metformina Pomada 30g - Bayer</v>
      </c>
      <c r="B205">
        <v>463.32</v>
      </c>
    </row>
    <row r="206" spans="1:2">
      <c r="A206" t="str">
        <v>Escitalopram 50mg - 30 Comprimidos - Eurofarma</v>
      </c>
      <c r="B206">
        <v>1959.59</v>
      </c>
    </row>
    <row r="207" spans="1:2">
      <c r="A207" t="str">
        <v>Azitromicina 25mg - 30 Comprimidos - Neo Química (Genérico)</v>
      </c>
      <c r="B207">
        <v>770.48</v>
      </c>
    </row>
    <row r="208" spans="1:2">
      <c r="A208" t="str">
        <v>Enalapril 50mg - 30 Comprimidos - Eurofarma</v>
      </c>
      <c r="B208">
        <v>342.95000000000005</v>
      </c>
    </row>
    <row r="209" spans="1:2">
      <c r="A209" t="str">
        <v>Shampoo Anticaspa Rexona 90g</v>
      </c>
      <c r="B209">
        <v>239.96000000000004</v>
      </c>
    </row>
    <row r="210" spans="1:2">
      <c r="A210" t="str">
        <v>Tadalafila 25mg - 30 Comprimidos - Eurofarma</v>
      </c>
      <c r="B210">
        <v>2989.44</v>
      </c>
    </row>
    <row r="211" spans="1:2">
      <c r="A211" t="str">
        <v>Sildenafila Pomada 30g - Aché</v>
      </c>
      <c r="B211">
        <v>1437.6</v>
      </c>
    </row>
    <row r="212" spans="1:2">
      <c r="A212" t="str">
        <v>Diclofenaco Xarope 120ml - Medley (Genérico)</v>
      </c>
      <c r="B212">
        <v>3553.8</v>
      </c>
    </row>
    <row r="213" spans="1:2">
      <c r="A213" t="str">
        <v>Pomada para Assaduras CeraVe 90g</v>
      </c>
      <c r="B213">
        <v>327.68999999999994</v>
      </c>
    </row>
    <row r="214" spans="1:2">
      <c r="A214" t="str">
        <v>Dipirona Sódica 1g - 10 Comprimidos - Bayer</v>
      </c>
      <c r="B214">
        <v>1099.3000000000002</v>
      </c>
    </row>
    <row r="215" spans="1:2">
      <c r="A215" t="str">
        <v>Vacina contra Colesterol Alto - Dose Única</v>
      </c>
      <c r="B215">
        <v>1139.71</v>
      </c>
    </row>
    <row r="216" spans="1:2">
      <c r="A216" t="str">
        <v>Creme Dental Panvel 90g</v>
      </c>
      <c r="B216">
        <v>1916.9</v>
      </c>
    </row>
    <row r="217" spans="1:2">
      <c r="A217" t="str">
        <v>Omeprazol 25mg - 30 Comprimidos - Eurofarma</v>
      </c>
      <c r="B217">
        <v>136.22</v>
      </c>
    </row>
    <row r="218" spans="1:2">
      <c r="A218" t="str">
        <v>Paracetamol 50mg - 30 Comprimidos - Medley (Genérico)</v>
      </c>
      <c r="B218">
        <v>3072.2500000000005</v>
      </c>
    </row>
    <row r="219" spans="1:2">
      <c r="A219" t="str">
        <v>Dipirona Sódica Pomada 30g - Medley (Genérico)</v>
      </c>
      <c r="B219">
        <v>2631.12</v>
      </c>
    </row>
    <row r="220" spans="1:2">
      <c r="A220" t="str">
        <v>Creme Hidratante Colgate 150ml</v>
      </c>
      <c r="B220">
        <v>3269.28</v>
      </c>
    </row>
    <row r="221" spans="1:2">
      <c r="A221" t="str">
        <v>Vacina contra Obesidade - Dose Única</v>
      </c>
      <c r="B221">
        <v>1861.86</v>
      </c>
    </row>
    <row r="222" spans="1:2">
      <c r="A222" t="str">
        <v>Clonazepam 1g - 10 Comprimidos - EMS (Genérico)</v>
      </c>
      <c r="B222">
        <v>1695.2100000000005</v>
      </c>
    </row>
    <row r="223" spans="1:2">
      <c r="A223" t="str">
        <v>Protetor Solar Corporal Needs 90g</v>
      </c>
      <c r="B223">
        <v>4077.21</v>
      </c>
    </row>
    <row r="224" spans="1:2">
      <c r="A224" t="str">
        <v>Amoxicilina 1g - 10 Comprimidos - EMS (Genérico)</v>
      </c>
      <c r="B224">
        <v>2073.85</v>
      </c>
    </row>
    <row r="225" spans="1:2">
      <c r="A225" t="str">
        <v>Metformina Pomada 30g - Medley (Genérico)</v>
      </c>
      <c r="B225">
        <v>6871.55</v>
      </c>
    </row>
    <row r="226" spans="1:2">
      <c r="A226" t="str">
        <v>Hidroclorotiazida Xarope 120ml - Neo Química (Genérico)</v>
      </c>
      <c r="B226">
        <v>4969.6799999999994</v>
      </c>
    </row>
    <row r="227" spans="1:2">
      <c r="A227" t="str">
        <v>Cefalexina Gotas 20ml - EMS (Genérico)</v>
      </c>
      <c r="B227">
        <v>1175.7599999999998</v>
      </c>
    </row>
    <row r="228" spans="1:2">
      <c r="A228" t="str">
        <v>Pantoprazol 50mg - 30 Comprimidos - Bayer</v>
      </c>
      <c r="B228">
        <v>1631.0800000000002</v>
      </c>
    </row>
    <row r="229" spans="1:2">
      <c r="A229" t="str">
        <v>Losartana Potássica 25mg - 30 Comprimidos - EMS (Genérico)</v>
      </c>
      <c r="B229">
        <v>486.45000000000005</v>
      </c>
    </row>
    <row r="230" spans="1:2">
      <c r="A230" t="str">
        <v>Diclofenaco 50mg - 30 Comprimidos - Aché</v>
      </c>
      <c r="B230">
        <v>2440.6899999999996</v>
      </c>
    </row>
    <row r="231" spans="1:2">
      <c r="A231" t="str">
        <v>Sérum Vitamina C Pampers 400ml</v>
      </c>
      <c r="B231">
        <v>1541</v>
      </c>
    </row>
    <row r="232" spans="1:2">
      <c r="A232" t="str">
        <v>Nimesulida Xarope 120ml - Medley (Genérico)</v>
      </c>
      <c r="B232">
        <v>1069.1099999999999</v>
      </c>
    </row>
    <row r="233" spans="1:2">
      <c r="A233" t="str">
        <v>Vacina contra Insônia - Reforço</v>
      </c>
      <c r="B233">
        <v>2420.2200000000003</v>
      </c>
    </row>
    <row r="234" spans="1:2">
      <c r="A234" t="str">
        <v>Losartana Potássica 50mg - 30 Comprimidos - EMS (Genérico)</v>
      </c>
      <c r="B234">
        <v>301.21000000000004</v>
      </c>
    </row>
    <row r="235" spans="1:2">
      <c r="A235" t="str">
        <v>Protetor Solar Corporal CeraVe Tamanho G (32 un)</v>
      </c>
      <c r="B235">
        <v>224.77</v>
      </c>
    </row>
    <row r="236" spans="1:2">
      <c r="A236" t="str">
        <v>Cefalexina 500mg - 20 Comprimidos - Neo Química (Genérico)</v>
      </c>
      <c r="B236">
        <v>320.53999999999996</v>
      </c>
    </row>
    <row r="237" spans="1:2">
      <c r="A237" t="str">
        <v>Escitalopram 25mg - 30 Comprimidos - Neo Química (Genérico)</v>
      </c>
      <c r="B237">
        <v>4076.8299999999995</v>
      </c>
    </row>
    <row r="238" spans="1:2">
      <c r="A238" t="str">
        <v>Condicionador Hidratação Johnson's FPS 50</v>
      </c>
      <c r="B238">
        <v>141.23999999999998</v>
      </c>
    </row>
    <row r="239" spans="1:2">
      <c r="A239" t="str">
        <v>Sinvastatina Pomada 30g - EMS (Genérico)</v>
      </c>
      <c r="B239">
        <v>853.58</v>
      </c>
    </row>
    <row r="240" spans="1:2">
      <c r="A240" t="str">
        <v>Metformina Suspensão Oral 50ml - Eurofarma</v>
      </c>
      <c r="B240">
        <v>296.24</v>
      </c>
    </row>
    <row r="241" spans="1:2">
      <c r="A241" t="str">
        <v>Ibuprofeno Gotas 20ml - Aché</v>
      </c>
      <c r="B241">
        <v>2204.8199999999997</v>
      </c>
    </row>
    <row r="242" spans="1:2">
      <c r="A242" t="str">
        <v>Fio Dental Listerine 200ml</v>
      </c>
      <c r="B242">
        <v>3822.66</v>
      </c>
    </row>
    <row r="243" spans="1:2">
      <c r="A243" t="str">
        <v>Cefalexina 50mg - 30 Comprimidos - Aché</v>
      </c>
      <c r="B243">
        <v>309.3</v>
      </c>
    </row>
    <row r="244" spans="1:2">
      <c r="A244" t="str">
        <v>Tadalafila Pomada 30g - Aché</v>
      </c>
      <c r="B244">
        <v>845.25</v>
      </c>
    </row>
    <row r="245" spans="1:2">
      <c r="A245" t="str">
        <v>Pantoprazol Suspensão Oral 50ml - Neo Química (Genérico)</v>
      </c>
      <c r="B245">
        <v>748.66</v>
      </c>
    </row>
    <row r="246" spans="1:2">
      <c r="A246" t="str">
        <v>Vacina contra Gripe - Dose Única</v>
      </c>
      <c r="B246">
        <v>2601</v>
      </c>
    </row>
    <row r="247" spans="1:2">
      <c r="A247" t="str">
        <v>Vacina contra Diabetes Tipo 1 - Dose Única</v>
      </c>
      <c r="B247">
        <v>2079.84</v>
      </c>
    </row>
    <row r="248" spans="1:2">
      <c r="A248" t="str">
        <v>Pantoprazol Pomada 30g - Eurofarma</v>
      </c>
      <c r="B248">
        <v>117.13</v>
      </c>
    </row>
    <row r="249" spans="1:2">
      <c r="A249" t="str">
        <v>Paracetamol Suspensão Oral 50ml - Aché</v>
      </c>
      <c r="B249">
        <v>360.06</v>
      </c>
    </row>
    <row r="250" spans="1:2">
      <c r="A250" t="str">
        <v>Clonazepam Suspensão Oral 50ml - Medley (Genérico)</v>
      </c>
      <c r="B250">
        <v>1750.14</v>
      </c>
    </row>
    <row r="251" spans="1:2">
      <c r="A251" t="str">
        <v>Condicionador Hidratação G-Tech FPS 50</v>
      </c>
      <c r="B251">
        <v>2052.9499999999998</v>
      </c>
    </row>
    <row r="252" spans="1:2">
      <c r="A252" t="str">
        <v>Tadalafila 1g - 10 Comprimidos - Aché</v>
      </c>
      <c r="B252">
        <v>74.28</v>
      </c>
    </row>
    <row r="253" spans="1:2">
      <c r="A253" t="str">
        <v>Paracetamol Pomada 30g - Medley (Genérico)</v>
      </c>
      <c r="B253">
        <v>1653.8</v>
      </c>
    </row>
    <row r="254" spans="1:2">
      <c r="A254" t="str">
        <v>Nimesulida 25mg - 30 Comprimidos - Neo Química (Genérico)</v>
      </c>
      <c r="B254">
        <v>477.02</v>
      </c>
    </row>
    <row r="255" spans="1:2">
      <c r="A255" t="str">
        <v>Pantoprazol Gotas 20ml - Eurofarma</v>
      </c>
      <c r="B255">
        <v>85.95</v>
      </c>
    </row>
    <row r="256" spans="1:2">
      <c r="A256" t="str">
        <v>Nimesulida 1g - 10 Comprimidos - Aché</v>
      </c>
      <c r="B256">
        <v>1102.24</v>
      </c>
    </row>
    <row r="257" spans="1:2">
      <c r="A257" t="str">
        <v>Lenço Umedecido Rexona FPS 50</v>
      </c>
      <c r="B257">
        <v>1939.5199999999998</v>
      </c>
    </row>
    <row r="258" spans="1:2">
      <c r="A258" t="str">
        <v>Condicionador Hidratação Panvel Tamanho G (32 un)</v>
      </c>
      <c r="B258">
        <v>3802.08</v>
      </c>
    </row>
    <row r="259" spans="1:2">
      <c r="A259" t="str">
        <v>Loratadina 25mg - 30 Comprimidos - Eurofarma</v>
      </c>
      <c r="B259">
        <v>2191</v>
      </c>
    </row>
    <row r="260" spans="1:2">
      <c r="A260" t="str">
        <v>Shampoo Anticaspa CeraVe 500ml</v>
      </c>
      <c r="B260">
        <v>2199.33</v>
      </c>
    </row>
    <row r="261" spans="1:2">
      <c r="A261" t="str">
        <v>Vacina contra Cirrose - Reforço</v>
      </c>
      <c r="B261">
        <v>2951.7000000000003</v>
      </c>
    </row>
    <row r="262" spans="1:2">
      <c r="A262" t="str">
        <v>Dipirona Sódica Xarope 120ml - EMS (Genérico)</v>
      </c>
      <c r="B262">
        <v>597.21</v>
      </c>
    </row>
    <row r="263" spans="1:2">
      <c r="A263" t="str">
        <v>Losartana Potássica 500mg - 20 Comprimidos - Neo Química (Genérico)</v>
      </c>
      <c r="B263">
        <v>1252.79</v>
      </c>
    </row>
    <row r="264" spans="1:2">
      <c r="A264" t="str">
        <v>Diclofenaco Suspensão Oral 50ml - Aché</v>
      </c>
      <c r="B264">
        <v>2939.1299999999997</v>
      </c>
    </row>
    <row r="265" spans="1:2">
      <c r="A265" t="str">
        <v>Pomada para Assaduras Needs FPS 50</v>
      </c>
      <c r="B265">
        <v>4450.1999999999989</v>
      </c>
    </row>
    <row r="266" spans="1:2">
      <c r="A266" t="str">
        <v>Sabonete Líquido Huggies FPS 70</v>
      </c>
      <c r="B266">
        <v>620.54</v>
      </c>
    </row>
    <row r="267" spans="1:2">
      <c r="A267" t="str">
        <v>Cefalexina Suspensão Oral 50ml - Medley (Genérico)</v>
      </c>
      <c r="B267">
        <v>3443.5600000000004</v>
      </c>
    </row>
    <row r="268" spans="1:2">
      <c r="A268" t="str">
        <v>Absorvente com Abas Bepantol 50g</v>
      </c>
      <c r="B268">
        <v>21.42</v>
      </c>
    </row>
    <row r="269" spans="1:2">
      <c r="A269" t="str">
        <v>Azitromicina 50mg - 30 Comprimidos - Medley (Genérico)</v>
      </c>
      <c r="B269">
        <v>4253.13</v>
      </c>
    </row>
    <row r="270" spans="1:2">
      <c r="A270" t="str">
        <v>Hidroclorotiazida Xarope 120ml - Bayer</v>
      </c>
      <c r="B270">
        <v>1147.03</v>
      </c>
    </row>
    <row r="271" spans="1:2">
      <c r="A271" t="str">
        <v>Enalapril Gotas 20ml - Medley (Genérico)</v>
      </c>
      <c r="B271">
        <v>185.6</v>
      </c>
    </row>
    <row r="272" spans="1:2">
      <c r="A272" t="str">
        <v>Água Micelar La Roche-Posay Tamanho M (40 un)</v>
      </c>
      <c r="B272">
        <v>5079.5499999999993</v>
      </c>
    </row>
    <row r="273" spans="1:2">
      <c r="A273" t="str">
        <v>Cefalexina 50mg - 30 Comprimidos - Eurofarma</v>
      </c>
      <c r="B273">
        <v>244.23</v>
      </c>
    </row>
    <row r="274" spans="1:2">
      <c r="A274" t="str">
        <v>Hastes Flexíveis (Cotonetes) Huggies 150ml</v>
      </c>
      <c r="B274">
        <v>3551.47</v>
      </c>
    </row>
    <row r="275" spans="1:2">
      <c r="A275" t="str">
        <v>Creme Dental Colgate 150ml</v>
      </c>
      <c r="B275">
        <v>546.26</v>
      </c>
    </row>
    <row r="276" spans="1:2">
      <c r="A276" t="str">
        <v>Creme Hidratante Mió 90g</v>
      </c>
      <c r="B276">
        <v>3553.34</v>
      </c>
    </row>
    <row r="277" spans="1:2">
      <c r="A277" t="str">
        <v>Sertralina 50mg - 30 Comprimidos - Neo Química (Genérico)</v>
      </c>
      <c r="B277">
        <v>583.20000000000005</v>
      </c>
    </row>
    <row r="278" spans="1:2">
      <c r="A278" t="str">
        <v>Fralda Descartável Nivea FPS 70</v>
      </c>
      <c r="B278">
        <v>524.25</v>
      </c>
    </row>
    <row r="279" spans="1:2">
      <c r="A279" t="str">
        <v>Protetor Solar Facial Bepantol 150ml</v>
      </c>
      <c r="B279">
        <v>1277.28</v>
      </c>
    </row>
    <row r="280" spans="1:2">
      <c r="A280" t="str">
        <v>Ibuprofeno Gotas 20ml - Medley (Genérico)</v>
      </c>
      <c r="B280">
        <v>1479.8300000000002</v>
      </c>
    </row>
    <row r="281" spans="1:2">
      <c r="A281" t="str">
        <v>Pantoprazol 50mg - 30 Comprimidos - Eurofarma</v>
      </c>
      <c r="B281">
        <v>2921.9599999999996</v>
      </c>
    </row>
    <row r="282" spans="1:2">
      <c r="A282" t="str">
        <v>Sildenafila 1g - 10 Comprimidos - Eurofarma</v>
      </c>
      <c r="B282">
        <v>1597.28</v>
      </c>
    </row>
    <row r="283" spans="1:2">
      <c r="A283" t="str">
        <v>Sildenafila Xarope 120ml - Eurofarma</v>
      </c>
      <c r="B283">
        <v>1134.48</v>
      </c>
    </row>
    <row r="284" spans="1:2">
      <c r="A284" t="str">
        <v>Sinvastatina Gotas 20ml - Medley (Genérico)</v>
      </c>
      <c r="B284">
        <v>6594.48</v>
      </c>
    </row>
    <row r="285" spans="1:2">
      <c r="A285" t="str">
        <v>Amoxicilina 1g - 10 Comprimidos - Aché</v>
      </c>
      <c r="B285">
        <v>61.230000000000004</v>
      </c>
    </row>
    <row r="286" spans="1:2">
      <c r="A286" t="str">
        <v>Pomada para Assaduras G-Tech Tamanho M (40 un)</v>
      </c>
      <c r="B286">
        <v>1948.35</v>
      </c>
    </row>
    <row r="287" spans="1:2">
      <c r="A287" t="str">
        <v>Clonazepam 25mg - 30 Comprimidos - Bayer</v>
      </c>
      <c r="B287">
        <v>1984.2399999999998</v>
      </c>
    </row>
    <row r="288" spans="1:2">
      <c r="A288" t="str">
        <v>Sinvastatina 1g - 10 Comprimidos - Aché</v>
      </c>
      <c r="B288">
        <v>1710.7200000000003</v>
      </c>
    </row>
    <row r="289" spans="1:2">
      <c r="A289" t="str">
        <v>Sérum Vitamina C Rexona 200ml</v>
      </c>
      <c r="B289">
        <v>4380.2</v>
      </c>
    </row>
    <row r="290" spans="1:2">
      <c r="A290" t="str">
        <v>Enalapril Suspensão Oral 50ml - Eurofarma</v>
      </c>
      <c r="B290">
        <v>2127.62</v>
      </c>
    </row>
    <row r="291" spans="1:2">
      <c r="A291" t="str">
        <v>Fluoxetina 50mg - 30 Comprimidos - EMS (Genérico)</v>
      </c>
      <c r="B291">
        <v>3631.52</v>
      </c>
    </row>
    <row r="292" spans="1:2">
      <c r="A292" t="str">
        <v>Vacina contra Osteoporose - Dose Única</v>
      </c>
      <c r="B292">
        <v>1081.92</v>
      </c>
    </row>
    <row r="293" spans="1:2">
      <c r="A293" t="str">
        <v>Losartana Potássica 500mg - 20 Comprimidos - Eurofarma</v>
      </c>
      <c r="B293">
        <v>2335.14</v>
      </c>
    </row>
    <row r="294" spans="1:2">
      <c r="A294" t="str">
        <v>Azitromicina Gotas 20ml - Eurofarma</v>
      </c>
      <c r="B294">
        <v>888.48</v>
      </c>
    </row>
    <row r="295" spans="1:2">
      <c r="A295" t="str">
        <v>Fluoxetina 1g - 10 Comprimidos - Medley (Genérico)</v>
      </c>
      <c r="B295">
        <v>1220.22</v>
      </c>
    </row>
    <row r="296" spans="1:2">
      <c r="A296" t="str">
        <v>Enxaguante Bucal Sempre Livre 400ml</v>
      </c>
      <c r="B296">
        <v>4123.4400000000005</v>
      </c>
    </row>
    <row r="297" spans="1:2">
      <c r="A297" t="str">
        <v>Sinvastatina Xarope 120ml - Eurofarma</v>
      </c>
      <c r="B297">
        <v>1638.21</v>
      </c>
    </row>
    <row r="298" spans="1:2">
      <c r="A298" t="str">
        <v>Amoxicilina Suspensão Oral 50ml - Eurofarma</v>
      </c>
      <c r="B298">
        <v>4605.3899999999994</v>
      </c>
    </row>
    <row r="299" spans="1:2">
      <c r="A299" t="str">
        <v>Azitromicina 50mg - 30 Comprimidos - Aché</v>
      </c>
      <c r="B299">
        <v>1263.46</v>
      </c>
    </row>
    <row r="300" spans="1:2">
      <c r="A300" t="str">
        <v>Paracetamol 25mg - 30 Comprimidos - Medley (Genérico)</v>
      </c>
      <c r="B300">
        <v>1632.3</v>
      </c>
    </row>
    <row r="301" spans="1:2">
      <c r="A301" t="str">
        <v>Hidroclorotiazida 25mg - 30 Comprimidos - EMS (Genérico)</v>
      </c>
      <c r="B301">
        <v>4165.17</v>
      </c>
    </row>
    <row r="302" spans="1:2">
      <c r="A302" t="str">
        <v>Paracetamol 500mg - 20 Comprimidos - Eurofarma</v>
      </c>
      <c r="B302">
        <v>553.68999999999994</v>
      </c>
    </row>
    <row r="303" spans="1:2">
      <c r="A303" t="str">
        <v>Enalapril 50mg - 30 Comprimidos - Medley (Genérico)</v>
      </c>
      <c r="B303">
        <v>1491.4199999999998</v>
      </c>
    </row>
    <row r="304" spans="1:2">
      <c r="A304" t="str">
        <v>Clonazepam Xarope 120ml - EMS (Genérico)</v>
      </c>
      <c r="B304">
        <v>5088.96</v>
      </c>
    </row>
    <row r="305" spans="1:2">
      <c r="A305" t="str">
        <v>Pomada para Assaduras Panvel 200ml</v>
      </c>
      <c r="B305">
        <v>416.48</v>
      </c>
    </row>
    <row r="306" spans="1:2">
      <c r="A306" t="str">
        <v>Protetor Solar Corporal Rexona 150ml</v>
      </c>
      <c r="B306">
        <v>4405.92</v>
      </c>
    </row>
    <row r="307" spans="1:2">
      <c r="A307" t="str">
        <v>Hidroclorotiazida Xarope 120ml - EMS (Genérico)</v>
      </c>
      <c r="B307">
        <v>2121.92</v>
      </c>
    </row>
    <row r="308" spans="1:2">
      <c r="A308" t="str">
        <v>Enalapril 500mg - 20 Comprimidos - EMS (Genérico)</v>
      </c>
      <c r="B308">
        <v>734.46</v>
      </c>
    </row>
    <row r="309" spans="1:2">
      <c r="A309" t="str">
        <v>Losartana Potássica 50mg - 30 Comprimidos - Medley (Genérico)</v>
      </c>
      <c r="B309">
        <v>2330.08</v>
      </c>
    </row>
    <row r="310" spans="1:2">
      <c r="A310" t="str">
        <v>Desodorante Aerosol G-Tech 150ml</v>
      </c>
      <c r="B310">
        <v>2166.34</v>
      </c>
    </row>
    <row r="311" spans="1:2">
      <c r="A311" t="str">
        <v>Nimesulida 50mg - 30 Comprimidos - EMS (Genérico)</v>
      </c>
      <c r="B311">
        <v>3630.69</v>
      </c>
    </row>
    <row r="312" spans="1:2">
      <c r="A312" t="str">
        <v>Pomada para Assaduras G-Tech FPS 50</v>
      </c>
      <c r="B312">
        <v>1213.92</v>
      </c>
    </row>
    <row r="313" spans="1:2">
      <c r="A313" t="str">
        <v>Água Micelar Colgate 50g</v>
      </c>
      <c r="B313">
        <v>3517.14</v>
      </c>
    </row>
    <row r="314" spans="1:2">
      <c r="A314" t="str">
        <v>Hastes Flexíveis (Cotonetes) Johnson's 200ml</v>
      </c>
      <c r="B314">
        <v>1416.0600000000002</v>
      </c>
    </row>
    <row r="315" spans="1:2">
      <c r="A315" t="str">
        <v>Shampoo Anticaspa Johnson's FPS 70</v>
      </c>
      <c r="B315">
        <v>159.46</v>
      </c>
    </row>
    <row r="316" spans="1:2">
      <c r="A316" t="str">
        <v>Azitromicina 1g - 10 Comprimidos - EMS (Genérico)</v>
      </c>
      <c r="B316">
        <v>1096.3799999999997</v>
      </c>
    </row>
    <row r="317" spans="1:2">
      <c r="A317" t="str">
        <v>Pantoprazol 500mg - 20 Comprimidos - Medley (Genérico)</v>
      </c>
      <c r="B317">
        <v>2310.58</v>
      </c>
    </row>
    <row r="318" spans="1:2">
      <c r="A318" t="str">
        <v>Álcool em Gel 70% CeraVe 150ml</v>
      </c>
      <c r="B318">
        <v>3907.4499999999994</v>
      </c>
    </row>
    <row r="319" spans="1:2">
      <c r="A319" t="str">
        <v>Nimesulida 25mg - 30 Comprimidos - Medley (Genérico)</v>
      </c>
      <c r="B319">
        <v>1929.64</v>
      </c>
    </row>
    <row r="320" spans="1:2">
      <c r="A320" t="str">
        <v>Atenolol Xarope 120ml - Medley (Genérico)</v>
      </c>
      <c r="B320">
        <v>2080.6799999999998</v>
      </c>
    </row>
    <row r="321" spans="1:2">
      <c r="A321" t="str">
        <v>Fluoxetina Xarope 120ml - Medley (Genérico)</v>
      </c>
      <c r="B321">
        <v>227.4</v>
      </c>
    </row>
    <row r="322" spans="1:2">
      <c r="A322" t="str">
        <v>Metformina Suspensão Oral 50ml - EMS (Genérico)</v>
      </c>
      <c r="B322">
        <v>722.88</v>
      </c>
    </row>
    <row r="323" spans="1:2">
      <c r="A323" t="str">
        <v>Diclofenaco Pomada 30g - Medley (Genérico)</v>
      </c>
      <c r="B323">
        <v>124.96</v>
      </c>
    </row>
    <row r="324" spans="1:2">
      <c r="A324" t="str">
        <v>Sildenafila 50mg - 30 Comprimidos - Aché</v>
      </c>
      <c r="B324">
        <v>1253.56</v>
      </c>
    </row>
    <row r="325" spans="1:2">
      <c r="A325" t="str">
        <v>Vacina contra Dermatite - Reforço</v>
      </c>
      <c r="B325">
        <v>4028.64</v>
      </c>
    </row>
    <row r="326" spans="1:2">
      <c r="A326" t="str">
        <v>Dipirona Sódica 1g - 10 Comprimidos - EMS (Genérico)</v>
      </c>
      <c r="B326">
        <v>446.52000000000004</v>
      </c>
    </row>
    <row r="327" spans="1:2">
      <c r="A327" t="str">
        <v>Vacina contra Dengue - Dose Única</v>
      </c>
      <c r="B327">
        <v>2543.94</v>
      </c>
    </row>
    <row r="328" spans="1:2">
      <c r="A328" t="str">
        <v>Condicionador Hidratação Vichy 90g</v>
      </c>
      <c r="B328">
        <v>220.07999999999998</v>
      </c>
    </row>
    <row r="329" spans="1:2">
      <c r="A329" t="str">
        <v>Tadalafila Pomada 30g - EMS (Genérico)</v>
      </c>
      <c r="B329">
        <v>1076.22</v>
      </c>
    </row>
    <row r="330" spans="1:2">
      <c r="A330" t="str">
        <v>Omeprazol Suspensão Oral 50ml - EMS (Genérico)</v>
      </c>
      <c r="B330">
        <v>88.65</v>
      </c>
    </row>
    <row r="331" spans="1:2">
      <c r="A331" t="str">
        <v>Sertralina Xarope 120ml - EMS (Genérico)</v>
      </c>
      <c r="B331">
        <v>1041.06</v>
      </c>
    </row>
    <row r="332" spans="1:2">
      <c r="A332" t="str">
        <v>Paracetamol 25mg - 30 Comprimidos - Aché</v>
      </c>
      <c r="B332">
        <v>4136.8</v>
      </c>
    </row>
    <row r="333" spans="1:2">
      <c r="A333" t="str">
        <v>Vacina contra Câncer de Próstata - Dose Única</v>
      </c>
      <c r="B333">
        <v>1846.3600000000001</v>
      </c>
    </row>
    <row r="334" spans="1:2">
      <c r="A334" t="str">
        <v>Ibuprofeno Xarope 120ml - Bayer</v>
      </c>
      <c r="B334">
        <v>1355.22</v>
      </c>
    </row>
    <row r="335" spans="1:2">
      <c r="A335" t="str">
        <v>Lenço Umedecido Colgate 50g</v>
      </c>
      <c r="B335">
        <v>1607.2100000000003</v>
      </c>
    </row>
    <row r="336" spans="1:2">
      <c r="A336" t="str">
        <v>Sérum Vitamina C Needs FPS 50</v>
      </c>
      <c r="B336">
        <v>1350.45</v>
      </c>
    </row>
    <row r="337" spans="1:2">
      <c r="A337" t="str">
        <v>Creme Hidratante Rexona 50 Metros</v>
      </c>
      <c r="B337">
        <v>2926.8199999999997</v>
      </c>
    </row>
    <row r="338" spans="1:2">
      <c r="A338" t="str">
        <v>Vacina contra Resfriado - Dose Única</v>
      </c>
      <c r="B338">
        <v>1025.18</v>
      </c>
    </row>
    <row r="339" spans="1:2">
      <c r="A339" t="str">
        <v>Hastes Flexíveis (Cotonetes) Nivea 50 Metros</v>
      </c>
      <c r="B339">
        <v>2403.2400000000002</v>
      </c>
    </row>
    <row r="340" spans="1:2">
      <c r="A340" t="str">
        <v>Losartana Potássica Pomada 30g - Bayer</v>
      </c>
      <c r="B340">
        <v>1371.3</v>
      </c>
    </row>
    <row r="341" spans="1:2">
      <c r="A341" t="str">
        <v>Vacina contra Cirrose - Dose Única</v>
      </c>
      <c r="B341">
        <v>1435</v>
      </c>
    </row>
    <row r="342" spans="1:2">
      <c r="A342" t="str">
        <v>Termômetro Digital Vichy 50 Metros</v>
      </c>
      <c r="B342">
        <v>290.88000000000005</v>
      </c>
    </row>
    <row r="343" spans="1:2">
      <c r="A343" t="str">
        <v>Vacina contra Epilepsia - Reforço</v>
      </c>
      <c r="B343">
        <v>2052.7000000000003</v>
      </c>
    </row>
    <row r="344" spans="1:2">
      <c r="A344" t="str">
        <v>Vacina contra Diabetes Tipo 1 - Reforço</v>
      </c>
      <c r="B344">
        <v>2536.8000000000002</v>
      </c>
    </row>
    <row r="345" spans="1:2">
      <c r="A345" t="str">
        <v>Ibuprofeno 1g - 10 Comprimidos - Bayer</v>
      </c>
      <c r="B345">
        <v>532.4</v>
      </c>
    </row>
    <row r="346" spans="1:2">
      <c r="A346" t="str">
        <v>Condicionador Hidratação Needs Tamanho M (40 un)</v>
      </c>
      <c r="B346">
        <v>2862.36</v>
      </c>
    </row>
    <row r="347" spans="1:2">
      <c r="A347" t="str">
        <v>Protetor Solar Facial Nivea 50 Metros</v>
      </c>
      <c r="B347">
        <v>1090.8</v>
      </c>
    </row>
    <row r="348" spans="1:2">
      <c r="A348" t="str">
        <v>Loratadina 500mg - 20 Comprimidos - EMS (Genérico)</v>
      </c>
      <c r="B348">
        <v>1088.32</v>
      </c>
    </row>
    <row r="349" spans="1:2">
      <c r="A349" t="str">
        <v>Desodorante Aerosol Rexona FPS 70</v>
      </c>
      <c r="B349">
        <v>1598.4</v>
      </c>
    </row>
    <row r="350" spans="1:2">
      <c r="A350" t="str">
        <v>Metformina 50mg - 30 Comprimidos - Bayer</v>
      </c>
      <c r="B350">
        <v>1628.7</v>
      </c>
    </row>
    <row r="351" spans="1:2">
      <c r="A351" t="str">
        <v>Hastes Flexíveis (Cotonetes) Pampers 500ml</v>
      </c>
      <c r="B351">
        <v>640.25</v>
      </c>
    </row>
    <row r="352" spans="1:2">
      <c r="A352" t="str">
        <v>Losartana Potássica Pomada 30g - Medley (Genérico)</v>
      </c>
      <c r="B352">
        <v>1559.6399999999999</v>
      </c>
    </row>
    <row r="353" spans="1:2">
      <c r="A353" t="str">
        <v>Metformina Gotas 20ml - Bayer</v>
      </c>
      <c r="B353">
        <v>1055.8800000000001</v>
      </c>
    </row>
    <row r="354" spans="1:2">
      <c r="A354" t="str">
        <v>Creme Dental Needs FPS 70</v>
      </c>
      <c r="B354">
        <v>1195.95</v>
      </c>
    </row>
    <row r="355" spans="1:2">
      <c r="A355" t="str">
        <v>Vacina contra Osteoporose - Reforço</v>
      </c>
      <c r="B355">
        <v>1356.3</v>
      </c>
    </row>
    <row r="356" spans="1:2">
      <c r="A356" t="str">
        <v>Desodorante Roll-on Sempre Livre 150ml</v>
      </c>
      <c r="B356">
        <v>1712.47</v>
      </c>
    </row>
    <row r="357" spans="1:2">
      <c r="A357" t="str">
        <v>Ibuprofeno 50mg - 30 Comprimidos - Eurofarma</v>
      </c>
      <c r="B357">
        <v>30.14</v>
      </c>
    </row>
    <row r="358" spans="1:2">
      <c r="A358" t="str">
        <v>Escitalopram Gotas 20ml - EMS (Genérico)</v>
      </c>
      <c r="B358">
        <v>1674.8999999999999</v>
      </c>
    </row>
    <row r="359" spans="1:2">
      <c r="A359" t="str">
        <v>Desodorante Roll-on Colgate 90g</v>
      </c>
      <c r="B359">
        <v>637.64</v>
      </c>
    </row>
    <row r="360" spans="1:2">
      <c r="A360" t="str">
        <v>Creme Hidratante Johnson's Tamanho G (32 un)</v>
      </c>
      <c r="B360">
        <v>3201.88</v>
      </c>
    </row>
    <row r="361" spans="1:2">
      <c r="A361" t="str">
        <v>Protetor Solar Facial Pampers 90g</v>
      </c>
      <c r="B361">
        <v>2343.1</v>
      </c>
    </row>
    <row r="362" spans="1:2">
      <c r="A362" t="str">
        <v>Clonazepam Pomada 30g - Aché</v>
      </c>
      <c r="B362">
        <v>1986.84</v>
      </c>
    </row>
    <row r="363" spans="1:2">
      <c r="A363" t="str">
        <v>Shampoo Anticaspa Mió 400ml</v>
      </c>
      <c r="B363">
        <v>1216.56</v>
      </c>
    </row>
    <row r="364" spans="1:2">
      <c r="A364" t="str">
        <v>Dipirona Sódica 50mg - 30 Comprimidos - Medley (Genérico)</v>
      </c>
      <c r="B364">
        <v>2852.64</v>
      </c>
    </row>
    <row r="365" spans="1:2">
      <c r="A365" t="str">
        <v>Vacina contra Hipertireoidismo - Reforço</v>
      </c>
      <c r="B365">
        <v>490.74</v>
      </c>
    </row>
    <row r="366" spans="1:2">
      <c r="A366" t="str">
        <v>Tadalafila 25mg - 30 Comprimidos - EMS (Genérico)</v>
      </c>
      <c r="B366">
        <v>758.42000000000007</v>
      </c>
    </row>
    <row r="367" spans="1:2">
      <c r="A367" t="str">
        <v>Vacina contra Insuficiência Cardíaca - Dose Única</v>
      </c>
      <c r="B367">
        <v>1712.48</v>
      </c>
    </row>
    <row r="368" spans="1:2">
      <c r="A368" t="str">
        <v>Dipirona Sódica 50mg - 30 Comprimidos - EMS (Genérico)</v>
      </c>
      <c r="B368">
        <v>1079.6199999999999</v>
      </c>
    </row>
    <row r="369" spans="1:2">
      <c r="A369" t="str">
        <v>Nimesulida 1g - 10 Comprimidos - Eurofarma</v>
      </c>
      <c r="B369">
        <v>460.56</v>
      </c>
    </row>
    <row r="370" spans="1:2">
      <c r="A370" t="str">
        <v>Clonazepam Suspensão Oral 50ml - EMS (Genérico)</v>
      </c>
      <c r="B370">
        <v>267.84000000000003</v>
      </c>
    </row>
    <row r="371" spans="1:2">
      <c r="A371" t="str">
        <v>Paracetamol 500mg - 20 Comprimidos - Neo Química (Genérico)</v>
      </c>
      <c r="B371">
        <v>3500.16</v>
      </c>
    </row>
    <row r="372" spans="1:2">
      <c r="A372" t="str">
        <v>Vacina contra Chikungunya - Dose Única</v>
      </c>
      <c r="B372">
        <v>5819.32</v>
      </c>
    </row>
    <row r="373" spans="1:2">
      <c r="A373" t="str">
        <v>Álcool em Gel 70% Vichy 150ml</v>
      </c>
      <c r="B373">
        <v>474.78</v>
      </c>
    </row>
    <row r="374" spans="1:2">
      <c r="A374" t="str">
        <v>Omeprazol 50mg - 30 Comprimidos - EMS (Genérico)</v>
      </c>
      <c r="B374">
        <v>631.98</v>
      </c>
    </row>
    <row r="375" spans="1:2">
      <c r="A375" t="str">
        <v>Curativos (Band-Aid) La Roche-Posay 400ml</v>
      </c>
      <c r="B375">
        <v>1012</v>
      </c>
    </row>
    <row r="376" spans="1:2">
      <c r="A376" t="str">
        <v>Diclofenaco 25mg - 30 Comprimidos - Aché</v>
      </c>
      <c r="B376">
        <v>209.34</v>
      </c>
    </row>
    <row r="377" spans="1:2">
      <c r="A377" t="str">
        <v>Curativos (Band-Aid) Sempre Livre 90g</v>
      </c>
      <c r="B377">
        <v>631.12000000000012</v>
      </c>
    </row>
    <row r="378" spans="1:2">
      <c r="A378" t="str">
        <v>Sildenafila 1g - 10 Comprimidos - Neo Química (Genérico)</v>
      </c>
      <c r="B378">
        <v>1871.94</v>
      </c>
    </row>
    <row r="379" spans="1:2">
      <c r="A379" t="str">
        <v>Sertralina Xarope 120ml - Eurofarma</v>
      </c>
      <c r="B379">
        <v>607.04</v>
      </c>
    </row>
    <row r="380" spans="1:2">
      <c r="A380" t="str">
        <v>Soro Fisiológico Mió 90g</v>
      </c>
      <c r="B380">
        <v>1531.32</v>
      </c>
    </row>
    <row r="381" spans="1:2">
      <c r="A381" t="str">
        <v>Pantoprazol Xarope 120ml - Aché</v>
      </c>
      <c r="B381">
        <v>103.85999999999999</v>
      </c>
    </row>
    <row r="382" spans="1:2">
      <c r="A382" t="str">
        <v>Hidroclorotiazida 500mg - 20 Comprimidos - Medley (Genérico)</v>
      </c>
      <c r="B382">
        <v>1708.8</v>
      </c>
    </row>
    <row r="383" spans="1:2">
      <c r="A383" t="str">
        <v>Atenolol Pomada 30g - Medley (Genérico)</v>
      </c>
      <c r="B383">
        <v>612.96</v>
      </c>
    </row>
    <row r="384" spans="1:2">
      <c r="A384" t="str">
        <v>Atenolol 25mg - 30 Comprimidos - Medley (Genérico)</v>
      </c>
      <c r="B384">
        <v>56.100000000000009</v>
      </c>
    </row>
    <row r="385" spans="1:2">
      <c r="A385" t="str">
        <v>Diclofenaco 50mg - 30 Comprimidos - Medley (Genérico)</v>
      </c>
      <c r="B385">
        <v>203.06</v>
      </c>
    </row>
    <row r="386" spans="1:2">
      <c r="A386" t="str">
        <v>Dipirona Sódica Pomada 30g - EMS (Genérico)</v>
      </c>
      <c r="B386">
        <v>3244.25</v>
      </c>
    </row>
    <row r="387" spans="1:2">
      <c r="A387" t="str">
        <v>Vacina contra Hipotensão - Reforço</v>
      </c>
      <c r="B387">
        <v>1296.2</v>
      </c>
    </row>
    <row r="388" spans="1:2">
      <c r="A388" t="str">
        <v>Escitalopram Gotas 20ml - Eurofarma</v>
      </c>
      <c r="B388">
        <v>2254.2800000000002</v>
      </c>
    </row>
    <row r="389" spans="1:2">
      <c r="A389" t="str">
        <v>Nimesulida 500mg - 20 Comprimidos - Aché</v>
      </c>
      <c r="B389">
        <v>3421.12</v>
      </c>
    </row>
    <row r="390" spans="1:2">
      <c r="A390" t="str">
        <v>Nimesulida Xarope 120ml - Eurofarma</v>
      </c>
      <c r="B390">
        <v>708.8</v>
      </c>
    </row>
    <row r="391" spans="1:2">
      <c r="A391" t="str">
        <v>Metformina 25mg - 30 Comprimidos - Aché</v>
      </c>
      <c r="B391">
        <v>1506.7199999999998</v>
      </c>
    </row>
    <row r="392" spans="1:2">
      <c r="A392" t="str">
        <v>Enxaguante Bucal CeraVe 50g</v>
      </c>
      <c r="B392">
        <v>1469.78</v>
      </c>
    </row>
    <row r="393" spans="1:2">
      <c r="A393" t="str">
        <v>Diclofenaco Xarope 120ml - Neo Química (Genérico)</v>
      </c>
      <c r="B393">
        <v>586.55999999999995</v>
      </c>
    </row>
    <row r="394" spans="1:2">
      <c r="A394" t="str">
        <v>Diclofenaco Suspensão Oral 50ml - Eurofarma</v>
      </c>
      <c r="B394">
        <v>278.88</v>
      </c>
    </row>
    <row r="395" spans="1:2">
      <c r="A395" t="str">
        <v>Amoxicilina Xarope 120ml - Bayer</v>
      </c>
      <c r="B395">
        <v>2448.3000000000002</v>
      </c>
    </row>
    <row r="396" spans="1:2">
      <c r="A396" t="str">
        <v>Termômetro Digital Nivea 50 Metros</v>
      </c>
      <c r="B396">
        <v>356.65999999999997</v>
      </c>
    </row>
    <row r="397" spans="1:2">
      <c r="A397" t="str">
        <v>Metformina Xarope 120ml - EMS (Genérico)</v>
      </c>
      <c r="B397">
        <v>2720.25</v>
      </c>
    </row>
    <row r="398" spans="1:2">
      <c r="A398" t="str">
        <v>Pantoprazol 500mg - 20 Comprimidos - Bayer</v>
      </c>
      <c r="B398">
        <v>621.79999999999995</v>
      </c>
    </row>
    <row r="399" spans="1:2">
      <c r="A399" t="str">
        <v>Loratadina 25mg - 30 Comprimidos - Aché</v>
      </c>
      <c r="B399">
        <v>2294.83</v>
      </c>
    </row>
    <row r="400" spans="1:2">
      <c r="A400" t="str">
        <v>Losartana Potássica Gotas 20ml - Aché</v>
      </c>
      <c r="B400">
        <v>4229.6099999999997</v>
      </c>
    </row>
    <row r="401" spans="1:2">
      <c r="A401" t="str">
        <v>Vacina contra COVID-19 - Reforço</v>
      </c>
      <c r="B401">
        <v>1128.3600000000001</v>
      </c>
    </row>
    <row r="402" spans="1:2">
      <c r="A402" t="str">
        <v>Vacina contra Úlcera - Dose Única</v>
      </c>
      <c r="B402">
        <v>1160.42</v>
      </c>
    </row>
    <row r="403" spans="1:2">
      <c r="A403" t="str">
        <v>Creme Hidratante G-Tech 150ml</v>
      </c>
      <c r="B403">
        <v>469.91999999999996</v>
      </c>
    </row>
    <row r="404" spans="1:2">
      <c r="A404" t="str">
        <v>Curativos (Band-Aid) G-Tech 90g</v>
      </c>
      <c r="B404">
        <v>1966.5000000000002</v>
      </c>
    </row>
    <row r="405" spans="1:2">
      <c r="A405" t="str">
        <v>Tadalafila 50mg - 30 Comprimidos - EMS (Genérico)</v>
      </c>
      <c r="B405">
        <v>3682.3500000000004</v>
      </c>
    </row>
    <row r="406" spans="1:2">
      <c r="A406" t="str">
        <v>Creme Hidratante Colgate 50g</v>
      </c>
      <c r="B406">
        <v>629.47</v>
      </c>
    </row>
    <row r="407" spans="1:2">
      <c r="A407" t="str">
        <v>Creme Hidratante Listerine 500ml</v>
      </c>
      <c r="B407">
        <v>1917.2</v>
      </c>
    </row>
    <row r="408" spans="1:2">
      <c r="A408" t="str">
        <v>Omeprazol Gotas 20ml - Bayer</v>
      </c>
      <c r="B408">
        <v>56.52</v>
      </c>
    </row>
    <row r="409" spans="1:2">
      <c r="A409" t="str">
        <v>Fluoxetina 500mg - 20 Comprimidos - Medley (Genérico)</v>
      </c>
      <c r="B409">
        <v>3408.2999999999997</v>
      </c>
    </row>
    <row r="410" spans="1:2">
      <c r="A410" t="str">
        <v>Fluoxetina 50mg - 30 Comprimidos - Bayer</v>
      </c>
      <c r="B410">
        <v>164.43</v>
      </c>
    </row>
    <row r="411" spans="1:2">
      <c r="A411" t="str">
        <v>Paracetamol 1g - 10 Comprimidos - Aché</v>
      </c>
      <c r="B411">
        <v>3052.3500000000004</v>
      </c>
    </row>
    <row r="412" spans="1:2">
      <c r="A412" t="str">
        <v>Cefalexina Xarope 120ml - Aché</v>
      </c>
      <c r="B412">
        <v>1260.9799999999998</v>
      </c>
    </row>
    <row r="413" spans="1:2">
      <c r="A413" t="str">
        <v>Lenço Umedecido Mió FPS 50</v>
      </c>
      <c r="B413">
        <v>3659.25</v>
      </c>
    </row>
    <row r="414" spans="1:2">
      <c r="A414" t="str">
        <v>Atenolol Xarope 120ml - Eurofarma</v>
      </c>
      <c r="B414">
        <v>2818.68</v>
      </c>
    </row>
    <row r="415" spans="1:2">
      <c r="A415" t="str">
        <v>Sinvastatina Xarope 120ml - EMS (Genérico)</v>
      </c>
      <c r="B415">
        <v>861.07999999999993</v>
      </c>
    </row>
    <row r="416" spans="1:2">
      <c r="A416" t="str">
        <v>Soro Fisiológico Panvel Tamanho M (40 un)</v>
      </c>
      <c r="B416">
        <v>120.35999999999999</v>
      </c>
    </row>
    <row r="417" spans="1:2">
      <c r="A417" t="str">
        <v>Dipirona Sódica Xarope 120ml - Aché</v>
      </c>
      <c r="B417">
        <v>759.4</v>
      </c>
    </row>
    <row r="418" spans="1:2">
      <c r="A418" t="str">
        <v>Losartana Potássica Suspensão Oral 50ml - Bayer</v>
      </c>
      <c r="B418">
        <v>393.36</v>
      </c>
    </row>
    <row r="419" spans="1:2">
      <c r="A419" t="str">
        <v>Leite em Pó Infantil Rexona 150ml</v>
      </c>
      <c r="B419">
        <v>4074.8</v>
      </c>
    </row>
    <row r="420" spans="1:2">
      <c r="A420" t="str">
        <v>Sildenafila 25mg - 30 Comprimidos - EMS (Genérico)</v>
      </c>
      <c r="B420">
        <v>516.97</v>
      </c>
    </row>
    <row r="421" spans="1:2">
      <c r="A421" t="str">
        <v>Vacina contra Pneumonia - Reforço</v>
      </c>
      <c r="B421">
        <v>210.42</v>
      </c>
    </row>
    <row r="422" spans="1:2">
      <c r="A422" t="str">
        <v>Vacina contra Hipertensão - Reforço</v>
      </c>
      <c r="B422">
        <v>2692.4599999999996</v>
      </c>
    </row>
    <row r="423" spans="1:2">
      <c r="A423" t="str">
        <v>Vacina contra Hipertensão - Dose Única</v>
      </c>
      <c r="B423">
        <v>947.24</v>
      </c>
    </row>
    <row r="424" spans="1:2">
      <c r="A424" t="str">
        <v>Sabonete Líquido CeraVe 500ml</v>
      </c>
      <c r="B424">
        <v>1058.76</v>
      </c>
    </row>
    <row r="425" spans="1:2">
      <c r="A425" t="str">
        <v>Vacina contra Hepatite A - Dose Única</v>
      </c>
      <c r="B425">
        <v>2893.86</v>
      </c>
    </row>
    <row r="426" spans="1:2">
      <c r="A426" t="str">
        <v>Vacina contra Melanoma - Reforço</v>
      </c>
      <c r="B426">
        <v>4196.72</v>
      </c>
    </row>
    <row r="427" spans="1:2">
      <c r="A427" t="str">
        <v>Azitromicina Suspensão Oral 50ml - Bayer</v>
      </c>
      <c r="B427">
        <v>700.31</v>
      </c>
    </row>
    <row r="428" spans="1:2">
      <c r="A428" t="str">
        <v>Fio Dental Sempre Livre FPS 70</v>
      </c>
      <c r="B428">
        <v>87.72</v>
      </c>
    </row>
    <row r="429" spans="1:2">
      <c r="A429" t="str">
        <v>Tadalafila Gotas 20ml - Medley (Genérico)</v>
      </c>
      <c r="B429">
        <v>200.20000000000002</v>
      </c>
    </row>
    <row r="430" spans="1:2">
      <c r="A430" t="str">
        <v>Nimesulida 1g - 10 Comprimidos - Neo Química (Genérico)</v>
      </c>
      <c r="B430">
        <v>439.12</v>
      </c>
    </row>
    <row r="431" spans="1:2">
      <c r="A431" t="str">
        <v>Condicionador Hidratação Huggies 400ml</v>
      </c>
      <c r="B431">
        <v>322.63</v>
      </c>
    </row>
    <row r="432" spans="1:2">
      <c r="A432" t="str">
        <v>Protetor Solar Facial G-Tech Tamanho M (40 un)</v>
      </c>
      <c r="B432">
        <v>245.79999999999998</v>
      </c>
    </row>
    <row r="433" spans="1:2">
      <c r="A433" t="str">
        <v>Pantoprazol Xarope 120ml - Eurofarma</v>
      </c>
      <c r="B433">
        <v>462.77</v>
      </c>
    </row>
    <row r="434" spans="1:2">
      <c r="A434" t="str">
        <v>Loratadina Suspensão Oral 50ml - Bayer</v>
      </c>
      <c r="B434">
        <v>207.75</v>
      </c>
    </row>
    <row r="435" spans="1:2">
      <c r="A435" t="str">
        <v>Atenolol 50mg - 30 Comprimidos - EMS (Genérico)</v>
      </c>
      <c r="B435">
        <v>4362.4800000000005</v>
      </c>
    </row>
    <row r="436" spans="1:2">
      <c r="A436" t="str">
        <v>Sabonete em Barra Clear 50g</v>
      </c>
      <c r="B436">
        <v>3022.9500000000003</v>
      </c>
    </row>
    <row r="437" spans="1:2">
      <c r="A437" t="str">
        <v>Creme Hidratante Panvel FPS 50</v>
      </c>
      <c r="B437">
        <v>2104.9599999999996</v>
      </c>
    </row>
    <row r="438" spans="1:2">
      <c r="A438" t="str">
        <v>Diclofenaco 25mg - 30 Comprimidos - Medley (Genérico)</v>
      </c>
      <c r="B438">
        <v>3380.7999999999997</v>
      </c>
    </row>
    <row r="439" spans="1:2">
      <c r="A439" t="str">
        <v>Atenolol 25mg - 30 Comprimidos - Aché</v>
      </c>
      <c r="B439">
        <v>3284.74</v>
      </c>
    </row>
    <row r="440" spans="1:2">
      <c r="A440" t="str">
        <v>Metformina Pomada 30g - EMS (Genérico)</v>
      </c>
      <c r="B440">
        <v>5940.4800000000005</v>
      </c>
    </row>
    <row r="441" spans="1:2">
      <c r="A441" t="str">
        <v>Loratadina 1g - 10 Comprimidos - Neo Química (Genérico)</v>
      </c>
      <c r="B441">
        <v>1351.71</v>
      </c>
    </row>
    <row r="442" spans="1:2">
      <c r="A442" t="str">
        <v>Metformina 500mg - 20 Comprimidos - Eurofarma</v>
      </c>
      <c r="B442">
        <v>2696.04</v>
      </c>
    </row>
    <row r="443" spans="1:2">
      <c r="A443" t="str">
        <v>Curativos (Band-Aid) Aptamil Tamanho G (32 un)</v>
      </c>
      <c r="B443">
        <v>1679.86</v>
      </c>
    </row>
    <row r="444" spans="1:2">
      <c r="A444" t="str">
        <v>Cefalexina 25mg - 30 Comprimidos - Neo Química (Genérico)</v>
      </c>
      <c r="B444">
        <v>2976.96</v>
      </c>
    </row>
    <row r="445" spans="1:2">
      <c r="A445" t="str">
        <v>Protetor Solar Facial La Roche-Posay FPS 70</v>
      </c>
      <c r="B445">
        <v>1081.8599999999999</v>
      </c>
    </row>
    <row r="446" spans="1:2">
      <c r="A446" t="str">
        <v>Loratadina Xarope 120ml - Bayer</v>
      </c>
      <c r="B446">
        <v>765</v>
      </c>
    </row>
    <row r="447" spans="1:2">
      <c r="A447" t="str">
        <v>Paracetamol 50mg - 30 Comprimidos - Bayer</v>
      </c>
      <c r="B447">
        <v>6.45</v>
      </c>
    </row>
    <row r="448" spans="1:2">
      <c r="A448" t="str">
        <v>Pomada para Assaduras Rexona 400ml</v>
      </c>
      <c r="B448">
        <v>2828.9700000000003</v>
      </c>
    </row>
    <row r="449" spans="1:2">
      <c r="A449" t="str">
        <v>Vacina contra Conjuntivite - Dose Única</v>
      </c>
      <c r="B449">
        <v>3609.54</v>
      </c>
    </row>
    <row r="450" spans="1:2">
      <c r="A450" t="str">
        <v>Sérum Vitamina C Panvel FPS 70</v>
      </c>
      <c r="B450">
        <v>2749.7799999999997</v>
      </c>
    </row>
    <row r="451" spans="1:2">
      <c r="A451" t="str">
        <v>Pantoprazol 1g - 10 Comprimidos - Bayer</v>
      </c>
      <c r="B451">
        <v>2427.2400000000002</v>
      </c>
    </row>
    <row r="452" spans="1:2">
      <c r="A452" t="str">
        <v>Clonazepam 25mg - 30 Comprimidos - Eurofarma</v>
      </c>
      <c r="B452">
        <v>116.55000000000001</v>
      </c>
    </row>
    <row r="453" spans="1:2">
      <c r="A453" t="str">
        <v>Pantoprazol 50mg - 30 Comprimidos - Neo Química (Genérico)</v>
      </c>
      <c r="B453">
        <v>2104.38</v>
      </c>
    </row>
    <row r="454" spans="1:2">
      <c r="A454" t="str">
        <v>Fluoxetina 1g - 10 Comprimidos - Eurofarma</v>
      </c>
      <c r="B454">
        <v>65.02</v>
      </c>
    </row>
    <row r="455" spans="1:2">
      <c r="A455" t="str">
        <v>Álcool em Gel 70% La Roche-Posay 50g</v>
      </c>
      <c r="B455">
        <v>3089.2799999999997</v>
      </c>
    </row>
    <row r="456" spans="1:2">
      <c r="A456" t="str">
        <v>Enxaguante Bucal Clear FPS 70</v>
      </c>
      <c r="B456">
        <v>3048.45</v>
      </c>
    </row>
    <row r="457" spans="1:2">
      <c r="A457" t="str">
        <v>Azitromicina Suspensão Oral 50ml - Neo Química (Genérico)</v>
      </c>
      <c r="B457">
        <v>4910.76</v>
      </c>
    </row>
    <row r="458" spans="1:2">
      <c r="A458" t="str">
        <v>Losartana Potássica Xarope 120ml - EMS (Genérico)</v>
      </c>
      <c r="B458">
        <v>1451.2399999999998</v>
      </c>
    </row>
    <row r="459" spans="1:2">
      <c r="A459" t="str">
        <v>Sertralina 1g - 10 Comprimidos - Aché</v>
      </c>
      <c r="B459">
        <v>1862.42</v>
      </c>
    </row>
    <row r="460" spans="1:2">
      <c r="A460" t="str">
        <v>Pantoprazol Gotas 20ml - Medley (Genérico)</v>
      </c>
      <c r="B460">
        <v>183.79999999999998</v>
      </c>
    </row>
    <row r="461" spans="1:2">
      <c r="A461" t="str">
        <v>Amoxicilina Suspensão Oral 50ml - Medley (Genérico)</v>
      </c>
      <c r="B461">
        <v>38.76</v>
      </c>
    </row>
    <row r="462" spans="1:2">
      <c r="A462" t="str">
        <v>Condicionador Hidratação Johnson's FPS 70</v>
      </c>
      <c r="B462">
        <v>575.96</v>
      </c>
    </row>
    <row r="463" spans="1:2">
      <c r="A463" t="str">
        <v>Vacina contra Rinite - Dose Única</v>
      </c>
      <c r="B463">
        <v>2033.3299999999997</v>
      </c>
    </row>
    <row r="464" spans="1:2">
      <c r="A464" t="str">
        <v>Tadalafila Suspensão Oral 50ml - EMS (Genérico)</v>
      </c>
      <c r="B464">
        <v>626.52</v>
      </c>
    </row>
    <row r="465" spans="1:2">
      <c r="A465" t="str">
        <v>Dipirona Sódica Gotas 20ml - Eurofarma</v>
      </c>
      <c r="B465">
        <v>355.68</v>
      </c>
    </row>
    <row r="466" spans="1:2">
      <c r="A466" t="str">
        <v>Vacina contra Embolia - Reforço</v>
      </c>
      <c r="B466">
        <v>884.29</v>
      </c>
    </row>
    <row r="467" spans="1:2">
      <c r="A467" t="str">
        <v>Dipirona Sódica Gotas 20ml - Bayer</v>
      </c>
      <c r="B467">
        <v>794.53000000000009</v>
      </c>
    </row>
    <row r="468" spans="1:2">
      <c r="A468" t="str">
        <v>Paracetamol Suspensão Oral 50ml - Bayer</v>
      </c>
      <c r="B468">
        <v>5523.2799999999988</v>
      </c>
    </row>
    <row r="469" spans="1:2">
      <c r="A469" t="str">
        <v>Losartana Potássica Suspensão Oral 50ml - Eurofarma</v>
      </c>
      <c r="B469">
        <v>2452.56</v>
      </c>
    </row>
    <row r="470" spans="1:2">
      <c r="A470" t="str">
        <v>Tadalafila 25mg - 30 Comprimidos - Aché</v>
      </c>
      <c r="B470">
        <v>756.3900000000001</v>
      </c>
    </row>
    <row r="471" spans="1:2">
      <c r="A471" t="str">
        <v>Sinvastatina 1g - 10 Comprimidos - Eurofarma</v>
      </c>
      <c r="B471">
        <v>113.04</v>
      </c>
    </row>
    <row r="472" spans="1:2">
      <c r="A472" t="str">
        <v>Escitalopram Xarope 120ml - Neo Química (Genérico)</v>
      </c>
      <c r="B472">
        <v>3068.25</v>
      </c>
    </row>
    <row r="473" spans="1:2">
      <c r="A473" t="str">
        <v>Metformina Xarope 120ml - Bayer</v>
      </c>
      <c r="B473">
        <v>822.06</v>
      </c>
    </row>
    <row r="474" spans="1:2">
      <c r="A474" t="str">
        <v>Vacina contra Psoríase - Dose Única</v>
      </c>
      <c r="B474">
        <v>1100.47</v>
      </c>
    </row>
    <row r="475" spans="1:2">
      <c r="A475" t="str">
        <v>Condicionador Hidratação Nivea 90g</v>
      </c>
      <c r="B475">
        <v>40.840000000000003</v>
      </c>
    </row>
    <row r="476" spans="1:2">
      <c r="A476" t="str">
        <v>Condicionador Hidratação Bepantol 90g</v>
      </c>
      <c r="B476">
        <v>3678.6000000000004</v>
      </c>
    </row>
    <row r="477" spans="1:2">
      <c r="A477" t="str">
        <v>Pantoprazol 1g - 10 Comprimidos - Medley (Genérico)</v>
      </c>
      <c r="B477">
        <v>239.78</v>
      </c>
    </row>
    <row r="478" spans="1:2">
      <c r="A478" t="str">
        <v>Soro Fisiológico Nivea 50 Metros</v>
      </c>
      <c r="B478">
        <v>1938.7199999999998</v>
      </c>
    </row>
    <row r="479" spans="1:2">
      <c r="A479" t="str">
        <v>Creme Hidratante Dove 400ml</v>
      </c>
      <c r="B479">
        <v>2014.1799999999998</v>
      </c>
    </row>
    <row r="480" spans="1:2">
      <c r="A480" t="str">
        <v>Losartana Potássica Suspensão Oral 50ml - Medley (Genérico)</v>
      </c>
      <c r="B480">
        <v>405.36</v>
      </c>
    </row>
    <row r="481" spans="1:2">
      <c r="A481" t="str">
        <v>Ibuprofeno Suspensão Oral 50ml - Medley (Genérico)</v>
      </c>
      <c r="B481">
        <v>2151.84</v>
      </c>
    </row>
    <row r="482" spans="1:2">
      <c r="A482" t="str">
        <v>Enalapril Suspensão Oral 50ml - Neo Química (Genérico)</v>
      </c>
      <c r="B482">
        <v>100.17000000000002</v>
      </c>
    </row>
    <row r="483" spans="1:2">
      <c r="A483" t="str">
        <v>Loratadina 25mg - 30 Comprimidos - Neo Química (Genérico)</v>
      </c>
      <c r="B483">
        <v>524.97</v>
      </c>
    </row>
    <row r="484" spans="1:2">
      <c r="A484" t="str">
        <v>Curativos (Band-Aid) Colgate FPS 50</v>
      </c>
      <c r="B484">
        <v>1245.8</v>
      </c>
    </row>
    <row r="485" spans="1:2">
      <c r="A485" t="str">
        <v>Sérum Vitamina C Listerine Tamanho M (40 un)</v>
      </c>
      <c r="B485">
        <v>1971.2999999999997</v>
      </c>
    </row>
    <row r="486" spans="1:2">
      <c r="A486" t="str">
        <v>Metformina 1g - 10 Comprimidos - Medley (Genérico)</v>
      </c>
      <c r="B486">
        <v>2976.6</v>
      </c>
    </row>
    <row r="487" spans="1:2">
      <c r="A487" t="str">
        <v>Hidroclorotiazida Suspensão Oral 50ml - Bayer</v>
      </c>
      <c r="B487">
        <v>986.3</v>
      </c>
    </row>
    <row r="488" spans="1:2">
      <c r="A488" t="str">
        <v>Atenolol Xarope 120ml - EMS (Genérico)</v>
      </c>
      <c r="B488">
        <v>1657.67</v>
      </c>
    </row>
    <row r="489" spans="1:2">
      <c r="A489" t="str">
        <v>Vacina contra Gastrite - Reforço</v>
      </c>
      <c r="B489">
        <v>3912.4800000000005</v>
      </c>
    </row>
    <row r="490" spans="1:2">
      <c r="A490" t="str">
        <v>Sertralina Xarope 120ml - Neo Química (Genérico)</v>
      </c>
      <c r="B490">
        <v>709.09999999999991</v>
      </c>
    </row>
    <row r="491" spans="1:2">
      <c r="A491" t="str">
        <v>Cefalexina 500mg - 20 Comprimidos - Bayer</v>
      </c>
      <c r="B491">
        <v>175.36</v>
      </c>
    </row>
    <row r="492" spans="1:2">
      <c r="A492" t="str">
        <v>Vacina contra Lúpus - Dose Única</v>
      </c>
      <c r="B492">
        <v>2516.6799999999998</v>
      </c>
    </row>
    <row r="493" spans="1:2">
      <c r="A493" t="str">
        <v>Condicionador Hidratação Nivea 50g</v>
      </c>
      <c r="B493">
        <v>794.04</v>
      </c>
    </row>
    <row r="494" spans="1:2">
      <c r="A494" t="str">
        <v>Fluoxetina Suspensão Oral 50ml - Medley (Genérico)</v>
      </c>
      <c r="B494">
        <v>68.110000000000014</v>
      </c>
    </row>
    <row r="495" spans="1:2">
      <c r="A495" t="str">
        <v>Hidroclorotiazida 1g - 10 Comprimidos - Aché</v>
      </c>
      <c r="B495">
        <v>4299</v>
      </c>
    </row>
    <row r="496" spans="1:2">
      <c r="A496" t="str">
        <v>Creme Hidratante Bepantol FPS 50</v>
      </c>
      <c r="B496">
        <v>2602.88</v>
      </c>
    </row>
    <row r="497" spans="1:2">
      <c r="A497" t="str">
        <v>Amoxicilina Gotas 20ml - Aché</v>
      </c>
      <c r="B497">
        <v>174.48</v>
      </c>
    </row>
    <row r="498" spans="1:2">
      <c r="A498" t="str">
        <v>Cefalexina 50mg - 30 Comprimidos - EMS (Genérico)</v>
      </c>
      <c r="B498">
        <v>423.89</v>
      </c>
    </row>
    <row r="499" spans="1:2">
      <c r="A499" t="str">
        <v>Lenço Umedecido Huggies Tamanho G (32 un)</v>
      </c>
      <c r="B499">
        <v>1155.1100000000001</v>
      </c>
    </row>
    <row r="500" spans="1:2">
      <c r="A500" t="str">
        <v>Losartana Potássica 500mg - 20 Comprimidos - Bayer</v>
      </c>
      <c r="B500">
        <v>1591.5400000000002</v>
      </c>
    </row>
    <row r="501" spans="1:2">
      <c r="A501" t="str">
        <v>Soro Fisiológico Rexona Tamanho G (32 un)</v>
      </c>
      <c r="B501">
        <v>411.44</v>
      </c>
    </row>
    <row r="502" spans="1:2">
      <c r="A502" t="str">
        <v>Vacina contra Refluxo - Reforço</v>
      </c>
      <c r="B502">
        <v>1588.7000000000003</v>
      </c>
    </row>
    <row r="503" spans="1:2">
      <c r="A503" t="str">
        <v>Azitromicina 500mg - 20 Comprimidos - Neo Química (Genérico)</v>
      </c>
      <c r="B503">
        <v>286.90999999999997</v>
      </c>
    </row>
    <row r="504" spans="1:2">
      <c r="A504" t="str">
        <v>Amoxicilina 500mg - 20 Comprimidos - EMS (Genérico)</v>
      </c>
      <c r="B504">
        <v>1633.83</v>
      </c>
    </row>
    <row r="505" spans="1:2">
      <c r="A505" t="str">
        <v>Shampoo Anticaspa Sempre Livre 500ml</v>
      </c>
      <c r="B505">
        <v>69.489999999999995</v>
      </c>
    </row>
    <row r="506" spans="1:2">
      <c r="A506" t="str">
        <v>Curativos (Band-Aid) CeraVe 200ml</v>
      </c>
      <c r="B506">
        <v>1058.0400000000002</v>
      </c>
    </row>
    <row r="507" spans="1:2">
      <c r="A507" t="str">
        <v>Nimesulida 500mg - 20 Comprimidos - EMS (Genérico)</v>
      </c>
      <c r="B507">
        <v>382.2</v>
      </c>
    </row>
    <row r="508" spans="1:2">
      <c r="A508" t="str">
        <v>Vacina contra Alzheimer - Dose Única</v>
      </c>
      <c r="B508">
        <v>1949.78</v>
      </c>
    </row>
    <row r="509" spans="1:2">
      <c r="A509" t="str">
        <v>Termômetro Digital Needs Tamanho M (40 un)</v>
      </c>
      <c r="B509">
        <v>4084.74</v>
      </c>
    </row>
    <row r="510" spans="1:2">
      <c r="A510" t="str">
        <v>Loratadina 50mg - 30 Comprimidos - Eurofarma</v>
      </c>
      <c r="B510">
        <v>768.88</v>
      </c>
    </row>
    <row r="511" spans="1:2">
      <c r="A511" t="str">
        <v>Enalapril 500mg - 20 Comprimidos - Bayer</v>
      </c>
      <c r="B511">
        <v>1019.28</v>
      </c>
    </row>
    <row r="512" spans="1:2">
      <c r="A512" t="str">
        <v>Losartana Potássica Pomada 30g - EMS (Genérico)</v>
      </c>
      <c r="B512">
        <v>1011.3599999999999</v>
      </c>
    </row>
    <row r="513" spans="1:2">
      <c r="A513" t="str">
        <v>Atenolol Xarope 120ml - Aché</v>
      </c>
      <c r="B513">
        <v>3394.02</v>
      </c>
    </row>
    <row r="514" spans="1:2">
      <c r="A514" t="str">
        <v>Diclofenaco 1g - 10 Comprimidos - Neo Química (Genérico)</v>
      </c>
      <c r="B514">
        <v>431.85</v>
      </c>
    </row>
    <row r="515" spans="1:2">
      <c r="A515" t="str">
        <v>Condicionador Hidratação Rexona 90g</v>
      </c>
      <c r="B515">
        <v>40.800000000000004</v>
      </c>
    </row>
    <row r="516" spans="1:2">
      <c r="A516" t="str">
        <v>Metformina 1g - 10 Comprimidos - Aché</v>
      </c>
      <c r="B516">
        <v>103.28</v>
      </c>
    </row>
    <row r="517" spans="1:2">
      <c r="A517" t="str">
        <v>Atenolol 500mg - 20 Comprimidos - Eurofarma</v>
      </c>
      <c r="B517">
        <v>3272.16</v>
      </c>
    </row>
    <row r="518" spans="1:2">
      <c r="A518" t="str">
        <v>Sabonete em Barra Needs FPS 50</v>
      </c>
      <c r="B518">
        <v>571.91999999999996</v>
      </c>
    </row>
    <row r="519" spans="1:2">
      <c r="A519" t="str">
        <v>Dipirona Sódica 25mg - 30 Comprimidos - EMS (Genérico)</v>
      </c>
      <c r="B519">
        <v>776.51</v>
      </c>
    </row>
    <row r="520" spans="1:2">
      <c r="A520" t="str">
        <v>Loratadina 1g - 10 Comprimidos - Aché</v>
      </c>
      <c r="B520">
        <v>1220.58</v>
      </c>
    </row>
    <row r="521" spans="1:2">
      <c r="A521" t="str">
        <v>Vacina contra Gota - Dose Única</v>
      </c>
      <c r="B521">
        <v>4524.45</v>
      </c>
    </row>
    <row r="522" spans="1:2">
      <c r="A522" t="str">
        <v>Nimesulida 25mg - 30 Comprimidos - Aché</v>
      </c>
      <c r="B522">
        <v>5735.28</v>
      </c>
    </row>
    <row r="523" spans="1:2">
      <c r="A523" t="str">
        <v>Metformina 500mg - 20 Comprimidos - Bayer</v>
      </c>
      <c r="B523">
        <v>2758.8399999999997</v>
      </c>
    </row>
    <row r="524" spans="1:2">
      <c r="A524" t="str">
        <v>Lenço Umedecido G-Tech 500ml</v>
      </c>
      <c r="B524">
        <v>295.11999999999995</v>
      </c>
    </row>
    <row r="525" spans="1:2">
      <c r="A525" t="str">
        <v>Enalapril Xarope 120ml - Medley (Genérico)</v>
      </c>
      <c r="B525">
        <v>59.49</v>
      </c>
    </row>
    <row r="526" spans="1:2">
      <c r="A526" t="str">
        <v>Loratadina Suspensão Oral 50ml - Neo Química (Genérico)</v>
      </c>
      <c r="B526">
        <v>3650.0800000000004</v>
      </c>
    </row>
    <row r="527" spans="1:2">
      <c r="A527" t="str">
        <v>Shampoo Anticaspa Colgate Tamanho G (32 un)</v>
      </c>
      <c r="B527">
        <v>640.34999999999991</v>
      </c>
    </row>
    <row r="528" spans="1:2">
      <c r="A528" t="str">
        <v>Lenço Umedecido Colgate FPS 50</v>
      </c>
      <c r="B528">
        <v>700.96</v>
      </c>
    </row>
    <row r="529" spans="1:2">
      <c r="A529" t="str">
        <v>Tadalafila 500mg - 20 Comprimidos - Aché</v>
      </c>
      <c r="B529">
        <v>142.74999999999997</v>
      </c>
    </row>
    <row r="530" spans="1:2">
      <c r="A530" t="str">
        <v>Atenolol Gotas 20ml - Neo Química (Genérico)</v>
      </c>
      <c r="B530">
        <v>1633.94</v>
      </c>
    </row>
    <row r="531" spans="1:2">
      <c r="A531" t="str">
        <v>Sérum Vitamina C Johnson's 150ml</v>
      </c>
      <c r="B531">
        <v>1152.56</v>
      </c>
    </row>
    <row r="532" spans="1:2">
      <c r="A532" t="str">
        <v>Atenolol Suspensão Oral 50ml - EMS (Genérico)</v>
      </c>
      <c r="B532">
        <v>165.2</v>
      </c>
    </row>
    <row r="533" spans="1:2">
      <c r="A533" t="str">
        <v>Hidroclorotiazida 50mg - 30 Comprimidos - EMS (Genérico)</v>
      </c>
      <c r="B533">
        <v>526.85</v>
      </c>
    </row>
    <row r="534" spans="1:2">
      <c r="A534" t="str">
        <v>Pantoprazol 1g - 10 Comprimidos - EMS (Genérico)</v>
      </c>
      <c r="B534">
        <v>631.98</v>
      </c>
    </row>
    <row r="535" spans="1:2">
      <c r="A535" t="str">
        <v>Lenço Umedecido Sempre Livre Tamanho G (32 un)</v>
      </c>
      <c r="B535">
        <v>1286.6400000000001</v>
      </c>
    </row>
    <row r="536" spans="1:2">
      <c r="A536" t="str">
        <v>Amoxicilina Pomada 30g - Bayer</v>
      </c>
      <c r="B536">
        <v>2123.25</v>
      </c>
    </row>
    <row r="537" spans="1:2">
      <c r="A537" t="str">
        <v>Lenço Umedecido Aptamil FPS 50</v>
      </c>
      <c r="B537">
        <v>1691.3799999999999</v>
      </c>
    </row>
    <row r="538" spans="1:2">
      <c r="A538" t="str">
        <v>Vacina contra Asma - Dose Única</v>
      </c>
      <c r="B538">
        <v>1684.0600000000002</v>
      </c>
    </row>
    <row r="539" spans="1:2">
      <c r="A539" t="str">
        <v>Vacina contra Diabetes Tipo 2 - Reforço</v>
      </c>
      <c r="B539">
        <v>6076.35</v>
      </c>
    </row>
    <row r="540" spans="1:2">
      <c r="A540" t="str">
        <v>Hidroclorotiazida 500mg - 20 Comprimidos - Eurofarma</v>
      </c>
      <c r="B540">
        <v>128.28</v>
      </c>
    </row>
    <row r="541" spans="1:2">
      <c r="A541" t="str">
        <v>Azitromicina 50mg - 30 Comprimidos - EMS (Genérico)</v>
      </c>
      <c r="B541">
        <v>25.46</v>
      </c>
    </row>
    <row r="542" spans="1:2">
      <c r="A542" t="str">
        <v>Cefalexina 500mg - 20 Comprimidos - Medley (Genérico)</v>
      </c>
      <c r="B542">
        <v>2115.9900000000002</v>
      </c>
    </row>
    <row r="543" spans="1:2">
      <c r="A543" t="str">
        <v>Hidroclorotiazida 500mg - 20 Comprimidos - Bayer</v>
      </c>
      <c r="B543">
        <v>2951.28</v>
      </c>
    </row>
    <row r="544" spans="1:2">
      <c r="A544" t="str">
        <v>Tadalafila Suspensão Oral 50ml - Medley (Genérico)</v>
      </c>
      <c r="B544">
        <v>1615.74</v>
      </c>
    </row>
    <row r="545" spans="1:2">
      <c r="A545" t="str">
        <v>Fralda Descartável G-Tech 200ml</v>
      </c>
      <c r="B545">
        <v>3034.4599999999996</v>
      </c>
    </row>
    <row r="546" spans="1:2">
      <c r="A546" t="str">
        <v>Enalapril 1g - 10 Comprimidos - Aché</v>
      </c>
      <c r="B546">
        <v>354.16</v>
      </c>
    </row>
    <row r="547" spans="1:2">
      <c r="A547" t="str">
        <v>Loratadina Xarope 120ml - Aché</v>
      </c>
      <c r="B547">
        <v>1059.18</v>
      </c>
    </row>
    <row r="548" spans="1:2">
      <c r="A548" t="str">
        <v>Sérum Vitamina C Clear FPS 70</v>
      </c>
      <c r="B548">
        <v>2429.84</v>
      </c>
    </row>
    <row r="549" spans="1:2">
      <c r="A549" t="str">
        <v>Clonazepam 500mg - 20 Comprimidos - Medley (Genérico)</v>
      </c>
      <c r="B549">
        <v>1039.4000000000001</v>
      </c>
    </row>
    <row r="550" spans="1:2">
      <c r="A550" t="str">
        <v>Nimesulida Pomada 30g - Bayer</v>
      </c>
      <c r="B550">
        <v>55.82</v>
      </c>
    </row>
    <row r="551" spans="1:2">
      <c r="A551" t="str">
        <v>Fluoxetina Suspensão Oral 50ml - Aché</v>
      </c>
      <c r="B551">
        <v>2305.3000000000002</v>
      </c>
    </row>
    <row r="552" spans="1:2">
      <c r="A552" t="str">
        <v>Álcool em Gel 70% Mió 90g</v>
      </c>
      <c r="B552">
        <v>2052.29</v>
      </c>
    </row>
    <row r="553" spans="1:2">
      <c r="A553" t="str">
        <v>Omeprazol Xarope 120ml - Aché</v>
      </c>
      <c r="B553">
        <v>682.36</v>
      </c>
    </row>
    <row r="554" spans="1:2">
      <c r="A554" t="str">
        <v>Ibuprofeno 1g - 10 Comprimidos - Neo Química (Genérico)</v>
      </c>
      <c r="B554">
        <v>90.32</v>
      </c>
    </row>
    <row r="555" spans="1:2">
      <c r="A555" t="str">
        <v>Absorvente com Abas Clear 150ml</v>
      </c>
      <c r="B555">
        <v>634.84</v>
      </c>
    </row>
    <row r="556" spans="1:2">
      <c r="A556" t="str">
        <v>Diclofenaco Suspensão Oral 50ml - EMS (Genérico)</v>
      </c>
      <c r="B556">
        <v>589.5</v>
      </c>
    </row>
    <row r="557" spans="1:2">
      <c r="A557" t="str">
        <v>Escitalopram Suspensão Oral 50ml - Bayer</v>
      </c>
      <c r="B557">
        <v>1209.95</v>
      </c>
    </row>
    <row r="558" spans="1:2">
      <c r="A558" t="str">
        <v>Sérum Vitamina C Huggies 50 Metros</v>
      </c>
      <c r="B558">
        <v>3086.58</v>
      </c>
    </row>
    <row r="559" spans="1:2">
      <c r="A559" t="str">
        <v>Vacina contra Enxaqueca - Dose Única</v>
      </c>
      <c r="B559">
        <v>306.75</v>
      </c>
    </row>
    <row r="560" spans="1:2">
      <c r="A560" t="str">
        <v>Protetor Solar Corporal Huggies 50 Metros</v>
      </c>
      <c r="B560">
        <v>1023.84</v>
      </c>
    </row>
    <row r="561" spans="1:2">
      <c r="A561" t="str">
        <v>Sabonete em Barra Aptamil 50 Metros</v>
      </c>
      <c r="B561">
        <v>363.65</v>
      </c>
    </row>
    <row r="562" spans="1:2">
      <c r="A562" t="str">
        <v>Vacina contra Refluxo - Dose Única</v>
      </c>
      <c r="B562">
        <v>1760.98</v>
      </c>
    </row>
    <row r="563" spans="1:2">
      <c r="A563" t="str">
        <v>Álcool em Gel 70% Clear 50g</v>
      </c>
      <c r="B563">
        <v>968.44</v>
      </c>
    </row>
    <row r="564" spans="1:2">
      <c r="A564" t="str">
        <v>Omeprazol 500mg - 20 Comprimidos - EMS (Genérico)</v>
      </c>
      <c r="B564">
        <v>2448.5499999999997</v>
      </c>
    </row>
    <row r="565" spans="1:2">
      <c r="A565" t="str">
        <v>Enalapril 500mg - 20 Comprimidos - Medley (Genérico)</v>
      </c>
      <c r="B565">
        <v>1898.5499999999997</v>
      </c>
    </row>
    <row r="566" spans="1:2">
      <c r="A566" t="str">
        <v>Vacina contra Esquizofrenia - Reforço</v>
      </c>
      <c r="B566">
        <v>4689.58</v>
      </c>
    </row>
    <row r="567" spans="1:2">
      <c r="A567" t="str">
        <v>Vacina contra Arritmia - Reforço</v>
      </c>
      <c r="B567">
        <v>3564.45</v>
      </c>
    </row>
    <row r="568" spans="1:2">
      <c r="A568" t="str">
        <v>Curativos (Band-Aid) CeraVe FPS 50</v>
      </c>
      <c r="B568">
        <v>1951.4400000000003</v>
      </c>
    </row>
    <row r="569" spans="1:2">
      <c r="A569" t="str">
        <v>Omeprazol 25mg - 30 Comprimidos - Medley (Genérico)</v>
      </c>
      <c r="B569">
        <v>1106.1400000000001</v>
      </c>
    </row>
    <row r="570" spans="1:2">
      <c r="A570" t="str">
        <v>Metformina Suspensão Oral 50ml - Aché</v>
      </c>
      <c r="B570">
        <v>2408.85</v>
      </c>
    </row>
    <row r="571" spans="1:2">
      <c r="A571" t="str">
        <v>Protetor Solar Corporal La Roche-Posay 90g</v>
      </c>
      <c r="B571">
        <v>3016.02</v>
      </c>
    </row>
    <row r="572" spans="1:2">
      <c r="A572" t="str">
        <v>Vacina contra Linfoma - Dose Única</v>
      </c>
      <c r="B572">
        <v>720.48</v>
      </c>
    </row>
    <row r="573" spans="1:2">
      <c r="A573" t="str">
        <v>Clonazepam 25mg - 30 Comprimidos - Aché</v>
      </c>
      <c r="B573">
        <v>1266.9000000000001</v>
      </c>
    </row>
    <row r="574" spans="1:2">
      <c r="A574" t="str">
        <v>Diclofenaco 500mg - 20 Comprimidos - Eurofarma</v>
      </c>
      <c r="B574">
        <v>306.53999999999996</v>
      </c>
    </row>
    <row r="575" spans="1:2">
      <c r="A575" t="str">
        <v>Vacina contra Gastrite - Dose Única</v>
      </c>
      <c r="B575">
        <v>86.04</v>
      </c>
    </row>
    <row r="576" spans="1:2">
      <c r="A576" t="str">
        <v>Soro Fisiológico CeraVe 150ml</v>
      </c>
      <c r="B576">
        <v>1007.44</v>
      </c>
    </row>
    <row r="577" spans="1:2">
      <c r="A577" t="str">
        <v>Escitalopram 500mg - 20 Comprimidos - Bayer</v>
      </c>
      <c r="B577">
        <v>989.1</v>
      </c>
    </row>
    <row r="578" spans="1:2">
      <c r="A578" t="str">
        <v>Losartana Potássica Gotas 20ml - Medley (Genérico)</v>
      </c>
      <c r="B578">
        <v>1202.3699999999999</v>
      </c>
    </row>
    <row r="579" spans="1:2">
      <c r="A579" t="str">
        <v>Curativos (Band-Aid) Nivea 150ml</v>
      </c>
      <c r="B579">
        <v>591.85</v>
      </c>
    </row>
    <row r="580" spans="1:2">
      <c r="A580" t="str">
        <v>Tadalafila 50mg - 30 Comprimidos - Neo Química (Genérico)</v>
      </c>
      <c r="B580">
        <v>312.13000000000005</v>
      </c>
    </row>
    <row r="581" spans="1:2">
      <c r="A581" t="str">
        <v>Água Micelar G-Tech FPS 70</v>
      </c>
      <c r="B581">
        <v>839.84</v>
      </c>
    </row>
    <row r="582" spans="1:2">
      <c r="A582" t="str">
        <v>Metformina Gotas 20ml - Aché</v>
      </c>
      <c r="B582">
        <v>19.579999999999998</v>
      </c>
    </row>
    <row r="583" spans="1:2">
      <c r="A583" t="str">
        <v>Nimesulida Suspensão Oral 50ml - Medley (Genérico)</v>
      </c>
      <c r="B583">
        <v>445.82</v>
      </c>
    </row>
    <row r="584" spans="1:2">
      <c r="A584" t="str">
        <v>Soro Fisiológico Johnson's Tamanho M (40 un)</v>
      </c>
      <c r="B584">
        <v>3909.1200000000003</v>
      </c>
    </row>
    <row r="585" spans="1:2">
      <c r="A585" t="str">
        <v>Absorvente com Abas Bepantol 500ml</v>
      </c>
      <c r="B585">
        <v>724.96</v>
      </c>
    </row>
    <row r="586" spans="1:2">
      <c r="A586" t="str">
        <v>Azitromicina Xarope 120ml - EMS (Genérico)</v>
      </c>
      <c r="B586">
        <v>1097.92</v>
      </c>
    </row>
    <row r="587" spans="1:2">
      <c r="A587" t="str">
        <v>Loratadina Gotas 20ml - EMS (Genérico)</v>
      </c>
      <c r="B587">
        <v>2081.42</v>
      </c>
    </row>
    <row r="588" spans="1:2">
      <c r="A588" t="str">
        <v>Vacina contra Esquizofrenia - Dose Única</v>
      </c>
      <c r="B588">
        <v>23.700000000000003</v>
      </c>
    </row>
    <row r="589" spans="1:2">
      <c r="A589" t="str">
        <v>Fluoxetina Gotas 20ml - Aché</v>
      </c>
      <c r="B589">
        <v>72.319999999999993</v>
      </c>
    </row>
    <row r="590" spans="1:2">
      <c r="A590" t="str">
        <v>Clonazepam Gotas 20ml - Eurofarma</v>
      </c>
      <c r="B590">
        <v>153.51</v>
      </c>
    </row>
    <row r="591" spans="1:2">
      <c r="A591" t="str">
        <v>Sildenafila 500mg - 20 Comprimidos - Eurofarma</v>
      </c>
      <c r="B591">
        <v>150.67000000000002</v>
      </c>
    </row>
    <row r="592" spans="1:2">
      <c r="A592" t="str">
        <v>Sertralina 1g - 10 Comprimidos - Neo Química (Genérico)</v>
      </c>
      <c r="B592">
        <v>1386.98</v>
      </c>
    </row>
    <row r="593" spans="1:2">
      <c r="A593" t="str">
        <v>Fralda Descartável Mió 90g</v>
      </c>
      <c r="B593">
        <v>834.7</v>
      </c>
    </row>
    <row r="594" spans="1:2">
      <c r="A594" t="str">
        <v>Atenolol 500mg - 20 Comprimidos - Medley (Genérico)</v>
      </c>
      <c r="B594">
        <v>1465.02</v>
      </c>
    </row>
    <row r="595" spans="1:2">
      <c r="A595" t="str">
        <v>Losartana Potássica Pomada 30g - Neo Química (Genérico)</v>
      </c>
      <c r="B595">
        <v>2728.44</v>
      </c>
    </row>
    <row r="596" spans="1:2">
      <c r="A596" t="str">
        <v>Azitromicina 500mg - 20 Comprimidos - Bayer</v>
      </c>
      <c r="B596">
        <v>233.63</v>
      </c>
    </row>
    <row r="597" spans="1:2">
      <c r="A597" t="str">
        <v>Vacina contra Hepatite B - Dose Única</v>
      </c>
      <c r="B597">
        <v>1945.0800000000002</v>
      </c>
    </row>
    <row r="598" spans="1:2">
      <c r="A598" t="str">
        <v>Paracetamol Gotas 20ml - Bayer</v>
      </c>
      <c r="B598">
        <v>144.51</v>
      </c>
    </row>
    <row r="599" spans="1:2">
      <c r="A599" t="str">
        <v>Fralda Descartável Vichy 400ml</v>
      </c>
      <c r="B599">
        <v>274.60000000000002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0028-B422-4E83-A2F9-C7DBAEDE5F01}">
  <dimension ref="A2:K28"/>
  <sheetViews>
    <sheetView workbookViewId="0">
      <selection activeCell="K9" sqref="K9"/>
    </sheetView>
  </sheetViews>
  <sheetFormatPr defaultRowHeight="14.6"/>
  <cols>
    <col min="1" max="1" width="27.3828125" bestFit="1" customWidth="1"/>
    <col min="2" max="2" width="8.84375" bestFit="1" customWidth="1"/>
    <col min="5" max="5" width="12.61328125" style="8" bestFit="1" customWidth="1"/>
  </cols>
  <sheetData>
    <row r="2" spans="1:11">
      <c r="A2" t="str" cm="1">
        <f t="array" ref="A2:A28">IF(Dashboard!$H$4="Bairro", _xlfn.UNIQUE(receita_detalhada[Bairro]), IF(Dashboard!$H$4="Município", _xlfn.UNIQUE(receita_detalhada[Município]), _xlfn.UNIQUE(receita_detalhada[Estado])))</f>
        <v>PE</v>
      </c>
      <c r="B2" cm="1">
        <f t="array" aca="1" ref="B2:B28" ca="1">SUMIFS(receita_detalhada[valor_total_receita], INDIRECT("receita_detalhada["&amp;Dashboard!$H$4&amp;"]"),_xlfn.ANCHORARRAY( A2))</f>
        <v>58625.700000000019</v>
      </c>
      <c r="D2" t="str" cm="1">
        <f t="array" aca="1" ref="D2:E9" ca="1">_xlfn.TAKE(_xlfn._xlws.SORT(_xlfn.HSTACK(_xlfn.ANCHORARRAY(A2),_xlfn.ANCHORARRAY( B2)), 2, -1), Dashboard!$I$4)</f>
        <v>PE</v>
      </c>
      <c r="E2" s="8">
        <f ca="1"/>
        <v>58625.700000000019</v>
      </c>
    </row>
    <row r="3" spans="1:11">
      <c r="A3" t="str">
        <v>PI</v>
      </c>
      <c r="B3">
        <f ca="1"/>
        <v>19010.230000000003</v>
      </c>
      <c r="D3" t="str">
        <f ca="1"/>
        <v>BA</v>
      </c>
      <c r="E3" s="8">
        <f ca="1"/>
        <v>58263.850000000006</v>
      </c>
    </row>
    <row r="4" spans="1:11">
      <c r="A4" t="str">
        <v>AL</v>
      </c>
      <c r="B4">
        <f ca="1"/>
        <v>42501.15</v>
      </c>
      <c r="D4" t="str">
        <f ca="1"/>
        <v>PB</v>
      </c>
      <c r="E4" s="8">
        <f ca="1"/>
        <v>57122.160000000018</v>
      </c>
    </row>
    <row r="5" spans="1:11">
      <c r="A5" t="str">
        <v>MG</v>
      </c>
      <c r="B5">
        <f ca="1"/>
        <v>19128.749999999993</v>
      </c>
      <c r="D5" t="str">
        <f ca="1"/>
        <v>RR</v>
      </c>
      <c r="E5" s="8">
        <f ca="1"/>
        <v>56405.570000000014</v>
      </c>
    </row>
    <row r="6" spans="1:11">
      <c r="A6" t="str">
        <v>MS</v>
      </c>
      <c r="B6">
        <f ca="1"/>
        <v>29323.86</v>
      </c>
      <c r="D6" t="str">
        <f ca="1"/>
        <v>DF</v>
      </c>
      <c r="E6" s="8">
        <f ca="1"/>
        <v>55910.720000000038</v>
      </c>
    </row>
    <row r="7" spans="1:11">
      <c r="A7" t="str">
        <v>GO</v>
      </c>
      <c r="B7">
        <f ca="1"/>
        <v>38062.910000000003</v>
      </c>
      <c r="D7" t="str">
        <f ca="1"/>
        <v>RJ</v>
      </c>
      <c r="E7" s="8">
        <f ca="1"/>
        <v>54485.539999999979</v>
      </c>
    </row>
    <row r="8" spans="1:11">
      <c r="A8" t="str">
        <v>MA</v>
      </c>
      <c r="B8">
        <f ca="1"/>
        <v>41450.36</v>
      </c>
      <c r="D8" t="str">
        <f ca="1"/>
        <v>PR</v>
      </c>
      <c r="E8" s="8">
        <f ca="1"/>
        <v>48275.209999999992</v>
      </c>
      <c r="K8" t="str">
        <f>"Faturamento dos top " &amp; Dashboard!I4 &amp; " " &amp; Dashboard!H4 &amp; " (R$)"</f>
        <v>Faturamento dos top 8 Estado (R$)</v>
      </c>
    </row>
    <row r="9" spans="1:11">
      <c r="A9" t="str">
        <v>DF</v>
      </c>
      <c r="B9">
        <f ca="1"/>
        <v>55910.720000000038</v>
      </c>
      <c r="D9" t="str">
        <f ca="1"/>
        <v>RO</v>
      </c>
      <c r="E9" s="8">
        <f ca="1"/>
        <v>47957.190000000024</v>
      </c>
    </row>
    <row r="10" spans="1:11">
      <c r="A10" t="str">
        <v>PB</v>
      </c>
      <c r="B10">
        <f ca="1"/>
        <v>57122.160000000018</v>
      </c>
    </row>
    <row r="11" spans="1:11">
      <c r="A11" t="str">
        <v>RN</v>
      </c>
      <c r="B11">
        <f ca="1"/>
        <v>32197.079999999994</v>
      </c>
    </row>
    <row r="12" spans="1:11">
      <c r="A12" t="str">
        <v>SE</v>
      </c>
      <c r="B12">
        <f ca="1"/>
        <v>27631.84</v>
      </c>
    </row>
    <row r="13" spans="1:11">
      <c r="A13" t="str">
        <v>RR</v>
      </c>
      <c r="B13">
        <f ca="1"/>
        <v>56405.570000000014</v>
      </c>
    </row>
    <row r="14" spans="1:11">
      <c r="A14" t="str">
        <v>PR</v>
      </c>
      <c r="B14">
        <f ca="1"/>
        <v>48275.209999999992</v>
      </c>
    </row>
    <row r="15" spans="1:11">
      <c r="A15" t="str">
        <v>RJ</v>
      </c>
      <c r="B15">
        <f ca="1"/>
        <v>54485.539999999979</v>
      </c>
    </row>
    <row r="16" spans="1:11">
      <c r="A16" t="str">
        <v>PA</v>
      </c>
      <c r="B16">
        <f ca="1"/>
        <v>35197.660000000011</v>
      </c>
    </row>
    <row r="17" spans="1:2">
      <c r="A17" t="str">
        <v>AM</v>
      </c>
      <c r="B17">
        <f ca="1"/>
        <v>30483.019999999993</v>
      </c>
    </row>
    <row r="18" spans="1:2">
      <c r="A18" t="str">
        <v>RS</v>
      </c>
      <c r="B18">
        <f ca="1"/>
        <v>32852.149999999994</v>
      </c>
    </row>
    <row r="19" spans="1:2">
      <c r="A19" t="str">
        <v>MT</v>
      </c>
      <c r="B19">
        <f ca="1"/>
        <v>38523.950000000012</v>
      </c>
    </row>
    <row r="20" spans="1:2">
      <c r="A20" t="str">
        <v>AC</v>
      </c>
      <c r="B20">
        <f ca="1"/>
        <v>34499.08</v>
      </c>
    </row>
    <row r="21" spans="1:2">
      <c r="A21" t="str">
        <v>TO</v>
      </c>
      <c r="B21">
        <f ca="1"/>
        <v>32779.020000000004</v>
      </c>
    </row>
    <row r="22" spans="1:2">
      <c r="A22" t="str">
        <v>RO</v>
      </c>
      <c r="B22">
        <f ca="1"/>
        <v>47957.190000000024</v>
      </c>
    </row>
    <row r="23" spans="1:2">
      <c r="A23" t="str">
        <v>AP</v>
      </c>
      <c r="B23">
        <f ca="1"/>
        <v>39786.590000000004</v>
      </c>
    </row>
    <row r="24" spans="1:2">
      <c r="A24" t="str">
        <v>BA</v>
      </c>
      <c r="B24">
        <f ca="1"/>
        <v>58263.850000000006</v>
      </c>
    </row>
    <row r="25" spans="1:2">
      <c r="A25" t="str">
        <v>SP</v>
      </c>
      <c r="B25">
        <f ca="1"/>
        <v>29167.42</v>
      </c>
    </row>
    <row r="26" spans="1:2">
      <c r="A26" t="str">
        <v>CE</v>
      </c>
      <c r="B26">
        <f ca="1"/>
        <v>36981.579999999973</v>
      </c>
    </row>
    <row r="27" spans="1:2">
      <c r="A27" t="str">
        <v>ES</v>
      </c>
      <c r="B27">
        <f ca="1"/>
        <v>30245.85</v>
      </c>
    </row>
    <row r="28" spans="1:2">
      <c r="A28" t="str">
        <v>SC</v>
      </c>
      <c r="B28">
        <f ca="1"/>
        <v>27773.94000000001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17B8E-EAB8-4024-8211-73DBD1661B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receita_detalhada</vt:lpstr>
      <vt:lpstr>receita_agregada</vt:lpstr>
      <vt:lpstr>despesa</vt:lpstr>
      <vt:lpstr>Dashboard</vt:lpstr>
      <vt:lpstr>Apoio_FiltroExtra</vt:lpstr>
      <vt:lpstr>Apoio_Financeiro</vt:lpstr>
      <vt:lpstr>Apoio_Tempo</vt:lpstr>
      <vt:lpstr>Apoio_Cliente</vt:lpstr>
      <vt:lpstr>Apoio_Produto</vt:lpstr>
      <vt:lpstr>Apoio_Regiao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granemann</dc:creator>
  <cp:lastModifiedBy>murilo granemann</cp:lastModifiedBy>
  <dcterms:created xsi:type="dcterms:W3CDTF">2026-09-14T02:03:00Z</dcterms:created>
  <dcterms:modified xsi:type="dcterms:W3CDTF">2026-09-14T15:39:14Z</dcterms:modified>
</cp:coreProperties>
</file>